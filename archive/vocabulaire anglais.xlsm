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6.xml" ContentType="application/vnd.openxmlformats-officedocument.themeOverrid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enoi\OneDrive\Documents\20.1 Langues\Anglais\vocabulaire\"/>
    </mc:Choice>
  </mc:AlternateContent>
  <xr:revisionPtr revIDLastSave="0" documentId="13_ncr:1_{8539A23B-3AA2-48B4-B347-7ACCCCEB21D3}" xr6:coauthVersionLast="47" xr6:coauthVersionMax="47" xr10:uidLastSave="{00000000-0000-0000-0000-000000000000}"/>
  <bookViews>
    <workbookView xWindow="-108" yWindow="-108" windowWidth="30936" windowHeight="16776" tabRatio="762" xr2:uid="{00000000-000D-0000-FFFF-FFFF00000000}"/>
  </bookViews>
  <sheets>
    <sheet name="voc_macro" sheetId="20" r:id="rId1"/>
    <sheet name="voc" sheetId="4" r:id="rId2"/>
    <sheet name="corrections" sheetId="24" r:id="rId3"/>
    <sheet name="version_GCD" sheetId="25" r:id="rId4"/>
    <sheet name="version_words" sheetId="30" r:id="rId5"/>
    <sheet name="theme_macro" sheetId="27" r:id="rId6"/>
    <sheet name="theme" sheetId="26" r:id="rId7"/>
    <sheet name="theme_GCD" sheetId="29" r:id="rId8"/>
    <sheet name="theme_words" sheetId="31" r:id="rId9"/>
  </sheets>
  <definedNames>
    <definedName name="_xlchart.v1.0" hidden="1">voc!$E$2:$E$2650</definedName>
  </definedNames>
  <calcPr calcId="181029"/>
  <pivotCaches>
    <pivotCache cacheId="8" r:id="rId10"/>
    <pivotCache cacheId="11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12" i="26" l="1"/>
  <c r="F611" i="26"/>
  <c r="F610" i="26"/>
  <c r="F609" i="26"/>
  <c r="F608" i="26"/>
  <c r="F607" i="26"/>
  <c r="F598" i="26"/>
  <c r="F536" i="26"/>
  <c r="F685" i="4"/>
  <c r="F684" i="4"/>
  <c r="F683" i="4"/>
  <c r="F2788" i="4"/>
  <c r="F29" i="26"/>
  <c r="F597" i="26"/>
  <c r="F540" i="26"/>
  <c r="F595" i="26"/>
  <c r="F2787" i="4"/>
  <c r="F2786" i="4"/>
  <c r="F131" i="4"/>
  <c r="F602" i="26"/>
  <c r="F503" i="26"/>
  <c r="F523" i="26"/>
  <c r="F41" i="26"/>
  <c r="F571" i="26"/>
  <c r="F682" i="4"/>
  <c r="F40" i="26"/>
  <c r="F209" i="26"/>
  <c r="F130" i="4" l="1"/>
  <c r="F2785" i="4"/>
  <c r="F681" i="4"/>
  <c r="F680" i="4"/>
  <c r="F679" i="4"/>
  <c r="F208" i="26"/>
  <c r="F54" i="26"/>
  <c r="F552" i="26"/>
  <c r="F53" i="26"/>
  <c r="F562" i="26"/>
  <c r="F250" i="26"/>
  <c r="F11" i="26"/>
  <c r="F583" i="26"/>
  <c r="F39" i="26"/>
  <c r="F604" i="26"/>
  <c r="F555" i="26"/>
  <c r="F52" i="26"/>
  <c r="F51" i="26"/>
  <c r="F591" i="26"/>
  <c r="F50" i="26"/>
  <c r="F62" i="26"/>
  <c r="F567" i="26"/>
  <c r="F249" i="26"/>
  <c r="F515" i="26"/>
  <c r="F49" i="26"/>
  <c r="F6" i="26"/>
  <c r="F530" i="26"/>
  <c r="F261" i="26"/>
  <c r="F38" i="26"/>
  <c r="F605" i="26"/>
  <c r="F280" i="26"/>
  <c r="F258" i="26"/>
  <c r="F606" i="26"/>
  <c r="F573" i="26"/>
  <c r="F514" i="26"/>
  <c r="F527" i="26"/>
  <c r="F48" i="26"/>
  <c r="F508" i="26"/>
  <c r="F492" i="26"/>
  <c r="F572" i="26"/>
  <c r="F272" i="26"/>
  <c r="F532" i="26"/>
  <c r="F511" i="26"/>
  <c r="F493" i="26"/>
  <c r="F61" i="26"/>
  <c r="F267" i="26"/>
  <c r="F549" i="26"/>
  <c r="F585" i="26"/>
  <c r="F495" i="26"/>
  <c r="F181" i="26"/>
  <c r="F592" i="26"/>
  <c r="F211" i="26"/>
  <c r="F539" i="26"/>
  <c r="F4" i="26"/>
  <c r="F319" i="26"/>
  <c r="F556" i="26"/>
  <c r="F512" i="26"/>
  <c r="F66" i="26"/>
  <c r="F504" i="26"/>
  <c r="F450" i="26"/>
  <c r="F60" i="26"/>
  <c r="F484" i="26"/>
  <c r="F76" i="26"/>
  <c r="F124" i="26"/>
  <c r="F255" i="26"/>
  <c r="F544" i="26"/>
  <c r="F565" i="26"/>
  <c r="F266" i="26"/>
  <c r="F123" i="26"/>
  <c r="F260" i="26"/>
  <c r="F509" i="26"/>
  <c r="F587" i="26"/>
  <c r="F69" i="26"/>
  <c r="F576" i="26"/>
  <c r="F122" i="26"/>
  <c r="F517" i="26"/>
  <c r="F554" i="26"/>
  <c r="F568" i="26"/>
  <c r="F59" i="26"/>
  <c r="F502" i="26"/>
  <c r="F520" i="26"/>
  <c r="F3" i="26"/>
  <c r="F47" i="26"/>
  <c r="F487" i="26"/>
  <c r="F510" i="26"/>
  <c r="F516" i="26"/>
  <c r="F551" i="26"/>
  <c r="F28" i="26"/>
  <c r="F505" i="26"/>
  <c r="F485" i="26"/>
  <c r="F264" i="26"/>
  <c r="F216" i="26"/>
  <c r="F32" i="26"/>
  <c r="F121" i="26"/>
  <c r="F507" i="26"/>
  <c r="F524" i="26"/>
  <c r="F534" i="26"/>
  <c r="F561" i="26"/>
  <c r="F20" i="26"/>
  <c r="F559" i="26"/>
  <c r="F68" i="26"/>
  <c r="F46" i="26"/>
  <c r="F254" i="26"/>
  <c r="F269" i="26"/>
  <c r="F501" i="26"/>
  <c r="F210" i="26"/>
  <c r="F65" i="26"/>
  <c r="F491" i="26"/>
  <c r="F58" i="26"/>
  <c r="F500" i="26"/>
  <c r="F488" i="26"/>
  <c r="F533" i="26"/>
  <c r="F259" i="26"/>
  <c r="F75" i="26"/>
  <c r="F564" i="26"/>
  <c r="F241" i="26"/>
  <c r="F263" i="26"/>
  <c r="F538" i="26"/>
  <c r="F545" i="26"/>
  <c r="F547" i="26"/>
  <c r="F553" i="26"/>
  <c r="F2" i="26"/>
  <c r="F37" i="26"/>
  <c r="F558" i="26"/>
  <c r="F563" i="26"/>
  <c r="F57" i="26"/>
  <c r="F490" i="26"/>
  <c r="F64" i="26"/>
  <c r="F56" i="26"/>
  <c r="F36" i="26"/>
  <c r="F550" i="26"/>
  <c r="F251" i="26"/>
  <c r="F242" i="26"/>
  <c r="F35" i="26"/>
  <c r="F63" i="26"/>
  <c r="F96" i="26"/>
  <c r="F268" i="26"/>
  <c r="F498" i="26"/>
  <c r="F526" i="26"/>
  <c r="F548" i="26"/>
  <c r="F67" i="26"/>
  <c r="F79" i="26"/>
  <c r="F256" i="26"/>
  <c r="F270" i="26"/>
  <c r="F518" i="26"/>
  <c r="F298" i="26"/>
  <c r="F584" i="26"/>
  <c r="F95" i="26"/>
  <c r="F34" i="26"/>
  <c r="F522" i="26"/>
  <c r="F499" i="26"/>
  <c r="F10" i="26"/>
  <c r="F5" i="26"/>
  <c r="F279" i="26"/>
  <c r="F19" i="26"/>
  <c r="F457" i="26"/>
  <c r="F341" i="26"/>
  <c r="F328" i="26"/>
  <c r="F318" i="26"/>
  <c r="F347" i="26"/>
  <c r="F557" i="26"/>
  <c r="F120" i="26"/>
  <c r="F257" i="26"/>
  <c r="F496" i="26"/>
  <c r="F163" i="26"/>
  <c r="F162" i="26"/>
  <c r="F45" i="26"/>
  <c r="F147" i="26"/>
  <c r="F18" i="26"/>
  <c r="F207" i="26"/>
  <c r="F31" i="26"/>
  <c r="F486" i="26"/>
  <c r="F44" i="26"/>
  <c r="F297" i="26"/>
  <c r="F340" i="26"/>
  <c r="F296" i="26"/>
  <c r="F346" i="26"/>
  <c r="F278" i="26"/>
  <c r="F295" i="26"/>
  <c r="F17" i="26"/>
  <c r="F317" i="26"/>
  <c r="F294" i="26"/>
  <c r="F316" i="26"/>
  <c r="F546" i="26"/>
  <c r="F577" i="26"/>
  <c r="F574" i="26"/>
  <c r="F33" i="26"/>
  <c r="F233" i="26"/>
  <c r="F596" i="26"/>
  <c r="F575" i="26"/>
  <c r="F119" i="26"/>
  <c r="F217" i="26"/>
  <c r="F215" i="26"/>
  <c r="F180" i="26"/>
  <c r="F497" i="26"/>
  <c r="F537" i="26"/>
  <c r="F494" i="26"/>
  <c r="F519" i="26"/>
  <c r="F489" i="26"/>
  <c r="F23" i="26"/>
  <c r="F161" i="26"/>
  <c r="F16" i="26"/>
  <c r="F580" i="26"/>
  <c r="F306" i="26"/>
  <c r="F71" i="26"/>
  <c r="F86" i="26"/>
  <c r="F265" i="26"/>
  <c r="F27" i="26"/>
  <c r="F26" i="26"/>
  <c r="F22" i="26"/>
  <c r="F70" i="26"/>
  <c r="F376" i="26"/>
  <c r="F395" i="26"/>
  <c r="F367" i="26"/>
  <c r="F394" i="26"/>
  <c r="F366" i="26"/>
  <c r="F418" i="26"/>
  <c r="F405" i="26"/>
  <c r="F411" i="26"/>
  <c r="F416" i="26"/>
  <c r="F415" i="26"/>
  <c r="F426" i="26"/>
  <c r="F438" i="26"/>
  <c r="F449" i="26"/>
  <c r="F476" i="26"/>
  <c r="F262" i="26"/>
  <c r="F118" i="26"/>
  <c r="F436" i="26"/>
  <c r="F117" i="26"/>
  <c r="F603" i="26"/>
  <c r="F43" i="26"/>
  <c r="F252" i="26"/>
  <c r="F589" i="26"/>
  <c r="F581" i="26"/>
  <c r="F560" i="26"/>
  <c r="F410" i="26"/>
  <c r="F339" i="26"/>
  <c r="F191" i="26"/>
  <c r="F9" i="26"/>
  <c r="F543" i="26"/>
  <c r="F578" i="26"/>
  <c r="F15" i="26"/>
  <c r="F14" i="26"/>
  <c r="F21" i="26"/>
  <c r="F25" i="26"/>
  <c r="F8" i="26"/>
  <c r="F588" i="26"/>
  <c r="F42" i="26"/>
  <c r="F116" i="26"/>
  <c r="F327" i="26"/>
  <c r="F453" i="26"/>
  <c r="F293" i="26"/>
  <c r="F593" i="26"/>
  <c r="F570" i="26"/>
  <c r="F245" i="26"/>
  <c r="F253" i="26"/>
  <c r="F237" i="26"/>
  <c r="F219" i="26"/>
  <c r="F13" i="26"/>
  <c r="F385" i="26"/>
  <c r="F190" i="26"/>
  <c r="F146" i="26"/>
  <c r="F160" i="26"/>
  <c r="F159" i="26"/>
  <c r="F197" i="26"/>
  <c r="F94" i="26"/>
  <c r="F145" i="26"/>
  <c r="F463" i="26"/>
  <c r="F144" i="26"/>
  <c r="F239" i="26"/>
  <c r="F521" i="26"/>
  <c r="F292" i="26"/>
  <c r="F409" i="26"/>
  <c r="F542" i="26"/>
  <c r="F189" i="26"/>
  <c r="F541" i="26"/>
  <c r="F7" i="26"/>
  <c r="F115" i="26"/>
  <c r="F579" i="26"/>
  <c r="F74" i="26"/>
  <c r="F465" i="26"/>
  <c r="F404" i="26"/>
  <c r="F305" i="26"/>
  <c r="F291" i="26"/>
  <c r="F196" i="26"/>
  <c r="F179" i="26"/>
  <c r="F464" i="26"/>
  <c r="F425" i="26"/>
  <c r="F399" i="26"/>
  <c r="F365" i="26"/>
  <c r="F393" i="26"/>
  <c r="F375" i="26"/>
  <c r="F352" i="26"/>
  <c r="F315" i="26"/>
  <c r="F338" i="26"/>
  <c r="F236" i="26"/>
  <c r="F225" i="26"/>
  <c r="F143" i="26"/>
  <c r="F142" i="26"/>
  <c r="F472" i="26"/>
  <c r="F479" i="26"/>
  <c r="F448" i="26"/>
  <c r="F364" i="26"/>
  <c r="F384" i="26"/>
  <c r="F392" i="26"/>
  <c r="F374" i="26"/>
  <c r="F345" i="26"/>
  <c r="F290" i="26"/>
  <c r="F314" i="26"/>
  <c r="F344" i="26"/>
  <c r="F178" i="26"/>
  <c r="F141" i="26"/>
  <c r="F478" i="26"/>
  <c r="F430" i="26"/>
  <c r="F414" i="26"/>
  <c r="F402" i="26"/>
  <c r="F408" i="26"/>
  <c r="F363" i="26"/>
  <c r="F304" i="26"/>
  <c r="F289" i="26"/>
  <c r="F354" i="26"/>
  <c r="F212" i="26"/>
  <c r="F158" i="26"/>
  <c r="F114" i="26"/>
  <c r="F204" i="26"/>
  <c r="F140" i="26"/>
  <c r="F30" i="26"/>
  <c r="F462" i="26"/>
  <c r="F421" i="26"/>
  <c r="F362" i="26"/>
  <c r="F390" i="26"/>
  <c r="F288" i="26"/>
  <c r="F222" i="26"/>
  <c r="F157" i="26"/>
  <c r="F156" i="26"/>
  <c r="F113" i="26"/>
  <c r="F202" i="26"/>
  <c r="F177" i="26"/>
  <c r="F176" i="26"/>
  <c r="F594" i="26"/>
  <c r="F467" i="26"/>
  <c r="F482" i="26"/>
  <c r="F424" i="26"/>
  <c r="F361" i="26"/>
  <c r="F337" i="26"/>
  <c r="F303" i="26"/>
  <c r="F175" i="26"/>
  <c r="F201" i="26"/>
  <c r="F566" i="26"/>
  <c r="F506" i="26"/>
  <c r="F435" i="26"/>
  <c r="F360" i="26"/>
  <c r="F373" i="26"/>
  <c r="F313" i="26"/>
  <c r="F326" i="26"/>
  <c r="F235" i="26"/>
  <c r="F218" i="26"/>
  <c r="F139" i="26"/>
  <c r="F469" i="26"/>
  <c r="F446" i="26"/>
  <c r="F452" i="26"/>
  <c r="F459" i="26"/>
  <c r="F417" i="26"/>
  <c r="F383" i="26"/>
  <c r="F336" i="26"/>
  <c r="F277" i="26"/>
  <c r="F138" i="26"/>
  <c r="F174" i="26"/>
  <c r="F173" i="26"/>
  <c r="F112" i="26"/>
  <c r="F200" i="26"/>
  <c r="F111" i="26"/>
  <c r="F55" i="26"/>
  <c r="F601" i="26"/>
  <c r="F461" i="26"/>
  <c r="F429" i="26"/>
  <c r="F401" i="26"/>
  <c r="F382" i="26"/>
  <c r="F398" i="26"/>
  <c r="F359" i="26"/>
  <c r="F248" i="26"/>
  <c r="F137" i="26"/>
  <c r="F172" i="26"/>
  <c r="F83" i="26"/>
  <c r="F513" i="26"/>
  <c r="F312" i="26"/>
  <c r="F311" i="26"/>
  <c r="F231" i="26"/>
  <c r="F228" i="26"/>
  <c r="F155" i="26"/>
  <c r="F188" i="26"/>
  <c r="F82" i="26"/>
  <c r="F443" i="26"/>
  <c r="F325" i="26"/>
  <c r="F335" i="26"/>
  <c r="F214" i="26"/>
  <c r="F93" i="26"/>
  <c r="F72" i="26"/>
  <c r="F475" i="26"/>
  <c r="F372" i="26"/>
  <c r="F397" i="26"/>
  <c r="F287" i="26"/>
  <c r="F310" i="26"/>
  <c r="F343" i="26"/>
  <c r="F136" i="26"/>
  <c r="F110" i="26"/>
  <c r="F531" i="26"/>
  <c r="F468" i="26"/>
  <c r="F458" i="26"/>
  <c r="F434" i="26"/>
  <c r="F433" i="26"/>
  <c r="F407" i="26"/>
  <c r="F413" i="26"/>
  <c r="F371" i="26"/>
  <c r="F334" i="26"/>
  <c r="F286" i="26"/>
  <c r="F333" i="26"/>
  <c r="F276" i="26"/>
  <c r="F350" i="26"/>
  <c r="F81" i="26"/>
  <c r="F456" i="26"/>
  <c r="F460" i="26"/>
  <c r="F389" i="26"/>
  <c r="F324" i="26"/>
  <c r="F275" i="26"/>
  <c r="F135" i="26"/>
  <c r="F134" i="26"/>
  <c r="F154" i="26"/>
  <c r="F24" i="26"/>
  <c r="F455" i="26"/>
  <c r="F422" i="26"/>
  <c r="F396" i="26"/>
  <c r="F109" i="26"/>
  <c r="F199" i="26"/>
  <c r="F153" i="26"/>
  <c r="F529" i="26"/>
  <c r="F481" i="26"/>
  <c r="F445" i="26"/>
  <c r="F442" i="26"/>
  <c r="F441" i="26"/>
  <c r="F406" i="26"/>
  <c r="F370" i="26"/>
  <c r="F332" i="26"/>
  <c r="F302" i="26"/>
  <c r="F244" i="26"/>
  <c r="F198" i="26"/>
  <c r="F381" i="26"/>
  <c r="F356" i="26"/>
  <c r="F331" i="26"/>
  <c r="F285" i="26"/>
  <c r="F171" i="26"/>
  <c r="F590" i="26"/>
  <c r="F525" i="26"/>
  <c r="F471" i="26"/>
  <c r="F480" i="26"/>
  <c r="F451" i="26"/>
  <c r="F358" i="26"/>
  <c r="F108" i="26"/>
  <c r="F483" i="26"/>
  <c r="F230" i="26"/>
  <c r="F133" i="26"/>
  <c r="F403" i="26"/>
  <c r="F419" i="26"/>
  <c r="F351" i="26"/>
  <c r="F224" i="26"/>
  <c r="F78" i="26"/>
  <c r="F195" i="26"/>
  <c r="F107" i="26"/>
  <c r="F187" i="26"/>
  <c r="F85" i="26"/>
  <c r="F528" i="26"/>
  <c r="F369" i="26"/>
  <c r="F194" i="26"/>
  <c r="F152" i="26"/>
  <c r="F106" i="26"/>
  <c r="F582" i="26"/>
  <c r="F186" i="26"/>
  <c r="F132" i="26"/>
  <c r="F203" i="26"/>
  <c r="F309" i="26"/>
  <c r="F301" i="26"/>
  <c r="F170" i="26"/>
  <c r="F131" i="26"/>
  <c r="F470" i="26"/>
  <c r="F353" i="26"/>
  <c r="F274" i="26"/>
  <c r="F246" i="26"/>
  <c r="F380" i="26"/>
  <c r="F185" i="26"/>
  <c r="F569" i="26"/>
  <c r="F227" i="26"/>
  <c r="F92" i="26"/>
  <c r="F105" i="26"/>
  <c r="F300" i="26"/>
  <c r="F243" i="26"/>
  <c r="F226" i="26"/>
  <c r="F323" i="26"/>
  <c r="F240" i="26"/>
  <c r="F213" i="26"/>
  <c r="F454" i="26"/>
  <c r="F474" i="26"/>
  <c r="F91" i="26"/>
  <c r="F87" i="26"/>
  <c r="F130" i="26"/>
  <c r="F284" i="26"/>
  <c r="F322" i="26"/>
  <c r="F283" i="26"/>
  <c r="F129" i="26"/>
  <c r="F88" i="26"/>
  <c r="F104" i="26"/>
  <c r="F151" i="26"/>
  <c r="F103" i="26"/>
  <c r="F412" i="26"/>
  <c r="F477" i="26"/>
  <c r="F220" i="26"/>
  <c r="F223" i="26"/>
  <c r="F428" i="26"/>
  <c r="F232" i="26"/>
  <c r="F466" i="26"/>
  <c r="F355" i="26"/>
  <c r="F586" i="26"/>
  <c r="F169" i="26"/>
  <c r="F599" i="26"/>
  <c r="F184" i="26"/>
  <c r="F432" i="26"/>
  <c r="F102" i="26"/>
  <c r="F349" i="26"/>
  <c r="F437" i="26"/>
  <c r="F440" i="26"/>
  <c r="F12" i="26"/>
  <c r="F299" i="26"/>
  <c r="F447" i="26"/>
  <c r="F168" i="26"/>
  <c r="F368" i="26"/>
  <c r="F90" i="26"/>
  <c r="F80" i="26"/>
  <c r="F101" i="26"/>
  <c r="F234" i="26"/>
  <c r="F348" i="26"/>
  <c r="F282" i="26"/>
  <c r="F167" i="26"/>
  <c r="F342" i="26"/>
  <c r="F473" i="26"/>
  <c r="F128" i="26"/>
  <c r="F400" i="26"/>
  <c r="F89" i="26"/>
  <c r="F388" i="26"/>
  <c r="F600" i="26"/>
  <c r="F330" i="26"/>
  <c r="F427" i="26"/>
  <c r="F150" i="26"/>
  <c r="F273" i="26"/>
  <c r="F229" i="26"/>
  <c r="F379" i="26"/>
  <c r="F308" i="26"/>
  <c r="F100" i="26"/>
  <c r="F193" i="26"/>
  <c r="F221" i="26"/>
  <c r="F206" i="26"/>
  <c r="F391" i="26"/>
  <c r="F149" i="26"/>
  <c r="F247" i="26"/>
  <c r="F205" i="26"/>
  <c r="F439" i="26"/>
  <c r="F321" i="26"/>
  <c r="F127" i="26"/>
  <c r="F387" i="26"/>
  <c r="F357" i="26"/>
  <c r="F423" i="26"/>
  <c r="F281" i="26"/>
  <c r="F420" i="26"/>
  <c r="F126" i="26"/>
  <c r="F329" i="26"/>
  <c r="F386" i="26"/>
  <c r="F444" i="26"/>
  <c r="F378" i="26"/>
  <c r="F166" i="26"/>
  <c r="F99" i="26"/>
  <c r="F183" i="26"/>
  <c r="F431" i="26"/>
  <c r="F271" i="26"/>
  <c r="F73" i="26"/>
  <c r="F84" i="26"/>
  <c r="F125" i="26"/>
  <c r="F307" i="26"/>
  <c r="F320" i="26"/>
  <c r="F77" i="26"/>
  <c r="F98" i="26"/>
  <c r="F535" i="26"/>
  <c r="F148" i="26"/>
  <c r="F165" i="26"/>
  <c r="F97" i="26"/>
  <c r="F238" i="26"/>
  <c r="F164" i="26"/>
  <c r="F182" i="26"/>
  <c r="F377" i="26"/>
  <c r="F192" i="26"/>
  <c r="F678" i="4" l="1"/>
  <c r="F677" i="4"/>
  <c r="F129" i="4"/>
  <c r="F676" i="4"/>
  <c r="F675" i="4"/>
  <c r="F674" i="4"/>
  <c r="F673" i="4"/>
  <c r="F2784" i="4"/>
  <c r="F2783" i="4"/>
  <c r="F672" i="4"/>
  <c r="F128" i="4"/>
  <c r="F127" i="4"/>
  <c r="F671" i="4"/>
  <c r="F670" i="4"/>
  <c r="F126" i="4"/>
  <c r="F125" i="4"/>
  <c r="F123" i="4"/>
  <c r="F124" i="4"/>
  <c r="F669" i="4"/>
  <c r="F668" i="4"/>
  <c r="F1017" i="4"/>
  <c r="F122" i="4"/>
  <c r="F667" i="4"/>
  <c r="F666" i="4"/>
  <c r="F306" i="4"/>
  <c r="F121" i="4"/>
  <c r="F2782" i="4"/>
  <c r="F119" i="4"/>
  <c r="F120" i="4"/>
  <c r="F665" i="4"/>
  <c r="F2781" i="4"/>
  <c r="F118" i="4"/>
  <c r="F117" i="4"/>
  <c r="F116" i="4"/>
  <c r="F115" i="4"/>
  <c r="F664" i="4"/>
  <c r="F663" i="4"/>
  <c r="F114" i="4"/>
  <c r="F1016" i="4"/>
  <c r="F662" i="4"/>
  <c r="F661" i="4"/>
  <c r="F660" i="4"/>
  <c r="F2780" i="4"/>
  <c r="F659" i="4"/>
  <c r="F113" i="4"/>
  <c r="F658" i="4"/>
  <c r="F657" i="4"/>
  <c r="F2779" i="4"/>
  <c r="F112" i="4"/>
  <c r="F111" i="4"/>
  <c r="F110" i="4"/>
  <c r="F109" i="4"/>
  <c r="F108" i="4"/>
  <c r="F107" i="4"/>
  <c r="F656" i="4"/>
  <c r="F654" i="4"/>
  <c r="F106" i="4"/>
  <c r="F104" i="4"/>
  <c r="F1324" i="4"/>
  <c r="F1014" i="4"/>
  <c r="F1015" i="4"/>
  <c r="F103" i="4"/>
  <c r="F102" i="4"/>
  <c r="F105" i="4"/>
  <c r="F101" i="4"/>
  <c r="F655" i="4"/>
  <c r="F2778" i="4"/>
  <c r="F305" i="4"/>
  <c r="F1013" i="4" l="1"/>
  <c r="F653" i="4"/>
  <c r="F100" i="4"/>
  <c r="F99" i="4"/>
  <c r="F409" i="4"/>
  <c r="F98" i="4"/>
  <c r="F652" i="4"/>
  <c r="F2777" i="4"/>
  <c r="F2776" i="4"/>
  <c r="F97" i="4"/>
  <c r="F96" i="4"/>
  <c r="F651" i="4"/>
  <c r="F95" i="4"/>
  <c r="F2774" i="4"/>
  <c r="F94" i="4"/>
  <c r="F2234" i="4"/>
  <c r="F2775" i="4"/>
  <c r="F92" i="4"/>
  <c r="F868" i="4"/>
  <c r="F408" i="4"/>
  <c r="F93" i="4"/>
  <c r="F650" i="4"/>
  <c r="F91" i="4"/>
  <c r="F867" i="4"/>
  <c r="F649" i="4"/>
  <c r="F1323" i="4"/>
  <c r="F2773" i="4"/>
  <c r="F2772" i="4"/>
  <c r="E17" i="27"/>
  <c r="F90" i="4"/>
  <c r="F89" i="4"/>
  <c r="F88" i="4"/>
  <c r="F407" i="4"/>
  <c r="D16" i="27"/>
  <c r="F2771" i="4"/>
  <c r="F304" i="4"/>
  <c r="F525" i="4"/>
  <c r="F87" i="4"/>
  <c r="F406" i="4"/>
  <c r="F2769" i="4"/>
  <c r="F86" i="4"/>
  <c r="F2770" i="4"/>
  <c r="F648" i="4"/>
  <c r="F647" i="4"/>
  <c r="F1991" i="4"/>
  <c r="F85" i="4"/>
  <c r="F1322" i="4"/>
  <c r="F646" i="4"/>
  <c r="F249" i="4"/>
  <c r="F645" i="4"/>
  <c r="F2768" i="4"/>
  <c r="F1012" i="4"/>
  <c r="F2767" i="4"/>
  <c r="F524" i="4"/>
  <c r="F84" i="4"/>
  <c r="F405" i="4"/>
  <c r="F83" i="4"/>
  <c r="F2766" i="4"/>
  <c r="F303" i="4"/>
  <c r="F644" i="4"/>
  <c r="F2765" i="4"/>
  <c r="F643" i="4"/>
  <c r="F81" i="4"/>
  <c r="F82" i="4"/>
  <c r="F80" i="4"/>
  <c r="F2764" i="4"/>
  <c r="F1321" i="4"/>
  <c r="F2100" i="4"/>
  <c r="F79" i="4"/>
  <c r="F2763" i="4"/>
  <c r="F248" i="4"/>
  <c r="F2762" i="4"/>
  <c r="F78" i="4"/>
  <c r="F1642" i="4"/>
  <c r="F1919" i="4"/>
  <c r="F2611" i="4"/>
  <c r="F1083" i="4"/>
  <c r="F2163" i="4"/>
  <c r="F549" i="4"/>
  <c r="F413" i="4"/>
  <c r="F345" i="4"/>
  <c r="F2300" i="4"/>
  <c r="F445" i="4"/>
  <c r="F1155" i="4"/>
  <c r="F1486" i="4"/>
  <c r="F501" i="4"/>
  <c r="F1595" i="4"/>
  <c r="F417" i="4"/>
  <c r="F1765" i="4"/>
  <c r="F1582" i="4"/>
  <c r="F1085" i="4"/>
  <c r="F2495" i="4"/>
  <c r="F1834" i="4"/>
  <c r="F1754" i="4"/>
  <c r="F799" i="4"/>
  <c r="F1331" i="4"/>
  <c r="F724" i="4"/>
  <c r="F2576" i="4"/>
  <c r="F2357" i="4"/>
  <c r="F897" i="4"/>
  <c r="F1325" i="4"/>
  <c r="F1814" i="4"/>
  <c r="F1840" i="4"/>
  <c r="F1357" i="4"/>
  <c r="F1433" i="4"/>
  <c r="F2694" i="4"/>
  <c r="F1786" i="4"/>
  <c r="F2195" i="4"/>
  <c r="F365" i="4"/>
  <c r="F2525" i="4"/>
  <c r="F2640" i="4"/>
  <c r="F1583" i="4"/>
  <c r="F2078" i="4"/>
  <c r="F2476" i="4"/>
  <c r="F1356" i="4"/>
  <c r="F435" i="4"/>
  <c r="F941" i="4"/>
  <c r="F1156" i="4"/>
  <c r="F2061" i="4"/>
  <c r="F2072" i="4"/>
  <c r="F2264" i="4"/>
  <c r="F1431" i="4"/>
  <c r="F1565" i="4"/>
  <c r="F1785" i="4"/>
  <c r="F1992" i="4"/>
  <c r="F2687" i="4"/>
  <c r="F2263" i="4"/>
  <c r="F590" i="4"/>
  <c r="F1391" i="4"/>
  <c r="F1432" i="4"/>
  <c r="F1488" i="4"/>
  <c r="F2262" i="4"/>
  <c r="F2356" i="4"/>
  <c r="F1815" i="4"/>
  <c r="F905" i="4"/>
  <c r="F2621" i="4"/>
  <c r="F1597" i="4"/>
  <c r="F823" i="4"/>
  <c r="F1838" i="4"/>
  <c r="F1182" i="4"/>
  <c r="F1038" i="4"/>
  <c r="F1918" i="4"/>
  <c r="F906" i="4"/>
  <c r="F1766" i="4"/>
  <c r="F1082" i="4"/>
  <c r="F550" i="4"/>
  <c r="F2345" i="4"/>
  <c r="F1106" i="4"/>
  <c r="F1485" i="4"/>
  <c r="F1865" i="4"/>
  <c r="F921" i="4"/>
  <c r="F1195" i="4"/>
  <c r="F1596" i="4"/>
  <c r="F845" i="4"/>
  <c r="F1435" i="4"/>
  <c r="F2101" i="4"/>
  <c r="F1670" i="4"/>
  <c r="F942" i="4"/>
  <c r="F1599" i="4"/>
  <c r="F1729" i="4"/>
  <c r="F753" i="4"/>
  <c r="F1692" i="4"/>
  <c r="F512" i="4"/>
  <c r="F2150" i="4"/>
  <c r="F1019" i="4"/>
  <c r="F1389" i="4"/>
  <c r="F975" i="4"/>
  <c r="F774" i="4"/>
  <c r="F421" i="4"/>
  <c r="F1920" i="4"/>
  <c r="F1058" i="4"/>
  <c r="F1419" i="4"/>
  <c r="F1598" i="4"/>
  <c r="F1434" i="4"/>
  <c r="F1671" i="4"/>
  <c r="F1418" i="4"/>
  <c r="F1044" i="4"/>
  <c r="F584" i="4"/>
  <c r="F1120" i="4"/>
  <c r="F473" i="4"/>
  <c r="F543" i="4"/>
  <c r="F1730" i="4"/>
  <c r="F1839" i="4"/>
  <c r="F2162" i="4"/>
  <c r="F1341" i="4"/>
  <c r="F591" i="4"/>
  <c r="F2164" i="4"/>
  <c r="F1672" i="4"/>
  <c r="F1591" i="4"/>
  <c r="F2314" i="4"/>
  <c r="F2016" i="4"/>
  <c r="F1410" i="4"/>
  <c r="F1554" i="4"/>
  <c r="F1084" i="4"/>
  <c r="F1130" i="4"/>
  <c r="F2526" i="4"/>
  <c r="F2686" i="4"/>
  <c r="F1185" i="4"/>
  <c r="F1728" i="4"/>
  <c r="F485" i="4"/>
  <c r="F2475" i="4"/>
  <c r="F1487" i="4"/>
  <c r="F875" i="4"/>
  <c r="F1237" i="4"/>
  <c r="F930" i="4"/>
  <c r="F2151" i="4"/>
  <c r="F2301" i="4"/>
  <c r="F1459" i="4"/>
  <c r="F1121" i="4"/>
  <c r="F1724" i="4"/>
  <c r="F1827" i="4"/>
  <c r="F1113" i="4"/>
  <c r="F2040" i="4"/>
  <c r="F1406" i="4"/>
  <c r="F1725" i="4"/>
  <c r="F1489" i="4"/>
  <c r="F2194" i="4"/>
  <c r="F1465" i="4"/>
  <c r="F1752" i="4"/>
  <c r="F1490" i="4"/>
  <c r="F2358" i="4"/>
  <c r="F1358" i="4"/>
  <c r="F1223" i="4"/>
  <c r="F1693" i="4"/>
  <c r="F969" i="4"/>
  <c r="F885" i="4"/>
  <c r="F2272" i="4"/>
  <c r="F2577" i="4"/>
  <c r="F2353" i="4"/>
  <c r="F1131" i="4"/>
  <c r="F2079" i="4"/>
  <c r="F1841" i="4"/>
  <c r="F1255" i="4"/>
  <c r="F1436" i="4"/>
  <c r="F1392" i="4"/>
  <c r="F929" i="4"/>
  <c r="F2271" i="4"/>
  <c r="F2126" i="4"/>
  <c r="F1816" i="4"/>
  <c r="F1782" i="4"/>
  <c r="F1466" i="4"/>
  <c r="F1921" i="4"/>
  <c r="F981" i="4"/>
  <c r="F1899" i="4"/>
  <c r="F1099" i="4"/>
  <c r="F1498" i="4"/>
  <c r="F1709" i="4"/>
  <c r="F1497" i="4"/>
  <c r="F1646" i="4"/>
  <c r="F1549" i="4"/>
  <c r="F2340" i="4"/>
  <c r="F1645" i="4"/>
  <c r="F1132" i="4"/>
  <c r="F837" i="4"/>
  <c r="F2547" i="4"/>
  <c r="F904" i="4"/>
  <c r="F2062" i="4"/>
  <c r="F932" i="4"/>
  <c r="F2478" i="4"/>
  <c r="F1883" i="4"/>
  <c r="F1186" i="4"/>
  <c r="F1687" i="4"/>
  <c r="F1086" i="4"/>
  <c r="F1133" i="4"/>
  <c r="F900" i="4"/>
  <c r="F688" i="4"/>
  <c r="F1694" i="4"/>
  <c r="F1521" i="4"/>
  <c r="F803" i="4"/>
  <c r="F1123" i="4"/>
  <c r="F1258" i="4"/>
  <c r="F270" i="4"/>
  <c r="F846" i="4"/>
  <c r="F1792" i="4"/>
  <c r="F1256" i="4"/>
  <c r="F2362" i="4"/>
  <c r="F836" i="4"/>
  <c r="F886" i="4"/>
  <c r="F1698" i="4"/>
  <c r="F2413" i="4"/>
  <c r="F2302" i="4"/>
  <c r="F869" i="4"/>
  <c r="F2653" i="4"/>
  <c r="F2414" i="4"/>
  <c r="F1843" i="4"/>
  <c r="F1264" i="4"/>
  <c r="F1390" i="4"/>
  <c r="F1602" i="4"/>
  <c r="F2661" i="4"/>
  <c r="F2103" i="4"/>
  <c r="F359" i="4"/>
  <c r="F465" i="4"/>
  <c r="F1039" i="4"/>
  <c r="F2256" i="4"/>
  <c r="F597" i="4"/>
  <c r="F2642" i="4"/>
  <c r="F1064" i="4"/>
  <c r="F2613" i="4"/>
  <c r="F1922" i="4"/>
  <c r="F970" i="4"/>
  <c r="F1063" i="4"/>
  <c r="F1439" i="4"/>
  <c r="F333" i="4"/>
  <c r="F2652" i="4"/>
  <c r="F1649" i="4"/>
  <c r="F1175" i="4"/>
  <c r="F2326" i="4"/>
  <c r="F1494" i="4"/>
  <c r="F592" i="4"/>
  <c r="F1259" i="4"/>
  <c r="F708" i="4"/>
  <c r="F274" i="4"/>
  <c r="F1263" i="4"/>
  <c r="F2276" i="4"/>
  <c r="F1929" i="4"/>
  <c r="F1686" i="4"/>
  <c r="F2370" i="4"/>
  <c r="F1344" i="4"/>
  <c r="F1555" i="4"/>
  <c r="F1361" i="4"/>
  <c r="F1604" i="4"/>
  <c r="F1045" i="4"/>
  <c r="F1997" i="4"/>
  <c r="F594" i="4"/>
  <c r="F2253" i="4"/>
  <c r="F2369" i="4"/>
  <c r="F1601" i="4"/>
  <c r="F1072" i="4"/>
  <c r="F2430" i="4"/>
  <c r="F2529" i="4"/>
  <c r="F1032" i="4"/>
  <c r="F2365" i="4"/>
  <c r="F1789" i="4"/>
  <c r="F1174" i="4"/>
  <c r="F877" i="4"/>
  <c r="F1880" i="4"/>
  <c r="F1755" i="4"/>
  <c r="F1087" i="4"/>
  <c r="F903" i="4"/>
  <c r="F309" i="4"/>
  <c r="F923" i="4"/>
  <c r="F1477" i="4"/>
  <c r="F796" i="4"/>
  <c r="F508" i="4"/>
  <c r="F1699" i="4"/>
  <c r="F725" i="4"/>
  <c r="F914" i="4"/>
  <c r="F1493" i="4"/>
  <c r="F1261" i="4"/>
  <c r="F738" i="4"/>
  <c r="F458" i="4"/>
  <c r="F1201" i="4"/>
  <c r="F489" i="4"/>
  <c r="F599" i="4"/>
  <c r="F1333" i="4"/>
  <c r="F2043" i="4"/>
  <c r="F984" i="4"/>
  <c r="F1731" i="4"/>
  <c r="F1648" i="4"/>
  <c r="F1479" i="4"/>
  <c r="F2153" i="4"/>
  <c r="F1124" i="4"/>
  <c r="F1520" i="4"/>
  <c r="F2368" i="4"/>
  <c r="F357" i="4"/>
  <c r="F1492" i="4"/>
  <c r="F1224" i="4"/>
  <c r="F1467" i="4"/>
  <c r="F2128" i="4"/>
  <c r="F2500" i="4"/>
  <c r="F1338" i="4"/>
  <c r="F2267" i="4"/>
  <c r="F1343" i="4"/>
  <c r="F2623" i="4"/>
  <c r="F2019" i="4"/>
  <c r="F1540" i="4"/>
  <c r="F1438" i="4"/>
  <c r="F2154" i="4"/>
  <c r="F1383" i="4"/>
  <c r="F985" i="4"/>
  <c r="F1569" i="4"/>
  <c r="F2274" i="4"/>
  <c r="F1925" i="4"/>
  <c r="F915" i="4"/>
  <c r="F2566" i="4"/>
  <c r="F2202" i="4"/>
  <c r="F2046" i="4"/>
  <c r="F2063" i="4"/>
  <c r="F2545" i="4"/>
  <c r="F2415" i="4"/>
  <c r="F2338" i="4"/>
  <c r="F1541" i="4"/>
  <c r="F1696" i="4"/>
  <c r="F1496" i="4"/>
  <c r="F1346" i="4"/>
  <c r="F1051" i="4"/>
  <c r="F1882" i="4"/>
  <c r="F1592" i="4"/>
  <c r="F1656" i="4"/>
  <c r="F2252" i="4"/>
  <c r="F2361" i="4"/>
  <c r="F2082" i="4"/>
  <c r="F2622" i="4"/>
  <c r="F1568" i="4"/>
  <c r="F2662" i="4"/>
  <c r="F745" i="4"/>
  <c r="F908" i="4"/>
  <c r="F1710" i="4"/>
  <c r="F1897" i="4"/>
  <c r="F2580" i="4"/>
  <c r="F2366" i="4"/>
  <c r="F2546" i="4"/>
  <c r="F2324" i="4"/>
  <c r="F2499" i="4"/>
  <c r="F2528" i="4"/>
  <c r="F2650" i="4"/>
  <c r="F876" i="4"/>
  <c r="F2364" i="4"/>
  <c r="F2102" i="4"/>
  <c r="F776" i="4"/>
  <c r="F2196" i="4"/>
  <c r="F2614" i="4"/>
  <c r="F2197" i="4"/>
  <c r="F1345" i="4"/>
  <c r="F1548" i="4"/>
  <c r="F2201" i="4"/>
  <c r="F595" i="4"/>
  <c r="F2255" i="4"/>
  <c r="F1605" i="4"/>
  <c r="F2304" i="4"/>
  <c r="F1167" i="4"/>
  <c r="F1787" i="4"/>
  <c r="F2584" i="4"/>
  <c r="F2008" i="4"/>
  <c r="F2339" i="4"/>
  <c r="F2341" i="4"/>
  <c r="F2081" i="4"/>
  <c r="F2371" i="4"/>
  <c r="F1052" i="4"/>
  <c r="F2548" i="4"/>
  <c r="F2363" i="4"/>
  <c r="F2367" i="4"/>
  <c r="F1600" i="4"/>
  <c r="F1168" i="4"/>
  <c r="F1098" i="4"/>
  <c r="F593" i="4"/>
  <c r="F1262" i="4"/>
  <c r="F2044" i="4"/>
  <c r="F2166" i="4"/>
  <c r="F1732" i="4"/>
  <c r="F1115" i="4"/>
  <c r="F1359" i="4"/>
  <c r="F1842" i="4"/>
  <c r="F1538" i="4"/>
  <c r="F383" i="4"/>
  <c r="F907" i="4"/>
  <c r="F1420" i="4"/>
  <c r="F2416" i="4"/>
  <c r="F1733" i="4"/>
  <c r="F2277" i="4"/>
  <c r="F2677" i="4"/>
  <c r="F2048" i="4"/>
  <c r="F1570" i="4"/>
  <c r="F2129" i="4"/>
  <c r="F2431" i="4"/>
  <c r="F1468" i="4"/>
  <c r="F2130" i="4"/>
  <c r="F2578" i="4"/>
  <c r="F961" i="4"/>
  <c r="F2477" i="4"/>
  <c r="F1818" i="4"/>
  <c r="F2251" i="4"/>
  <c r="F1673" i="4"/>
  <c r="F1655" i="4"/>
  <c r="F943" i="4"/>
  <c r="F1915" i="4"/>
  <c r="F2581" i="4"/>
  <c r="F1114" i="4"/>
  <c r="F1828" i="4"/>
  <c r="F1931" i="4"/>
  <c r="F1603" i="4"/>
  <c r="F2239" i="4"/>
  <c r="F2254" i="4"/>
  <c r="F1788" i="4"/>
  <c r="F2568" i="4"/>
  <c r="F1566" i="4"/>
  <c r="F2316" i="4"/>
  <c r="F2200" i="4"/>
  <c r="F1711" i="4"/>
  <c r="F2273" i="4"/>
  <c r="F2582" i="4"/>
  <c r="F2168" i="4"/>
  <c r="F1932" i="4"/>
  <c r="F848" i="4"/>
  <c r="F2315" i="4"/>
  <c r="F1491" i="4"/>
  <c r="F1246" i="4"/>
  <c r="F2633" i="4"/>
  <c r="F1926" i="4"/>
  <c r="F2549" i="4"/>
  <c r="F598" i="4"/>
  <c r="F2541" i="4"/>
  <c r="F348" i="4"/>
  <c r="F2457" i="4"/>
  <c r="F2018" i="4"/>
  <c r="F2198" i="4"/>
  <c r="F922" i="4"/>
  <c r="F1567" i="4"/>
  <c r="F2167" i="4"/>
  <c r="F2651" i="4"/>
  <c r="F1260" i="4"/>
  <c r="F596" i="4"/>
  <c r="F1898" i="4"/>
  <c r="F722" i="4"/>
  <c r="F2250" i="4"/>
  <c r="F2303" i="4"/>
  <c r="F2497" i="4"/>
  <c r="F1384" i="4"/>
  <c r="F819" i="4"/>
  <c r="F1791" i="4"/>
  <c r="F2266" i="4"/>
  <c r="F1342" i="4"/>
  <c r="F2429" i="4"/>
  <c r="F1697" i="4"/>
  <c r="F2165" i="4"/>
  <c r="F1526" i="4"/>
  <c r="F1726" i="4"/>
  <c r="F2641" i="4"/>
  <c r="F2265" i="4"/>
  <c r="F2354" i="4"/>
  <c r="F983" i="4"/>
  <c r="F1437" i="4"/>
  <c r="F775" i="4"/>
  <c r="F568" i="4"/>
  <c r="F1881" i="4"/>
  <c r="F1695" i="4"/>
  <c r="F227" i="4"/>
  <c r="F2458" i="4"/>
  <c r="F805" i="4"/>
  <c r="F2703" i="4"/>
  <c r="F1924" i="4"/>
  <c r="F1368" i="4"/>
  <c r="F2585" i="4"/>
  <c r="F1674" i="4"/>
  <c r="F2155" i="4"/>
  <c r="F446" i="4"/>
  <c r="F2428" i="4"/>
  <c r="F2182" i="4"/>
  <c r="F1122" i="4"/>
  <c r="F2496" i="4"/>
  <c r="F2498" i="4"/>
  <c r="F1923" i="4"/>
  <c r="F2460" i="4"/>
  <c r="F1934" i="4"/>
  <c r="F2305" i="4"/>
  <c r="F2047" i="4"/>
  <c r="F2567" i="4"/>
  <c r="F2104" i="4"/>
  <c r="F1817" i="4"/>
  <c r="F2527" i="4"/>
  <c r="F1928" i="4"/>
  <c r="F2360" i="4"/>
  <c r="F2660" i="4"/>
  <c r="F1332" i="4"/>
  <c r="F2447" i="4"/>
  <c r="F931" i="4"/>
  <c r="F1238" i="4"/>
  <c r="F1429" i="4"/>
  <c r="F2042" i="4"/>
  <c r="F2612" i="4"/>
  <c r="F374" i="4"/>
  <c r="F1360" i="4"/>
  <c r="F2459" i="4"/>
  <c r="F2041" i="4"/>
  <c r="F1647" i="4"/>
  <c r="F2275" i="4"/>
  <c r="F1845" i="4"/>
  <c r="F1708" i="4"/>
  <c r="F1478" i="4"/>
  <c r="F2540" i="4"/>
  <c r="F2080" i="4"/>
  <c r="F1225" i="4"/>
  <c r="F1734" i="4"/>
  <c r="F1440" i="4"/>
  <c r="F2006" i="4"/>
  <c r="F1230" i="4"/>
  <c r="F1914" i="4"/>
  <c r="F1050" i="4"/>
  <c r="F1169" i="4"/>
  <c r="F2007" i="4"/>
  <c r="F1790" i="4"/>
  <c r="F891" i="4"/>
  <c r="F1231" i="4"/>
  <c r="F1844" i="4"/>
  <c r="F2676" i="4"/>
  <c r="F824" i="4"/>
  <c r="F2045" i="4"/>
  <c r="F469" i="4"/>
  <c r="F2017" i="4"/>
  <c r="F833" i="4"/>
  <c r="F2325" i="4"/>
  <c r="F565" i="4"/>
  <c r="F1257" i="4"/>
  <c r="F1933" i="4"/>
  <c r="F1495" i="4"/>
  <c r="F1407" i="4"/>
  <c r="F1658" i="4"/>
  <c r="F1927" i="4"/>
  <c r="F1157" i="4"/>
  <c r="F2359" i="4"/>
  <c r="F1866" i="4"/>
  <c r="F847" i="4"/>
  <c r="F1659" i="4"/>
  <c r="F2152" i="4"/>
  <c r="F273" i="4"/>
  <c r="F544" i="4"/>
  <c r="F1930" i="4"/>
  <c r="F2427" i="4"/>
  <c r="F379" i="4"/>
  <c r="F2127" i="4"/>
  <c r="F1173" i="4"/>
  <c r="F1367" i="4"/>
  <c r="F699" i="4"/>
  <c r="F2654" i="4"/>
  <c r="F551" i="4"/>
  <c r="F493" i="4"/>
  <c r="F470" i="4"/>
  <c r="F1657" i="4"/>
  <c r="F1896" i="4"/>
  <c r="F2579" i="4"/>
  <c r="F1907" i="4"/>
  <c r="F1049" i="4"/>
  <c r="F2278" i="4"/>
  <c r="F2199" i="4"/>
  <c r="F2583" i="4"/>
  <c r="F507" i="4"/>
  <c r="F346" i="4"/>
  <c r="F1846" i="4"/>
  <c r="F959" i="4"/>
  <c r="F284" i="4"/>
  <c r="F1867" i="4"/>
  <c r="F1607" i="4"/>
  <c r="F2049" i="4"/>
  <c r="F2203" i="4"/>
  <c r="F1074" i="4"/>
  <c r="F1936" i="4"/>
  <c r="F1033" i="4"/>
  <c r="F2624" i="4"/>
  <c r="F2327" i="4"/>
  <c r="F871" i="4"/>
  <c r="F1935" i="4"/>
  <c r="F842" i="4"/>
  <c r="F780" i="4"/>
  <c r="F600" i="4"/>
  <c r="F1735" i="4"/>
  <c r="F1125" i="4"/>
  <c r="F1606" i="4"/>
  <c r="F2432" i="4"/>
  <c r="F2240" i="4"/>
  <c r="F2279" i="4"/>
  <c r="F986" i="4"/>
  <c r="F1239" i="4"/>
  <c r="F277" i="4"/>
  <c r="F714" i="4"/>
  <c r="F2461" i="4"/>
  <c r="F1441" i="4"/>
  <c r="F1411" i="4"/>
  <c r="F1556" i="4"/>
  <c r="F1265" i="4"/>
  <c r="F2479" i="4"/>
  <c r="F2587" i="4"/>
  <c r="F772" i="4"/>
  <c r="F1226" i="4"/>
  <c r="F2346" i="4"/>
  <c r="F1393" i="4"/>
  <c r="F2355" i="4"/>
  <c r="F1542" i="4"/>
  <c r="F2328" i="4"/>
  <c r="F1700" i="4"/>
  <c r="F1126" i="4"/>
  <c r="F1268" i="4"/>
  <c r="F1571" i="4"/>
  <c r="F2530" i="4"/>
  <c r="F2372" i="4"/>
  <c r="F1937" i="4"/>
  <c r="F2531" i="4"/>
  <c r="F1900" i="4"/>
  <c r="F2586" i="4"/>
  <c r="F1793" i="4"/>
  <c r="F2242" i="4"/>
  <c r="F2433" i="4"/>
  <c r="F1522" i="4"/>
  <c r="F982" i="4"/>
  <c r="F1460" i="4"/>
  <c r="F1661" i="4"/>
  <c r="F1736" i="4"/>
  <c r="F601" i="4"/>
  <c r="F2664" i="4"/>
  <c r="F843" i="4"/>
  <c r="F2009" i="4"/>
  <c r="F2625" i="4"/>
  <c r="F2550" i="4"/>
  <c r="F1362" i="4"/>
  <c r="F1240" i="4"/>
  <c r="F1819" i="4"/>
  <c r="F366" i="4"/>
  <c r="F2317" i="4"/>
  <c r="F1480" i="4"/>
  <c r="F1660" i="4"/>
  <c r="F849" i="4"/>
  <c r="F1408" i="4"/>
  <c r="F1267" i="4"/>
  <c r="F1868" i="4"/>
  <c r="F2205" i="4"/>
  <c r="F2643" i="4"/>
  <c r="F2705" i="4"/>
  <c r="F2663" i="4"/>
  <c r="F2704" i="4"/>
  <c r="F1768" i="4"/>
  <c r="F2347" i="4"/>
  <c r="F2281" i="4"/>
  <c r="F1500" i="4"/>
  <c r="F2131" i="4"/>
  <c r="F278" i="4"/>
  <c r="F2280" i="4"/>
  <c r="F2241" i="4"/>
  <c r="F1421" i="4"/>
  <c r="F2156" i="4"/>
  <c r="F1369" i="4"/>
  <c r="F1701" i="4"/>
  <c r="F758" i="4"/>
  <c r="F2588" i="4"/>
  <c r="F1347" i="4"/>
  <c r="F2183" i="4"/>
  <c r="F927" i="4"/>
  <c r="F2501" i="4"/>
  <c r="F1608" i="4"/>
  <c r="F1215" i="4"/>
  <c r="F1499" i="4"/>
  <c r="F686" i="4"/>
  <c r="F1767" i="4"/>
  <c r="F1204" i="4"/>
  <c r="F2204" i="4"/>
  <c r="F2678" i="4"/>
  <c r="F2480" i="4"/>
  <c r="F1794" i="4"/>
  <c r="F2064" i="4"/>
  <c r="F2184" i="4"/>
  <c r="F1266" i="4"/>
  <c r="F1461" i="4"/>
  <c r="F937" i="4"/>
  <c r="F250" i="4"/>
  <c r="F1484" i="4"/>
  <c r="F2083" i="4"/>
  <c r="F2206" i="4"/>
  <c r="F377" i="4"/>
  <c r="F2502" i="4"/>
  <c r="F602" i="4"/>
  <c r="F2132" i="4"/>
  <c r="F2185" i="4"/>
  <c r="F1584" i="4"/>
  <c r="F2551" i="4"/>
  <c r="F1938" i="4"/>
  <c r="F2010" i="4"/>
  <c r="F746" i="4"/>
  <c r="F878" i="4"/>
  <c r="F2133" i="4"/>
  <c r="F1769" i="4"/>
  <c r="F1370" i="4"/>
  <c r="F2373" i="4"/>
  <c r="F1269" i="4"/>
  <c r="F1572" i="4"/>
  <c r="F2374" i="4"/>
  <c r="F1270" i="4"/>
  <c r="F2169" i="4"/>
  <c r="F1557" i="4"/>
  <c r="F1100" i="4"/>
  <c r="F2268" i="4"/>
  <c r="F1847" i="4"/>
  <c r="F1901" i="4"/>
  <c r="F2552" i="4"/>
  <c r="F1271" i="4"/>
  <c r="F1737" i="4"/>
  <c r="F572" i="4"/>
  <c r="F411" i="4"/>
  <c r="F1209" i="4"/>
  <c r="F2282" i="4"/>
  <c r="F1348" i="4"/>
  <c r="F2050" i="4"/>
  <c r="F2719" i="4"/>
  <c r="F1134" i="4"/>
  <c r="F1272" i="4"/>
  <c r="F1848" i="4"/>
  <c r="F754" i="4"/>
  <c r="F487" i="4"/>
  <c r="F2020" i="4"/>
  <c r="F1273" i="4"/>
  <c r="F2318" i="4"/>
  <c r="F1650" i="4"/>
  <c r="F2503" i="4"/>
  <c r="F2569" i="4"/>
  <c r="F2626" i="4"/>
  <c r="F2134" i="4"/>
  <c r="F1371" i="4"/>
  <c r="F1609" i="4"/>
  <c r="F2011" i="4"/>
  <c r="F2283" i="4"/>
  <c r="F2065" i="4"/>
  <c r="F2463" i="4"/>
  <c r="F1884" i="4"/>
  <c r="F2376" i="4"/>
  <c r="F1550" i="4"/>
  <c r="F574" i="4"/>
  <c r="F2375" i="4"/>
  <c r="F1940" i="4"/>
  <c r="F1075" i="4"/>
  <c r="F1107" i="4"/>
  <c r="F578" i="4"/>
  <c r="F168" i="4"/>
  <c r="F2504" i="4"/>
  <c r="F1869" i="4"/>
  <c r="F2186" i="4"/>
  <c r="F705" i="4"/>
  <c r="F224" i="4"/>
  <c r="F2665" i="4"/>
  <c r="F280" i="4"/>
  <c r="F806" i="4"/>
  <c r="F1796" i="4"/>
  <c r="F748" i="4"/>
  <c r="F2257" i="4"/>
  <c r="F212" i="4"/>
  <c r="F2170" i="4"/>
  <c r="F1412" i="4"/>
  <c r="F1593" i="4"/>
  <c r="F1939" i="4"/>
  <c r="F1942" i="4"/>
  <c r="F2157" i="4"/>
  <c r="F1481" i="4"/>
  <c r="F579" i="4"/>
  <c r="F1849" i="4"/>
  <c r="F850" i="4"/>
  <c r="F1795" i="4"/>
  <c r="F747" i="4"/>
  <c r="F1702" i="4"/>
  <c r="F1241" i="4"/>
  <c r="F603" i="4"/>
  <c r="F2462" i="4"/>
  <c r="F928" i="4"/>
  <c r="F349" i="4"/>
  <c r="F2306" i="4"/>
  <c r="F2105" i="4"/>
  <c r="F2434" i="4"/>
  <c r="F1394" i="4"/>
  <c r="F2417" i="4"/>
  <c r="F1662" i="4"/>
  <c r="F1941" i="4"/>
  <c r="F144" i="4"/>
  <c r="F1995" i="4"/>
  <c r="F172" i="4"/>
  <c r="F2418" i="4"/>
  <c r="F1943" i="4"/>
  <c r="F1993" i="4"/>
  <c r="F1462" i="4"/>
  <c r="F2419" i="4"/>
  <c r="F851" i="4"/>
  <c r="F1835" i="4"/>
  <c r="F2532" i="4"/>
  <c r="F1770" i="4"/>
  <c r="F2258" i="4"/>
  <c r="F2481" i="4"/>
  <c r="F1101" i="4"/>
  <c r="F700" i="4"/>
  <c r="F1797" i="4"/>
  <c r="F146" i="4"/>
  <c r="F1543" i="4"/>
  <c r="F373" i="4"/>
  <c r="F1442" i="4"/>
  <c r="F604" i="4"/>
  <c r="F2377" i="4"/>
  <c r="F782" i="4"/>
  <c r="F442" i="4"/>
  <c r="F563" i="4"/>
  <c r="F2448" i="4"/>
  <c r="F605" i="4"/>
  <c r="F1413" i="4"/>
  <c r="F1771" i="4"/>
  <c r="F1102" i="4"/>
  <c r="F1820" i="4"/>
  <c r="F933" i="4"/>
  <c r="F1527" i="4"/>
  <c r="F502" i="4"/>
  <c r="F2329" i="4"/>
  <c r="F726" i="4"/>
  <c r="F2106" i="4"/>
  <c r="F1501" i="4"/>
  <c r="F962" i="4"/>
  <c r="F606" i="4"/>
  <c r="F1712" i="4"/>
  <c r="F135" i="4"/>
  <c r="F1908" i="4"/>
  <c r="F2235" i="4"/>
  <c r="F1651" i="4"/>
  <c r="F1127" i="4"/>
  <c r="F1850" i="4"/>
  <c r="F1528" i="4"/>
  <c r="F2284" i="4"/>
  <c r="F1274" i="4"/>
  <c r="F444" i="4"/>
  <c r="F2348" i="4"/>
  <c r="F1172" i="4"/>
  <c r="F459" i="4"/>
  <c r="F2553" i="4"/>
  <c r="F786" i="4"/>
  <c r="F1573" i="4"/>
  <c r="F960" i="4"/>
  <c r="F2482" i="4"/>
  <c r="F475" i="4"/>
  <c r="F509" i="4"/>
  <c r="F432" i="4"/>
  <c r="F2449" i="4"/>
  <c r="F310" i="4"/>
  <c r="F1088" i="4"/>
  <c r="F1675" i="4"/>
  <c r="F820" i="4"/>
  <c r="F173" i="4"/>
  <c r="F1254" i="4"/>
  <c r="F1944" i="4"/>
  <c r="F2073" i="4"/>
  <c r="F1065" i="4"/>
  <c r="F2021" i="4"/>
  <c r="F1738" i="4"/>
  <c r="F2679" i="4"/>
  <c r="F1232" i="4"/>
  <c r="F1756" i="4"/>
  <c r="F1945" i="4"/>
  <c r="F1998" i="4"/>
  <c r="F964" i="4"/>
  <c r="F607" i="4"/>
  <c r="F486" i="4"/>
  <c r="F1275" i="4"/>
  <c r="F426" i="4"/>
  <c r="F1469" i="4"/>
  <c r="F944" i="4"/>
  <c r="F1713" i="4"/>
  <c r="F2107" i="4"/>
  <c r="F2589" i="4"/>
  <c r="F1551" i="4"/>
  <c r="F1076" i="4"/>
  <c r="F2505" i="4"/>
  <c r="F2533" i="4"/>
  <c r="F1022" i="4"/>
  <c r="F608" i="4"/>
  <c r="F2554" i="4"/>
  <c r="F1395" i="4"/>
  <c r="F2158" i="4"/>
  <c r="F1502" i="4"/>
  <c r="F375" i="4"/>
  <c r="F945" i="4"/>
  <c r="F447" i="4"/>
  <c r="F152" i="4"/>
  <c r="F1688" i="4"/>
  <c r="F2680" i="4"/>
  <c r="F1663" i="4"/>
  <c r="F207" i="4"/>
  <c r="F1443" i="4"/>
  <c r="F701" i="4"/>
  <c r="F2720" i="4"/>
  <c r="F474" i="4"/>
  <c r="F2378" i="4"/>
  <c r="F545" i="4"/>
  <c r="F157" i="4"/>
  <c r="F1999" i="4"/>
  <c r="F334" i="4"/>
  <c r="F2012" i="4"/>
  <c r="F2187" i="4"/>
  <c r="F369" i="4"/>
  <c r="F1798" i="4"/>
  <c r="F2207" i="4"/>
  <c r="F1276" i="4"/>
  <c r="F2285" i="4"/>
  <c r="F460" i="4"/>
  <c r="F2208" i="4"/>
  <c r="F2209" i="4"/>
  <c r="F1851" i="4"/>
  <c r="F759" i="4"/>
  <c r="F1946" i="4"/>
  <c r="F1739" i="4"/>
  <c r="F580" i="4"/>
  <c r="F2210" i="4"/>
  <c r="F1503" i="4"/>
  <c r="F777" i="4"/>
  <c r="F367" i="4"/>
  <c r="F190" i="4"/>
  <c r="F1799" i="4"/>
  <c r="F225" i="4"/>
  <c r="F1135" i="4"/>
  <c r="F709" i="4"/>
  <c r="F538" i="4"/>
  <c r="F2243" i="4"/>
  <c r="F2108" i="4"/>
  <c r="F285" i="4"/>
  <c r="F1947" i="4"/>
  <c r="F558" i="4"/>
  <c r="F1328" i="4"/>
  <c r="F2286" i="4"/>
  <c r="F2109" i="4"/>
  <c r="F1023" i="4"/>
  <c r="F358" i="4"/>
  <c r="F2644" i="4"/>
  <c r="F2211" i="4"/>
  <c r="F1277" i="4"/>
  <c r="F2570" i="4"/>
  <c r="F1800" i="4"/>
  <c r="F1652" i="4"/>
  <c r="F1278" i="4"/>
  <c r="F2506" i="4"/>
  <c r="F184" i="4"/>
  <c r="F1504" i="4"/>
  <c r="F807" i="4"/>
  <c r="F376" i="4"/>
  <c r="F1279" i="4"/>
  <c r="F924" i="4"/>
  <c r="F1870" i="4"/>
  <c r="F887" i="4"/>
  <c r="F552" i="4"/>
  <c r="F1727" i="4"/>
  <c r="F2051" i="4"/>
  <c r="F2212" i="4"/>
  <c r="F2435" i="4"/>
  <c r="F1024" i="4"/>
  <c r="F1703" i="4"/>
  <c r="F2379" i="4"/>
  <c r="F1329" i="4"/>
  <c r="F1871" i="4"/>
  <c r="F1753" i="4"/>
  <c r="F879" i="4"/>
  <c r="F987" i="4"/>
  <c r="F783" i="4"/>
  <c r="F880" i="4"/>
  <c r="F332" i="4"/>
  <c r="F1422" i="4"/>
  <c r="F1772" i="4"/>
  <c r="F2380" i="4"/>
  <c r="F739" i="4"/>
  <c r="F2726" i="4"/>
  <c r="F587" i="4"/>
  <c r="F529" i="4"/>
  <c r="F2381" i="4"/>
  <c r="F1196" i="4"/>
  <c r="F787" i="4"/>
  <c r="F2420" i="4"/>
  <c r="F2627" i="4"/>
  <c r="F1574" i="4"/>
  <c r="F1949" i="4"/>
  <c r="F2507" i="4"/>
  <c r="F1948" i="4"/>
  <c r="F954" i="4"/>
  <c r="F609" i="4"/>
  <c r="F2259" i="4"/>
  <c r="F1610" i="4"/>
  <c r="F1909" i="4"/>
  <c r="F1740" i="4"/>
  <c r="F755" i="4"/>
  <c r="F448" i="4"/>
  <c r="F1280" i="4"/>
  <c r="F429" i="4"/>
  <c r="F569" i="4"/>
  <c r="F1210" i="4"/>
  <c r="F526" i="4"/>
  <c r="F804" i="4"/>
  <c r="F2555" i="4"/>
  <c r="F1852" i="4"/>
  <c r="F1585" i="4"/>
  <c r="F2382" i="4"/>
  <c r="F1950" i="4"/>
  <c r="F1821" i="4"/>
  <c r="F1902" i="4"/>
  <c r="F2110" i="4"/>
  <c r="F1951" i="4"/>
  <c r="F1025" i="4"/>
  <c r="F2330" i="4"/>
  <c r="F852" i="4"/>
  <c r="F706" i="4"/>
  <c r="F1250" i="4"/>
  <c r="F1853" i="4"/>
  <c r="F2022" i="4"/>
  <c r="F740" i="4"/>
  <c r="F187" i="4"/>
  <c r="F253" i="4"/>
  <c r="F2421" i="4"/>
  <c r="F1326" i="4"/>
  <c r="F534" i="4"/>
  <c r="F934" i="4"/>
  <c r="F938" i="4"/>
  <c r="F2383" i="4"/>
  <c r="F1444" i="4"/>
  <c r="F1910" i="4"/>
  <c r="F925" i="4"/>
  <c r="F581" i="4"/>
  <c r="F1281" i="4"/>
  <c r="F802" i="4"/>
  <c r="F1048" i="4"/>
  <c r="F821" i="4"/>
  <c r="F239" i="4"/>
  <c r="F2244" i="4"/>
  <c r="F1282" i="4"/>
  <c r="F1783" i="4"/>
  <c r="F1854" i="4"/>
  <c r="F825" i="4"/>
  <c r="F1952" i="4"/>
  <c r="F946" i="4"/>
  <c r="F1372" i="4"/>
  <c r="F1251" i="4"/>
  <c r="F2213" i="4"/>
  <c r="F1373" i="4"/>
  <c r="F2590" i="4"/>
  <c r="F756" i="4"/>
  <c r="F2436" i="4"/>
  <c r="F988" i="4"/>
  <c r="F1558" i="4"/>
  <c r="F1885" i="4"/>
  <c r="F1423" i="4"/>
  <c r="F2" i="4"/>
  <c r="F2074" i="4"/>
  <c r="F1374" i="4"/>
  <c r="F2508" i="4"/>
  <c r="F2666" i="4"/>
  <c r="F271" i="4"/>
  <c r="F1018" i="4"/>
  <c r="F902" i="4"/>
  <c r="F1252" i="4"/>
  <c r="F1211" i="4"/>
  <c r="F241" i="4"/>
  <c r="F1594" i="4"/>
  <c r="F2245" i="4"/>
  <c r="F2556" i="4"/>
  <c r="F1856" i="4"/>
  <c r="F1205" i="4"/>
  <c r="F1586" i="4"/>
  <c r="F2634" i="4"/>
  <c r="F1202" i="4"/>
  <c r="F1855" i="4"/>
  <c r="F1284" i="4"/>
  <c r="F1170" i="4"/>
  <c r="F2483" i="4"/>
  <c r="F2171" i="4"/>
  <c r="F2509" i="4"/>
  <c r="F763" i="4"/>
  <c r="F1285" i="4"/>
  <c r="F1955" i="4"/>
  <c r="F589" i="4"/>
  <c r="F2695" i="4"/>
  <c r="F503" i="4"/>
  <c r="F158" i="4"/>
  <c r="F2066" i="4"/>
  <c r="F1283" i="4"/>
  <c r="F1349" i="4"/>
  <c r="F727" i="4"/>
  <c r="F2645" i="4"/>
  <c r="F191" i="4"/>
  <c r="F1176" i="4"/>
  <c r="F1242" i="4"/>
  <c r="F710" i="4"/>
  <c r="F939" i="4"/>
  <c r="F1773" i="4"/>
  <c r="F1829" i="4"/>
  <c r="F1233" i="4"/>
  <c r="F2464" i="4"/>
  <c r="F1954" i="4"/>
  <c r="F1953" i="4"/>
  <c r="F1197" i="4"/>
  <c r="F2214" i="4"/>
  <c r="F461" i="4"/>
  <c r="F1424" i="4"/>
  <c r="F174" i="4"/>
  <c r="F1956" i="4"/>
  <c r="F1137" i="4"/>
  <c r="F1136" i="4"/>
  <c r="F2260" i="4"/>
  <c r="F175" i="4"/>
  <c r="F2172" i="4"/>
  <c r="F1089" i="4"/>
  <c r="F1689" i="4"/>
  <c r="F2534" i="4"/>
  <c r="F1643" i="4"/>
  <c r="F433" i="4"/>
  <c r="F898" i="4"/>
  <c r="F1911" i="4"/>
  <c r="F2557" i="4"/>
  <c r="F2084" i="4"/>
  <c r="F947" i="4"/>
  <c r="F826" i="4"/>
  <c r="F566" i="4"/>
  <c r="F2437" i="4"/>
  <c r="F490" i="4"/>
  <c r="F370" i="4"/>
  <c r="F1822" i="4"/>
  <c r="F254" i="4"/>
  <c r="F1470" i="4"/>
  <c r="F1409" i="4"/>
  <c r="F2681" i="4"/>
  <c r="F286" i="4"/>
  <c r="F1912" i="4"/>
  <c r="F287" i="4"/>
  <c r="F2558" i="4"/>
  <c r="F281" i="4"/>
  <c r="F1887" i="4"/>
  <c r="F1886" i="4"/>
  <c r="F2450" i="4"/>
  <c r="F371" i="4"/>
  <c r="F1529" i="4"/>
  <c r="F2384" i="4"/>
  <c r="F1286" i="4"/>
  <c r="F1287" i="4"/>
  <c r="F228" i="4"/>
  <c r="F2135" i="4"/>
  <c r="F1385" i="4"/>
  <c r="F2438" i="4"/>
  <c r="F1994" i="4"/>
  <c r="F2111" i="4"/>
  <c r="F2067" i="4"/>
  <c r="F1957" i="4"/>
  <c r="F1958" i="4"/>
  <c r="F1676" i="4"/>
  <c r="F2510" i="4"/>
  <c r="F2159" i="4"/>
  <c r="F553" i="4"/>
  <c r="F1664" i="4"/>
  <c r="F2215" i="4"/>
  <c r="F1288" i="4"/>
  <c r="F209" i="4"/>
  <c r="F2465" i="4"/>
  <c r="F2385" i="4"/>
  <c r="F2688" i="4"/>
  <c r="F1665" i="4"/>
  <c r="F2068" i="4"/>
  <c r="F2136" i="4"/>
  <c r="F2236" i="4"/>
  <c r="F1774" i="4"/>
  <c r="F1587" i="4"/>
  <c r="F2287" i="4"/>
  <c r="F2000" i="4"/>
  <c r="F384" i="4"/>
  <c r="F1757" i="4"/>
  <c r="F2635" i="4"/>
  <c r="F2052" i="4"/>
  <c r="F380" i="4"/>
  <c r="F1506" i="4"/>
  <c r="F976" i="4"/>
  <c r="F1445" i="4"/>
  <c r="F1559" i="4"/>
  <c r="F1396" i="4"/>
  <c r="F466" i="4"/>
  <c r="F2667" i="4"/>
  <c r="F1888" i="4"/>
  <c r="F2466" i="4"/>
  <c r="F687" i="4"/>
  <c r="F2288" i="4"/>
  <c r="F2137" i="4"/>
  <c r="F2559" i="4"/>
  <c r="F2610" i="4"/>
  <c r="F2484" i="4"/>
  <c r="F2023" i="4"/>
  <c r="F1505" i="4"/>
  <c r="F2591" i="4"/>
  <c r="F1690" i="4"/>
  <c r="F1916" i="4"/>
  <c r="F1523" i="4"/>
  <c r="F1397" i="4"/>
  <c r="F2173" i="4"/>
  <c r="F2592" i="4"/>
  <c r="F350" i="4"/>
  <c r="F2511" i="4"/>
  <c r="F989" i="4"/>
  <c r="F892" i="4"/>
  <c r="F1053" i="4"/>
  <c r="F2307" i="4"/>
  <c r="F1350" i="4"/>
  <c r="F1889" i="4"/>
  <c r="F259" i="4"/>
  <c r="F1352" i="4"/>
  <c r="F2485" i="4"/>
  <c r="F1138" i="4"/>
  <c r="F971" i="4"/>
  <c r="F2439" i="4"/>
  <c r="F1128" i="4"/>
  <c r="F2188" i="4"/>
  <c r="F1339" i="4"/>
  <c r="F1463" i="4"/>
  <c r="F2422" i="4"/>
  <c r="F1216" i="4"/>
  <c r="F347" i="4"/>
  <c r="F1823" i="4"/>
  <c r="F1414" i="4"/>
  <c r="F1959" i="4"/>
  <c r="F1677" i="4"/>
  <c r="F2513" i="4"/>
  <c r="F260" i="4"/>
  <c r="F2138" i="4"/>
  <c r="F1290" i="4"/>
  <c r="F356" i="4"/>
  <c r="F1061" i="4"/>
  <c r="F2571" i="4"/>
  <c r="F351" i="4"/>
  <c r="F1890" i="4"/>
  <c r="F749" i="4"/>
  <c r="F1575" i="4"/>
  <c r="F715" i="4"/>
  <c r="F1289" i="4"/>
  <c r="F272" i="4"/>
  <c r="F2024" i="4"/>
  <c r="F2001" i="4"/>
  <c r="F1334" i="4"/>
  <c r="F2560" i="4"/>
  <c r="F1507" i="4"/>
  <c r="F1892" i="4"/>
  <c r="F1446" i="4"/>
  <c r="F1891" i="4"/>
  <c r="F2112" i="4"/>
  <c r="F1108" i="4"/>
  <c r="F1588" i="4"/>
  <c r="F2712" i="4"/>
  <c r="F2512" i="4"/>
  <c r="F2386" i="4"/>
  <c r="F1351" i="4"/>
  <c r="F1857" i="4"/>
  <c r="F488" i="4"/>
  <c r="F948" i="4"/>
  <c r="F1801" i="4"/>
  <c r="F2689" i="4"/>
  <c r="F1714" i="4"/>
  <c r="F1212" i="4"/>
  <c r="F808" i="4"/>
  <c r="F1335" i="4"/>
  <c r="F1872" i="4"/>
  <c r="F1116" i="4"/>
  <c r="F1187" i="4"/>
  <c r="F2053" i="4"/>
  <c r="F2615" i="4"/>
  <c r="F2086" i="4"/>
  <c r="F965" i="4"/>
  <c r="F735" i="4"/>
  <c r="F2087" i="4"/>
  <c r="F1243" i="4"/>
  <c r="F2174" i="4"/>
  <c r="F449" i="4"/>
  <c r="F2085" i="4"/>
  <c r="F916" i="4"/>
  <c r="F1464" i="4"/>
  <c r="F2572" i="4"/>
  <c r="F2387" i="4"/>
  <c r="F2440" i="4"/>
  <c r="F1873" i="4"/>
  <c r="F1336" i="4"/>
  <c r="F1666" i="4"/>
  <c r="F853" i="4"/>
  <c r="F764" i="4"/>
  <c r="F2054" i="4"/>
  <c r="F1291" i="4"/>
  <c r="F1775" i="4"/>
  <c r="F1824" i="4"/>
  <c r="F1213" i="4"/>
  <c r="F1903" i="4"/>
  <c r="F1874" i="4"/>
  <c r="F2573" i="4"/>
  <c r="F1292" i="4"/>
  <c r="F1234" i="4"/>
  <c r="F588" i="4"/>
  <c r="F314" i="4"/>
  <c r="F320" i="4"/>
  <c r="F1691" i="4"/>
  <c r="F2319" i="4"/>
  <c r="F1741" i="4"/>
  <c r="F2088" i="4"/>
  <c r="F771" i="4"/>
  <c r="F1715" i="4"/>
  <c r="F977" i="4"/>
  <c r="F1154" i="4"/>
  <c r="F872" i="4"/>
  <c r="F1164" i="4"/>
  <c r="F1244" i="4"/>
  <c r="F1667" i="4"/>
  <c r="F2216" i="4"/>
  <c r="F1836" i="4"/>
  <c r="F2706" i="4"/>
  <c r="F2331" i="4"/>
  <c r="F1960" i="4"/>
  <c r="F899" i="4"/>
  <c r="F2388" i="4"/>
  <c r="F1678" i="4"/>
  <c r="F1415" i="4"/>
  <c r="F1416" i="4"/>
  <c r="F2308" i="4"/>
  <c r="F1198" i="4"/>
  <c r="F2013" i="4"/>
  <c r="F2593" i="4"/>
  <c r="F1530" i="4"/>
  <c r="F2389" i="4"/>
  <c r="F240" i="4"/>
  <c r="F2189" i="4"/>
  <c r="F1531" i="4"/>
  <c r="F535" i="4"/>
  <c r="F1704" i="4"/>
  <c r="F2616" i="4"/>
  <c r="F2468" i="4"/>
  <c r="F335" i="4"/>
  <c r="F2014" i="4"/>
  <c r="F736" i="4"/>
  <c r="F263" i="4"/>
  <c r="F1447" i="4"/>
  <c r="F741" i="4"/>
  <c r="F760" i="4"/>
  <c r="F966" i="4"/>
  <c r="F1611" i="4"/>
  <c r="F1353" i="4"/>
  <c r="F2390" i="4"/>
  <c r="F1375" i="4"/>
  <c r="F1508" i="4"/>
  <c r="F491" i="4"/>
  <c r="F2069" i="4"/>
  <c r="F800" i="4"/>
  <c r="F2441" i="4"/>
  <c r="F1875" i="4"/>
  <c r="F2467" i="4"/>
  <c r="F575" i="4"/>
  <c r="F926" i="4"/>
  <c r="F719" i="4"/>
  <c r="F2139" i="4"/>
  <c r="F308" i="4"/>
  <c r="F781" i="4"/>
  <c r="F1425" i="4"/>
  <c r="F1961" i="4"/>
  <c r="F1612" i="4"/>
  <c r="F1227" i="4"/>
  <c r="F909" i="4"/>
  <c r="F1509" i="4"/>
  <c r="F2486" i="4"/>
  <c r="F2025" i="4"/>
  <c r="F1117" i="4"/>
  <c r="F1165" i="4"/>
  <c r="F2594" i="4"/>
  <c r="F2451" i="4"/>
  <c r="F2289" i="4"/>
  <c r="F2452" i="4"/>
  <c r="F1904" i="4"/>
  <c r="F990" i="4"/>
  <c r="F2391" i="4"/>
  <c r="F2309" i="4"/>
  <c r="F2217" i="4"/>
  <c r="F2218" i="4"/>
  <c r="F694" i="4"/>
  <c r="F2655" i="4"/>
  <c r="F315" i="4"/>
  <c r="F1758" i="4"/>
  <c r="F844" i="4"/>
  <c r="F1858" i="4"/>
  <c r="F991" i="4"/>
  <c r="F2469" i="4"/>
  <c r="F467" i="4"/>
  <c r="F1188" i="4"/>
  <c r="F1293" i="4"/>
  <c r="F536" i="4"/>
  <c r="F765" i="4"/>
  <c r="F2392" i="4"/>
  <c r="F2696" i="4"/>
  <c r="F2026" i="4"/>
  <c r="F2219" i="4"/>
  <c r="F436" i="4"/>
  <c r="F229" i="4"/>
  <c r="F1802" i="4"/>
  <c r="F1110" i="4"/>
  <c r="F1963" i="4"/>
  <c r="F2656" i="4"/>
  <c r="F2342" i="4"/>
  <c r="F1247" i="4"/>
  <c r="F1613" i="4"/>
  <c r="F1139" i="4"/>
  <c r="F695" i="4"/>
  <c r="F1532" i="4"/>
  <c r="F1962" i="4"/>
  <c r="F424" i="4"/>
  <c r="F2220" i="4"/>
  <c r="F1090" i="4"/>
  <c r="F2140" i="4"/>
  <c r="F2175" i="4"/>
  <c r="F2113" i="4"/>
  <c r="F1040" i="4"/>
  <c r="F1614" i="4"/>
  <c r="F742" i="4"/>
  <c r="F1376" i="4"/>
  <c r="F1192" i="4"/>
  <c r="F2290" i="4"/>
  <c r="F2470" i="4"/>
  <c r="F1448" i="4"/>
  <c r="F1803" i="4"/>
  <c r="F1177" i="4"/>
  <c r="F2003" i="4"/>
  <c r="F336" i="4"/>
  <c r="F822" i="4"/>
  <c r="F1471" i="4"/>
  <c r="F2668" i="4"/>
  <c r="F1398" i="4"/>
  <c r="F2595" i="4"/>
  <c r="F2646" i="4"/>
  <c r="F418" i="4"/>
  <c r="F414" i="4"/>
  <c r="F935" i="4"/>
  <c r="F2453" i="4"/>
  <c r="F1876" i="4"/>
  <c r="F215" i="4"/>
  <c r="F2027" i="4"/>
  <c r="F2423" i="4"/>
  <c r="F2028" i="4"/>
  <c r="F1294" i="4"/>
  <c r="F1760" i="4"/>
  <c r="F1759" i="4"/>
  <c r="F2002" i="4"/>
  <c r="F978" i="4"/>
  <c r="F881" i="4"/>
  <c r="F1217" i="4"/>
  <c r="F1510" i="4"/>
  <c r="F1295" i="4"/>
  <c r="F1296" i="4"/>
  <c r="F610" i="4"/>
  <c r="F156" i="4"/>
  <c r="F1449" i="4"/>
  <c r="F1386" i="4"/>
  <c r="F1576" i="4"/>
  <c r="F1450" i="4"/>
  <c r="F1615" i="4"/>
  <c r="F1776" i="4"/>
  <c r="F2190" i="4"/>
  <c r="F1804" i="4"/>
  <c r="F702" i="4"/>
  <c r="F2707" i="4"/>
  <c r="F279" i="4"/>
  <c r="F2029" i="4"/>
  <c r="F1297" i="4"/>
  <c r="F1140" i="4"/>
  <c r="F1964" i="4"/>
  <c r="F2471" i="4"/>
  <c r="F979" i="4"/>
  <c r="F585" i="4"/>
  <c r="F1965" i="4"/>
  <c r="F691" i="4"/>
  <c r="F870" i="4"/>
  <c r="F1399" i="4"/>
  <c r="F2514" i="4"/>
  <c r="F2628" i="4"/>
  <c r="F1327" i="4"/>
  <c r="F711" i="4"/>
  <c r="F527" i="4"/>
  <c r="F611" i="4"/>
  <c r="F801" i="4"/>
  <c r="F712" i="4"/>
  <c r="F1158" i="4"/>
  <c r="F412" i="4"/>
  <c r="F1059" i="4"/>
  <c r="F1668" i="4"/>
  <c r="F2030" i="4"/>
  <c r="F1653" i="4"/>
  <c r="F1298" i="4"/>
  <c r="F1893" i="4"/>
  <c r="F1159" i="4"/>
  <c r="F1830" i="4"/>
  <c r="F2690" i="4"/>
  <c r="F288" i="4"/>
  <c r="F1193" i="4"/>
  <c r="F242" i="4"/>
  <c r="F1777" i="4"/>
  <c r="F1589" i="4"/>
  <c r="F2442" i="4"/>
  <c r="F419" i="4"/>
  <c r="F1482" i="4"/>
  <c r="F1118" i="4"/>
  <c r="F1577" i="4"/>
  <c r="F2332" i="4"/>
  <c r="F1524" i="4"/>
  <c r="F2089" i="4"/>
  <c r="F2070" i="4"/>
  <c r="F1859" i="4"/>
  <c r="F1417" i="4"/>
  <c r="F1377" i="4"/>
  <c r="F1616" i="4"/>
  <c r="F204" i="4"/>
  <c r="F2515" i="4"/>
  <c r="F2487" i="4"/>
  <c r="F2291" i="4"/>
  <c r="F2333" i="4"/>
  <c r="F2004" i="4"/>
  <c r="F282" i="4"/>
  <c r="F873" i="4"/>
  <c r="F1966" i="4"/>
  <c r="F2657" i="4"/>
  <c r="F1511" i="4"/>
  <c r="F2697" i="4"/>
  <c r="F2141" i="4"/>
  <c r="F462" i="4"/>
  <c r="F337" i="4"/>
  <c r="F773" i="4"/>
  <c r="F360" i="4"/>
  <c r="F513" i="4"/>
  <c r="F716" i="4"/>
  <c r="F2596" i="4"/>
  <c r="F1430" i="4"/>
  <c r="F1512" i="4"/>
  <c r="F1299" i="4"/>
  <c r="F1761" i="4"/>
  <c r="F1716" i="4"/>
  <c r="F692" i="4"/>
  <c r="F494" i="4"/>
  <c r="F2682" i="4"/>
  <c r="F1552" i="4"/>
  <c r="F2071" i="4"/>
  <c r="F1894" i="4"/>
  <c r="F255" i="4"/>
  <c r="F818" i="4"/>
  <c r="F797" i="4"/>
  <c r="F2561" i="4"/>
  <c r="F1742" i="4"/>
  <c r="F949" i="4"/>
  <c r="F2443" i="4"/>
  <c r="F476" i="4"/>
  <c r="F2221" i="4"/>
  <c r="F230" i="4"/>
  <c r="F440" i="4"/>
  <c r="F1020" i="4"/>
  <c r="F327" i="4"/>
  <c r="F750" i="4"/>
  <c r="F1473" i="4"/>
  <c r="F385" i="4"/>
  <c r="F1021" i="4"/>
  <c r="F1451" i="4"/>
  <c r="F1330" i="4"/>
  <c r="F1041" i="4"/>
  <c r="F1472" i="4"/>
  <c r="F1218" i="4"/>
  <c r="F1617" i="4"/>
  <c r="F2060" i="4"/>
  <c r="F1513" i="4"/>
  <c r="F410" i="4"/>
  <c r="F1340" i="4"/>
  <c r="F1073" i="4"/>
  <c r="F1618" i="4"/>
  <c r="F612" i="4"/>
  <c r="F2472" i="4"/>
  <c r="F2320" i="4"/>
  <c r="F2393" i="4"/>
  <c r="F1026" i="4"/>
  <c r="F573" i="4"/>
  <c r="F1837" i="4"/>
  <c r="F1743" i="4"/>
  <c r="F1744" i="4"/>
  <c r="F2691" i="4"/>
  <c r="F1619" i="4"/>
  <c r="F1745" i="4"/>
  <c r="F328" i="4"/>
  <c r="F1860" i="4"/>
  <c r="F2617" i="4"/>
  <c r="F1228" i="4"/>
  <c r="F1968" i="4"/>
  <c r="F1967" i="4"/>
  <c r="F289" i="4"/>
  <c r="F1544" i="4"/>
  <c r="F514" i="4"/>
  <c r="F613" i="4"/>
  <c r="F1054" i="4"/>
  <c r="F1679" i="4"/>
  <c r="F1680" i="4"/>
  <c r="F834" i="4"/>
  <c r="F1214" i="4"/>
  <c r="F319" i="4"/>
  <c r="F430" i="4"/>
  <c r="F2031" i="4"/>
  <c r="F2075" i="4"/>
  <c r="F1028" i="4"/>
  <c r="F2394" i="4"/>
  <c r="F561" i="4"/>
  <c r="F1545" i="4"/>
  <c r="F1077" i="4"/>
  <c r="F1620" i="4"/>
  <c r="F2597" i="4"/>
  <c r="F192" i="4"/>
  <c r="F1199" i="4"/>
  <c r="F614" i="4"/>
  <c r="F1560" i="4"/>
  <c r="F992" i="4"/>
  <c r="F2708" i="4"/>
  <c r="F973" i="4"/>
  <c r="F1514" i="4"/>
  <c r="F2516" i="4"/>
  <c r="F2535" i="4"/>
  <c r="F1525" i="4"/>
  <c r="F559" i="4"/>
  <c r="F539" i="4"/>
  <c r="F1746" i="4"/>
  <c r="F827" i="4"/>
  <c r="F564" i="4"/>
  <c r="F2142" i="4"/>
  <c r="F1533" i="4"/>
  <c r="F1046" i="4"/>
  <c r="F1778" i="4"/>
  <c r="F1969" i="4"/>
  <c r="F1400" i="4"/>
  <c r="F1705" i="4"/>
  <c r="F1561" i="4"/>
  <c r="F2562" i="4"/>
  <c r="F1219" i="4"/>
  <c r="F2191" i="4"/>
  <c r="F2032" i="4"/>
  <c r="F1546" i="4"/>
  <c r="F785" i="4"/>
  <c r="F2292" i="4"/>
  <c r="F1245" i="4"/>
  <c r="F2293" i="4"/>
  <c r="F809" i="4"/>
  <c r="F1578" i="4"/>
  <c r="F1621" i="4"/>
  <c r="F1253" i="4"/>
  <c r="F2618" i="4"/>
  <c r="F1831" i="4"/>
  <c r="F2294" i="4"/>
  <c r="F615" i="4"/>
  <c r="F1806" i="4"/>
  <c r="F721" i="4"/>
  <c r="F471" i="4"/>
  <c r="F1717" i="4"/>
  <c r="F888" i="4"/>
  <c r="F1805" i="4"/>
  <c r="F798" i="4"/>
  <c r="F1807" i="4"/>
  <c r="F2454" i="4"/>
  <c r="F733" i="4"/>
  <c r="F386" i="4"/>
  <c r="F1062" i="4"/>
  <c r="F169" i="4"/>
  <c r="F993" i="4"/>
  <c r="F1706" i="4"/>
  <c r="F707" i="4"/>
  <c r="F2223" i="4"/>
  <c r="F338" i="4"/>
  <c r="F2176" i="4"/>
  <c r="F728" i="4"/>
  <c r="F2598" i="4"/>
  <c r="F617" i="4"/>
  <c r="F2033" i="4"/>
  <c r="F189" i="4"/>
  <c r="F616" i="4"/>
  <c r="F1877" i="4"/>
  <c r="F2334" i="4"/>
  <c r="F1248" i="4"/>
  <c r="F1160" i="4"/>
  <c r="F729" i="4"/>
  <c r="F2222" i="4"/>
  <c r="F188" i="4"/>
  <c r="F2599" i="4"/>
  <c r="F1562" i="4"/>
  <c r="F2424" i="4"/>
  <c r="F2114" i="4"/>
  <c r="F2090" i="4"/>
  <c r="F1832" i="4"/>
  <c r="F2536" i="4"/>
  <c r="F1917" i="4"/>
  <c r="F972" i="4"/>
  <c r="F1547" i="4"/>
  <c r="F427" i="4"/>
  <c r="F2295" i="4"/>
  <c r="F1996" i="4"/>
  <c r="F2115" i="4"/>
  <c r="F2160" i="4"/>
  <c r="F2237" i="4"/>
  <c r="F2143" i="4"/>
  <c r="F762" i="4"/>
  <c r="F1300" i="4"/>
  <c r="F2455" i="4"/>
  <c r="F422" i="4"/>
  <c r="F994" i="4"/>
  <c r="F2224" i="4"/>
  <c r="F1103" i="4"/>
  <c r="F495" i="4"/>
  <c r="F1378" i="4"/>
  <c r="F381" i="4"/>
  <c r="F468" i="4"/>
  <c r="F2537" i="4"/>
  <c r="F2246" i="4"/>
  <c r="F1905" i="4"/>
  <c r="F1452" i="4"/>
  <c r="F2425" i="4"/>
  <c r="F703" i="4"/>
  <c r="F1622" i="4"/>
  <c r="F1220" i="4"/>
  <c r="F2600" i="4"/>
  <c r="F2177" i="4"/>
  <c r="F1553" i="4"/>
  <c r="F955" i="4"/>
  <c r="F546" i="4"/>
  <c r="F1808" i="4"/>
  <c r="F917" i="4"/>
  <c r="F957" i="4"/>
  <c r="F1036" i="4"/>
  <c r="F2396" i="4"/>
  <c r="F2296" i="4"/>
  <c r="F531" i="4"/>
  <c r="F2636" i="4"/>
  <c r="F1748" i="4"/>
  <c r="F2310" i="4"/>
  <c r="F2117" i="4"/>
  <c r="F2658" i="4"/>
  <c r="F423" i="4"/>
  <c r="F1105" i="4"/>
  <c r="F618" i="4"/>
  <c r="F2538" i="4"/>
  <c r="F547" i="4"/>
  <c r="F1301" i="4"/>
  <c r="F290" i="4"/>
  <c r="F1097" i="4"/>
  <c r="F441" i="4"/>
  <c r="F1970" i="4"/>
  <c r="F1681" i="4"/>
  <c r="F1590" i="4"/>
  <c r="F1747" i="4"/>
  <c r="F2335" i="4"/>
  <c r="F1779" i="4"/>
  <c r="F236" i="4"/>
  <c r="F2395" i="4"/>
  <c r="F918" i="4"/>
  <c r="F1027" i="4"/>
  <c r="F1302" i="4"/>
  <c r="F1034" i="4"/>
  <c r="F1104" i="4"/>
  <c r="F784" i="4"/>
  <c r="F1762" i="4"/>
  <c r="F1363" i="4"/>
  <c r="F2178" i="4"/>
  <c r="F810" i="4"/>
  <c r="F1825" i="4"/>
  <c r="F1809" i="4"/>
  <c r="F2192" i="4"/>
  <c r="F316" i="4"/>
  <c r="F2574" i="4"/>
  <c r="F1474" i="4"/>
  <c r="F940" i="4"/>
  <c r="F1426" i="4"/>
  <c r="F2647" i="4"/>
  <c r="F1718" i="4"/>
  <c r="F2269" i="4"/>
  <c r="F216" i="4"/>
  <c r="F619" i="4"/>
  <c r="F1303" i="4"/>
  <c r="F2116" i="4"/>
  <c r="F919" i="4"/>
  <c r="F2118" i="4"/>
  <c r="F1161" i="4"/>
  <c r="F2397" i="4"/>
  <c r="F1304" i="4"/>
  <c r="F1178" i="4"/>
  <c r="F1179" i="4"/>
  <c r="F586" i="4"/>
  <c r="F723" i="4"/>
  <c r="F1682" i="4"/>
  <c r="F1878" i="4"/>
  <c r="F2055" i="4"/>
  <c r="F1780" i="4"/>
  <c r="F1579" i="4"/>
  <c r="F291" i="4"/>
  <c r="F2629" i="4"/>
  <c r="F2399" i="4"/>
  <c r="F2601" i="4"/>
  <c r="F2398" i="4"/>
  <c r="F1142" i="4"/>
  <c r="F1833" i="4"/>
  <c r="F956" i="4"/>
  <c r="F269" i="4"/>
  <c r="F1143" i="4"/>
  <c r="F854" i="4"/>
  <c r="F1305" i="4"/>
  <c r="F2161" i="4"/>
  <c r="F2311" i="4"/>
  <c r="F1563" i="4"/>
  <c r="F2343" i="4"/>
  <c r="F1623" i="4"/>
  <c r="F1971" i="4"/>
  <c r="F2225" i="4"/>
  <c r="F1221" i="4"/>
  <c r="F2193" i="4"/>
  <c r="F2226" i="4"/>
  <c r="F2270" i="4"/>
  <c r="F2119" i="4"/>
  <c r="F576" i="4"/>
  <c r="F1078" i="4"/>
  <c r="F1203" i="4"/>
  <c r="F361" i="4"/>
  <c r="F1781" i="4"/>
  <c r="F1111" i="4"/>
  <c r="F950" i="4"/>
  <c r="F317" i="4"/>
  <c r="F757" i="4"/>
  <c r="F2034" i="4"/>
  <c r="F1141" i="4"/>
  <c r="F1060" i="4"/>
  <c r="F153" i="4"/>
  <c r="F620" i="4"/>
  <c r="F737" i="4"/>
  <c r="F226" i="4"/>
  <c r="F1624" i="4"/>
  <c r="F1581" i="4"/>
  <c r="F1029" i="4"/>
  <c r="F1972" i="4"/>
  <c r="F1580" i="4"/>
  <c r="F1913" i="4"/>
  <c r="F1784" i="4"/>
  <c r="F2336" i="4"/>
  <c r="F532" i="4"/>
  <c r="F1112" i="4"/>
  <c r="F2426" i="4"/>
  <c r="F1364" i="4"/>
  <c r="F1861" i="4"/>
  <c r="F2473" i="4"/>
  <c r="F689" i="4"/>
  <c r="F1144" i="4"/>
  <c r="F778" i="4"/>
  <c r="F889" i="4"/>
  <c r="F835" i="4"/>
  <c r="F696" i="4"/>
  <c r="F2542" i="4"/>
  <c r="F2692" i="4"/>
  <c r="F577" i="4"/>
  <c r="F766" i="4"/>
  <c r="F2056" i="4"/>
  <c r="F1644" i="4"/>
  <c r="F2035" i="4"/>
  <c r="F1669" i="4"/>
  <c r="F901" i="4"/>
  <c r="F2144" i="4"/>
  <c r="F1235" i="4"/>
  <c r="F2120" i="4"/>
  <c r="F311" i="4"/>
  <c r="F2092" i="4"/>
  <c r="F1749" i="4"/>
  <c r="F1354" i="4"/>
  <c r="F1683" i="4"/>
  <c r="F621" i="4"/>
  <c r="F1625" i="4"/>
  <c r="F2091" i="4"/>
  <c r="F1763" i="4"/>
  <c r="F582" i="4"/>
  <c r="F1810" i="4"/>
  <c r="F238" i="4"/>
  <c r="F2637" i="4"/>
  <c r="F1145" i="4"/>
  <c r="F1719" i="4"/>
  <c r="F2488" i="4"/>
  <c r="F2015" i="4"/>
  <c r="F693" i="4"/>
  <c r="F967" i="4"/>
  <c r="F1222" i="4"/>
  <c r="F2517" i="4"/>
  <c r="F622" i="4"/>
  <c r="F1401" i="4"/>
  <c r="F1707" i="4"/>
  <c r="F2036" i="4"/>
  <c r="F275" i="4"/>
  <c r="F2247" i="4"/>
  <c r="F1183" i="4"/>
  <c r="F1626" i="4"/>
  <c r="F2602" i="4"/>
  <c r="F2349" i="4"/>
  <c r="F697" i="4"/>
  <c r="F2076" i="4"/>
  <c r="F882" i="4"/>
  <c r="F920" i="4"/>
  <c r="F1627" i="4"/>
  <c r="F237" i="4"/>
  <c r="F1079" i="4"/>
  <c r="F1534" i="4"/>
  <c r="F2122" i="4"/>
  <c r="F2669" i="4"/>
  <c r="F1564" i="4"/>
  <c r="F1194" i="4"/>
  <c r="F2121" i="4"/>
  <c r="F1129" i="4"/>
  <c r="F1035" i="4"/>
  <c r="F2179" i="4"/>
  <c r="F1042" i="4"/>
  <c r="F1306" i="4"/>
  <c r="F2670" i="4"/>
  <c r="F1811" i="4"/>
  <c r="F1453" i="4"/>
  <c r="F2350" i="4"/>
  <c r="F1720" i="4"/>
  <c r="F194" i="4"/>
  <c r="F1862" i="4"/>
  <c r="F329" i="4"/>
  <c r="F1475" i="4"/>
  <c r="F1535" i="4"/>
  <c r="F2123" i="4"/>
  <c r="F1307" i="4"/>
  <c r="F2249" i="4"/>
  <c r="F2321" i="4"/>
  <c r="F2489" i="4"/>
  <c r="F958" i="4"/>
  <c r="F2518" i="4"/>
  <c r="F968" i="4"/>
  <c r="F1162" i="4"/>
  <c r="F2344" i="4"/>
  <c r="F1906" i="4"/>
  <c r="F2539" i="4"/>
  <c r="F1722" i="4"/>
  <c r="F1721" i="4"/>
  <c r="F1080" i="4"/>
  <c r="F1684" i="4"/>
  <c r="F256" i="4"/>
  <c r="F567" i="4"/>
  <c r="F2693" i="4"/>
  <c r="F2727" i="4"/>
  <c r="F2713" i="4"/>
  <c r="F2444" i="4"/>
  <c r="F2124" i="4"/>
  <c r="F2037" i="4"/>
  <c r="F1180" i="4"/>
  <c r="F2238" i="4"/>
  <c r="F995" i="4"/>
  <c r="F1030" i="4"/>
  <c r="F307" i="4"/>
  <c r="F1043" i="4"/>
  <c r="F1337" i="4"/>
  <c r="F1365" i="4"/>
  <c r="F2248" i="4"/>
  <c r="F1539" i="4"/>
  <c r="F1750" i="4"/>
  <c r="F2077" i="4"/>
  <c r="F276" i="4"/>
  <c r="F2519" i="4"/>
  <c r="F1476" i="4"/>
  <c r="F2038" i="4"/>
  <c r="F2490" i="4"/>
  <c r="F1515" i="4"/>
  <c r="F2619" i="4"/>
  <c r="F1119" i="4"/>
  <c r="F264" i="4"/>
  <c r="F1764" i="4"/>
  <c r="F1163" i="4"/>
  <c r="F2145" i="4"/>
  <c r="F1081" i="4"/>
  <c r="F1654" i="4"/>
  <c r="F2575" i="4"/>
  <c r="F1366" i="4"/>
  <c r="F2322" i="4"/>
  <c r="F450" i="4"/>
  <c r="F1308" i="4"/>
  <c r="F1628" i="4"/>
  <c r="F2005" i="4"/>
  <c r="F330" i="4"/>
  <c r="F936" i="4"/>
  <c r="F996" i="4"/>
  <c r="F528" i="4"/>
  <c r="F2491" i="4"/>
  <c r="F761" i="4"/>
  <c r="F1427" i="4"/>
  <c r="F2146" i="4"/>
  <c r="F2492" i="4"/>
  <c r="F963" i="4"/>
  <c r="F205" i="4"/>
  <c r="F425" i="4"/>
  <c r="F1685" i="4"/>
  <c r="F1200" i="4"/>
  <c r="F313" i="4"/>
  <c r="F838" i="4"/>
  <c r="F2721" i="4"/>
  <c r="F2474" i="4"/>
  <c r="F1973" i="4"/>
  <c r="F206" i="4"/>
  <c r="F571" i="4"/>
  <c r="F1146" i="4"/>
  <c r="F1863" i="4"/>
  <c r="F540" i="4"/>
  <c r="F257" i="4"/>
  <c r="F1037" i="4"/>
  <c r="F2093" i="4"/>
  <c r="F2351" i="4"/>
  <c r="F751" i="4"/>
  <c r="F2630" i="4"/>
  <c r="F717" i="4"/>
  <c r="F2337" i="4"/>
  <c r="F1171" i="4"/>
  <c r="F1826" i="4"/>
  <c r="F2698" i="4"/>
  <c r="F2147" i="4"/>
  <c r="F2714" i="4"/>
  <c r="F1974" i="4"/>
  <c r="F698" i="4"/>
  <c r="F1229" i="4"/>
  <c r="F2297" i="4"/>
  <c r="F537" i="4"/>
  <c r="F2445" i="4"/>
  <c r="F451" i="4"/>
  <c r="F208" i="4"/>
  <c r="F690" i="4"/>
  <c r="F1454" i="4"/>
  <c r="F452" i="4"/>
  <c r="F2352" i="4"/>
  <c r="F214" i="4"/>
  <c r="F261" i="4"/>
  <c r="F1355" i="4"/>
  <c r="F1031" i="4"/>
  <c r="F1975" i="4"/>
  <c r="F623" i="4"/>
  <c r="F2446" i="4"/>
  <c r="F1236" i="4"/>
  <c r="F415" i="4"/>
  <c r="F1189" i="4"/>
  <c r="F1751" i="4"/>
  <c r="F2401" i="4"/>
  <c r="F910" i="4"/>
  <c r="F510" i="4"/>
  <c r="F1387" i="4"/>
  <c r="F2180" i="4"/>
  <c r="F2400" i="4"/>
  <c r="F2631" i="4"/>
  <c r="F2039" i="4"/>
  <c r="F2312" i="4"/>
  <c r="F2125" i="4"/>
  <c r="F1536" i="4"/>
  <c r="F2493" i="4"/>
  <c r="F2313" i="4"/>
  <c r="F1402" i="4"/>
  <c r="F515" i="4"/>
  <c r="F1147" i="4"/>
  <c r="F434" i="4"/>
  <c r="F1055" i="4"/>
  <c r="F1879" i="4"/>
  <c r="F890" i="4"/>
  <c r="F1249" i="4"/>
  <c r="F262" i="4"/>
  <c r="F2227" i="4"/>
  <c r="F1309" i="4"/>
  <c r="F2632" i="4"/>
  <c r="F997" i="4"/>
  <c r="F1976" i="4"/>
  <c r="F1071" i="4"/>
  <c r="F2057" i="4"/>
  <c r="F140" i="4"/>
  <c r="F1428" i="4"/>
  <c r="F283" i="4"/>
  <c r="F453" i="4"/>
  <c r="F265" i="4"/>
  <c r="F420" i="4"/>
  <c r="F2494" i="4"/>
  <c r="F2094" i="4"/>
  <c r="F767" i="4"/>
  <c r="F2671" i="4"/>
  <c r="F788" i="4"/>
  <c r="F874" i="4"/>
  <c r="F368" i="4"/>
  <c r="F416" i="4"/>
  <c r="F1166" i="4"/>
  <c r="F382" i="4"/>
  <c r="F213" i="4"/>
  <c r="F2543" i="4"/>
  <c r="F1066" i="4"/>
  <c r="F1184" i="4"/>
  <c r="F2672" i="4"/>
  <c r="F132" i="4"/>
  <c r="F839" i="4"/>
  <c r="F496" i="4"/>
  <c r="F1379" i="4"/>
  <c r="F911" i="4"/>
  <c r="F1388" i="4"/>
  <c r="F2402" i="4"/>
  <c r="F718" i="4"/>
  <c r="F883" i="4"/>
  <c r="F217" i="4"/>
  <c r="F1629" i="4"/>
  <c r="F2148" i="4"/>
  <c r="F2648" i="4"/>
  <c r="F811" i="4"/>
  <c r="F583" i="4"/>
  <c r="F2544" i="4"/>
  <c r="F624" i="4"/>
  <c r="F2649" i="4"/>
  <c r="F625" i="4"/>
  <c r="F492" i="4"/>
  <c r="F974" i="4"/>
  <c r="F713" i="4"/>
  <c r="F530" i="4"/>
  <c r="F147" i="4"/>
  <c r="F454" i="4"/>
  <c r="F2673" i="4"/>
  <c r="F1895" i="4"/>
  <c r="F1812" i="4"/>
  <c r="F1813" i="4"/>
  <c r="F148" i="4"/>
  <c r="F443" i="4"/>
  <c r="F163" i="4"/>
  <c r="F554" i="4"/>
  <c r="F828" i="4"/>
  <c r="F1380" i="4"/>
  <c r="F2563" i="4"/>
  <c r="F312" i="4"/>
  <c r="F1516" i="4"/>
  <c r="F2228" i="4"/>
  <c r="F1181" i="4"/>
  <c r="F2058" i="4"/>
  <c r="F1630" i="4"/>
  <c r="F136" i="4"/>
  <c r="F1723" i="4"/>
  <c r="F1977" i="4"/>
  <c r="F2403" i="4"/>
  <c r="F2298" i="4"/>
  <c r="F321" i="4"/>
  <c r="F145" i="4"/>
  <c r="F2725" i="4"/>
  <c r="F387" i="4"/>
  <c r="F195" i="4"/>
  <c r="F1455" i="4"/>
  <c r="F734" i="4"/>
  <c r="F1381" i="4"/>
  <c r="F164" i="4"/>
  <c r="F2620" i="4"/>
  <c r="F193" i="4"/>
  <c r="F154" i="4"/>
  <c r="F2709" i="4"/>
  <c r="F137" i="4"/>
  <c r="F497" i="4"/>
  <c r="F840" i="4"/>
  <c r="F951" i="4"/>
  <c r="F752" i="4"/>
  <c r="F292" i="4"/>
  <c r="F176" i="4"/>
  <c r="F1382" i="4"/>
  <c r="F133" i="4"/>
  <c r="F743" i="4"/>
  <c r="F893" i="4"/>
  <c r="F998" i="4"/>
  <c r="F378" i="4"/>
  <c r="F2299" i="4"/>
  <c r="F388" i="4"/>
  <c r="F428" i="4"/>
  <c r="F1047" i="4"/>
  <c r="F293" i="4"/>
  <c r="F2261" i="4"/>
  <c r="F2728" i="4"/>
  <c r="F2149" i="4"/>
  <c r="F138" i="4"/>
  <c r="F2683" i="4"/>
  <c r="F1091" i="4"/>
  <c r="F841" i="4"/>
  <c r="F812" i="4"/>
  <c r="F2564" i="4"/>
  <c r="F2729" i="4"/>
  <c r="F2181" i="4"/>
  <c r="F149" i="4"/>
  <c r="F1056" i="4"/>
  <c r="F155" i="4"/>
  <c r="F2659" i="4"/>
  <c r="F477" i="4"/>
  <c r="F829" i="4"/>
  <c r="F999" i="4"/>
  <c r="F2565" i="4"/>
  <c r="F3" i="4"/>
  <c r="F134" i="4"/>
  <c r="F2684" i="4"/>
  <c r="F251" i="4"/>
  <c r="F2603" i="4"/>
  <c r="F389" i="4"/>
  <c r="F560" i="4"/>
  <c r="F4" i="4"/>
  <c r="F504" i="4"/>
  <c r="F390" i="4"/>
  <c r="F2095" i="4"/>
  <c r="F498" i="4"/>
  <c r="F1978" i="4"/>
  <c r="F768" i="4"/>
  <c r="F830" i="4"/>
  <c r="F177" i="4"/>
  <c r="F2715" i="4"/>
  <c r="F1537" i="4"/>
  <c r="F1310" i="4"/>
  <c r="F1631" i="4"/>
  <c r="F1092" i="4"/>
  <c r="F2404" i="4"/>
  <c r="F141" i="4"/>
  <c r="F5" i="4"/>
  <c r="F2229" i="4"/>
  <c r="F2699" i="4"/>
  <c r="F831" i="4"/>
  <c r="F150" i="4"/>
  <c r="F391" i="4"/>
  <c r="F813" i="4"/>
  <c r="F1864" i="4"/>
  <c r="F2456" i="4"/>
  <c r="F505" i="4"/>
  <c r="F6" i="4"/>
  <c r="F1979" i="4"/>
  <c r="F1206" i="4"/>
  <c r="F626" i="4"/>
  <c r="F252" i="4"/>
  <c r="F2674" i="4"/>
  <c r="F2722" i="4"/>
  <c r="F210" i="4"/>
  <c r="F159" i="4"/>
  <c r="F855" i="4"/>
  <c r="F912" i="4"/>
  <c r="F7" i="4"/>
  <c r="F1093" i="4"/>
  <c r="F1483" i="4"/>
  <c r="F266" i="4"/>
  <c r="F730" i="4"/>
  <c r="F1632" i="4"/>
  <c r="F437" i="4"/>
  <c r="F516" i="4"/>
  <c r="F952" i="4"/>
  <c r="F884" i="4"/>
  <c r="F392" i="4"/>
  <c r="F627" i="4"/>
  <c r="F362" i="4"/>
  <c r="F2405" i="4"/>
  <c r="F2723" i="4"/>
  <c r="F517" i="4"/>
  <c r="F2096" i="4"/>
  <c r="F832" i="4"/>
  <c r="F856" i="4"/>
  <c r="F2700" i="4"/>
  <c r="F499" i="4"/>
  <c r="F814" i="4"/>
  <c r="F352" i="4"/>
  <c r="F8" i="4"/>
  <c r="F555" i="4"/>
  <c r="F1000" i="4"/>
  <c r="F2730" i="4"/>
  <c r="F1980" i="4"/>
  <c r="F339" i="4"/>
  <c r="F1456" i="4"/>
  <c r="F2097" i="4"/>
  <c r="F2731" i="4"/>
  <c r="F779" i="4"/>
  <c r="F231" i="4"/>
  <c r="F2638" i="4"/>
  <c r="F9" i="4"/>
  <c r="F1981" i="4"/>
  <c r="F353" i="4"/>
  <c r="F478" i="4"/>
  <c r="F170" i="4"/>
  <c r="F142" i="4"/>
  <c r="F2230" i="4"/>
  <c r="F2724" i="4"/>
  <c r="F1403" i="4"/>
  <c r="F160" i="4"/>
  <c r="F704" i="4"/>
  <c r="F894" i="4"/>
  <c r="F562" i="4"/>
  <c r="F548" i="4"/>
  <c r="F1311" i="4"/>
  <c r="F10" i="4"/>
  <c r="F913" i="4"/>
  <c r="F1633" i="4"/>
  <c r="F463" i="4"/>
  <c r="F789" i="4"/>
  <c r="F196" i="4"/>
  <c r="F2716" i="4"/>
  <c r="F11" i="4"/>
  <c r="F1404" i="4"/>
  <c r="F12" i="4"/>
  <c r="F318" i="4"/>
  <c r="F431" i="4"/>
  <c r="F2732" i="4"/>
  <c r="F1109" i="4"/>
  <c r="F1067" i="4"/>
  <c r="F13" i="4"/>
  <c r="F2733" i="4"/>
  <c r="F197" i="4"/>
  <c r="F1405" i="4"/>
  <c r="F1001" i="4"/>
  <c r="F1094" i="4"/>
  <c r="F628" i="4"/>
  <c r="F322" i="4"/>
  <c r="F1002" i="4"/>
  <c r="F393" i="4"/>
  <c r="F14" i="4"/>
  <c r="F2717" i="4"/>
  <c r="F1457" i="4"/>
  <c r="F1517" i="4"/>
  <c r="F139" i="4"/>
  <c r="F372" i="4"/>
  <c r="F15" i="4"/>
  <c r="F16" i="4"/>
  <c r="F438" i="4"/>
  <c r="F2604" i="4"/>
  <c r="F556" i="4"/>
  <c r="F1982" i="4"/>
  <c r="F1003" i="4"/>
  <c r="F258" i="4"/>
  <c r="F211" i="4"/>
  <c r="F2734" i="4"/>
  <c r="F17" i="4"/>
  <c r="F439" i="4"/>
  <c r="F165" i="4"/>
  <c r="F198" i="4"/>
  <c r="F731" i="4"/>
  <c r="F744" i="4"/>
  <c r="F1983" i="4"/>
  <c r="F857" i="4"/>
  <c r="F500" i="4"/>
  <c r="F178" i="4"/>
  <c r="F18" i="4"/>
  <c r="F533" i="4"/>
  <c r="F1634" i="4"/>
  <c r="F2323" i="4"/>
  <c r="F1984" i="4"/>
  <c r="F1635" i="4"/>
  <c r="F19" i="4"/>
  <c r="F2059" i="4"/>
  <c r="F1636" i="4"/>
  <c r="F1207" i="4"/>
  <c r="F1518" i="4"/>
  <c r="F218" i="4"/>
  <c r="F2735" i="4"/>
  <c r="F2520" i="4"/>
  <c r="F895" i="4"/>
  <c r="F394" i="4"/>
  <c r="F20" i="4"/>
  <c r="F472" i="4"/>
  <c r="F1004" i="4"/>
  <c r="F21" i="4"/>
  <c r="F185" i="4"/>
  <c r="F294" i="4"/>
  <c r="F2701" i="4"/>
  <c r="F2605" i="4"/>
  <c r="F2710" i="4"/>
  <c r="F2098" i="4"/>
  <c r="F243" i="4"/>
  <c r="F455" i="4"/>
  <c r="F2606" i="4"/>
  <c r="F1057" i="4"/>
  <c r="F2406" i="4"/>
  <c r="F323" i="4"/>
  <c r="F395" i="4"/>
  <c r="F340" i="4"/>
  <c r="F2736" i="4"/>
  <c r="F629" i="4"/>
  <c r="F1985" i="4"/>
  <c r="F518" i="4"/>
  <c r="F2521" i="4"/>
  <c r="F22" i="4"/>
  <c r="F479" i="4"/>
  <c r="F1637" i="4"/>
  <c r="F519" i="4"/>
  <c r="F396" i="4"/>
  <c r="F858" i="4"/>
  <c r="F2522" i="4"/>
  <c r="F23" i="4"/>
  <c r="F232" i="4"/>
  <c r="F1005" i="4"/>
  <c r="F25" i="4"/>
  <c r="F179" i="4"/>
  <c r="F859" i="4"/>
  <c r="F860" i="4"/>
  <c r="F790" i="4"/>
  <c r="F2737" i="4"/>
  <c r="F1148" i="4"/>
  <c r="F24" i="4"/>
  <c r="F26" i="4"/>
  <c r="F2702" i="4"/>
  <c r="F2231" i="4"/>
  <c r="F27" i="4"/>
  <c r="F2608" i="4"/>
  <c r="F2639" i="4"/>
  <c r="F2099" i="4"/>
  <c r="F2232" i="4"/>
  <c r="F1986" i="4"/>
  <c r="F219" i="4"/>
  <c r="F511" i="4"/>
  <c r="F28" i="4"/>
  <c r="F1987" i="4"/>
  <c r="F570" i="4"/>
  <c r="F541" i="4"/>
  <c r="F341" i="4"/>
  <c r="F1068" i="4"/>
  <c r="F29" i="4"/>
  <c r="F815" i="4"/>
  <c r="F30" i="4"/>
  <c r="F542" i="4"/>
  <c r="F791" i="4"/>
  <c r="F1095" i="4"/>
  <c r="F1006" i="4"/>
  <c r="F31" i="4"/>
  <c r="F1069" i="4"/>
  <c r="F630" i="4"/>
  <c r="F1070" i="4"/>
  <c r="F32" i="4"/>
  <c r="F953" i="4"/>
  <c r="F1149" i="4"/>
  <c r="F33" i="4"/>
  <c r="F233" i="4"/>
  <c r="F34" i="4"/>
  <c r="F35" i="4"/>
  <c r="F2711" i="4"/>
  <c r="F1007" i="4"/>
  <c r="F1150" i="4"/>
  <c r="F186" i="4"/>
  <c r="F2233" i="4"/>
  <c r="F480" i="4"/>
  <c r="F180" i="4"/>
  <c r="F792" i="4"/>
  <c r="F896" i="4"/>
  <c r="F481" i="4"/>
  <c r="F1988" i="4"/>
  <c r="F1458" i="4"/>
  <c r="F36" i="4"/>
  <c r="F37" i="4"/>
  <c r="F2738" i="4"/>
  <c r="F38" i="4"/>
  <c r="F2739" i="4"/>
  <c r="F793" i="4"/>
  <c r="F397" i="4"/>
  <c r="F464" i="4"/>
  <c r="F181" i="4"/>
  <c r="F2607" i="4"/>
  <c r="F161" i="4"/>
  <c r="F861" i="4"/>
  <c r="F862" i="4"/>
  <c r="F506" i="4"/>
  <c r="F1208" i="4"/>
  <c r="F295" i="4"/>
  <c r="F143" i="4"/>
  <c r="F40" i="4"/>
  <c r="F39" i="4"/>
  <c r="F1008" i="4"/>
  <c r="F2685" i="4"/>
  <c r="F220" i="4"/>
  <c r="F1151" i="4"/>
  <c r="F234" i="4"/>
  <c r="F324" i="4"/>
  <c r="F1638" i="4"/>
  <c r="F342" i="4"/>
  <c r="F2675" i="4"/>
  <c r="F43" i="4"/>
  <c r="F296" i="4"/>
  <c r="F44" i="4"/>
  <c r="F45" i="4"/>
  <c r="F863" i="4"/>
  <c r="F42" i="4"/>
  <c r="F41" i="4"/>
  <c r="F1009" i="4"/>
  <c r="F235" i="4"/>
  <c r="F2740" i="4"/>
  <c r="F631" i="4"/>
  <c r="F632" i="4"/>
  <c r="F46" i="4"/>
  <c r="F1190" i="4"/>
  <c r="F2741" i="4"/>
  <c r="F816" i="4"/>
  <c r="F398" i="4"/>
  <c r="F297" i="4"/>
  <c r="F2742" i="4"/>
  <c r="F298" i="4"/>
  <c r="F325" i="4"/>
  <c r="F199" i="4"/>
  <c r="F47" i="4"/>
  <c r="F633" i="4"/>
  <c r="F50" i="4"/>
  <c r="F49" i="4"/>
  <c r="F520" i="4"/>
  <c r="F151" i="4"/>
  <c r="F980" i="4"/>
  <c r="F2743" i="4"/>
  <c r="F48" i="4"/>
  <c r="F482" i="4"/>
  <c r="F769" i="4"/>
  <c r="F51" i="4"/>
  <c r="F1989" i="4"/>
  <c r="F52" i="4"/>
  <c r="F2744" i="4"/>
  <c r="F53" i="4"/>
  <c r="F299" i="4"/>
  <c r="F200" i="4"/>
  <c r="F182" i="4"/>
  <c r="F794" i="4"/>
  <c r="F55" i="4"/>
  <c r="F399" i="4"/>
  <c r="F1312" i="4"/>
  <c r="F331" i="4"/>
  <c r="F54" i="4"/>
  <c r="F201" i="4"/>
  <c r="F56" i="4"/>
  <c r="F1313" i="4"/>
  <c r="F634" i="4"/>
  <c r="F171" i="4"/>
  <c r="F58" i="4"/>
  <c r="F57" i="4"/>
  <c r="F300" i="4"/>
  <c r="F2745" i="4"/>
  <c r="F2407" i="4"/>
  <c r="F59" i="4"/>
  <c r="F1314" i="4"/>
  <c r="F354" i="4"/>
  <c r="F557" i="4"/>
  <c r="F400" i="4"/>
  <c r="F60" i="4"/>
  <c r="F720" i="4"/>
  <c r="F166" i="4"/>
  <c r="F1639" i="4"/>
  <c r="F326" i="4"/>
  <c r="F1152" i="4"/>
  <c r="F401" i="4"/>
  <c r="F2746" i="4"/>
  <c r="F61" i="4"/>
  <c r="F244" i="4"/>
  <c r="F62" i="4"/>
  <c r="F2747" i="4"/>
  <c r="F1640" i="4"/>
  <c r="F2748" i="4"/>
  <c r="F63" i="4"/>
  <c r="F635" i="4"/>
  <c r="F267" i="4"/>
  <c r="F636" i="4"/>
  <c r="F637" i="4"/>
  <c r="F162" i="4"/>
  <c r="F2749" i="4"/>
  <c r="F183" i="4"/>
  <c r="F864" i="4"/>
  <c r="F245" i="4"/>
  <c r="F1096" i="4"/>
  <c r="F2750" i="4"/>
  <c r="F795" i="4"/>
  <c r="F2751" i="4"/>
  <c r="F770" i="4"/>
  <c r="F363" i="4"/>
  <c r="F64" i="4"/>
  <c r="F402" i="4"/>
  <c r="F221" i="4"/>
  <c r="F268" i="4"/>
  <c r="F2752" i="4"/>
  <c r="F65" i="4"/>
  <c r="F521" i="4"/>
  <c r="F2718" i="4"/>
  <c r="F66" i="4"/>
  <c r="F167" i="4"/>
  <c r="F2523" i="4"/>
  <c r="F67" i="4"/>
  <c r="F1010" i="4"/>
  <c r="F638" i="4"/>
  <c r="F2753" i="4"/>
  <c r="F202" i="4"/>
  <c r="F2408" i="4"/>
  <c r="F68" i="4"/>
  <c r="F483" i="4"/>
  <c r="F1519" i="4"/>
  <c r="F69" i="4"/>
  <c r="F2409" i="4"/>
  <c r="F639" i="4"/>
  <c r="F2410" i="4"/>
  <c r="F484" i="4"/>
  <c r="F2609" i="4"/>
  <c r="F865" i="4"/>
  <c r="F246" i="4"/>
  <c r="F1153" i="4"/>
  <c r="F2754" i="4"/>
  <c r="F817" i="4"/>
  <c r="F1315" i="4"/>
  <c r="F1316" i="4"/>
  <c r="F522" i="4"/>
  <c r="F866" i="4"/>
  <c r="F247" i="4"/>
  <c r="F732" i="4"/>
  <c r="F1317" i="4"/>
  <c r="F70" i="4"/>
  <c r="F2755" i="4"/>
  <c r="F1990" i="4"/>
  <c r="F2756" i="4"/>
  <c r="F1318" i="4"/>
  <c r="F2757" i="4"/>
  <c r="F403" i="4"/>
  <c r="F71" i="4"/>
  <c r="F640" i="4"/>
  <c r="F456" i="4"/>
  <c r="F222" i="4"/>
  <c r="F457" i="4"/>
  <c r="F1641" i="4"/>
  <c r="F1011" i="4"/>
  <c r="F364" i="4"/>
  <c r="F523" i="4"/>
  <c r="F1319" i="4"/>
  <c r="F72" i="4"/>
  <c r="F301" i="4"/>
  <c r="F1191" i="4"/>
  <c r="F355" i="4"/>
  <c r="F73" i="4"/>
  <c r="F2759" i="4"/>
  <c r="F302" i="4"/>
  <c r="F2758" i="4"/>
  <c r="F1320" i="4"/>
  <c r="F404" i="4"/>
  <c r="F2524" i="4"/>
  <c r="F343" i="4"/>
  <c r="F223" i="4"/>
  <c r="F641" i="4"/>
  <c r="F344" i="4"/>
  <c r="F2411" i="4"/>
  <c r="F2760" i="4"/>
  <c r="F74" i="4"/>
  <c r="F2412" i="4"/>
  <c r="F76" i="4"/>
  <c r="F75" i="4"/>
  <c r="F203" i="4"/>
  <c r="F642" i="4"/>
  <c r="F77" i="4"/>
  <c r="F2761" i="4"/>
  <c r="B20" i="24" l="1"/>
  <c r="B21" i="24" s="1"/>
  <c r="B22" i="24" s="1"/>
  <c r="B23" i="24" s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47" i="24" s="1"/>
  <c r="B48" i="24" s="1"/>
  <c r="B49" i="24" s="1"/>
  <c r="B50" i="24" s="1"/>
  <c r="B51" i="24" s="1"/>
  <c r="B52" i="24" s="1"/>
  <c r="B53" i="24" s="1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71" i="24" s="1"/>
  <c r="B72" i="24" s="1"/>
  <c r="B73" i="24" s="1"/>
  <c r="B74" i="24" s="1"/>
  <c r="B75" i="24" s="1"/>
  <c r="B76" i="24" s="1"/>
  <c r="B77" i="24" s="1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95" i="24" s="1"/>
  <c r="B96" i="24" s="1"/>
  <c r="B97" i="24" s="1"/>
  <c r="B98" i="24" s="1"/>
  <c r="B99" i="24" s="1"/>
  <c r="B100" i="24" s="1"/>
  <c r="B101" i="24" s="1"/>
  <c r="B102" i="24" s="1"/>
  <c r="B103" i="24" s="1"/>
  <c r="B104" i="24" s="1"/>
  <c r="B105" i="24" s="1"/>
  <c r="B106" i="24" s="1"/>
  <c r="B107" i="24" s="1"/>
  <c r="B108" i="24" s="1"/>
  <c r="B109" i="24" s="1"/>
  <c r="B110" i="24" s="1"/>
  <c r="B111" i="24" s="1"/>
  <c r="B112" i="24" s="1"/>
  <c r="B113" i="24" s="1"/>
  <c r="B114" i="24" s="1"/>
  <c r="B115" i="24" s="1"/>
  <c r="B116" i="24" s="1"/>
  <c r="B117" i="24" s="1"/>
  <c r="B118" i="24" s="1"/>
  <c r="B119" i="24" s="1"/>
  <c r="B120" i="24" s="1"/>
  <c r="B121" i="24" s="1"/>
  <c r="B122" i="24" s="1"/>
  <c r="B123" i="24" s="1"/>
  <c r="B124" i="24" s="1"/>
  <c r="B125" i="24" s="1"/>
  <c r="B126" i="24" s="1"/>
  <c r="B127" i="24" s="1"/>
  <c r="B128" i="24" s="1"/>
  <c r="B129" i="24" s="1"/>
  <c r="B130" i="24" s="1"/>
  <c r="B131" i="24" s="1"/>
  <c r="B132" i="24" s="1"/>
  <c r="B133" i="24" s="1"/>
  <c r="B134" i="24" s="1"/>
  <c r="B135" i="24" s="1"/>
  <c r="B136" i="24" s="1"/>
  <c r="B137" i="24" s="1"/>
  <c r="B138" i="24" s="1"/>
  <c r="B139" i="24" s="1"/>
  <c r="B140" i="24" s="1"/>
  <c r="B141" i="24" s="1"/>
  <c r="B142" i="24" s="1"/>
  <c r="B143" i="24" s="1"/>
  <c r="B144" i="24" s="1"/>
  <c r="B145" i="24" s="1"/>
  <c r="B146" i="24" s="1"/>
  <c r="B147" i="24" s="1"/>
  <c r="B148" i="24" s="1"/>
  <c r="B149" i="24" s="1"/>
  <c r="B150" i="24" s="1"/>
  <c r="B151" i="24" s="1"/>
  <c r="B152" i="24" s="1"/>
  <c r="B153" i="24" s="1"/>
  <c r="B154" i="24" s="1"/>
  <c r="B155" i="24" s="1"/>
  <c r="B156" i="24" s="1"/>
  <c r="B157" i="24" s="1"/>
  <c r="B158" i="24" s="1"/>
  <c r="B159" i="24" s="1"/>
  <c r="B160" i="24" s="1"/>
  <c r="B161" i="24" s="1"/>
  <c r="B162" i="24" s="1"/>
  <c r="B163" i="24" s="1"/>
  <c r="B164" i="24" s="1"/>
  <c r="B165" i="24" s="1"/>
  <c r="B166" i="24" s="1"/>
  <c r="B167" i="24" s="1"/>
  <c r="B168" i="24" s="1"/>
  <c r="B169" i="24" s="1"/>
  <c r="B170" i="24" s="1"/>
  <c r="B171" i="24" s="1"/>
  <c r="B172" i="24" s="1"/>
  <c r="B173" i="24" s="1"/>
  <c r="B174" i="24" s="1"/>
  <c r="B175" i="24" s="1"/>
  <c r="B176" i="24" s="1"/>
  <c r="B177" i="24" s="1"/>
  <c r="B178" i="24" s="1"/>
  <c r="B179" i="24" s="1"/>
  <c r="B180" i="24" s="1"/>
  <c r="B181" i="24" s="1"/>
  <c r="B182" i="24" s="1"/>
  <c r="B183" i="24" s="1"/>
  <c r="B184" i="24" s="1"/>
  <c r="B185" i="24" s="1"/>
  <c r="B186" i="24" s="1"/>
  <c r="B187" i="24" s="1"/>
  <c r="B188" i="24" s="1"/>
  <c r="B189" i="24" s="1"/>
  <c r="B190" i="24" s="1"/>
  <c r="B191" i="24" s="1"/>
  <c r="B192" i="24" s="1"/>
  <c r="B193" i="24" s="1"/>
  <c r="B194" i="24" s="1"/>
  <c r="B195" i="24" s="1"/>
  <c r="B196" i="24" s="1"/>
  <c r="B197" i="24" s="1"/>
  <c r="B198" i="24" s="1"/>
  <c r="B199" i="24" s="1"/>
  <c r="B200" i="24" s="1"/>
  <c r="B201" i="24" s="1"/>
  <c r="B202" i="24" s="1"/>
  <c r="B203" i="24" s="1"/>
  <c r="B204" i="24" s="1"/>
  <c r="B205" i="24" s="1"/>
  <c r="B206" i="24" s="1"/>
  <c r="B207" i="24" s="1"/>
  <c r="B208" i="24" s="1"/>
  <c r="B209" i="24" s="1"/>
  <c r="B210" i="24" s="1"/>
  <c r="B211" i="24" s="1"/>
  <c r="B212" i="24" s="1"/>
  <c r="B213" i="24" s="1"/>
  <c r="B214" i="24" s="1"/>
  <c r="B215" i="24" s="1"/>
  <c r="B216" i="24" s="1"/>
  <c r="B217" i="24" s="1"/>
  <c r="B218" i="24" s="1"/>
  <c r="B219" i="24" s="1"/>
  <c r="B220" i="24" s="1"/>
  <c r="B221" i="24" s="1"/>
  <c r="B222" i="24" s="1"/>
  <c r="B223" i="24" s="1"/>
  <c r="B224" i="24" s="1"/>
  <c r="B225" i="24" s="1"/>
  <c r="B226" i="24" s="1"/>
  <c r="B227" i="24" s="1"/>
  <c r="B228" i="24" s="1"/>
  <c r="B229" i="24" s="1"/>
  <c r="B230" i="24" s="1"/>
  <c r="B231" i="24" s="1"/>
  <c r="B232" i="24" s="1"/>
  <c r="B233" i="24" s="1"/>
  <c r="B234" i="24" s="1"/>
  <c r="B235" i="24" s="1"/>
  <c r="B236" i="24" s="1"/>
  <c r="B237" i="24" s="1"/>
  <c r="B238" i="24" s="1"/>
  <c r="B239" i="24" s="1"/>
  <c r="B240" i="24" s="1"/>
  <c r="B241" i="24" s="1"/>
  <c r="B242" i="24" s="1"/>
  <c r="B243" i="24" s="1"/>
  <c r="B244" i="24" s="1"/>
  <c r="B245" i="24" s="1"/>
  <c r="B246" i="24" s="1"/>
  <c r="B247" i="24" s="1"/>
  <c r="B248" i="24" s="1"/>
  <c r="B249" i="24" s="1"/>
  <c r="B250" i="24" s="1"/>
  <c r="B251" i="24" s="1"/>
  <c r="B252" i="24" s="1"/>
  <c r="B253" i="24" s="1"/>
  <c r="B254" i="24" s="1"/>
  <c r="B255" i="24" s="1"/>
  <c r="B256" i="24" s="1"/>
  <c r="B257" i="24" s="1"/>
  <c r="B258" i="24" s="1"/>
  <c r="B259" i="24" s="1"/>
  <c r="B260" i="24" s="1"/>
  <c r="B261" i="24" s="1"/>
  <c r="B262" i="24" s="1"/>
  <c r="B263" i="24" s="1"/>
  <c r="B264" i="24" s="1"/>
  <c r="B265" i="24" s="1"/>
  <c r="B266" i="24" s="1"/>
  <c r="B267" i="24" s="1"/>
  <c r="B268" i="24" s="1"/>
  <c r="B269" i="24" s="1"/>
  <c r="B270" i="24" s="1"/>
  <c r="B271" i="24" s="1"/>
  <c r="B272" i="24" s="1"/>
  <c r="B273" i="24" s="1"/>
  <c r="B274" i="24" s="1"/>
  <c r="B275" i="24" s="1"/>
  <c r="B276" i="24" s="1"/>
  <c r="B277" i="24" s="1"/>
  <c r="B278" i="24" s="1"/>
  <c r="B279" i="24" s="1"/>
  <c r="B280" i="24" s="1"/>
  <c r="B281" i="24" s="1"/>
  <c r="B282" i="24" s="1"/>
  <c r="B283" i="24" s="1"/>
  <c r="B284" i="24" s="1"/>
  <c r="B285" i="24" s="1"/>
  <c r="B286" i="24" s="1"/>
  <c r="B287" i="24" s="1"/>
  <c r="B288" i="24" s="1"/>
  <c r="B289" i="24" s="1"/>
  <c r="B290" i="24" s="1"/>
  <c r="B291" i="24" s="1"/>
  <c r="B292" i="24" s="1"/>
  <c r="B293" i="24" s="1"/>
  <c r="B294" i="24" s="1"/>
  <c r="B295" i="24" s="1"/>
  <c r="B296" i="24" s="1"/>
  <c r="B297" i="24" s="1"/>
  <c r="B298" i="24" s="1"/>
  <c r="B299" i="24" s="1"/>
  <c r="B300" i="24" s="1"/>
  <c r="B301" i="24" s="1"/>
  <c r="B302" i="24" s="1"/>
  <c r="B303" i="24" s="1"/>
  <c r="B304" i="24" s="1"/>
  <c r="B305" i="24" s="1"/>
  <c r="B306" i="24" s="1"/>
  <c r="B307" i="24" s="1"/>
  <c r="B308" i="24" s="1"/>
  <c r="B309" i="24" s="1"/>
  <c r="B310" i="24" s="1"/>
  <c r="B311" i="24" s="1"/>
  <c r="B312" i="24" s="1"/>
  <c r="B313" i="24" s="1"/>
  <c r="B314" i="24" s="1"/>
  <c r="B315" i="24" s="1"/>
  <c r="B316" i="24" s="1"/>
  <c r="B317" i="24" s="1"/>
  <c r="B318" i="24" s="1"/>
  <c r="B319" i="24" s="1"/>
  <c r="B320" i="24" s="1"/>
  <c r="B321" i="24" s="1"/>
  <c r="B322" i="24" s="1"/>
  <c r="B323" i="24" s="1"/>
  <c r="B324" i="24" s="1"/>
  <c r="B325" i="24" s="1"/>
  <c r="B326" i="24" s="1"/>
  <c r="B327" i="24" s="1"/>
  <c r="B328" i="24" s="1"/>
  <c r="B329" i="24" s="1"/>
  <c r="B330" i="24" s="1"/>
  <c r="B331" i="24" s="1"/>
  <c r="B332" i="24" s="1"/>
  <c r="B333" i="24" s="1"/>
  <c r="B334" i="24" s="1"/>
  <c r="B335" i="24" s="1"/>
  <c r="B336" i="24" s="1"/>
  <c r="B337" i="24" s="1"/>
  <c r="B338" i="24" s="1"/>
  <c r="B339" i="24" s="1"/>
  <c r="B340" i="24" s="1"/>
  <c r="B341" i="24" s="1"/>
  <c r="B342" i="24" s="1"/>
  <c r="B343" i="24" s="1"/>
  <c r="B344" i="24" s="1"/>
  <c r="B345" i="24" s="1"/>
  <c r="B346" i="24" s="1"/>
  <c r="B347" i="24" s="1"/>
  <c r="B348" i="24" s="1"/>
  <c r="B349" i="24" s="1"/>
  <c r="B350" i="24" s="1"/>
  <c r="B351" i="24" s="1"/>
  <c r="B352" i="24" s="1"/>
  <c r="B353" i="24" s="1"/>
  <c r="B354" i="24" s="1"/>
  <c r="B355" i="24" s="1"/>
  <c r="B356" i="24" s="1"/>
  <c r="B357" i="24" s="1"/>
  <c r="B358" i="24" s="1"/>
  <c r="B359" i="24" s="1"/>
  <c r="B360" i="24" s="1"/>
  <c r="B361" i="24" s="1"/>
  <c r="B362" i="24" s="1"/>
  <c r="B363" i="24" s="1"/>
  <c r="B364" i="24" s="1"/>
  <c r="B365" i="24" s="1"/>
  <c r="B366" i="24" s="1"/>
  <c r="B367" i="24" s="1"/>
  <c r="B368" i="24" s="1"/>
  <c r="B369" i="24" s="1"/>
  <c r="B370" i="24" s="1"/>
  <c r="B371" i="24" s="1"/>
  <c r="B372" i="24" s="1"/>
  <c r="B373" i="24" s="1"/>
  <c r="B374" i="24" s="1"/>
  <c r="B375" i="24" s="1"/>
  <c r="B376" i="24" s="1"/>
  <c r="B377" i="24" s="1"/>
  <c r="B378" i="24" s="1"/>
  <c r="B379" i="24" s="1"/>
  <c r="B380" i="24" s="1"/>
  <c r="B381" i="24" s="1"/>
  <c r="B382" i="24" s="1"/>
  <c r="B383" i="24" s="1"/>
  <c r="B384" i="24" s="1"/>
  <c r="B385" i="24" s="1"/>
  <c r="B386" i="24" s="1"/>
  <c r="B387" i="24" s="1"/>
  <c r="B388" i="24" s="1"/>
  <c r="B389" i="24" s="1"/>
  <c r="B390" i="24" s="1"/>
  <c r="B391" i="24" s="1"/>
  <c r="B392" i="24" s="1"/>
  <c r="B393" i="24" s="1"/>
  <c r="B394" i="24" s="1"/>
  <c r="B395" i="24" s="1"/>
  <c r="B396" i="24" s="1"/>
  <c r="B397" i="24" s="1"/>
  <c r="B398" i="24" s="1"/>
  <c r="B399" i="24" s="1"/>
  <c r="B400" i="24" s="1"/>
  <c r="B401" i="24" s="1"/>
  <c r="B402" i="24" s="1"/>
  <c r="B403" i="24" s="1"/>
  <c r="B404" i="24" s="1"/>
  <c r="B405" i="24" s="1"/>
  <c r="B406" i="24" s="1"/>
  <c r="B407" i="24" s="1"/>
  <c r="B408" i="24" s="1"/>
  <c r="B409" i="24" s="1"/>
  <c r="B410" i="24" s="1"/>
  <c r="B411" i="24" s="1"/>
  <c r="B412" i="24" s="1"/>
  <c r="B413" i="24" s="1"/>
  <c r="B414" i="24" s="1"/>
  <c r="B415" i="24" s="1"/>
  <c r="B416" i="24" s="1"/>
  <c r="B417" i="24" s="1"/>
  <c r="B418" i="24" s="1"/>
  <c r="B419" i="24" s="1"/>
  <c r="B420" i="24" s="1"/>
  <c r="B421" i="24" s="1"/>
  <c r="B422" i="24" s="1"/>
  <c r="B423" i="24" s="1"/>
  <c r="B424" i="24" s="1"/>
  <c r="B425" i="24" s="1"/>
  <c r="B426" i="24" s="1"/>
  <c r="B427" i="24" s="1"/>
  <c r="B428" i="24" s="1"/>
  <c r="B429" i="24" s="1"/>
  <c r="B430" i="24" s="1"/>
  <c r="B431" i="24" s="1"/>
  <c r="B432" i="24" s="1"/>
  <c r="B433" i="24" s="1"/>
  <c r="B434" i="24" s="1"/>
  <c r="B435" i="24" s="1"/>
  <c r="B436" i="24" s="1"/>
  <c r="B437" i="24" s="1"/>
  <c r="B438" i="24" s="1"/>
  <c r="B439" i="24" s="1"/>
  <c r="B440" i="24" s="1"/>
  <c r="B441" i="24" s="1"/>
  <c r="B442" i="24" s="1"/>
  <c r="B443" i="24" s="1"/>
  <c r="B444" i="24" s="1"/>
  <c r="B445" i="24" s="1"/>
  <c r="B446" i="24" s="1"/>
  <c r="B447" i="24" s="1"/>
  <c r="B448" i="24" s="1"/>
  <c r="B449" i="24" s="1"/>
  <c r="B450" i="24" s="1"/>
  <c r="B451" i="24" s="1"/>
  <c r="B452" i="24" s="1"/>
  <c r="B453" i="24" s="1"/>
  <c r="B454" i="24" s="1"/>
  <c r="B455" i="24" s="1"/>
  <c r="B456" i="24" s="1"/>
  <c r="B457" i="24" s="1"/>
  <c r="B458" i="24" s="1"/>
  <c r="B459" i="24" s="1"/>
  <c r="B460" i="24" s="1"/>
  <c r="B461" i="24" s="1"/>
  <c r="B462" i="24" s="1"/>
  <c r="B463" i="24" s="1"/>
  <c r="B464" i="24" s="1"/>
  <c r="B465" i="24" s="1"/>
  <c r="B466" i="24" s="1"/>
  <c r="B467" i="24" s="1"/>
  <c r="B468" i="24" s="1"/>
  <c r="B469" i="24" s="1"/>
  <c r="B470" i="24" s="1"/>
  <c r="B471" i="24" s="1"/>
  <c r="B472" i="24" s="1"/>
  <c r="B473" i="24" s="1"/>
  <c r="B474" i="24" s="1"/>
  <c r="B475" i="24" s="1"/>
  <c r="B476" i="24" s="1"/>
  <c r="B477" i="24" s="1"/>
  <c r="B478" i="24" s="1"/>
  <c r="B479" i="24" s="1"/>
  <c r="B480" i="24" s="1"/>
  <c r="B481" i="24" s="1"/>
  <c r="B482" i="24" s="1"/>
  <c r="B483" i="24" s="1"/>
  <c r="B484" i="24" s="1"/>
  <c r="B485" i="24" s="1"/>
  <c r="B486" i="24" s="1"/>
  <c r="B487" i="24" s="1"/>
  <c r="B488" i="24" s="1"/>
  <c r="B489" i="24" s="1"/>
  <c r="B490" i="24" s="1"/>
  <c r="B491" i="24" s="1"/>
  <c r="B492" i="24" s="1"/>
  <c r="B493" i="24" s="1"/>
  <c r="B494" i="24" s="1"/>
  <c r="B495" i="24" s="1"/>
  <c r="B496" i="24" s="1"/>
  <c r="B497" i="24" s="1"/>
  <c r="B498" i="24" s="1"/>
  <c r="B499" i="24" s="1"/>
  <c r="B500" i="24" s="1"/>
  <c r="B501" i="24" s="1"/>
  <c r="B502" i="24" s="1"/>
  <c r="B503" i="24" s="1"/>
  <c r="B504" i="24" s="1"/>
  <c r="B505" i="24" s="1"/>
  <c r="B506" i="24" s="1"/>
  <c r="B507" i="24" s="1"/>
  <c r="B508" i="24" s="1"/>
  <c r="B509" i="24" s="1"/>
  <c r="B510" i="24" s="1"/>
  <c r="B511" i="24" s="1"/>
  <c r="B512" i="24" s="1"/>
  <c r="B513" i="24" s="1"/>
  <c r="B514" i="24" s="1"/>
  <c r="B515" i="24" s="1"/>
  <c r="B516" i="24" s="1"/>
  <c r="B517" i="24" s="1"/>
  <c r="B518" i="24" s="1"/>
  <c r="B519" i="24" s="1"/>
  <c r="B520" i="24" s="1"/>
  <c r="B521" i="24" s="1"/>
  <c r="B522" i="24" s="1"/>
  <c r="B523" i="24" s="1"/>
  <c r="B524" i="24" s="1"/>
  <c r="B525" i="24" s="1"/>
  <c r="B526" i="24" s="1"/>
  <c r="B527" i="24" s="1"/>
  <c r="B528" i="24" s="1"/>
  <c r="B529" i="24" s="1"/>
  <c r="B530" i="24" s="1"/>
  <c r="B531" i="24" s="1"/>
  <c r="B532" i="24" s="1"/>
  <c r="B533" i="24" s="1"/>
  <c r="B534" i="24" s="1"/>
  <c r="B535" i="24" s="1"/>
  <c r="B536" i="24" s="1"/>
  <c r="B537" i="24" s="1"/>
  <c r="B538" i="24" s="1"/>
  <c r="B539" i="24" s="1"/>
  <c r="B540" i="24" s="1"/>
  <c r="B541" i="24" s="1"/>
  <c r="B542" i="24" s="1"/>
  <c r="B543" i="24" s="1"/>
  <c r="B544" i="24" s="1"/>
  <c r="B545" i="24" s="1"/>
  <c r="B546" i="24" s="1"/>
  <c r="B547" i="24" s="1"/>
  <c r="B548" i="24" s="1"/>
  <c r="B549" i="24" s="1"/>
  <c r="B550" i="24" s="1"/>
  <c r="B551" i="24" s="1"/>
  <c r="B552" i="24" s="1"/>
  <c r="B553" i="24" s="1"/>
  <c r="B554" i="24" s="1"/>
  <c r="B555" i="24" s="1"/>
  <c r="B556" i="24" s="1"/>
  <c r="B557" i="24" s="1"/>
  <c r="B558" i="24" s="1"/>
  <c r="B559" i="24" s="1"/>
  <c r="B560" i="24" s="1"/>
  <c r="B561" i="24" s="1"/>
  <c r="B562" i="24" s="1"/>
  <c r="B563" i="24" s="1"/>
  <c r="B564" i="24" s="1"/>
  <c r="B565" i="24" s="1"/>
  <c r="B566" i="24" s="1"/>
  <c r="B567" i="24" s="1"/>
  <c r="B568" i="24" s="1"/>
  <c r="B569" i="24" s="1"/>
  <c r="B570" i="24" s="1"/>
  <c r="B571" i="24" s="1"/>
  <c r="B572" i="24" s="1"/>
  <c r="B573" i="24" s="1"/>
  <c r="B574" i="24" s="1"/>
  <c r="B575" i="24" s="1"/>
  <c r="B576" i="24" s="1"/>
  <c r="B577" i="24" s="1"/>
  <c r="B578" i="24" s="1"/>
  <c r="B579" i="24" s="1"/>
  <c r="B580" i="24" s="1"/>
  <c r="B581" i="24" s="1"/>
  <c r="B582" i="24" s="1"/>
  <c r="B583" i="24" s="1"/>
  <c r="B584" i="24" s="1"/>
  <c r="B585" i="24" s="1"/>
  <c r="B586" i="24" s="1"/>
  <c r="B587" i="24" s="1"/>
  <c r="B588" i="24" s="1"/>
  <c r="B589" i="24" s="1"/>
  <c r="B590" i="24" s="1"/>
  <c r="B591" i="24" s="1"/>
  <c r="B592" i="24" s="1"/>
  <c r="B593" i="24" s="1"/>
  <c r="B594" i="24" s="1"/>
  <c r="B595" i="24" s="1"/>
  <c r="B596" i="24" s="1"/>
  <c r="B597" i="24" s="1"/>
  <c r="B598" i="24" s="1"/>
  <c r="B599" i="24" s="1"/>
  <c r="B600" i="24" s="1"/>
  <c r="B601" i="24" s="1"/>
  <c r="B602" i="24" s="1"/>
  <c r="B603" i="24" s="1"/>
  <c r="B604" i="24" s="1"/>
  <c r="B605" i="24" s="1"/>
  <c r="B606" i="24" s="1"/>
  <c r="B607" i="24" s="1"/>
  <c r="B608" i="24" s="1"/>
  <c r="B609" i="24" s="1"/>
  <c r="B610" i="24" s="1"/>
  <c r="B611" i="24" s="1"/>
  <c r="B612" i="24" s="1"/>
  <c r="B613" i="24" s="1"/>
  <c r="B614" i="24" s="1"/>
  <c r="B615" i="24" s="1"/>
  <c r="B616" i="24" s="1"/>
  <c r="B617" i="24" s="1"/>
  <c r="B618" i="24" s="1"/>
  <c r="B619" i="24" s="1"/>
  <c r="B620" i="24" s="1"/>
  <c r="B621" i="24" s="1"/>
  <c r="B622" i="24" s="1"/>
  <c r="B623" i="24" s="1"/>
  <c r="B624" i="24" s="1"/>
  <c r="B625" i="24" s="1"/>
  <c r="B626" i="24" s="1"/>
  <c r="B627" i="24" s="1"/>
  <c r="B628" i="24" s="1"/>
  <c r="B629" i="24" s="1"/>
  <c r="B630" i="24" s="1"/>
  <c r="B631" i="24" s="1"/>
  <c r="B632" i="24" s="1"/>
  <c r="B633" i="24" s="1"/>
  <c r="B634" i="24" s="1"/>
  <c r="B635" i="24" s="1"/>
  <c r="B636" i="24" s="1"/>
  <c r="B637" i="24" s="1"/>
  <c r="B638" i="24" s="1"/>
  <c r="B639" i="24" s="1"/>
  <c r="B640" i="24" s="1"/>
  <c r="B641" i="24" s="1"/>
  <c r="B642" i="24" s="1"/>
  <c r="B643" i="24" s="1"/>
  <c r="B644" i="24" s="1"/>
  <c r="B645" i="24" s="1"/>
  <c r="B646" i="24" s="1"/>
  <c r="B647" i="24" s="1"/>
  <c r="B648" i="24" s="1"/>
  <c r="B649" i="24" s="1"/>
  <c r="B650" i="24" s="1"/>
  <c r="B651" i="24" s="1"/>
  <c r="B652" i="24" s="1"/>
  <c r="B653" i="24" s="1"/>
  <c r="B654" i="24" s="1"/>
  <c r="B655" i="24" s="1"/>
  <c r="B656" i="24" s="1"/>
  <c r="B657" i="24" s="1"/>
  <c r="B658" i="24" s="1"/>
  <c r="B659" i="24" s="1"/>
  <c r="B660" i="24" s="1"/>
  <c r="B661" i="24" s="1"/>
  <c r="B662" i="24" s="1"/>
  <c r="B663" i="24" s="1"/>
  <c r="B664" i="24" s="1"/>
  <c r="B665" i="24" s="1"/>
  <c r="B666" i="24" s="1"/>
  <c r="B667" i="24" s="1"/>
  <c r="B668" i="24" s="1"/>
  <c r="B669" i="24" s="1"/>
  <c r="B670" i="24" s="1"/>
  <c r="B671" i="24" s="1"/>
  <c r="B672" i="24" s="1"/>
  <c r="B673" i="24" s="1"/>
  <c r="B674" i="24" s="1"/>
  <c r="B675" i="24" s="1"/>
  <c r="B676" i="24" s="1"/>
  <c r="B677" i="24" s="1"/>
  <c r="B678" i="24" s="1"/>
</calcChain>
</file>

<file path=xl/sharedStrings.xml><?xml version="1.0" encoding="utf-8"?>
<sst xmlns="http://schemas.openxmlformats.org/spreadsheetml/2006/main" count="7007" uniqueCount="6673">
  <si>
    <t>Date</t>
  </si>
  <si>
    <t>N°</t>
  </si>
  <si>
    <t>dire</t>
  </si>
  <si>
    <t>to assuage</t>
  </si>
  <si>
    <t>apaiser</t>
  </si>
  <si>
    <t>to carve</t>
  </si>
  <si>
    <t>tailler</t>
  </si>
  <si>
    <t>singer, imiter</t>
  </si>
  <si>
    <t>écouter</t>
  </si>
  <si>
    <t>slanted</t>
  </si>
  <si>
    <t>incliné</t>
  </si>
  <si>
    <t>24h/24</t>
  </si>
  <si>
    <t>high-end</t>
  </si>
  <si>
    <t>haut de gamme</t>
  </si>
  <si>
    <t>pertaining</t>
  </si>
  <si>
    <t>se rapportant</t>
  </si>
  <si>
    <t>figuratively</t>
  </si>
  <si>
    <t>métaphoriquement</t>
  </si>
  <si>
    <t>pointedly</t>
  </si>
  <si>
    <t>de façon insistante, d'une manière significative</t>
  </si>
  <si>
    <t>in turn</t>
  </si>
  <si>
    <t>à son tour</t>
  </si>
  <si>
    <t>intermingled</t>
  </si>
  <si>
    <t>entremêlé</t>
  </si>
  <si>
    <t>dog-eared</t>
  </si>
  <si>
    <t>écorné</t>
  </si>
  <si>
    <t>relished</t>
  </si>
  <si>
    <t>ravi</t>
  </si>
  <si>
    <t>pittoresque, original</t>
  </si>
  <si>
    <t>grouillant de monde, torrentiel</t>
  </si>
  <si>
    <t>mûrir, s'adoucir, rendre moelleux</t>
  </si>
  <si>
    <t>un devis</t>
  </si>
  <si>
    <t>a spread</t>
  </si>
  <si>
    <t>subsequently</t>
  </si>
  <si>
    <t>par la suite</t>
  </si>
  <si>
    <t>finals</t>
  </si>
  <si>
    <t>une mention très bien</t>
  </si>
  <si>
    <t>jouer de l’argent / prendre des risques</t>
  </si>
  <si>
    <t>secretive</t>
  </si>
  <si>
    <t>secret</t>
  </si>
  <si>
    <t>whatsoever</t>
  </si>
  <si>
    <t>quoi que ce soit</t>
  </si>
  <si>
    <t>to come to an end</t>
  </si>
  <si>
    <t>toucher à sa fin</t>
  </si>
  <si>
    <t>quite a few of</t>
  </si>
  <si>
    <t xml:space="preserve">pas mal de </t>
  </si>
  <si>
    <t>to be on the lookout for</t>
  </si>
  <si>
    <t xml:space="preserve">guetter, être à la recherche de </t>
  </si>
  <si>
    <t>rapturous</t>
  </si>
  <si>
    <t>enthousiaste</t>
  </si>
  <si>
    <t>ill-mannered</t>
  </si>
  <si>
    <t>mal élevé</t>
  </si>
  <si>
    <t>rendre</t>
  </si>
  <si>
    <t>to reciprocate</t>
  </si>
  <si>
    <t>to dwarf</t>
  </si>
  <si>
    <t>rapetisser, faire paraître petit</t>
  </si>
  <si>
    <t>to uphold</t>
  </si>
  <si>
    <t>maintenir, défendre</t>
  </si>
  <si>
    <t>to hound</t>
  </si>
  <si>
    <t>traquer, talonner</t>
  </si>
  <si>
    <t>stunning</t>
  </si>
  <si>
    <t>étourdissant</t>
  </si>
  <si>
    <t>fiendish</t>
  </si>
  <si>
    <t>diabolique</t>
  </si>
  <si>
    <t>tongue-in-cheek</t>
  </si>
  <si>
    <t>frantic</t>
  </si>
  <si>
    <t>frénétique</t>
  </si>
  <si>
    <t>conjurer</t>
  </si>
  <si>
    <t>to stave off</t>
  </si>
  <si>
    <t>operations</t>
  </si>
  <si>
    <t>en principe</t>
  </si>
  <si>
    <t>generally speaking</t>
  </si>
  <si>
    <t>filiale dont la totalité du capital a été rachetée par la société mère</t>
  </si>
  <si>
    <t>hands-on experience</t>
  </si>
  <si>
    <t>to be taken aback</t>
  </si>
  <si>
    <t>être surpris, déconcerté, décontenancé</t>
  </si>
  <si>
    <t>overpowering</t>
  </si>
  <si>
    <t>envahissant</t>
  </si>
  <si>
    <t>whenever you like</t>
  </si>
  <si>
    <t>quand tu voudras</t>
  </si>
  <si>
    <t>loose</t>
  </si>
  <si>
    <t>en vrac / relâché</t>
  </si>
  <si>
    <t>artful</t>
  </si>
  <si>
    <t>astucieux</t>
  </si>
  <si>
    <t>arm twisting</t>
  </si>
  <si>
    <t>bankable</t>
  </si>
  <si>
    <t>désamorcer</t>
  </si>
  <si>
    <t>mettre un obstacle</t>
  </si>
  <si>
    <t>in dissent</t>
  </si>
  <si>
    <t>en désaccord</t>
  </si>
  <si>
    <t>rubicond</t>
  </si>
  <si>
    <t>by and large</t>
  </si>
  <si>
    <t>dans l'ensemble / en tout cas, de toute façon</t>
  </si>
  <si>
    <t>bafouer, fouler aux pied</t>
  </si>
  <si>
    <t>en abondance</t>
  </si>
  <si>
    <t>se répander sur, colorer, pigmenter</t>
  </si>
  <si>
    <t>to reap</t>
  </si>
  <si>
    <t>recueillir, moissonner</t>
  </si>
  <si>
    <t>a chalice</t>
  </si>
  <si>
    <t>lengthy</t>
  </si>
  <si>
    <t>long, interminable</t>
  </si>
  <si>
    <t>a loom</t>
  </si>
  <si>
    <t>un métier à tisser</t>
  </si>
  <si>
    <t>appalled</t>
  </si>
  <si>
    <t>consterné, épouvanté, scandalisé</t>
  </si>
  <si>
    <t>out of the blue</t>
  </si>
  <si>
    <t>tout à coup</t>
  </si>
  <si>
    <t>a gaol</t>
  </si>
  <si>
    <t>cinglant, acerbe</t>
  </si>
  <si>
    <t>to squirm</t>
  </si>
  <si>
    <t>se tortiller</t>
  </si>
  <si>
    <t>exerted</t>
  </si>
  <si>
    <t>exercé, déployé</t>
  </si>
  <si>
    <t>jettisoned</t>
  </si>
  <si>
    <t>largué, abandonné, délesté</t>
  </si>
  <si>
    <t>croustillant</t>
  </si>
  <si>
    <t>way beyond</t>
  </si>
  <si>
    <t>bien au-delà</t>
  </si>
  <si>
    <t>to quibble</t>
  </si>
  <si>
    <t>ergoter, chicaner</t>
  </si>
  <si>
    <t>défendre, maintenir</t>
  </si>
  <si>
    <t>dans l'ensemble</t>
  </si>
  <si>
    <t>undisguisedly</t>
  </si>
  <si>
    <t>a crunch</t>
  </si>
  <si>
    <t>a lifeline</t>
  </si>
  <si>
    <t>to cave in</t>
  </si>
  <si>
    <t>s'effondrer, faire chuter</t>
  </si>
  <si>
    <t>en retard / isolant</t>
  </si>
  <si>
    <t>a rake</t>
  </si>
  <si>
    <t>a sorrow</t>
  </si>
  <si>
    <t>a hunch</t>
  </si>
  <si>
    <t>to waive</t>
  </si>
  <si>
    <t>an inkling</t>
  </si>
  <si>
    <t>to disgruntle</t>
  </si>
  <si>
    <t>contrarier, décevoir</t>
  </si>
  <si>
    <t>uncanny</t>
  </si>
  <si>
    <t>étrange</t>
  </si>
  <si>
    <t>by no means</t>
  </si>
  <si>
    <t>en aucun cas, loin de</t>
  </si>
  <si>
    <t>to rattle</t>
  </si>
  <si>
    <t>a fillip</t>
  </si>
  <si>
    <t>a muster</t>
  </si>
  <si>
    <t>sternly</t>
  </si>
  <si>
    <t>to bludgeon</t>
  </si>
  <si>
    <t>matraquer</t>
  </si>
  <si>
    <t>sévèrement</t>
  </si>
  <si>
    <t>the bedrock</t>
  </si>
  <si>
    <t>to scrimp</t>
  </si>
  <si>
    <t>se serrer la ceinture, être chiche</t>
  </si>
  <si>
    <t>at stake</t>
  </si>
  <si>
    <t>en jeu / en danger</t>
  </si>
  <si>
    <t>a bust</t>
  </si>
  <si>
    <t>open-ended</t>
  </si>
  <si>
    <t>a subsidy</t>
  </si>
  <si>
    <t>the backbench</t>
  </si>
  <si>
    <t>a retort</t>
  </si>
  <si>
    <t>une réplique, une riposte</t>
  </si>
  <si>
    <t>petty</t>
  </si>
  <si>
    <t>petit, insignifiant, simple</t>
  </si>
  <si>
    <t>to err</t>
  </si>
  <si>
    <t>a shirker</t>
  </si>
  <si>
    <t>un tir-au-flanc</t>
  </si>
  <si>
    <t>a glower</t>
  </si>
  <si>
    <t>un regard noir</t>
  </si>
  <si>
    <t>to sour</t>
  </si>
  <si>
    <t>s'aigrir</t>
  </si>
  <si>
    <t>a bulwark</t>
  </si>
  <si>
    <t>plainly</t>
  </si>
  <si>
    <t>clairement, simplement</t>
  </si>
  <si>
    <t>wryly</t>
  </si>
  <si>
    <t>concis / vigoureux</t>
  </si>
  <si>
    <t>enticing</t>
  </si>
  <si>
    <t>séduisant, alléchant, attrayant</t>
  </si>
  <si>
    <t>tinned</t>
  </si>
  <si>
    <t>en conserve</t>
  </si>
  <si>
    <t>shaky</t>
  </si>
  <si>
    <t>précaire, instable</t>
  </si>
  <si>
    <t>to purport</t>
  </si>
  <si>
    <t>se prétendre, se faire passer pour</t>
  </si>
  <si>
    <t>to suffuse</t>
  </si>
  <si>
    <t>avowedly</t>
  </si>
  <si>
    <t>de son propre aveu</t>
  </si>
  <si>
    <t>boisterous</t>
  </si>
  <si>
    <t>bruyant, tapageur, tumultueux</t>
  </si>
  <si>
    <t>barbed</t>
  </si>
  <si>
    <t>barbelé, acéré</t>
  </si>
  <si>
    <t>to parse</t>
  </si>
  <si>
    <t>analyser</t>
  </si>
  <si>
    <t>an overdraft</t>
  </si>
  <si>
    <t>a libel</t>
  </si>
  <si>
    <t>an outflow</t>
  </si>
  <si>
    <t>to be stuck</t>
  </si>
  <si>
    <t>a directory</t>
  </si>
  <si>
    <t>a contest</t>
  </si>
  <si>
    <t>the span</t>
  </si>
  <si>
    <t>stilted</t>
  </si>
  <si>
    <t>guindé</t>
  </si>
  <si>
    <t>to spew</t>
  </si>
  <si>
    <t>dull</t>
  </si>
  <si>
    <t>terne, mat, ennuyeux</t>
  </si>
  <si>
    <t>ruthless</t>
  </si>
  <si>
    <t>apaisant, relaxant, reposant</t>
  </si>
  <si>
    <t>mercurial</t>
  </si>
  <si>
    <t>strapped</t>
  </si>
  <si>
    <t>sinueux</t>
  </si>
  <si>
    <t>blatant</t>
  </si>
  <si>
    <t>on the verge</t>
  </si>
  <si>
    <t>clad</t>
  </si>
  <si>
    <t>habillé</t>
  </si>
  <si>
    <t>chilly</t>
  </si>
  <si>
    <t>froid (figuré) / frais</t>
  </si>
  <si>
    <t>to tack</t>
  </si>
  <si>
    <t>to extol</t>
  </si>
  <si>
    <t>aies and noes</t>
  </si>
  <si>
    <t>les oui et les non d'un vote</t>
  </si>
  <si>
    <t>carrément, complètement, franchement</t>
  </si>
  <si>
    <t>whetted</t>
  </si>
  <si>
    <t>high-flown</t>
  </si>
  <si>
    <t>ampoulé, (faussement) de haute volée</t>
  </si>
  <si>
    <t>morne</t>
  </si>
  <si>
    <t>beforehand</t>
  </si>
  <si>
    <t>au préalable, auparavant</t>
  </si>
  <si>
    <t>grim</t>
  </si>
  <si>
    <t>sinistre, triste</t>
  </si>
  <si>
    <t>forensic</t>
  </si>
  <si>
    <t>relatif au barreau</t>
  </si>
  <si>
    <t>nerveux, agité</t>
  </si>
  <si>
    <t>the jaw</t>
  </si>
  <si>
    <t>a scourge</t>
  </si>
  <si>
    <t>un fléau, un fouet</t>
  </si>
  <si>
    <t>la mâchoire</t>
  </si>
  <si>
    <t>de front</t>
  </si>
  <si>
    <t>palatable</t>
  </si>
  <si>
    <t>agréable au goût / acceptable</t>
  </si>
  <si>
    <t>a fudge</t>
  </si>
  <si>
    <t>un caramel / une blague / les dernières nouvelles</t>
  </si>
  <si>
    <t>flatly</t>
  </si>
  <si>
    <t>catégoriquement</t>
  </si>
  <si>
    <t>avuncular</t>
  </si>
  <si>
    <t>relatif à un oncle</t>
  </si>
  <si>
    <t>to dodge</t>
  </si>
  <si>
    <t>esquiver / se faufiler</t>
  </si>
  <si>
    <t>to squeak</t>
  </si>
  <si>
    <t>grincer / piailler, glapir</t>
  </si>
  <si>
    <t>admittedly</t>
  </si>
  <si>
    <t>de l'aveu de tous</t>
  </si>
  <si>
    <t>a reshuffle</t>
  </si>
  <si>
    <t>un remaniement</t>
  </si>
  <si>
    <t>ominous</t>
  </si>
  <si>
    <t>a lurch</t>
  </si>
  <si>
    <t>une embardée</t>
  </si>
  <si>
    <t>doré</t>
  </si>
  <si>
    <t>the throng</t>
  </si>
  <si>
    <t>la foule</t>
  </si>
  <si>
    <t>protéiforme, changeant, inconstant</t>
  </si>
  <si>
    <t>to wean</t>
  </si>
  <si>
    <t>sevrer, détacher de</t>
  </si>
  <si>
    <t>délabré</t>
  </si>
  <si>
    <t>grating</t>
  </si>
  <si>
    <t>grinçant, agaçant, énervant / discordant</t>
  </si>
  <si>
    <t>a din</t>
  </si>
  <si>
    <t>un vacarme</t>
  </si>
  <si>
    <t>ruffled</t>
  </si>
  <si>
    <t>ébouriffé, froissé / troublé</t>
  </si>
  <si>
    <t>to epitomise</t>
  </si>
  <si>
    <t>incarner, résumer</t>
  </si>
  <si>
    <t>stranded</t>
  </si>
  <si>
    <t>sordide, misérable</t>
  </si>
  <si>
    <t>a tag</t>
  </si>
  <si>
    <t>une étiquette</t>
  </si>
  <si>
    <t>a misdemeanour</t>
  </si>
  <si>
    <t>une infraction, un délit mineur</t>
  </si>
  <si>
    <t>a patron</t>
  </si>
  <si>
    <t>a sprain</t>
  </si>
  <si>
    <t>une foulure</t>
  </si>
  <si>
    <t>the liver</t>
  </si>
  <si>
    <t>le foie</t>
  </si>
  <si>
    <t>an armchair</t>
  </si>
  <si>
    <t>un fauteuil</t>
  </si>
  <si>
    <t>an apron</t>
  </si>
  <si>
    <t>un tablier</t>
  </si>
  <si>
    <t>altogether</t>
  </si>
  <si>
    <t>aussitôt</t>
  </si>
  <si>
    <t>allegedly</t>
  </si>
  <si>
    <t>a bluster</t>
  </si>
  <si>
    <t>un fracas</t>
  </si>
  <si>
    <t>to bail out</t>
  </si>
  <si>
    <t>tirer d'affaire</t>
  </si>
  <si>
    <t>a beam</t>
  </si>
  <si>
    <t>a bargain</t>
  </si>
  <si>
    <t>un marché, une affaire</t>
  </si>
  <si>
    <t>a brace</t>
  </si>
  <si>
    <t>un lien, une attache</t>
  </si>
  <si>
    <t>to bloat</t>
  </si>
  <si>
    <t>gonfler</t>
  </si>
  <si>
    <t>brisk</t>
  </si>
  <si>
    <t>vif</t>
  </si>
  <si>
    <t>blinkered</t>
  </si>
  <si>
    <t>borné</t>
  </si>
  <si>
    <t>a blast</t>
  </si>
  <si>
    <t>to blast</t>
  </si>
  <si>
    <t>détruire, faire exploser</t>
  </si>
  <si>
    <t>a crackdown</t>
  </si>
  <si>
    <t>une répression</t>
  </si>
  <si>
    <t>complacent</t>
  </si>
  <si>
    <t>content de soi</t>
  </si>
  <si>
    <t>a comb</t>
  </si>
  <si>
    <t>un peigne</t>
  </si>
  <si>
    <t>to clutter</t>
  </si>
  <si>
    <t>encombrer</t>
  </si>
  <si>
    <t>cutting-edge</t>
  </si>
  <si>
    <t>dernier cri</t>
  </si>
  <si>
    <t>to compound</t>
  </si>
  <si>
    <t>composer, combiner</t>
  </si>
  <si>
    <t>to deter from</t>
  </si>
  <si>
    <t>détourner de</t>
  </si>
  <si>
    <t>to dismiss</t>
  </si>
  <si>
    <t>divisive</t>
  </si>
  <si>
    <t>qui sème la discorde</t>
  </si>
  <si>
    <t>a drawer</t>
  </si>
  <si>
    <t>un tiroir</t>
  </si>
  <si>
    <t>a dam</t>
  </si>
  <si>
    <t>un barrage</t>
  </si>
  <si>
    <t>a devolution</t>
  </si>
  <si>
    <t>une délocalisation</t>
  </si>
  <si>
    <t>a dump</t>
  </si>
  <si>
    <t>to dump</t>
  </si>
  <si>
    <t>décharger, déverser</t>
  </si>
  <si>
    <t>to evade</t>
  </si>
  <si>
    <t>éviter</t>
  </si>
  <si>
    <t>to enact</t>
  </si>
  <si>
    <t>décréter (une loi, …)</t>
  </si>
  <si>
    <t>to be flustered</t>
  </si>
  <si>
    <t>to fetch</t>
  </si>
  <si>
    <t>venir chercher quelqu'un</t>
  </si>
  <si>
    <t>the forehead</t>
  </si>
  <si>
    <t>le front</t>
  </si>
  <si>
    <t>to fancy</t>
  </si>
  <si>
    <t>s'imaginer</t>
  </si>
  <si>
    <t>fatuous</t>
  </si>
  <si>
    <t>imbécile, idiot</t>
  </si>
  <si>
    <t>to give a lift</t>
  </si>
  <si>
    <t>amener à … (en véhicule)</t>
  </si>
  <si>
    <t>go-ahead</t>
  </si>
  <si>
    <t>actif</t>
  </si>
  <si>
    <t>genuine</t>
  </si>
  <si>
    <t>authentique</t>
  </si>
  <si>
    <t>hectic</t>
  </si>
  <si>
    <t>(rythme) effréné</t>
  </si>
  <si>
    <t>hazy</t>
  </si>
  <si>
    <t>vague</t>
  </si>
  <si>
    <t>a haul</t>
  </si>
  <si>
    <t>un voyage, un trajet</t>
  </si>
  <si>
    <t>to harness</t>
  </si>
  <si>
    <t>exploiter</t>
  </si>
  <si>
    <t>to harvest</t>
  </si>
  <si>
    <t>récupérer</t>
  </si>
  <si>
    <t>hasty</t>
  </si>
  <si>
    <t>précipité, sommaire</t>
  </si>
  <si>
    <t>a hardship</t>
  </si>
  <si>
    <t>to hint</t>
  </si>
  <si>
    <t>insinuer, suggérer</t>
  </si>
  <si>
    <t>naissant</t>
  </si>
  <si>
    <t>the inroad</t>
  </si>
  <si>
    <t>l'incursion, l'empiètement</t>
  </si>
  <si>
    <t>a jolt</t>
  </si>
  <si>
    <t>une secousse</t>
  </si>
  <si>
    <t>désirer</t>
  </si>
  <si>
    <t>le plomb</t>
  </si>
  <si>
    <t>a lane</t>
  </si>
  <si>
    <t>une voie d'autoroute</t>
  </si>
  <si>
    <t>to loathe</t>
  </si>
  <si>
    <t>détester, exécrer</t>
  </si>
  <si>
    <t>to lurk</t>
  </si>
  <si>
    <t>se cacher</t>
  </si>
  <si>
    <t>lavish</t>
  </si>
  <si>
    <t>prodigue, somptueux</t>
  </si>
  <si>
    <t>the layout</t>
  </si>
  <si>
    <t>la disposition, l'arrangement</t>
  </si>
  <si>
    <t>to monitor</t>
  </si>
  <si>
    <t>surveiller</t>
  </si>
  <si>
    <t>to make for</t>
  </si>
  <si>
    <t>se diriger vers, aller à</t>
  </si>
  <si>
    <t>merely</t>
  </si>
  <si>
    <t>seulement</t>
  </si>
  <si>
    <t>nasty</t>
  </si>
  <si>
    <t>méchant, mauvais</t>
  </si>
  <si>
    <t>namely</t>
  </si>
  <si>
    <t>à savoir</t>
  </si>
  <si>
    <t>neat</t>
  </si>
  <si>
    <t>pur, ordonné</t>
  </si>
  <si>
    <t>agile, leste</t>
  </si>
  <si>
    <t>a nuke</t>
  </si>
  <si>
    <t>une arme nucléaire</t>
  </si>
  <si>
    <t>native to</t>
  </si>
  <si>
    <t>originaire de</t>
  </si>
  <si>
    <t>owing to</t>
  </si>
  <si>
    <t>en raison de</t>
  </si>
  <si>
    <t>an overhaul</t>
  </si>
  <si>
    <t>une révision (dans tous les sens)</t>
  </si>
  <si>
    <t>an outbreak</t>
  </si>
  <si>
    <t>une éruption, une explosion</t>
  </si>
  <si>
    <t>ongoing</t>
  </si>
  <si>
    <t>progressif, continu</t>
  </si>
  <si>
    <t>an overflow</t>
  </si>
  <si>
    <t>un débordement, des inondations</t>
  </si>
  <si>
    <t>menaçant, sinistre, inquiétant</t>
  </si>
  <si>
    <t>a prejudice</t>
  </si>
  <si>
    <t>un préjugé</t>
  </si>
  <si>
    <t>to pick out</t>
  </si>
  <si>
    <t>faire le tri</t>
  </si>
  <si>
    <t>a proficiency</t>
  </si>
  <si>
    <t>une capacité</t>
  </si>
  <si>
    <t>to pledge</t>
  </si>
  <si>
    <t>promettre (solennellement)</t>
  </si>
  <si>
    <t>potent</t>
  </si>
  <si>
    <t>efficace</t>
  </si>
  <si>
    <t>une poursuite judiciaire</t>
  </si>
  <si>
    <t>to prompt</t>
  </si>
  <si>
    <t>suggérer</t>
  </si>
  <si>
    <t>a pit</t>
  </si>
  <si>
    <t>une fosse</t>
  </si>
  <si>
    <t>a realm</t>
  </si>
  <si>
    <t>to rumble</t>
  </si>
  <si>
    <t>gronder (tonnerre, …)</t>
  </si>
  <si>
    <t>to recede</t>
  </si>
  <si>
    <t>s'éloigner, se retirer</t>
  </si>
  <si>
    <t>to rasp</t>
  </si>
  <si>
    <t>grincer / racler</t>
  </si>
  <si>
    <t>to scorn</t>
  </si>
  <si>
    <t>mépriser</t>
  </si>
  <si>
    <t>scarcely</t>
  </si>
  <si>
    <t>à peine</t>
  </si>
  <si>
    <t>to shudder</t>
  </si>
  <si>
    <t>trembler</t>
  </si>
  <si>
    <t>se balancer</t>
  </si>
  <si>
    <t>selfsame</t>
  </si>
  <si>
    <t>identique</t>
  </si>
  <si>
    <t>a soar</t>
  </si>
  <si>
    <t>un essort</t>
  </si>
  <si>
    <t>to sweep</t>
  </si>
  <si>
    <t>balayer</t>
  </si>
  <si>
    <t>to spurt</t>
  </si>
  <si>
    <t>gicler, jaillir</t>
  </si>
  <si>
    <t>a streak</t>
  </si>
  <si>
    <t>une rayure, une trace</t>
  </si>
  <si>
    <t>insuffisant, peu abondant</t>
  </si>
  <si>
    <t>rarement</t>
  </si>
  <si>
    <t>to steer</t>
  </si>
  <si>
    <t>gouverner, diriger</t>
  </si>
  <si>
    <t>to streamline</t>
  </si>
  <si>
    <t>majestueux, imposant</t>
  </si>
  <si>
    <t>to showe</t>
  </si>
  <si>
    <t>pousser, faire marcher</t>
  </si>
  <si>
    <t>a slump</t>
  </si>
  <si>
    <t>a syllabus</t>
  </si>
  <si>
    <t>une baisse, un effondrement</t>
  </si>
  <si>
    <t>stead</t>
  </si>
  <si>
    <t>ferme, solide</t>
  </si>
  <si>
    <t>a swarm</t>
  </si>
  <si>
    <t>un essaim, une nuée</t>
  </si>
  <si>
    <t>to tell off</t>
  </si>
  <si>
    <t>réprimander</t>
  </si>
  <si>
    <t>to get a tan</t>
  </si>
  <si>
    <t>bronzer</t>
  </si>
  <si>
    <t>a thrust</t>
  </si>
  <si>
    <t>une poussée</t>
  </si>
  <si>
    <t>to trigger</t>
  </si>
  <si>
    <t>déclencher</t>
  </si>
  <si>
    <t>to thrive</t>
  </si>
  <si>
    <t>thrifty</t>
  </si>
  <si>
    <t>économe</t>
  </si>
  <si>
    <t>the turmoil</t>
  </si>
  <si>
    <t>le tumulte, l'agitation</t>
  </si>
  <si>
    <t>utter</t>
  </si>
  <si>
    <t>complet, absolu</t>
  </si>
  <si>
    <t>to upset</t>
  </si>
  <si>
    <t>bouleverser, renverser, désorganiser</t>
  </si>
  <si>
    <t>the underdog</t>
  </si>
  <si>
    <t>l'opprimé, le perdant</t>
  </si>
  <si>
    <t>versatile</t>
  </si>
  <si>
    <t>polyvalent</t>
  </si>
  <si>
    <t>a venture</t>
  </si>
  <si>
    <t>whereas</t>
  </si>
  <si>
    <t>tandis que</t>
  </si>
  <si>
    <t>well-to-do</t>
  </si>
  <si>
    <t>aisé, riche</t>
  </si>
  <si>
    <t>to wane</t>
  </si>
  <si>
    <t>décroître, décliner</t>
  </si>
  <si>
    <t>a windmill</t>
  </si>
  <si>
    <t>une éolienne</t>
  </si>
  <si>
    <t>to wither</t>
  </si>
  <si>
    <t>to wrench</t>
  </si>
  <si>
    <t>tordre</t>
  </si>
  <si>
    <t>to wrestle with</t>
  </si>
  <si>
    <t>to yearn for</t>
  </si>
  <si>
    <t>a yield</t>
  </si>
  <si>
    <t>une production, un rendement</t>
  </si>
  <si>
    <t>a misconception</t>
  </si>
  <si>
    <t>une idée fausse</t>
  </si>
  <si>
    <t>the hability</t>
  </si>
  <si>
    <t xml:space="preserve"> la capacité</t>
  </si>
  <si>
    <t>the opportunity</t>
  </si>
  <si>
    <t>l'occasion</t>
  </si>
  <si>
    <t>fou</t>
  </si>
  <si>
    <t>to deceive</t>
  </si>
  <si>
    <t>tromper</t>
  </si>
  <si>
    <t>a hall</t>
  </si>
  <si>
    <t>un couloir</t>
  </si>
  <si>
    <t>pour ainsi dire</t>
  </si>
  <si>
    <t>up to scratch</t>
  </si>
  <si>
    <t>à la hauteur</t>
  </si>
  <si>
    <t>in the limelight</t>
  </si>
  <si>
    <t>entrevoir</t>
  </si>
  <si>
    <t>to deliver</t>
  </si>
  <si>
    <t>distribuer</t>
  </si>
  <si>
    <t>intoxicated</t>
  </si>
  <si>
    <t>ivre</t>
  </si>
  <si>
    <t>an affair</t>
  </si>
  <si>
    <t>commodious</t>
  </si>
  <si>
    <t>spacieux</t>
  </si>
  <si>
    <t>to put one's money where one's mouth is</t>
  </si>
  <si>
    <t>joindre l'acte à la parole</t>
  </si>
  <si>
    <t>torpid</t>
  </si>
  <si>
    <t>engourdi</t>
  </si>
  <si>
    <t>joyeux, bruyant</t>
  </si>
  <si>
    <t>unswering</t>
  </si>
  <si>
    <t>inébranlable, indéfectible</t>
  </si>
  <si>
    <t>to depart</t>
  </si>
  <si>
    <t>partir, quitter / mourir / s'écarter de</t>
  </si>
  <si>
    <t>to coerce</t>
  </si>
  <si>
    <t>contraindre, forcer</t>
  </si>
  <si>
    <t>to waylay</t>
  </si>
  <si>
    <t>intercepter</t>
  </si>
  <si>
    <t>overweening</t>
  </si>
  <si>
    <t>démesuré, outrecuidant</t>
  </si>
  <si>
    <t>pungent</t>
  </si>
  <si>
    <t>mordant, acerbe</t>
  </si>
  <si>
    <t>a haddock</t>
  </si>
  <si>
    <t>un églefin</t>
  </si>
  <si>
    <t>gruelling / grueling</t>
  </si>
  <si>
    <t>épuisant, éreintant</t>
  </si>
  <si>
    <t>frêle, fragile</t>
  </si>
  <si>
    <t>squeamish</t>
  </si>
  <si>
    <t>facilement dégoûté, qui a la nausée</t>
  </si>
  <si>
    <t>corny</t>
  </si>
  <si>
    <t>banal</t>
  </si>
  <si>
    <t>to haggle</t>
  </si>
  <si>
    <t>marchander</t>
  </si>
  <si>
    <t>an upheaval</t>
  </si>
  <si>
    <t>beaten tracks</t>
  </si>
  <si>
    <t>the bustle</t>
  </si>
  <si>
    <t>l'agitation / la tournure</t>
  </si>
  <si>
    <t>a spitoon</t>
  </si>
  <si>
    <t>un crachoir</t>
  </si>
  <si>
    <t>ousted</t>
  </si>
  <si>
    <t>évincé, chassé, expulsé</t>
  </si>
  <si>
    <t>to mourn</t>
  </si>
  <si>
    <t>faire le deuil</t>
  </si>
  <si>
    <t>sournois, rusé</t>
  </si>
  <si>
    <t>to sip</t>
  </si>
  <si>
    <t>siroter</t>
  </si>
  <si>
    <t>a slug</t>
  </si>
  <si>
    <t>une limace</t>
  </si>
  <si>
    <t>unabashed</t>
  </si>
  <si>
    <t>nullement intimidé</t>
  </si>
  <si>
    <t>étrange, sinistre</t>
  </si>
  <si>
    <t>to enthrall</t>
  </si>
  <si>
    <t>décharné, émacié</t>
  </si>
  <si>
    <t>earnestness</t>
  </si>
  <si>
    <t>mal nommé</t>
  </si>
  <si>
    <t>a flurry</t>
  </si>
  <si>
    <t>une rafale</t>
  </si>
  <si>
    <t>a snippet</t>
  </si>
  <si>
    <t>un fragment, une bribe</t>
  </si>
  <si>
    <t>to cull</t>
  </si>
  <si>
    <t>a warp</t>
  </si>
  <si>
    <t>feral</t>
  </si>
  <si>
    <t>sauvage</t>
  </si>
  <si>
    <t>the quill</t>
  </si>
  <si>
    <t>la penne (plume)</t>
  </si>
  <si>
    <t>the marrow</t>
  </si>
  <si>
    <t>la moelle, l'essence</t>
  </si>
  <si>
    <t>the wreath</t>
  </si>
  <si>
    <t>la couronne, la guirlande</t>
  </si>
  <si>
    <t>a borstal</t>
  </si>
  <si>
    <t>foolproof</t>
  </si>
  <si>
    <t>infaillible</t>
  </si>
  <si>
    <t>a sneer</t>
  </si>
  <si>
    <t>un ricanement</t>
  </si>
  <si>
    <t>to trammel</t>
  </si>
  <si>
    <t>entraver</t>
  </si>
  <si>
    <t>to condone</t>
  </si>
  <si>
    <t>fermer les yeux sur / pardonner</t>
  </si>
  <si>
    <t>spiritedness</t>
  </si>
  <si>
    <t>wrought</t>
  </si>
  <si>
    <t>forgé, façonné</t>
  </si>
  <si>
    <t>countervailing</t>
  </si>
  <si>
    <t>compensatoire</t>
  </si>
  <si>
    <t>ebb and flow</t>
  </si>
  <si>
    <t>the fluke</t>
  </si>
  <si>
    <t>le coup de chance</t>
  </si>
  <si>
    <t>the parlance</t>
  </si>
  <si>
    <t>le langage</t>
  </si>
  <si>
    <t>gubernatorial</t>
  </si>
  <si>
    <t>du gouverneur</t>
  </si>
  <si>
    <t>a helter-skelter</t>
  </si>
  <si>
    <t>une bousculade</t>
  </si>
  <si>
    <t>throwaway (adj.)</t>
  </si>
  <si>
    <t>frenzied</t>
  </si>
  <si>
    <t>dowdy</t>
  </si>
  <si>
    <t>démodé, mal fagoté</t>
  </si>
  <si>
    <t>véritable</t>
  </si>
  <si>
    <t>to stitch up</t>
  </si>
  <si>
    <t>a chilling</t>
  </si>
  <si>
    <t>a joggle</t>
  </si>
  <si>
    <t>une légère secousse</t>
  </si>
  <si>
    <t>a stitch</t>
  </si>
  <si>
    <t>a sore throat</t>
  </si>
  <si>
    <t>a hunchback</t>
  </si>
  <si>
    <t>annoncer</t>
  </si>
  <si>
    <t>accomplir, exécuter, remplir (obligation, contrat)</t>
  </si>
  <si>
    <t>augmenter</t>
  </si>
  <si>
    <t>avoir une journée de congé</t>
  </si>
  <si>
    <t>aller de l’avant avec, mettre à exécution</t>
  </si>
  <si>
    <t>adapter, ajuster</t>
  </si>
  <si>
    <t>arriver à comprendre</t>
  </si>
  <si>
    <t>appuyer, approuver, promouvoir</t>
  </si>
  <si>
    <t>avertir</t>
  </si>
  <si>
    <t>accomplir, exercer, remplir</t>
  </si>
  <si>
    <t>accorder, décerner</t>
  </si>
  <si>
    <t>assister à, aller à</t>
  </si>
  <si>
    <t>allouer, attribuer</t>
  </si>
  <si>
    <t>antécédent, antérieur</t>
  </si>
  <si>
    <t>arriéré, en retard</t>
  </si>
  <si>
    <t>arrangements</t>
  </si>
  <si>
    <t>an estimate</t>
  </si>
  <si>
    <t>amenities</t>
  </si>
  <si>
    <t>affordable</t>
  </si>
  <si>
    <t>abordable</t>
  </si>
  <si>
    <t>affluence</t>
  </si>
  <si>
    <t>advanced</t>
  </si>
  <si>
    <t>accordingly</t>
  </si>
  <si>
    <t>avant</t>
  </si>
  <si>
    <t>awhile</t>
  </si>
  <si>
    <t>a stroke</t>
  </si>
  <si>
    <t>a great deal of</t>
  </si>
  <si>
    <t>acheter quelque chose à crédit</t>
  </si>
  <si>
    <t>ardent, enflammé</t>
  </si>
  <si>
    <t>a tip</t>
  </si>
  <si>
    <t>a telling example</t>
  </si>
  <si>
    <t>a spoof</t>
  </si>
  <si>
    <t>a socialite</t>
  </si>
  <si>
    <t>a slip of the tongue</t>
  </si>
  <si>
    <t>a seaside resort</t>
  </si>
  <si>
    <t>a score of men</t>
  </si>
  <si>
    <t>a quid</t>
  </si>
  <si>
    <t>a quarter</t>
  </si>
  <si>
    <t>a penny</t>
  </si>
  <si>
    <t>a peasant</t>
  </si>
  <si>
    <t>a nickel</t>
  </si>
  <si>
    <t>a mechanic</t>
  </si>
  <si>
    <t>a lure</t>
  </si>
  <si>
    <t>a hurdle</t>
  </si>
  <si>
    <t>a farmer</t>
  </si>
  <si>
    <t>a dime</t>
  </si>
  <si>
    <t>a dial</t>
  </si>
  <si>
    <t>a crust</t>
  </si>
  <si>
    <t>a chatterbox</t>
  </si>
  <si>
    <t>a by-product</t>
  </si>
  <si>
    <t>a business slump</t>
  </si>
  <si>
    <t>a bull market</t>
  </si>
  <si>
    <t>a buck</t>
  </si>
  <si>
    <t>a beater (hunting)</t>
  </si>
  <si>
    <t>a bear market</t>
  </si>
  <si>
    <t>a first</t>
  </si>
  <si>
    <t>as it were</t>
  </si>
  <si>
    <t>baisser brusquement, dégringoler</t>
  </si>
  <si>
    <t>by proxy</t>
  </si>
  <si>
    <t>bien informé, compétent</t>
  </si>
  <si>
    <t>brut (écon.)</t>
  </si>
  <si>
    <t>bon marché</t>
  </si>
  <si>
    <t>bank holiday</t>
  </si>
  <si>
    <t>blasted</t>
  </si>
  <si>
    <t>beaucoup de</t>
  </si>
  <si>
    <t>bourru, hargneux</t>
  </si>
  <si>
    <t>best part of forty years</t>
  </si>
  <si>
    <t>commercialiser</t>
  </si>
  <si>
    <t>concevoir</t>
  </si>
  <si>
    <t>complet, détaillé</t>
  </si>
  <si>
    <t>customs duty</t>
  </si>
  <si>
    <t>critical</t>
  </si>
  <si>
    <t>crucial</t>
  </si>
  <si>
    <t>cordless</t>
  </si>
  <si>
    <t>convenient</t>
  </si>
  <si>
    <t>commode, pratique</t>
  </si>
  <si>
    <t>complimentary</t>
  </si>
  <si>
    <t>commensurate with</t>
  </si>
  <si>
    <t>chain stores</t>
  </si>
  <si>
    <t>capital goods</t>
  </si>
  <si>
    <t>causer, bavarder</t>
  </si>
  <si>
    <t>craintif</t>
  </si>
  <si>
    <t>crusty</t>
  </si>
  <si>
    <t>colour-blind</t>
  </si>
  <si>
    <t>classical</t>
  </si>
  <si>
    <t>dubious</t>
  </si>
  <si>
    <t>douteux, suspect</t>
  </si>
  <si>
    <t>dégringoler, fléchir</t>
  </si>
  <si>
    <t>déposer, laisser</t>
  </si>
  <si>
    <t>divulguer, dévoiler</t>
  </si>
  <si>
    <t>de grade inférieur</t>
  </si>
  <si>
    <t>domestic</t>
  </si>
  <si>
    <t>disabled</t>
  </si>
  <si>
    <t>deluxe</t>
  </si>
  <si>
    <t>de même mesure que, proportionné à</t>
  </si>
  <si>
    <t>d’ailleurs, du reste, en outre</t>
  </si>
  <si>
    <t>donner un coup sec, frapper</t>
  </si>
  <si>
    <t>des tas de</t>
  </si>
  <si>
    <t>déconfit</t>
  </si>
  <si>
    <t>des millions de personnes</t>
  </si>
  <si>
    <t>daltonien</t>
  </si>
  <si>
    <t>english</t>
  </si>
  <si>
    <t>estropier, mutiler</t>
  </si>
  <si>
    <t>en vente libre</t>
  </si>
  <si>
    <t>expirer, s’épuiser, venir à manquer</t>
  </si>
  <si>
    <t>expédier</t>
  </si>
  <si>
    <t>expédier, envoyer</t>
  </si>
  <si>
    <t>entraîner</t>
  </si>
  <si>
    <t>encaisser</t>
  </si>
  <si>
    <t>en heures creuses</t>
  </si>
  <si>
    <t>en vigueur</t>
  </si>
  <si>
    <t>en gros</t>
  </si>
  <si>
    <t>exhaust fumes</t>
  </si>
  <si>
    <t>eventually</t>
  </si>
  <si>
    <t>economical</t>
  </si>
  <si>
    <t>en conséquence</t>
  </si>
  <si>
    <t>exagérer l'importance de qq chose</t>
  </si>
  <si>
    <t>français</t>
  </si>
  <si>
    <t>faire attention à</t>
  </si>
  <si>
    <t>faire attention, prendre garde</t>
  </si>
  <si>
    <t>faire faillite</t>
  </si>
  <si>
    <t>financer</t>
  </si>
  <si>
    <t>faire don de</t>
  </si>
  <si>
    <t>freiner</t>
  </si>
  <si>
    <t>faire face à</t>
  </si>
  <si>
    <t>faire des progrès, avancer</t>
  </si>
  <si>
    <t>faire baisser</t>
  </si>
  <si>
    <t>facilement, aisément</t>
  </si>
  <si>
    <t>futur, éventuel, possible</t>
  </si>
  <si>
    <t>fuel</t>
  </si>
  <si>
    <t>foodstuffs</t>
  </si>
  <si>
    <t>foudroyé, fichu</t>
  </si>
  <si>
    <t>faire la vaisselle</t>
  </si>
  <si>
    <t>faire visiter</t>
  </si>
  <si>
    <t>fouiller</t>
  </si>
  <si>
    <t>faux (musique)</t>
  </si>
  <si>
    <t>fiery</t>
  </si>
  <si>
    <t>from now on</t>
  </si>
  <si>
    <t>gross</t>
  </si>
  <si>
    <t>gaspiller</t>
  </si>
  <si>
    <t>glassware</t>
  </si>
  <si>
    <t>haut-de-gamme</t>
  </si>
  <si>
    <t>household appliances</t>
  </si>
  <si>
    <t>health care</t>
  </si>
  <si>
    <t>health benefits</t>
  </si>
  <si>
    <t>headphones</t>
  </si>
  <si>
    <t>handicapé</t>
  </si>
  <si>
    <t>imminent, prochain</t>
  </si>
  <si>
    <t>immense, énorme</t>
  </si>
  <si>
    <t>incroyable, saisissant</t>
  </si>
  <si>
    <t>incoming mail</t>
  </si>
  <si>
    <t>income tax</t>
  </si>
  <si>
    <t>in effect</t>
  </si>
  <si>
    <t>in bulk</t>
  </si>
  <si>
    <t>interest repayment on a bank loan</t>
  </si>
  <si>
    <t>junior</t>
  </si>
  <si>
    <t>jacasser</t>
  </si>
  <si>
    <t>knowledg(e)able</t>
  </si>
  <si>
    <t>knitting</t>
  </si>
  <si>
    <t>la taille (physiol.)</t>
  </si>
  <si>
    <t>la cage thoracique</t>
  </si>
  <si>
    <t>louer</t>
  </si>
  <si>
    <t>licencier</t>
  </si>
  <si>
    <t>loger, recevoir</t>
  </si>
  <si>
    <t>l’offre &amp; la demande</t>
  </si>
  <si>
    <t>locaux</t>
  </si>
  <si>
    <t>long-range</t>
  </si>
  <si>
    <t>liable</t>
  </si>
  <si>
    <t>liability</t>
  </si>
  <si>
    <t>lousy</t>
  </si>
  <si>
    <t>leatherware</t>
  </si>
  <si>
    <t>monter soudainement</t>
  </si>
  <si>
    <t>mettre au rebut</t>
  </si>
  <si>
    <t>mettre au courant</t>
  </si>
  <si>
    <t>modifier</t>
  </si>
  <si>
    <t>monter en flèche</t>
  </si>
  <si>
    <t>minimum, réduit à l’essentiel</t>
  </si>
  <si>
    <t>mandatory</t>
  </si>
  <si>
    <t>manier une batte (de cricket)</t>
  </si>
  <si>
    <t>millions of people</t>
  </si>
  <si>
    <t>ne pas s’écarter de, respecter</t>
  </si>
  <si>
    <t>noxious</t>
  </si>
  <si>
    <t>nuisible</t>
  </si>
  <si>
    <t>no-frills</t>
  </si>
  <si>
    <t>networking</t>
  </si>
  <si>
    <t>neutre, qui se limite aux faits</t>
  </si>
  <si>
    <t>national, intérieur</t>
  </si>
  <si>
    <t>nonplussed</t>
  </si>
  <si>
    <t>over-the-counter</t>
  </si>
  <si>
    <t>organiser</t>
  </si>
  <si>
    <t>obliger</t>
  </si>
  <si>
    <t>obtenir, se procurer</t>
  </si>
  <si>
    <t>overdue</t>
  </si>
  <si>
    <t>outsourcing</t>
  </si>
  <si>
    <t>on the spot</t>
  </si>
  <si>
    <t>off-peak</t>
  </si>
  <si>
    <t>obligatoire</t>
  </si>
  <si>
    <t>one million people</t>
  </si>
  <si>
    <t>off-key, out of tune</t>
  </si>
  <si>
    <t>on the whole</t>
  </si>
  <si>
    <t>palpiter</t>
  </si>
  <si>
    <t>piquer</t>
  </si>
  <si>
    <t>poursuivre en justice</t>
  </si>
  <si>
    <t>publier, faire paraître, émettre</t>
  </si>
  <si>
    <t>prospérer, être en plein essor</t>
  </si>
  <si>
    <t>plonger, faire de la plongée</t>
  </si>
  <si>
    <t>prendre, devenir populaire</t>
  </si>
  <si>
    <t>professionnal people</t>
  </si>
  <si>
    <t>presently</t>
  </si>
  <si>
    <t>pervasive</t>
  </si>
  <si>
    <t>personable</t>
  </si>
  <si>
    <t>perks</t>
  </si>
  <si>
    <t>per capita</t>
  </si>
  <si>
    <t>par habitant</t>
  </si>
  <si>
    <t>peak time</t>
  </si>
  <si>
    <t>par procuration</t>
  </si>
  <si>
    <t>paresseux</t>
  </si>
  <si>
    <t>pennyworth</t>
  </si>
  <si>
    <t>pour un penny</t>
  </si>
  <si>
    <t>prendre une demi-pension dans un hôtel</t>
  </si>
  <si>
    <t>prendre un bain de soleil</t>
  </si>
  <si>
    <t>peler (un légume)</t>
  </si>
  <si>
    <t>penaud</t>
  </si>
  <si>
    <t>popular</t>
  </si>
  <si>
    <t>presque quarante ans</t>
  </si>
  <si>
    <t>qui présente bien</t>
  </si>
  <si>
    <t>quelque temps, un moment</t>
  </si>
  <si>
    <t>renoncer à, abandonner</t>
  </si>
  <si>
    <t>rationaliser, dégraisser, moderniser</t>
  </si>
  <si>
    <t>repérer</t>
  </si>
  <si>
    <t>réagir</t>
  </si>
  <si>
    <t>remplir les conditions</t>
  </si>
  <si>
    <t>restreindre, limiter, maintenir bas</t>
  </si>
  <si>
    <t>rédiger</t>
  </si>
  <si>
    <t>réduire les effectifs</t>
  </si>
  <si>
    <t>round the clock</t>
  </si>
  <si>
    <t>remote</t>
  </si>
  <si>
    <t>réorganiser, remanier</t>
  </si>
  <si>
    <t>regulatory</t>
  </si>
  <si>
    <t>réglementaire</t>
  </si>
  <si>
    <t>regardless of</t>
  </si>
  <si>
    <t>refillable</t>
  </si>
  <si>
    <t>rechargeable, réutilisable</t>
  </si>
  <si>
    <t>readily</t>
  </si>
  <si>
    <t>rates and taxes</t>
  </si>
  <si>
    <t>responsable</t>
  </si>
  <si>
    <t>remorqué</t>
  </si>
  <si>
    <t>resserrer les freins (automobile)</t>
  </si>
  <si>
    <t>remplir un formulaire</t>
  </si>
  <si>
    <t>subir</t>
  </si>
  <si>
    <t>soulager, apaiser</t>
  </si>
  <si>
    <t>spare parts</t>
  </si>
  <si>
    <t>sain</t>
  </si>
  <si>
    <t>se mettre à (un sport, …)</t>
  </si>
  <si>
    <t>s’affaisser, baisser, décroître</t>
  </si>
  <si>
    <t>se renverser, se répandre</t>
  </si>
  <si>
    <t>se couper, s’arrêter</t>
  </si>
  <si>
    <t>se réduire</t>
  </si>
  <si>
    <t>s’inscrire</t>
  </si>
  <si>
    <t>s’accumuler</t>
  </si>
  <si>
    <t>surmonter</t>
  </si>
  <si>
    <t>se stabiliser après une hausse</t>
  </si>
  <si>
    <t>se débrouiller, s’en sortir</t>
  </si>
  <si>
    <t>se renseigner, trouver, découvrir</t>
  </si>
  <si>
    <t>se développer, s’accroître</t>
  </si>
  <si>
    <t>s’en tirer</t>
  </si>
  <si>
    <t>soutenir</t>
  </si>
  <si>
    <t>se retirer de, ne pas donner suite à</t>
  </si>
  <si>
    <t>survenir, se présenter, se poser</t>
  </si>
  <si>
    <t>supply &amp; demand</t>
  </si>
  <si>
    <t>subsidized</t>
  </si>
  <si>
    <t>subventionné</t>
  </si>
  <si>
    <t>stocks &amp; shares</t>
  </si>
  <si>
    <t>stock option</t>
  </si>
  <si>
    <t>staggering</t>
  </si>
  <si>
    <t>social security benefits</t>
  </si>
  <si>
    <t>sneakers</t>
  </si>
  <si>
    <t>sans tenir compte de</t>
  </si>
  <si>
    <t>somptueux, de grand standing</t>
  </si>
  <si>
    <t>sans fil</t>
  </si>
  <si>
    <t>supplémentaire, de réserve</t>
  </si>
  <si>
    <t>supérieur, poussé, de pointe</t>
  </si>
  <si>
    <t>se gonfler</t>
  </si>
  <si>
    <t>sluggard</t>
  </si>
  <si>
    <t>se laver</t>
  </si>
  <si>
    <t>signaler</t>
  </si>
  <si>
    <t>shop-lifting</t>
  </si>
  <si>
    <t>sheepish</t>
  </si>
  <si>
    <t>to weave</t>
  </si>
  <si>
    <t>tisser</t>
  </si>
  <si>
    <t>to undergo</t>
  </si>
  <si>
    <t>to thump</t>
  </si>
  <si>
    <t>to sting</t>
  </si>
  <si>
    <t>to sneeze</t>
  </si>
  <si>
    <t>to relieve</t>
  </si>
  <si>
    <t>to pass on</t>
  </si>
  <si>
    <t>transmettre</t>
  </si>
  <si>
    <t>to maim</t>
  </si>
  <si>
    <t>thorough</t>
  </si>
  <si>
    <t>the waist</t>
  </si>
  <si>
    <t>the rib cage</t>
  </si>
  <si>
    <t>tremendous</t>
  </si>
  <si>
    <t>to work out</t>
  </si>
  <si>
    <t>to withstand</t>
  </si>
  <si>
    <t>to trespass</t>
  </si>
  <si>
    <t>transgresser, violer</t>
  </si>
  <si>
    <t>to trade</t>
  </si>
  <si>
    <t>to take up</t>
  </si>
  <si>
    <t>to take over</t>
  </si>
  <si>
    <t>to take on</t>
  </si>
  <si>
    <t>to swap</t>
  </si>
  <si>
    <t>to surge</t>
  </si>
  <si>
    <t>to sue</t>
  </si>
  <si>
    <t>to subside</t>
  </si>
  <si>
    <t>to step up</t>
  </si>
  <si>
    <t>to stand out</t>
  </si>
  <si>
    <t>to spot</t>
  </si>
  <si>
    <t>to spill</t>
  </si>
  <si>
    <t>to shut off</t>
  </si>
  <si>
    <t>to shrink</t>
  </si>
  <si>
    <t>to ship</t>
  </si>
  <si>
    <t>to scrap</t>
  </si>
  <si>
    <t>to scatter</t>
  </si>
  <si>
    <t>to sag</t>
  </si>
  <si>
    <t>to respond</t>
  </si>
  <si>
    <t>to rent</t>
  </si>
  <si>
    <t>to register</t>
  </si>
  <si>
    <t>to qualify</t>
  </si>
  <si>
    <t>to put through</t>
  </si>
  <si>
    <t>to put on</t>
  </si>
  <si>
    <t>to put off</t>
  </si>
  <si>
    <t>to prime</t>
  </si>
  <si>
    <t>to post</t>
  </si>
  <si>
    <t>to plummet</t>
  </si>
  <si>
    <t>to pile up</t>
  </si>
  <si>
    <t>to perform</t>
  </si>
  <si>
    <t>to overcome</t>
  </si>
  <si>
    <t>to match</t>
  </si>
  <si>
    <t>to market</t>
  </si>
  <si>
    <t>to look to</t>
  </si>
  <si>
    <t>to look out</t>
  </si>
  <si>
    <t>to level off</t>
  </si>
  <si>
    <t>to leave off</t>
  </si>
  <si>
    <t>to lay off</t>
  </si>
  <si>
    <t>to keep to</t>
  </si>
  <si>
    <t>to keep down</t>
  </si>
  <si>
    <t>to issue</t>
  </si>
  <si>
    <t>to heighten</t>
  </si>
  <si>
    <t>to have a day off</t>
  </si>
  <si>
    <t>to go bust</t>
  </si>
  <si>
    <t>to go ahead with</t>
  </si>
  <si>
    <t>to get through</t>
  </si>
  <si>
    <t>to get by</t>
  </si>
  <si>
    <t>to gear</t>
  </si>
  <si>
    <t>to gamble</t>
  </si>
  <si>
    <t>to fund</t>
  </si>
  <si>
    <t>to forward</t>
  </si>
  <si>
    <t>to flourish</t>
  </si>
  <si>
    <t>to find out</t>
  </si>
  <si>
    <t>to figure out</t>
  </si>
  <si>
    <t>to feature</t>
  </si>
  <si>
    <t>to expand</t>
  </si>
  <si>
    <t>to escalate</t>
  </si>
  <si>
    <t>to entail</t>
  </si>
  <si>
    <t>to enroll</t>
  </si>
  <si>
    <t>to enhance</t>
  </si>
  <si>
    <t>to endorse</t>
  </si>
  <si>
    <t>to drop off</t>
  </si>
  <si>
    <t>to draw up</t>
  </si>
  <si>
    <t>to draft</t>
  </si>
  <si>
    <t>to downsize</t>
  </si>
  <si>
    <t>to donate</t>
  </si>
  <si>
    <t>to dive</t>
  </si>
  <si>
    <t>to dispatch</t>
  </si>
  <si>
    <t>to disclose</t>
  </si>
  <si>
    <t>to devise</t>
  </si>
  <si>
    <t>to curb</t>
  </si>
  <si>
    <t>to cope with</t>
  </si>
  <si>
    <t>to comply with</t>
  </si>
  <si>
    <t>to compel</t>
  </si>
  <si>
    <t>to come through</t>
  </si>
  <si>
    <t>to come on</t>
  </si>
  <si>
    <t>to come by</t>
  </si>
  <si>
    <t>to check out</t>
  </si>
  <si>
    <t>to charge</t>
  </si>
  <si>
    <t>to caution</t>
  </si>
  <si>
    <t>to catch on</t>
  </si>
  <si>
    <t>to cash</t>
  </si>
  <si>
    <t>to carry out</t>
  </si>
  <si>
    <t>to call sbdy in</t>
  </si>
  <si>
    <t>to call for</t>
  </si>
  <si>
    <t>to bypass</t>
  </si>
  <si>
    <t>to bring down</t>
  </si>
  <si>
    <t>to break down</t>
  </si>
  <si>
    <t>tomber en panne</t>
  </si>
  <si>
    <t>to be wary of</t>
  </si>
  <si>
    <t>to be entitled to</t>
  </si>
  <si>
    <t>to back up</t>
  </si>
  <si>
    <t>to back out of</t>
  </si>
  <si>
    <t>to award</t>
  </si>
  <si>
    <t>to attend</t>
  </si>
  <si>
    <t>to assess</t>
  </si>
  <si>
    <t>to arise</t>
  </si>
  <si>
    <t>to amend</t>
  </si>
  <si>
    <t>to alter</t>
  </si>
  <si>
    <t>to allocate</t>
  </si>
  <si>
    <t>to accommodate</t>
  </si>
  <si>
    <t>throughout</t>
  </si>
  <si>
    <t>tout au long de</t>
  </si>
  <si>
    <t>tax</t>
  </si>
  <si>
    <t>to swell</t>
  </si>
  <si>
    <t>to straiten</t>
  </si>
  <si>
    <t>to squander</t>
  </si>
  <si>
    <t>to rap</t>
  </si>
  <si>
    <t>to glean</t>
  </si>
  <si>
    <t>to despise</t>
  </si>
  <si>
    <t>to ape</t>
  </si>
  <si>
    <t>towed</t>
  </si>
  <si>
    <t>to skim</t>
  </si>
  <si>
    <t>to hearken</t>
  </si>
  <si>
    <t>to wield a bat</t>
  </si>
  <si>
    <t>to stay half-board in a hotel</t>
  </si>
  <si>
    <t>to soak up the sun</t>
  </si>
  <si>
    <t>to show around</t>
  </si>
  <si>
    <t>to see the writing on the wall</t>
  </si>
  <si>
    <t>to search</t>
  </si>
  <si>
    <t>to put someone out</t>
  </si>
  <si>
    <t>to point out</t>
  </si>
  <si>
    <t>to peel</t>
  </si>
  <si>
    <t>to make a mountain out of a molehill</t>
  </si>
  <si>
    <t>to go under the hammer</t>
  </si>
  <si>
    <t>to fill in a form</t>
  </si>
  <si>
    <t>to chatter</t>
  </si>
  <si>
    <t>to chat</t>
  </si>
  <si>
    <t>to be in good shape</t>
  </si>
  <si>
    <t>timid</t>
  </si>
  <si>
    <t>to all intents and purposes</t>
  </si>
  <si>
    <t>un point de suture</t>
  </si>
  <si>
    <t>un mal de gorge</t>
  </si>
  <si>
    <t>un bossu</t>
  </si>
  <si>
    <t>upcoming</t>
  </si>
  <si>
    <t>un million de personnes</t>
  </si>
  <si>
    <t>un peu partout</t>
  </si>
  <si>
    <t>un exemple évocateur</t>
  </si>
  <si>
    <t>une parodie</t>
  </si>
  <si>
    <t>une personne mondaine</t>
  </si>
  <si>
    <t>une station balnéaire</t>
  </si>
  <si>
    <t>une vingtaine d'hommes</t>
  </si>
  <si>
    <t>une livre £ (argot)</t>
  </si>
  <si>
    <t>une pièce d'un cent</t>
  </si>
  <si>
    <t>un péquenot (péjoratif)</t>
  </si>
  <si>
    <t>une pièce de cinq cents</t>
  </si>
  <si>
    <t>un garagiste</t>
  </si>
  <si>
    <t>un appât</t>
  </si>
  <si>
    <t>un écueil</t>
  </si>
  <si>
    <t>un paysan</t>
  </si>
  <si>
    <t>une pièce de dix cents</t>
  </si>
  <si>
    <t>un cadran</t>
  </si>
  <si>
    <t>une croûte (de pâte)</t>
  </si>
  <si>
    <t>un marasme économique</t>
  </si>
  <si>
    <t>un marché optimiste</t>
  </si>
  <si>
    <t>un rabatteur (chasse)</t>
  </si>
  <si>
    <t>un marché pessimiste</t>
  </si>
  <si>
    <t>vendre la mèche</t>
  </si>
  <si>
    <t>vendre aux enchères</t>
  </si>
  <si>
    <t>workmanship</t>
  </si>
  <si>
    <t>word of mouth</t>
  </si>
  <si>
    <t>well-off</t>
  </si>
  <si>
    <t>wares</t>
  </si>
  <si>
    <t>wholly-owned subsidiary</t>
  </si>
  <si>
    <t>éternuer</t>
  </si>
  <si>
    <t>élaborer</t>
  </si>
  <si>
    <t>échanger</t>
  </si>
  <si>
    <t>éparpiller, disperser</t>
  </si>
  <si>
    <t>établir, rédiger</t>
  </si>
  <si>
    <t>évaluer</t>
  </si>
  <si>
    <t>the brawn</t>
  </si>
  <si>
    <t>la force des muscles</t>
  </si>
  <si>
    <t>a bid</t>
  </si>
  <si>
    <t>une offre, une enchère</t>
  </si>
  <si>
    <t>shambolic</t>
  </si>
  <si>
    <t>chaotique, désorganisé, mal organisé</t>
  </si>
  <si>
    <t>le résultat, la conséquence</t>
  </si>
  <si>
    <t>the upshot</t>
  </si>
  <si>
    <t>a locker</t>
  </si>
  <si>
    <t>un casier, un coffre, un placard</t>
  </si>
  <si>
    <t>canny</t>
  </si>
  <si>
    <t>prudent, malin</t>
  </si>
  <si>
    <t>the unflappability</t>
  </si>
  <si>
    <t>l'impuissance</t>
  </si>
  <si>
    <t>to vie</t>
  </si>
  <si>
    <t>lutter</t>
  </si>
  <si>
    <t>a quip</t>
  </si>
  <si>
    <t>the brainchild</t>
  </si>
  <si>
    <t>a gravedigger</t>
  </si>
  <si>
    <t>un fossoyeur</t>
  </si>
  <si>
    <t>a gale</t>
  </si>
  <si>
    <t>un coup de vent</t>
  </si>
  <si>
    <t>a tumble</t>
  </si>
  <si>
    <t>une chute, une culbute</t>
  </si>
  <si>
    <t>a rubbing</t>
  </si>
  <si>
    <t>un frottement / un massage</t>
  </si>
  <si>
    <t>a heckling</t>
  </si>
  <si>
    <t>un chahut / une interpellation</t>
  </si>
  <si>
    <t>a barnacle</t>
  </si>
  <si>
    <t>a bedfellow</t>
  </si>
  <si>
    <t>un associé, un collègue</t>
  </si>
  <si>
    <t>a pool</t>
  </si>
  <si>
    <t>a dealer</t>
  </si>
  <si>
    <t>the hinge</t>
  </si>
  <si>
    <t>la charnière</t>
  </si>
  <si>
    <t>the coverage</t>
  </si>
  <si>
    <t>a convict</t>
  </si>
  <si>
    <t>un condamné (dr.)</t>
  </si>
  <si>
    <t>a fortnight</t>
  </si>
  <si>
    <t>un découvert</t>
  </si>
  <si>
    <t>a sheet</t>
  </si>
  <si>
    <t>an officer</t>
  </si>
  <si>
    <t>un officier / un fonctionnaire, un membre du comité directeur</t>
  </si>
  <si>
    <t>a closet</t>
  </si>
  <si>
    <t>a turnover</t>
  </si>
  <si>
    <t>the navel</t>
  </si>
  <si>
    <t>le nombril</t>
  </si>
  <si>
    <t>to scour</t>
  </si>
  <si>
    <t>parcourir, fouiller / récurer</t>
  </si>
  <si>
    <t>to vindicate</t>
  </si>
  <si>
    <t>justifier, défendre</t>
  </si>
  <si>
    <t>a placeholder</t>
  </si>
  <si>
    <t>the gumption</t>
  </si>
  <si>
    <t>la jugeotte</t>
  </si>
  <si>
    <t>the maw</t>
  </si>
  <si>
    <t>la gueule</t>
  </si>
  <si>
    <t>to atone</t>
  </si>
  <si>
    <t>expier</t>
  </si>
  <si>
    <t>the elbow room</t>
  </si>
  <si>
    <t>terne, morne</t>
  </si>
  <si>
    <t>creux</t>
  </si>
  <si>
    <t>the snout</t>
  </si>
  <si>
    <t>a trail</t>
  </si>
  <si>
    <t>lourd</t>
  </si>
  <si>
    <t>an upsurge</t>
  </si>
  <si>
    <t>pimpant, élégant, chic</t>
  </si>
  <si>
    <t>lurid</t>
  </si>
  <si>
    <t>épouvantable, horrible</t>
  </si>
  <si>
    <t>the watershed</t>
  </si>
  <si>
    <t>to buy off</t>
  </si>
  <si>
    <t>acheter le silence de</t>
  </si>
  <si>
    <t>thorny</t>
  </si>
  <si>
    <t>épineux</t>
  </si>
  <si>
    <t>devious</t>
  </si>
  <si>
    <t>a mayhem</t>
  </si>
  <si>
    <t>a hound</t>
  </si>
  <si>
    <t>un chien de chasse</t>
  </si>
  <si>
    <t>to heed</t>
  </si>
  <si>
    <t>tenir compte de, prendre garde à</t>
  </si>
  <si>
    <t>frénétique, désespéré</t>
  </si>
  <si>
    <t>a tendril</t>
  </si>
  <si>
    <t>to husk</t>
  </si>
  <si>
    <t>décortiquer</t>
  </si>
  <si>
    <t>the apex</t>
  </si>
  <si>
    <t>a harbinger</t>
  </si>
  <si>
    <t>stealthy</t>
  </si>
  <si>
    <t>furtif, fait en secret</t>
  </si>
  <si>
    <t>torn</t>
  </si>
  <si>
    <t>déchiré</t>
  </si>
  <si>
    <t>asunder</t>
  </si>
  <si>
    <t>en morceaux, écartés / éloignés</t>
  </si>
  <si>
    <t>to defile</t>
  </si>
  <si>
    <t>souillez, profaner, salir</t>
  </si>
  <si>
    <t>yonder</t>
  </si>
  <si>
    <t>là-bas</t>
  </si>
  <si>
    <t>to backstab</t>
  </si>
  <si>
    <t>poignarder dans le dos</t>
  </si>
  <si>
    <t>a shredder</t>
  </si>
  <si>
    <t>une déchiqueteuse</t>
  </si>
  <si>
    <t>a roaming</t>
  </si>
  <si>
    <t>un errant, un vagabond</t>
  </si>
  <si>
    <t>the payload</t>
  </si>
  <si>
    <t>la charge utile, la charge payante, l'emport</t>
  </si>
  <si>
    <t>a reaper</t>
  </si>
  <si>
    <t>a goose</t>
  </si>
  <si>
    <t>a wayward</t>
  </si>
  <si>
    <t>un rebelle</t>
  </si>
  <si>
    <t>a den</t>
  </si>
  <si>
    <t>ilk</t>
  </si>
  <si>
    <t>a lair</t>
  </si>
  <si>
    <t>to hatch</t>
  </si>
  <si>
    <t>a weasel</t>
  </si>
  <si>
    <t>the livelihood</t>
  </si>
  <si>
    <t>even handed</t>
  </si>
  <si>
    <t>équitable</t>
  </si>
  <si>
    <t>a clip</t>
  </si>
  <si>
    <t>the precincts</t>
  </si>
  <si>
    <t>a lobby</t>
  </si>
  <si>
    <t>intractable</t>
  </si>
  <si>
    <t>to shatter</t>
  </si>
  <si>
    <t>the mettle</t>
  </si>
  <si>
    <t>le courage</t>
  </si>
  <si>
    <t>to vaunt</t>
  </si>
  <si>
    <t>se vanter</t>
  </si>
  <si>
    <t>barren</t>
  </si>
  <si>
    <t>forcibly</t>
  </si>
  <si>
    <t>par la force / avec force</t>
  </si>
  <si>
    <t>a beacon</t>
  </si>
  <si>
    <t>une balise, un phare, un fanal</t>
  </si>
  <si>
    <t>a swoop</t>
  </si>
  <si>
    <t>to seethe</t>
  </si>
  <si>
    <t>bouillonner</t>
  </si>
  <si>
    <t>a tether</t>
  </si>
  <si>
    <t>une attache</t>
  </si>
  <si>
    <t>to bestow</t>
  </si>
  <si>
    <t>donner / accorder</t>
  </si>
  <si>
    <t>a slumbering</t>
  </si>
  <si>
    <t>a wont</t>
  </si>
  <si>
    <t>une habitude</t>
  </si>
  <si>
    <t>to fetter</t>
  </si>
  <si>
    <t>entraver, enchaîner</t>
  </si>
  <si>
    <t>du scotch</t>
  </si>
  <si>
    <t>to backtrack</t>
  </si>
  <si>
    <t>faire marche arrière</t>
  </si>
  <si>
    <t>ludicrous</t>
  </si>
  <si>
    <t>ridicule, risible</t>
  </si>
  <si>
    <t>innocuous</t>
  </si>
  <si>
    <t>inoffensif</t>
  </si>
  <si>
    <t>a spear</t>
  </si>
  <si>
    <t>une lance, une pointe</t>
  </si>
  <si>
    <t>a chasm</t>
  </si>
  <si>
    <t>un gouffre</t>
  </si>
  <si>
    <t>the throes</t>
  </si>
  <si>
    <t>les affres de la mort</t>
  </si>
  <si>
    <t>to bode</t>
  </si>
  <si>
    <t>présager, augurer</t>
  </si>
  <si>
    <t>to mince</t>
  </si>
  <si>
    <t>parler du bout des lèvres</t>
  </si>
  <si>
    <t>nifty</t>
  </si>
  <si>
    <t>to gloat</t>
  </si>
  <si>
    <t>jubiler, exulter</t>
  </si>
  <si>
    <t>a bulkhead</t>
  </si>
  <si>
    <t>une cloison</t>
  </si>
  <si>
    <t>a stalemate</t>
  </si>
  <si>
    <t>prattling</t>
  </si>
  <si>
    <t>a heap</t>
  </si>
  <si>
    <t>un tas, un amas, un monceau</t>
  </si>
  <si>
    <t>négligé, peu soigné, débraillé</t>
  </si>
  <si>
    <t>a straggler</t>
  </si>
  <si>
    <t>un traînard</t>
  </si>
  <si>
    <t>a landslide</t>
  </si>
  <si>
    <t>a fisticuffs</t>
  </si>
  <si>
    <t>un accrochage, une bagarre</t>
  </si>
  <si>
    <t>to pespire</t>
  </si>
  <si>
    <t>transpirer</t>
  </si>
  <si>
    <t>a prowess</t>
  </si>
  <si>
    <t>une prouesse</t>
  </si>
  <si>
    <t>a locust</t>
  </si>
  <si>
    <t>a crucible</t>
  </si>
  <si>
    <t>overlooked</t>
  </si>
  <si>
    <t>négligé, oublié</t>
  </si>
  <si>
    <t>a pawn</t>
  </si>
  <si>
    <t>compréhensif</t>
  </si>
  <si>
    <t>a disarray</t>
  </si>
  <si>
    <t>a saddle</t>
  </si>
  <si>
    <t>the dread</t>
  </si>
  <si>
    <t>la crainte</t>
  </si>
  <si>
    <t>to rend</t>
  </si>
  <si>
    <t>déchirer</t>
  </si>
  <si>
    <t>a dais</t>
  </si>
  <si>
    <t>une estrade</t>
  </si>
  <si>
    <t>forsaken</t>
  </si>
  <si>
    <t>abandonné, délaissé</t>
  </si>
  <si>
    <t>overarching</t>
  </si>
  <si>
    <t>global</t>
  </si>
  <si>
    <t>the squalor</t>
  </si>
  <si>
    <t>la misère noire</t>
  </si>
  <si>
    <t>the insight</t>
  </si>
  <si>
    <t>la perspicacité</t>
  </si>
  <si>
    <t>a knave</t>
  </si>
  <si>
    <t>un fripon, un coquin</t>
  </si>
  <si>
    <t>tripler</t>
  </si>
  <si>
    <t>woven</t>
  </si>
  <si>
    <t>tissé, tricoté</t>
  </si>
  <si>
    <t>a mish mash</t>
  </si>
  <si>
    <t>un méli-mélo</t>
  </si>
  <si>
    <t>the guise</t>
  </si>
  <si>
    <t>l'apparence / les habits</t>
  </si>
  <si>
    <t>far-flung</t>
  </si>
  <si>
    <t>to forswear</t>
  </si>
  <si>
    <t>renoncer / parjurer</t>
  </si>
  <si>
    <t>to fudge</t>
  </si>
  <si>
    <t>half baked</t>
  </si>
  <si>
    <t>(fig.) mal dégrossi</t>
  </si>
  <si>
    <t>a blueprint</t>
  </si>
  <si>
    <t>un plan, un projet</t>
  </si>
  <si>
    <t>the exertion</t>
  </si>
  <si>
    <t>to hanker</t>
  </si>
  <si>
    <t>avoir envie de</t>
  </si>
  <si>
    <t>blithely</t>
  </si>
  <si>
    <t>allègrement</t>
  </si>
  <si>
    <t>to thwart</t>
  </si>
  <si>
    <t>contrecarrer, contrarier</t>
  </si>
  <si>
    <t>a loophole</t>
  </si>
  <si>
    <t>un échappatoire / une lacune</t>
  </si>
  <si>
    <t>to peg</t>
  </si>
  <si>
    <t>un dollar / un mâle, un mec, quelqu'un d'élégant</t>
  </si>
  <si>
    <t>a ploy</t>
  </si>
  <si>
    <t>un stratagème</t>
  </si>
  <si>
    <t>une camisole de force</t>
  </si>
  <si>
    <t>une armoire, un placard, une penderie</t>
  </si>
  <si>
    <t>un rendement</t>
  </si>
  <si>
    <t>an incentive</t>
  </si>
  <si>
    <t>a burden</t>
  </si>
  <si>
    <t>a turnout</t>
  </si>
  <si>
    <t>une production / le nombre de personnes présentes</t>
  </si>
  <si>
    <t>a bribe</t>
  </si>
  <si>
    <t>un pot-de-vin</t>
  </si>
  <si>
    <t>a shelter</t>
  </si>
  <si>
    <t>a counter</t>
  </si>
  <si>
    <t>l'amiante</t>
  </si>
  <si>
    <t>a rim</t>
  </si>
  <si>
    <t>une jante</t>
  </si>
  <si>
    <t>to buttress</t>
  </si>
  <si>
    <t>soutenir, épauler</t>
  </si>
  <si>
    <t>to bequeath</t>
  </si>
  <si>
    <t>transmettre, léguer</t>
  </si>
  <si>
    <t>en être loin</t>
  </si>
  <si>
    <t>a splurge</t>
  </si>
  <si>
    <t>to skitter</t>
  </si>
  <si>
    <t>glisser / s'enfuir</t>
  </si>
  <si>
    <t>cumbersome</t>
  </si>
  <si>
    <t>lourd, encombrant</t>
  </si>
  <si>
    <t>duly</t>
  </si>
  <si>
    <t>dûment, comme prévu, comme il faut</t>
  </si>
  <si>
    <t>an overkill</t>
  </si>
  <si>
    <t>a keep</t>
  </si>
  <si>
    <t>un donjon / une pension</t>
  </si>
  <si>
    <t>to hone</t>
  </si>
  <si>
    <t>an upstart</t>
  </si>
  <si>
    <t>un parvenu, un arriviste</t>
  </si>
  <si>
    <t>a brink</t>
  </si>
  <si>
    <t>un bord</t>
  </si>
  <si>
    <t>hapless</t>
  </si>
  <si>
    <t>malchanceux, infortuné</t>
  </si>
  <si>
    <t>a scent</t>
  </si>
  <si>
    <t>un parfum, une odeur</t>
  </si>
  <si>
    <t>a tenet</t>
  </si>
  <si>
    <t>to reel</t>
  </si>
  <si>
    <t>chanceler, vaciller, tituber</t>
  </si>
  <si>
    <t>a whelp</t>
  </si>
  <si>
    <t>un petit (animal)</t>
  </si>
  <si>
    <t>a mongrel</t>
  </si>
  <si>
    <t>un bâtard / un métis</t>
  </si>
  <si>
    <t>a boar</t>
  </si>
  <si>
    <t>un sanglier</t>
  </si>
  <si>
    <t>rôder en se cachant, entrer furtivement</t>
  </si>
  <si>
    <t>a stench</t>
  </si>
  <si>
    <t>dérisoire, misérable</t>
  </si>
  <si>
    <t>profligacy</t>
  </si>
  <si>
    <t>animé, actif, énergique</t>
  </si>
  <si>
    <t>gruesome</t>
  </si>
  <si>
    <t>horrible, macabre</t>
  </si>
  <si>
    <t>terrible</t>
  </si>
  <si>
    <t>the sow</t>
  </si>
  <si>
    <t>la truie</t>
  </si>
  <si>
    <t>la boue</t>
  </si>
  <si>
    <t>a wabbling</t>
  </si>
  <si>
    <t>a nook</t>
  </si>
  <si>
    <t>un coin</t>
  </si>
  <si>
    <t>a cranny</t>
  </si>
  <si>
    <t>une fente</t>
  </si>
  <si>
    <t>poussiéreux</t>
  </si>
  <si>
    <t>to fend</t>
  </si>
  <si>
    <t>doubly</t>
  </si>
  <si>
    <t>doublement</t>
  </si>
  <si>
    <t>to propitiate</t>
  </si>
  <si>
    <t>se concilier</t>
  </si>
  <si>
    <t>shabby</t>
  </si>
  <si>
    <t>minable</t>
  </si>
  <si>
    <t>to squeeze</t>
  </si>
  <si>
    <t>écraser</t>
  </si>
  <si>
    <t>to plunder</t>
  </si>
  <si>
    <t>a nosedive</t>
  </si>
  <si>
    <t>un plongeon, un piqué</t>
  </si>
  <si>
    <t>to stifle</t>
  </si>
  <si>
    <t>étouffer, réprimer</t>
  </si>
  <si>
    <t>to dangle</t>
  </si>
  <si>
    <t>pendre, balancer</t>
  </si>
  <si>
    <t>the markups</t>
  </si>
  <si>
    <t>a dud</t>
  </si>
  <si>
    <t>to aver</t>
  </si>
  <si>
    <t>affirmer, déclarer</t>
  </si>
  <si>
    <t>a snare</t>
  </si>
  <si>
    <t>un piège, un collet / une caisse claire</t>
  </si>
  <si>
    <t>a shrapnel</t>
  </si>
  <si>
    <t>un éclat d'obus</t>
  </si>
  <si>
    <t>a dimwit</t>
  </si>
  <si>
    <t>une bête / une personne ignorante</t>
  </si>
  <si>
    <t>a chum</t>
  </si>
  <si>
    <t>un ami</t>
  </si>
  <si>
    <t>slovenly</t>
  </si>
  <si>
    <t>négligemment</t>
  </si>
  <si>
    <t>an auger</t>
  </si>
  <si>
    <t>une tarrière</t>
  </si>
  <si>
    <t>a hovel</t>
  </si>
  <si>
    <t>un taudis</t>
  </si>
  <si>
    <t>shoddy</t>
  </si>
  <si>
    <t>de mauvaise qualité</t>
  </si>
  <si>
    <t>a commodity</t>
  </si>
  <si>
    <t>régler sa note / jeter un œil à</t>
  </si>
  <si>
    <t>Last night, I dreamed of the house we used to spend our holiday in.</t>
  </si>
  <si>
    <t>I've had many an appreciative audience, but never anything like this.</t>
  </si>
  <si>
    <t>I'm snowed under with work.</t>
  </si>
  <si>
    <t>I can't put up with his selfishness any longer.</t>
  </si>
  <si>
    <t>the acumen</t>
  </si>
  <si>
    <t>a suit</t>
  </si>
  <si>
    <t>glaner / découvrir</t>
  </si>
  <si>
    <t>les béquilles</t>
  </si>
  <si>
    <t>I don't want a cat. You get hairs everywhere.</t>
  </si>
  <si>
    <t>a shelf</t>
  </si>
  <si>
    <t>un rayon (d’une étagère, …)</t>
  </si>
  <si>
    <t>a trolley</t>
  </si>
  <si>
    <t>un chariot</t>
  </si>
  <si>
    <t>As-tu quelque chose de prévu ce soir ?</t>
  </si>
  <si>
    <t>a dish</t>
  </si>
  <si>
    <t>a renewal</t>
  </si>
  <si>
    <t>When the rugby team arrived, the situation really got out of hand.</t>
  </si>
  <si>
    <t>We have our work cut out.</t>
  </si>
  <si>
    <t>to trample</t>
  </si>
  <si>
    <t>a labourer</t>
  </si>
  <si>
    <t>un manœuvre</t>
  </si>
  <si>
    <t>the Lent</t>
  </si>
  <si>
    <t>the rabble</t>
  </si>
  <si>
    <t>contribuant, assistant</t>
  </si>
  <si>
    <t>well-heeled</t>
  </si>
  <si>
    <t>bien nantis</t>
  </si>
  <si>
    <t>to allay</t>
  </si>
  <si>
    <t>modérer, apaiser</t>
  </si>
  <si>
    <t>mild</t>
  </si>
  <si>
    <t>doux</t>
  </si>
  <si>
    <t>the peg</t>
  </si>
  <si>
    <t>la cheville</t>
  </si>
  <si>
    <t>the abode</t>
  </si>
  <si>
    <t>la demeure, la résidence</t>
  </si>
  <si>
    <t>Étiquettes de lignes</t>
  </si>
  <si>
    <t>Total général</t>
  </si>
  <si>
    <t>to run out</t>
  </si>
  <si>
    <t>a muddle</t>
  </si>
  <si>
    <t>une confusion</t>
  </si>
  <si>
    <t>a scope</t>
  </si>
  <si>
    <t>the sloth</t>
  </si>
  <si>
    <t>la paresse</t>
  </si>
  <si>
    <t>a will</t>
  </si>
  <si>
    <t>the ceiling</t>
  </si>
  <si>
    <t>le plafond</t>
  </si>
  <si>
    <t>a pension</t>
  </si>
  <si>
    <t>I'll introduce you to her later on.</t>
  </si>
  <si>
    <t>a recipient</t>
  </si>
  <si>
    <t>an assignment</t>
  </si>
  <si>
    <t>the deposit</t>
  </si>
  <si>
    <t>les arrhes</t>
  </si>
  <si>
    <t>a blandishment</t>
  </si>
  <si>
    <t>une flatterie</t>
  </si>
  <si>
    <t>to strew</t>
  </si>
  <si>
    <t>a nexus</t>
  </si>
  <si>
    <t>un lien</t>
  </si>
  <si>
    <t>to bale</t>
  </si>
  <si>
    <t>paqueter</t>
  </si>
  <si>
    <t>the chest</t>
  </si>
  <si>
    <t>la poitrine / le coffre (propre et figuré)</t>
  </si>
  <si>
    <t>voilé</t>
  </si>
  <si>
    <t>spurious</t>
  </si>
  <si>
    <t xml:space="preserve">faux </t>
  </si>
  <si>
    <t>the kinship</t>
  </si>
  <si>
    <t>la parenté</t>
  </si>
  <si>
    <t>to clamp down</t>
  </si>
  <si>
    <t>réprimer</t>
  </si>
  <si>
    <t>the lore (plur.)</t>
  </si>
  <si>
    <t>les traditions</t>
  </si>
  <si>
    <t>studded</t>
  </si>
  <si>
    <t>clouté</t>
  </si>
  <si>
    <t>the nutmeg</t>
  </si>
  <si>
    <t>la noix de muscade</t>
  </si>
  <si>
    <t>the clove</t>
  </si>
  <si>
    <t>le clou de girofle</t>
  </si>
  <si>
    <t>padded</t>
  </si>
  <si>
    <t>rembourré</t>
  </si>
  <si>
    <t>le cercueil</t>
  </si>
  <si>
    <t>to shroud</t>
  </si>
  <si>
    <t>envelopper</t>
  </si>
  <si>
    <t>sturdy</t>
  </si>
  <si>
    <t>solide</t>
  </si>
  <si>
    <t>embroidered</t>
  </si>
  <si>
    <t>brodé</t>
  </si>
  <si>
    <t>a nonius</t>
  </si>
  <si>
    <t>un vernier</t>
  </si>
  <si>
    <t>chequered</t>
  </si>
  <si>
    <t>à carreau</t>
  </si>
  <si>
    <t>looting (common name)</t>
  </si>
  <si>
    <t>impétueux</t>
  </si>
  <si>
    <t>a fart</t>
  </si>
  <si>
    <t>un pet</t>
  </si>
  <si>
    <t>a pan</t>
  </si>
  <si>
    <t>une poêle</t>
  </si>
  <si>
    <t>the fang</t>
  </si>
  <si>
    <t>a rope</t>
  </si>
  <si>
    <t>une corde</t>
  </si>
  <si>
    <t>un fléau (l'arme)</t>
  </si>
  <si>
    <t>a flail (weapon)</t>
  </si>
  <si>
    <t>téméraire</t>
  </si>
  <si>
    <t>une distorsion / une chaîne</t>
  </si>
  <si>
    <t>a shoal</t>
  </si>
  <si>
    <t>un banc (de poisson, de sable)</t>
  </si>
  <si>
    <t>cramped</t>
  </si>
  <si>
    <t>à l'étroit</t>
  </si>
  <si>
    <t>to buffet</t>
  </si>
  <si>
    <t>a parcel</t>
  </si>
  <si>
    <t>a mischief</t>
  </si>
  <si>
    <t>a nettle</t>
  </si>
  <si>
    <t>une ortie</t>
  </si>
  <si>
    <t>the payroll</t>
  </si>
  <si>
    <t>the nub</t>
  </si>
  <si>
    <t>l'essentiel, le noyau / le bout</t>
  </si>
  <si>
    <t>a fledgling</t>
  </si>
  <si>
    <t>un débutant / un oisillon</t>
  </si>
  <si>
    <t>the circulation</t>
  </si>
  <si>
    <t>le tirage</t>
  </si>
  <si>
    <t>the proceeds</t>
  </si>
  <si>
    <t>les recettes, le produit</t>
  </si>
  <si>
    <t>échoué / coincé</t>
  </si>
  <si>
    <t>a publisher</t>
  </si>
  <si>
    <t>un éditeur</t>
  </si>
  <si>
    <t>a rating</t>
  </si>
  <si>
    <t>the directions</t>
  </si>
  <si>
    <t>I was glad I got a letter from him yesterday.</t>
  </si>
  <si>
    <t>fidèle / vigoureux</t>
  </si>
  <si>
    <t>a dispenser</t>
  </si>
  <si>
    <t>un distributeur</t>
  </si>
  <si>
    <t>the casket / the coffin</t>
  </si>
  <si>
    <t>a misgiving</t>
  </si>
  <si>
    <t>lush</t>
  </si>
  <si>
    <t>luxuriant</t>
  </si>
  <si>
    <t>the chalk</t>
  </si>
  <si>
    <t>la craie</t>
  </si>
  <si>
    <t>une avance</t>
  </si>
  <si>
    <t>a branch (firm)</t>
  </si>
  <si>
    <t>aiguisé, stimulé</t>
  </si>
  <si>
    <t>a slope</t>
  </si>
  <si>
    <t>une pente</t>
  </si>
  <si>
    <t>a straitjacket</t>
  </si>
  <si>
    <t>a dole</t>
  </si>
  <si>
    <t>une indemnité de chômage</t>
  </si>
  <si>
    <t>a refund</t>
  </si>
  <si>
    <t>an upswing</t>
  </si>
  <si>
    <t>un redressement, une amélioration</t>
  </si>
  <si>
    <t>a bracket</t>
  </si>
  <si>
    <t>a twinge</t>
  </si>
  <si>
    <t>un élancement</t>
  </si>
  <si>
    <t>to catch a glimpse of</t>
  </si>
  <si>
    <t>a foreman</t>
  </si>
  <si>
    <t>un préavis</t>
  </si>
  <si>
    <t>an advance notice</t>
  </si>
  <si>
    <t>a feat</t>
  </si>
  <si>
    <t>un exploit</t>
  </si>
  <si>
    <t>to takeover</t>
  </si>
  <si>
    <t>prendre le contrôle</t>
  </si>
  <si>
    <t>a keyhole</t>
  </si>
  <si>
    <t>un trou de serrure</t>
  </si>
  <si>
    <t>a rug</t>
  </si>
  <si>
    <t>une couverture</t>
  </si>
  <si>
    <t>le dégraissage</t>
  </si>
  <si>
    <t>Nitrogene</t>
  </si>
  <si>
    <t>a stance</t>
  </si>
  <si>
    <t>retarder, repousser, différer</t>
  </si>
  <si>
    <t>une feuille, une plaque, une tôle</t>
  </si>
  <si>
    <t>to marshal</t>
  </si>
  <si>
    <t>rassembler / canaliser</t>
  </si>
  <si>
    <t>volant</t>
  </si>
  <si>
    <t>an allowance</t>
  </si>
  <si>
    <t>an extension</t>
  </si>
  <si>
    <t>a midwife</t>
  </si>
  <si>
    <t>a merger</t>
  </si>
  <si>
    <t>to remodel</t>
  </si>
  <si>
    <t>a buyout</t>
  </si>
  <si>
    <t>an alloy</t>
  </si>
  <si>
    <t>a rally</t>
  </si>
  <si>
    <t>un costume / un procès</t>
  </si>
  <si>
    <t>an array</t>
  </si>
  <si>
    <t>a conveyor</t>
  </si>
  <si>
    <t>plain-text</t>
  </si>
  <si>
    <t>a slot</t>
  </si>
  <si>
    <t>a wall socket</t>
  </si>
  <si>
    <t>une prise électrique murale</t>
  </si>
  <si>
    <t>to refund</t>
  </si>
  <si>
    <t>rembourser (soutenu)</t>
  </si>
  <si>
    <t>in due course</t>
  </si>
  <si>
    <t>en bref (soutenu)</t>
  </si>
  <si>
    <t>Suite à votre récente réclamation, …</t>
  </si>
  <si>
    <t>With reference to your recent complaint, …</t>
  </si>
  <si>
    <t>With regard to the rate of interest paid, ...</t>
  </si>
  <si>
    <t>Concernant le taux des intérêts versés, …</t>
  </si>
  <si>
    <t>I hope this information will be of assistance to you.</t>
  </si>
  <si>
    <t>J'espère que ces informations vous seront utiles.</t>
  </si>
  <si>
    <t>I look forward to doing further business with you.</t>
  </si>
  <si>
    <t>Dans l'attente de travailler de nouveau avec vous.</t>
  </si>
  <si>
    <t>Pourriez-vous me passer … ?</t>
  </si>
  <si>
    <t>I can be quite shy around new people.</t>
  </si>
  <si>
    <t>Je suis de nature plutôt timide avec les gens que je ne connais pas.</t>
  </si>
  <si>
    <t>I'm very outgoing.</t>
  </si>
  <si>
    <t>Je suis très extraverti.</t>
  </si>
  <si>
    <t>I'm always up for a laugh.</t>
  </si>
  <si>
    <t>J'aime bien m'amuser</t>
  </si>
  <si>
    <t>Je m'entends bien avec tout le monde.</t>
  </si>
  <si>
    <t>Elle est très décontractée.</t>
  </si>
  <si>
    <t>C'est pas vrai ?!</t>
  </si>
  <si>
    <t>Pourriez-vous me l'écrire s'il vous plaît ?</t>
  </si>
  <si>
    <t>Bipe-moi, j'enregistrerai ton numéro.</t>
  </si>
  <si>
    <t>What day is it today ?</t>
  </si>
  <si>
    <t>Quel jour sommes-nous aujourd'hui ?</t>
  </si>
  <si>
    <t>I have a shower and get dressed.</t>
  </si>
  <si>
    <t>I've got a degree in maths.</t>
  </si>
  <si>
    <t>I graduated in English in 2017.</t>
  </si>
  <si>
    <t>J'ai réussi mon examen</t>
  </si>
  <si>
    <t>What do you do in your spare time ?</t>
  </si>
  <si>
    <t>Que fais-tu pendant ton temps libre ?</t>
  </si>
  <si>
    <t>Je ne suis pas un fou de foot</t>
  </si>
  <si>
    <t>Nice one!</t>
  </si>
  <si>
    <t>Bien joué !</t>
  </si>
  <si>
    <t>Break a leg!</t>
  </si>
  <si>
    <t>Bonne chance !</t>
  </si>
  <si>
    <t>Do you have any vacancies for tonight?</t>
  </si>
  <si>
    <t>Avez-vous des chambres de libre pour cette nuit ?</t>
  </si>
  <si>
    <t>Do you have a safe for valuables?</t>
  </si>
  <si>
    <t>Avez-vous un coffre pour les objets de valeur ?</t>
  </si>
  <si>
    <t>At what time does the room have to be vacated by?</t>
  </si>
  <si>
    <t>A quelle heure faut-il libérer la chambre ?</t>
  </si>
  <si>
    <t>Is there a laundry service?</t>
  </si>
  <si>
    <t>Y a-t-il un service de blanchisserie ?</t>
  </si>
  <si>
    <t>Is there a cashpoint nearby?</t>
  </si>
  <si>
    <t>Y a-t-il un distributeur près d'ici ?</t>
  </si>
  <si>
    <t>Which stop should I get off to go to …?</t>
  </si>
  <si>
    <t>A quelle station dois-je descendre pour aller à … ?</t>
  </si>
  <si>
    <t>Faut-il commander au bar ?</t>
  </si>
  <si>
    <t>Can we get something to eat?</t>
  </si>
  <si>
    <t>Est-il possible de manger quelque chose ?</t>
  </si>
  <si>
    <t>Is it machine washable?</t>
  </si>
  <si>
    <t>Est-ce lavable en machine ?</t>
  </si>
  <si>
    <t>Puis-je l'essayer ?</t>
  </si>
  <si>
    <t>What size are you?</t>
  </si>
  <si>
    <t>Quelle taille faites-vous ?</t>
  </si>
  <si>
    <t>Je fais du 40 (en taille)</t>
  </si>
  <si>
    <t>Is this one in the sale as well?</t>
  </si>
  <si>
    <t>Avez-vous un endroit à me conseiller pour acheter des montres ?</t>
  </si>
  <si>
    <t>Can you recommend any good places to shop for watches?</t>
  </si>
  <si>
    <t>How much is that purse?</t>
  </si>
  <si>
    <t>Combien coûte ce porte-monnaie ?</t>
  </si>
  <si>
    <t>une casquette</t>
  </si>
  <si>
    <t>a scarf</t>
  </si>
  <si>
    <t>a cap</t>
  </si>
  <si>
    <t>a wallet</t>
  </si>
  <si>
    <t>un portefeuille</t>
  </si>
  <si>
    <t>a necklace</t>
  </si>
  <si>
    <t>un collier</t>
  </si>
  <si>
    <t>Where are the frozen foods?</t>
  </si>
  <si>
    <t>Où se trouvent les plats surgelés ?</t>
  </si>
  <si>
    <t>Do you sell batteries?</t>
  </si>
  <si>
    <t>Vendez-vous des piles ?</t>
  </si>
  <si>
    <t>What would you recommend I bring back to France?</t>
  </si>
  <si>
    <t>Que me suggérez-vous de ramener en France ?</t>
  </si>
  <si>
    <t>Pouvez-vous me faire un paquet-cadeau ?</t>
  </si>
  <si>
    <t>a loaf of (sliced) bread</t>
  </si>
  <si>
    <t>une miche de pain (généralement tranché)</t>
  </si>
  <si>
    <t>a slice of ham</t>
  </si>
  <si>
    <t>une tranche de jambon</t>
  </si>
  <si>
    <t>a tin of beans</t>
  </si>
  <si>
    <t>une boîte de conserve de haricots</t>
  </si>
  <si>
    <t>What are the sights not to be missed?</t>
  </si>
  <si>
    <t>Can you gift-wrap it?</t>
  </si>
  <si>
    <t>Quelles sont les choses à voir absolument ?</t>
  </si>
  <si>
    <t>How much is it for a go?</t>
  </si>
  <si>
    <t>Combien coûte un tour ? (de manège, …)</t>
  </si>
  <si>
    <t>Are there boat cruises available?</t>
  </si>
  <si>
    <t>Ce que j'essaie de dire, c'est …</t>
  </si>
  <si>
    <t>The point I'm trying to make is…</t>
  </si>
  <si>
    <t>Let me put another way…</t>
  </si>
  <si>
    <t>Je vais présenter ça autrement …</t>
  </si>
  <si>
    <t>As I see it, …</t>
  </si>
  <si>
    <t>Selon moi, …</t>
  </si>
  <si>
    <t>If you ask me, …</t>
  </si>
  <si>
    <t>Si vous voulez mon avis, …</t>
  </si>
  <si>
    <t>On balance, I thinks it's a good idea.</t>
  </si>
  <si>
    <t>Do you serve wine by the glass?</t>
  </si>
  <si>
    <t>I've changed my mind; I'll have the fish instead of the meat</t>
  </si>
  <si>
    <t>J'ai changé d'avis, je prendrai le poisson au lieu de la viande</t>
  </si>
  <si>
    <t>What do you recommend as a side?</t>
  </si>
  <si>
    <t>Que proposez-vous en accompagnement ?</t>
  </si>
  <si>
    <t>Could we have the bill, please?</t>
  </si>
  <si>
    <t>Any time!</t>
  </si>
  <si>
    <t>N'hésitez pas !</t>
  </si>
  <si>
    <t>Can you take us to casualty?</t>
  </si>
  <si>
    <t>Pouvez-vous nous emmener aux urgences ?</t>
  </si>
  <si>
    <t>Excuse me, where is the duty chemist?</t>
  </si>
  <si>
    <t>Excusez-moi, où est la pharmacie de garde ?</t>
  </si>
  <si>
    <t>Do you have something for blisters?</t>
  </si>
  <si>
    <t>Avez-vous quelque chose pour les ampoules ?</t>
  </si>
  <si>
    <t>I've got a prescription from my doctor</t>
  </si>
  <si>
    <t>J'ai une ordonnance de mon médecin</t>
  </si>
  <si>
    <t>I'm going to have to leave you</t>
  </si>
  <si>
    <t>Je vais devoir vous laisser</t>
  </si>
  <si>
    <t>Ma fille aînée vient d'avoir 20 ans.</t>
  </si>
  <si>
    <t>What do you want to see me about?</t>
  </si>
  <si>
    <t>In my lecture, I shall deal with…</t>
  </si>
  <si>
    <t>Dans ma conférence, je traiterai de …</t>
  </si>
  <si>
    <t>Good luck with the exams!</t>
  </si>
  <si>
    <t>Bonne chance pour les examens !</t>
  </si>
  <si>
    <t>We said our goodbyes and left.</t>
  </si>
  <si>
    <t>Nous avons fait nos adieux et nous sommes partis.</t>
  </si>
  <si>
    <t>Je partage ton sentiment là-dessus.</t>
  </si>
  <si>
    <t>I think I can go along with that.</t>
  </si>
  <si>
    <t>Those are my feelings exactly.</t>
  </si>
  <si>
    <t>Je pense pouvoir dire que ça me va.</t>
  </si>
  <si>
    <t>Ils se sont séparés d'un commun accord.</t>
  </si>
  <si>
    <t>Do you approve of the proposal?</t>
  </si>
  <si>
    <t>Êtes-vous d'accord avec cette proposition ?</t>
  </si>
  <si>
    <t>She has strong views on the subject.</t>
  </si>
  <si>
    <t>Elle a des opinions bien arrêtées sur le sujet.</t>
  </si>
  <si>
    <t>It's plain that she's lying.</t>
  </si>
  <si>
    <t>It really stands out that he's not a local.</t>
  </si>
  <si>
    <t>On voit vraiment qu'il n'est pas d'ici.</t>
  </si>
  <si>
    <t>It was a piece of cake!</t>
  </si>
  <si>
    <t>C'était du gâteau !</t>
  </si>
  <si>
    <t>I don't see the point of redooing it.</t>
  </si>
  <si>
    <t>Je ne vois pas l'intérêt de le refaire.</t>
  </si>
  <si>
    <t>What do you advise me to do?</t>
  </si>
  <si>
    <t>I could do with some advice.</t>
  </si>
  <si>
    <t>Un conseil serait le bienvenu.</t>
  </si>
  <si>
    <t>Are you clear about what you have to do?</t>
  </si>
  <si>
    <t>As-tu bien compris ce que tu as à faire ?</t>
  </si>
  <si>
    <t>Très bien, mais est-ce que tu ne penses pas que … ?</t>
  </si>
  <si>
    <t>That's fair enough, but don't you think that… ?</t>
  </si>
  <si>
    <t>Granted, he's not very intelligent, but...</t>
  </si>
  <si>
    <t>D'accord, il n'est pas très intelligent, mais …</t>
  </si>
  <si>
    <t>He passed himself off as a hero.</t>
  </si>
  <si>
    <t>Il s'est fait passé pour un héros.</t>
  </si>
  <si>
    <t>Deep down, he's very kind.</t>
  </si>
  <si>
    <t>Au fond, il est très gentil.</t>
  </si>
  <si>
    <t>Don't worry, he's just putting it on.</t>
  </si>
  <si>
    <t>Ne t'inquiète pas, il fait du cinéma.</t>
  </si>
  <si>
    <t>You're really getting on my nerves with your stupid comments.</t>
  </si>
  <si>
    <t>Tu commences vraiment à me taper sur les nerfs avec tes commentaires stupides.</t>
  </si>
  <si>
    <t>Ca me rend triste de voir ce qu'il sont devenus.</t>
  </si>
  <si>
    <t>What are you so upset about?</t>
  </si>
  <si>
    <t>Qu'est-ce qui te met dans cet état ?</t>
  </si>
  <si>
    <t>In despair, she took her own life.</t>
  </si>
  <si>
    <t>Désespérée, elle a mis fin à ses jours.</t>
  </si>
  <si>
    <t>It was love at first sight.</t>
  </si>
  <si>
    <t>Ca a été le coup de foudre.</t>
  </si>
  <si>
    <t>She had a spot soft for Dan.</t>
  </si>
  <si>
    <t>Elle avait un faible pour Dan.</t>
  </si>
  <si>
    <t>I have a phobia of spiders.</t>
  </si>
  <si>
    <t>J'ai la phobie des araignées.</t>
  </si>
  <si>
    <t>I was petrified he would tell her.</t>
  </si>
  <si>
    <t>J'étais mort de peur à l'idée qu'il le lui dise.</t>
  </si>
  <si>
    <t>Leur arrivée m'a pris au dépourvu.</t>
  </si>
  <si>
    <t>If there's anything I can do for you, please let me know.</t>
  </si>
  <si>
    <t>Si je peux vous aider en quoi que ce soit, n'hésitez pas à me le faire savoir.</t>
  </si>
  <si>
    <t>Things are looking up.</t>
  </si>
  <si>
    <t>I don't think very highly of my boss.</t>
  </si>
  <si>
    <t>Je n'ai pas une très haute opinion de mon responsable.</t>
  </si>
  <si>
    <t>He looked at her in wonder.</t>
  </si>
  <si>
    <t>Il la regarda avec admiration.</t>
  </si>
  <si>
    <t>There's no love lost between them.</t>
  </si>
  <si>
    <t>Ils se détestent cordialement.</t>
  </si>
  <si>
    <t>I've no time for that sort of attitude.</t>
  </si>
  <si>
    <t>Je ne supporte pas ce genre d'attitude.</t>
  </si>
  <si>
    <t>I stared at him aghast.</t>
  </si>
  <si>
    <t>Je l'ai regardé, atteré.</t>
  </si>
  <si>
    <t>I doubt it.</t>
  </si>
  <si>
    <t>J'en doute.</t>
  </si>
  <si>
    <t>We are in no doubt as to her competences.</t>
  </si>
  <si>
    <t>Nous n'avons aucun doute sur ses compétences.</t>
  </si>
  <si>
    <t>I'm in two minds about going.</t>
  </si>
  <si>
    <t>J'hésite à y aller.</t>
  </si>
  <si>
    <t>Make up your mind!</t>
  </si>
  <si>
    <t>Décidez-vous !</t>
  </si>
  <si>
    <t>She blushed at the thought.</t>
  </si>
  <si>
    <t>Elle rougit à cette pensée.</t>
  </si>
  <si>
    <t>When he said that, I didn't know where to put my face!</t>
  </si>
  <si>
    <t>Lorsqu'il a dit ça, je ne savais plus où me mettre !</t>
  </si>
  <si>
    <t>Hearing myself say that, I just wanted the ground to open and to swallow me up.</t>
  </si>
  <si>
    <t>J'aurais mieux fait de ne pas en parler.</t>
  </si>
  <si>
    <t>I regret having ever mentioned it now.</t>
  </si>
  <si>
    <t>We'll have to make the best of the situation.</t>
  </si>
  <si>
    <t>Il faudra nous accommoder de la situation.</t>
  </si>
  <si>
    <t>Tu abandonnes trop facilement.</t>
  </si>
  <si>
    <t>Can I get you something to drink?</t>
  </si>
  <si>
    <t>Est-ce que je peux vous offrir quelque chose à boire ?</t>
  </si>
  <si>
    <t>She drained her glass.</t>
  </si>
  <si>
    <t>Elle a vidé son verre.</t>
  </si>
  <si>
    <t>She has rings under her eyes.</t>
  </si>
  <si>
    <t>Are you in pain?</t>
  </si>
  <si>
    <t>Avez-vous mal ?</t>
  </si>
  <si>
    <t>Where is it sore?</t>
  </si>
  <si>
    <t>Où as-tu mal ?</t>
  </si>
  <si>
    <t>This medecine will help ease the pain.</t>
  </si>
  <si>
    <t>Je commence à m'ennuyer.</t>
  </si>
  <si>
    <t>Take no notice of him!</t>
  </si>
  <si>
    <t>Ne faites pas attention à lui !</t>
  </si>
  <si>
    <t>Have you had any news of her?</t>
  </si>
  <si>
    <t>Avez-vous eu de ses nouvelles ?</t>
  </si>
  <si>
    <t>He was anxious for them to go.</t>
  </si>
  <si>
    <t>Il attendait impatiemment qu'ils partent.</t>
  </si>
  <si>
    <t>Cela m'est égal.</t>
  </si>
  <si>
    <t>It makes no difference to me.</t>
  </si>
  <si>
    <t>Who cares?</t>
  </si>
  <si>
    <t>Qu'est-ce que ça peut faire ?</t>
  </si>
  <si>
    <t>I couldn't care less if he comes or not.</t>
  </si>
  <si>
    <t>Do you like opera? I can take it or leave it.</t>
  </si>
  <si>
    <t>Vous aimez l'opéra ? Pas plus que cela.</t>
  </si>
  <si>
    <t>Walking in the rain isn't my idea of fun.</t>
  </si>
  <si>
    <t>Je ne peux pas dire que j'aime marcher sous la pluie.</t>
  </si>
  <si>
    <t>Which do you want? Either one will do.</t>
  </si>
  <si>
    <t>Lequel veux-tu ? N'importe.</t>
  </si>
  <si>
    <t>(Keep your) Chin up!</t>
  </si>
  <si>
    <t>Courage !</t>
  </si>
  <si>
    <t>He went there out of curiosity.</t>
  </si>
  <si>
    <t>They weren't at all curious as to how it had happened.</t>
  </si>
  <si>
    <t>Ils n'étaient pas du tout curieux de savoir comment cela s'était produit.</t>
  </si>
  <si>
    <t>I'm dying to know the score of the match.</t>
  </si>
  <si>
    <t>Je meurs d'envie de connaître le résultat du match.</t>
  </si>
  <si>
    <t>Take your time over it.</t>
  </si>
  <si>
    <t>Prenez le temps qu'il faudra.</t>
  </si>
  <si>
    <t>What's the hurry?</t>
  </si>
  <si>
    <t>Qu'est-ce qui presse tant ?</t>
  </si>
  <si>
    <t>I don't have much faith in him.</t>
  </si>
  <si>
    <t>Je n'ai pas une très grande confiance en lui.</t>
  </si>
  <si>
    <t>This is on me.</t>
  </si>
  <si>
    <t>C'est moi qui offre.</t>
  </si>
  <si>
    <t>Is there anything you need?</t>
  </si>
  <si>
    <t>Avez-vous besoin de quelque chose ?</t>
  </si>
  <si>
    <t>I've told you hundreds of times!</t>
  </si>
  <si>
    <t>Je vous l'ai dit cent fois !</t>
  </si>
  <si>
    <t>I owe you £20, is that right?</t>
  </si>
  <si>
    <t>Je vous dois 20 livres, c'est ça ?</t>
  </si>
  <si>
    <t>Are you quite sure he hasn't left yet?</t>
  </si>
  <si>
    <t>Etes-vous bien sûr qu'il n'est pas encore parti ?</t>
  </si>
  <si>
    <t>Elle n'était pas très convaincante dans le rôle de Juliette.</t>
  </si>
  <si>
    <t>Je lui ai vivement conseillé d'accepter.</t>
  </si>
  <si>
    <t>He'd have me believe that it's an antique.</t>
  </si>
  <si>
    <t>Il voudrait me faire croire que c'est un objet d'époque.</t>
  </si>
  <si>
    <t>When would be the best time for you?</t>
  </si>
  <si>
    <t>Quelle heure vous conviendrait le mieux ?</t>
  </si>
  <si>
    <t>Like father, like son.</t>
  </si>
  <si>
    <t>Tel père, tel fils.</t>
  </si>
  <si>
    <t>These facts are totally unrelated.</t>
  </si>
  <si>
    <t>Il n'y a aucun rapport entre ces faits.</t>
  </si>
  <si>
    <t>I have every intention of calling her.</t>
  </si>
  <si>
    <t>J'ai bien l'intention de l'appeler.</t>
  </si>
  <si>
    <t>Are you up to doing it?</t>
  </si>
  <si>
    <t>En êtes-vous capables ?</t>
  </si>
  <si>
    <t>I didn't think she had it in her.</t>
  </si>
  <si>
    <t>Je ne l'en croyais pas capable.</t>
  </si>
  <si>
    <t>I wouldn't say no to a cold drink.</t>
  </si>
  <si>
    <t>Je prendrais volontiers une boisson fraîche.</t>
  </si>
  <si>
    <t>Do you mind if I borrow your pen? I'd rather you didn't.</t>
  </si>
  <si>
    <t>Puis-je emprunter ton stylo ? Je préfèrerais que non.</t>
  </si>
  <si>
    <t>She comes to see me whenever possible.</t>
  </si>
  <si>
    <t>Elle vient me voir quand elle le peut.</t>
  </si>
  <si>
    <t>There is little chance of that happening.</t>
  </si>
  <si>
    <t>Il y a peu de chances que cela se produise.</t>
  </si>
  <si>
    <t>She was banned from driving for a year.</t>
  </si>
  <si>
    <t>Elle a eu une suspension de permis de conduire d'un an.</t>
  </si>
  <si>
    <t>He is very intolerant of noisy children.</t>
  </si>
  <si>
    <t>Il ne supporte absolument pas les enfants bruyants.</t>
  </si>
  <si>
    <t>He could'nt be doing with living in London.</t>
  </si>
  <si>
    <t>Il ne pouvait pas supporter de vivre à Londres.</t>
  </si>
  <si>
    <t>They won't take no for an answer.</t>
  </si>
  <si>
    <t>Ils n'accepteront aucun refus.</t>
  </si>
  <si>
    <t>Forget it!</t>
  </si>
  <si>
    <t>He's quite unsuitable for the job.</t>
  </si>
  <si>
    <t>Ce n'est pas la personne qu'il faut pour ce poste.</t>
  </si>
  <si>
    <t>Attendance is compulsory.</t>
  </si>
  <si>
    <t>La présence est obligatoire.</t>
  </si>
  <si>
    <t>No one's forcing you.</t>
  </si>
  <si>
    <t>Tu n'es pas obligé.</t>
  </si>
  <si>
    <t>I'm just following orders.</t>
  </si>
  <si>
    <t>Quiet, please!</t>
  </si>
  <si>
    <t>Silence, s'il vous plaît !</t>
  </si>
  <si>
    <t>Just leave it alone, will you!</t>
  </si>
  <si>
    <t>Ne touche pas à ça, tu m'entends !</t>
  </si>
  <si>
    <t>You shouldn't use threatening language.</t>
  </si>
  <si>
    <t>Vous ne devriez pas faire des menaces.</t>
  </si>
  <si>
    <t>Don't say I didn't warn you!</t>
  </si>
  <si>
    <t>Je t'aurai prévenu !</t>
  </si>
  <si>
    <t>Just you try!</t>
  </si>
  <si>
    <t>Essaie un peu pour voir !</t>
  </si>
  <si>
    <t>She fell to the floor in a faint.</t>
  </si>
  <si>
    <t>Elle est tombée en syncope.</t>
  </si>
  <si>
    <t>C'est plus facile à dire qu'à faire.</t>
  </si>
  <si>
    <t>I was mixing you up with your brother.</t>
  </si>
  <si>
    <t>Je vous confondais avec votre frère.</t>
  </si>
  <si>
    <t>That's the least of my worries.</t>
  </si>
  <si>
    <t>C'est le cadet de mes soucis.</t>
  </si>
  <si>
    <t>That's a weight off my mind.</t>
  </si>
  <si>
    <t>Je suis vraiment soulagé.</t>
  </si>
  <si>
    <t>Tell me what's worrying you.</t>
  </si>
  <si>
    <t>Nothing seems to trouble him.</t>
  </si>
  <si>
    <t>We don't have anything planned tomorrow afternoon.</t>
  </si>
  <si>
    <t>Nous n'avons rien de prévu pour demain après-midi.</t>
  </si>
  <si>
    <t>The rehearsal went well.</t>
  </si>
  <si>
    <t>He's making great strides with his research.</t>
  </si>
  <si>
    <t>Sa recherche avance à grands pas.</t>
  </si>
  <si>
    <t>We are gaining ground on our competitors.</t>
  </si>
  <si>
    <t>Nous gagnons du terrain sur nos concurrents.</t>
  </si>
  <si>
    <t>He was successfully operated on for a stomach ulcer.</t>
  </si>
  <si>
    <t>Il a été opéré avec succès d'un ulcère à l'estomac.</t>
  </si>
  <si>
    <t>I don't get much enjoyment out of teaching.</t>
  </si>
  <si>
    <t>Je n'ai guère de plaisir à enseigner.</t>
  </si>
  <si>
    <t>Entrez donc, faites comme chez vous.</t>
  </si>
  <si>
    <t>How about meeting for a drink after work? That'd be nice.</t>
  </si>
  <si>
    <t>Ca te dirait de prendre un verre après le travail ? Oui, ce serait sympa.</t>
  </si>
  <si>
    <t>This is just a small gift to say thank you.</t>
  </si>
  <si>
    <t>We gave her a poney as a present.</t>
  </si>
  <si>
    <t>Nous lui avons fait cadeau d'un poney.</t>
  </si>
  <si>
    <t>She offered me £800 for my car.</t>
  </si>
  <si>
    <t>abondant</t>
  </si>
  <si>
    <t>a wildcard</t>
  </si>
  <si>
    <t>une carte joker</t>
  </si>
  <si>
    <t>to peeve</t>
  </si>
  <si>
    <t>mettre en rogne</t>
  </si>
  <si>
    <t>terse</t>
  </si>
  <si>
    <t>laconique, concis</t>
  </si>
  <si>
    <t>customary</t>
  </si>
  <si>
    <t>habituel</t>
  </si>
  <si>
    <t>the leniency</t>
  </si>
  <si>
    <t>vaunted</t>
  </si>
  <si>
    <t>vanné</t>
  </si>
  <si>
    <t>a hull</t>
  </si>
  <si>
    <t>une coque</t>
  </si>
  <si>
    <t>to spawn</t>
  </si>
  <si>
    <t>frayer</t>
  </si>
  <si>
    <t>a bum</t>
  </si>
  <si>
    <t>un clochard</t>
  </si>
  <si>
    <t>a dye</t>
  </si>
  <si>
    <t>un colorant</t>
  </si>
  <si>
    <t>a spree</t>
  </si>
  <si>
    <t>une fête</t>
  </si>
  <si>
    <t>a hinge</t>
  </si>
  <si>
    <t>une charnière</t>
  </si>
  <si>
    <t>échoué</t>
  </si>
  <si>
    <t>stepping stones</t>
  </si>
  <si>
    <t>hollow</t>
  </si>
  <si>
    <t>a pond</t>
  </si>
  <si>
    <t>an uplift</t>
  </si>
  <si>
    <t>un soulèvement</t>
  </si>
  <si>
    <t>un sifflement</t>
  </si>
  <si>
    <t>un présage</t>
  </si>
  <si>
    <t>a speck</t>
  </si>
  <si>
    <t>un grain</t>
  </si>
  <si>
    <t>une souscription</t>
  </si>
  <si>
    <t>a stock market flotation</t>
  </si>
  <si>
    <t>une introduction en bourse</t>
  </si>
  <si>
    <t>to mutter</t>
  </si>
  <si>
    <t>murmurer</t>
  </si>
  <si>
    <t>a doll</t>
  </si>
  <si>
    <t>une poupée</t>
  </si>
  <si>
    <t>a fence</t>
  </si>
  <si>
    <t>une clôture</t>
  </si>
  <si>
    <t>upwind</t>
  </si>
  <si>
    <t>au vent</t>
  </si>
  <si>
    <t>to teem</t>
  </si>
  <si>
    <t>pulluler</t>
  </si>
  <si>
    <t>scruffy</t>
  </si>
  <si>
    <t>débraillé</t>
  </si>
  <si>
    <t>unkempt</t>
  </si>
  <si>
    <t>peu soigné</t>
  </si>
  <si>
    <t>bien se porter / prospérer</t>
  </si>
  <si>
    <t>a dissenter</t>
  </si>
  <si>
    <t>un dissident</t>
  </si>
  <si>
    <t>the gusto</t>
  </si>
  <si>
    <t>l'enthousiasme</t>
  </si>
  <si>
    <t>an endeavor</t>
  </si>
  <si>
    <t>un effort</t>
  </si>
  <si>
    <t>a pin</t>
  </si>
  <si>
    <t>une épingle</t>
  </si>
  <si>
    <t>to slacken</t>
  </si>
  <si>
    <t>a dither</t>
  </si>
  <si>
    <t>un tremblement</t>
  </si>
  <si>
    <t>to crop</t>
  </si>
  <si>
    <t>a truce</t>
  </si>
  <si>
    <t>une trêve</t>
  </si>
  <si>
    <t>meek</t>
  </si>
  <si>
    <t>lukewarm</t>
  </si>
  <si>
    <t>tiède</t>
  </si>
  <si>
    <t>a boilerplate</t>
  </si>
  <si>
    <t>une plaque de cuisson</t>
  </si>
  <si>
    <t>puzzling</t>
  </si>
  <si>
    <t>déroutant</t>
  </si>
  <si>
    <t>a skit</t>
  </si>
  <si>
    <t>un sketch</t>
  </si>
  <si>
    <t>a pun</t>
  </si>
  <si>
    <t>un calembour</t>
  </si>
  <si>
    <t>a parrot</t>
  </si>
  <si>
    <t>un perroquet</t>
  </si>
  <si>
    <t>rigide</t>
  </si>
  <si>
    <t>steep</t>
  </si>
  <si>
    <t>raide</t>
  </si>
  <si>
    <t>to indwell</t>
  </si>
  <si>
    <t>habiter</t>
  </si>
  <si>
    <t>despicable</t>
  </si>
  <si>
    <t>méprisable</t>
  </si>
  <si>
    <t>a quirk</t>
  </si>
  <si>
    <t>a token</t>
  </si>
  <si>
    <t>un jeton</t>
  </si>
  <si>
    <t>the way to go</t>
  </si>
  <si>
    <t>la marche à suivre</t>
  </si>
  <si>
    <t>innermost</t>
  </si>
  <si>
    <t>intime</t>
  </si>
  <si>
    <t>outermost</t>
  </si>
  <si>
    <t>le plus extérieur</t>
  </si>
  <si>
    <t>peculiar</t>
  </si>
  <si>
    <t>particulier</t>
  </si>
  <si>
    <t>to pervade</t>
  </si>
  <si>
    <t>imprégner</t>
  </si>
  <si>
    <t>deprecated</t>
  </si>
  <si>
    <t>obsolète</t>
  </si>
  <si>
    <t>verbose</t>
  </si>
  <si>
    <t>prolixe</t>
  </si>
  <si>
    <t>a compound</t>
  </si>
  <si>
    <t>une enceinte</t>
  </si>
  <si>
    <t>to staunch</t>
  </si>
  <si>
    <t>étancher</t>
  </si>
  <si>
    <t>to untangle</t>
  </si>
  <si>
    <t>démêler</t>
  </si>
  <si>
    <t>the breath</t>
  </si>
  <si>
    <t>l'haleine</t>
  </si>
  <si>
    <t>a blank</t>
  </si>
  <si>
    <t>from scratch</t>
  </si>
  <si>
    <t>à partir de rien</t>
  </si>
  <si>
    <t>to look forward</t>
  </si>
  <si>
    <t>avoir hâte</t>
  </si>
  <si>
    <t>to surround</t>
  </si>
  <si>
    <t>entourer</t>
  </si>
  <si>
    <t>web hosting</t>
  </si>
  <si>
    <t>a justle</t>
  </si>
  <si>
    <t>a concussion</t>
  </si>
  <si>
    <t>une commotion cérébrale</t>
  </si>
  <si>
    <t>haphazard</t>
  </si>
  <si>
    <t>au hasard</t>
  </si>
  <si>
    <t>to wade in</t>
  </si>
  <si>
    <t>patauger dans</t>
  </si>
  <si>
    <t>sorely</t>
  </si>
  <si>
    <t>grandement</t>
  </si>
  <si>
    <t>piece work</t>
  </si>
  <si>
    <t>carrément</t>
  </si>
  <si>
    <t>se débrouiller</t>
  </si>
  <si>
    <t>Do we have to order at the bar?</t>
  </si>
  <si>
    <t>jetable / désinvolte</t>
  </si>
  <si>
    <t>to layoff</t>
  </si>
  <si>
    <t>des manies</t>
  </si>
  <si>
    <t>to peck</t>
  </si>
  <si>
    <t>picorer</t>
  </si>
  <si>
    <t>all-out war</t>
  </si>
  <si>
    <t>la guerre totale</t>
  </si>
  <si>
    <t>to dip</t>
  </si>
  <si>
    <t>tremper</t>
  </si>
  <si>
    <t>approximately</t>
  </si>
  <si>
    <t>environ</t>
  </si>
  <si>
    <t>unrelenting</t>
  </si>
  <si>
    <t>implacable</t>
  </si>
  <si>
    <t>a log</t>
  </si>
  <si>
    <t>la mise à disposition</t>
  </si>
  <si>
    <t>meshed</t>
  </si>
  <si>
    <t>maillé</t>
  </si>
  <si>
    <t>a lawn</t>
  </si>
  <si>
    <t>une pelouse</t>
  </si>
  <si>
    <t>a mower</t>
  </si>
  <si>
    <t>une tondeuse</t>
  </si>
  <si>
    <t>an insole</t>
  </si>
  <si>
    <t>une semelle intérieure</t>
  </si>
  <si>
    <t>the heel</t>
  </si>
  <si>
    <t>le talon</t>
  </si>
  <si>
    <t>a smudge</t>
  </si>
  <si>
    <t>une tache</t>
  </si>
  <si>
    <t>a slick</t>
  </si>
  <si>
    <t>une nappe</t>
  </si>
  <si>
    <t>a rag</t>
  </si>
  <si>
    <t>un chiffon</t>
  </si>
  <si>
    <t>blandness</t>
  </si>
  <si>
    <t>envoûtant</t>
  </si>
  <si>
    <t>the dean</t>
  </si>
  <si>
    <t>le doyen</t>
  </si>
  <si>
    <t>impervious</t>
  </si>
  <si>
    <t>imperméable</t>
  </si>
  <si>
    <t>fussy</t>
  </si>
  <si>
    <t>difficile</t>
  </si>
  <si>
    <t>a remittance</t>
  </si>
  <si>
    <t>une remise</t>
  </si>
  <si>
    <t>to wag</t>
  </si>
  <si>
    <t>remuer</t>
  </si>
  <si>
    <t>to forestall</t>
  </si>
  <si>
    <t>devancer</t>
  </si>
  <si>
    <t>an appraisal</t>
  </si>
  <si>
    <t>une évaluation</t>
  </si>
  <si>
    <t>a villain</t>
  </si>
  <si>
    <t>un scélérat</t>
  </si>
  <si>
    <t>heretofore</t>
  </si>
  <si>
    <t>jusqu'ici</t>
  </si>
  <si>
    <t>frémir</t>
  </si>
  <si>
    <t>a whim</t>
  </si>
  <si>
    <t>un caprice</t>
  </si>
  <si>
    <t>a balance sheet</t>
  </si>
  <si>
    <t>a pigeonhole</t>
  </si>
  <si>
    <t>un casier</t>
  </si>
  <si>
    <t>a spindle</t>
  </si>
  <si>
    <t>une broche</t>
  </si>
  <si>
    <t>punched</t>
  </si>
  <si>
    <t>poinçonné</t>
  </si>
  <si>
    <t>a millwright</t>
  </si>
  <si>
    <t>un mécanicien de chantier</t>
  </si>
  <si>
    <t>a compass</t>
  </si>
  <si>
    <t>une boussole</t>
  </si>
  <si>
    <t>to confound</t>
  </si>
  <si>
    <t>a limb</t>
  </si>
  <si>
    <t>un membre</t>
  </si>
  <si>
    <t>une habitation</t>
  </si>
  <si>
    <t>a blanket</t>
  </si>
  <si>
    <t>a plaintiff</t>
  </si>
  <si>
    <t>un plaignant</t>
  </si>
  <si>
    <t>a wrinkle</t>
  </si>
  <si>
    <t>une ride</t>
  </si>
  <si>
    <t xml:space="preserve"> a stake</t>
  </si>
  <si>
    <t>un enjeu</t>
  </si>
  <si>
    <t>a telescope</t>
  </si>
  <si>
    <t>une longue-vue</t>
  </si>
  <si>
    <t>wearied</t>
  </si>
  <si>
    <t>fatigué</t>
  </si>
  <si>
    <t>a spark</t>
  </si>
  <si>
    <t>une étincelle</t>
  </si>
  <si>
    <t>a spark plug</t>
  </si>
  <si>
    <t>une bougie d'allumage</t>
  </si>
  <si>
    <t>to juggle</t>
  </si>
  <si>
    <t>jongler</t>
  </si>
  <si>
    <t>to topple</t>
  </si>
  <si>
    <t>renverser</t>
  </si>
  <si>
    <t>rickety</t>
  </si>
  <si>
    <t>rachitique</t>
  </si>
  <si>
    <t>to contrive</t>
  </si>
  <si>
    <t>trouver un moyen pour faire</t>
  </si>
  <si>
    <t>overdone</t>
  </si>
  <si>
    <t>exagéré</t>
  </si>
  <si>
    <t>le minimum</t>
  </si>
  <si>
    <t>the modicum</t>
  </si>
  <si>
    <t>le découragement</t>
  </si>
  <si>
    <t>to beseech</t>
  </si>
  <si>
    <t>supplier</t>
  </si>
  <si>
    <t>a yarn</t>
  </si>
  <si>
    <t>un fil</t>
  </si>
  <si>
    <t>a hopper</t>
  </si>
  <si>
    <t>une trémie</t>
  </si>
  <si>
    <t>a flare</t>
  </si>
  <si>
    <t>une fusée éclairante</t>
  </si>
  <si>
    <t>a workaround</t>
  </si>
  <si>
    <t>une solution de contournement</t>
  </si>
  <si>
    <t>a backlog</t>
  </si>
  <si>
    <t>un arriéré</t>
  </si>
  <si>
    <t>a bead</t>
  </si>
  <si>
    <t>une perle</t>
  </si>
  <si>
    <t>beveled</t>
  </si>
  <si>
    <t>biseauté</t>
  </si>
  <si>
    <t>to paddle</t>
  </si>
  <si>
    <t>pagayer</t>
  </si>
  <si>
    <t>debtful</t>
  </si>
  <si>
    <t>endetté</t>
  </si>
  <si>
    <t>to partake</t>
  </si>
  <si>
    <t>prendre part à</t>
  </si>
  <si>
    <t>an excursus</t>
  </si>
  <si>
    <t>a markup</t>
  </si>
  <si>
    <t>un balisage</t>
  </si>
  <si>
    <t>gaffer</t>
  </si>
  <si>
    <t>une bûche / un registre, un carnet de bord</t>
  </si>
  <si>
    <t>a rut</t>
  </si>
  <si>
    <t>a mils</t>
  </si>
  <si>
    <t>un millième</t>
  </si>
  <si>
    <t>an ember</t>
  </si>
  <si>
    <t>une braise</t>
  </si>
  <si>
    <t>dizzy</t>
  </si>
  <si>
    <t>étourdi</t>
  </si>
  <si>
    <t>a plough</t>
  </si>
  <si>
    <t>s’arrêter, cesser / oublier / exclure</t>
  </si>
  <si>
    <t>My oldest daughter has just turned 20.</t>
  </si>
  <si>
    <t>a drag</t>
  </si>
  <si>
    <t>une grippe</t>
  </si>
  <si>
    <t>a beggar</t>
  </si>
  <si>
    <t>un mendiant</t>
  </si>
  <si>
    <t>Elle m'a offert £800 pour ma voiture.</t>
  </si>
  <si>
    <t>a fair</t>
  </si>
  <si>
    <t>une foire d’exposition, un salon</t>
  </si>
  <si>
    <t>to plead</t>
  </si>
  <si>
    <t>plaider</t>
  </si>
  <si>
    <t>to preclude</t>
  </si>
  <si>
    <t>empêcher</t>
  </si>
  <si>
    <t>an anvil</t>
  </si>
  <si>
    <t>une enclume</t>
  </si>
  <si>
    <t>an expense report</t>
  </si>
  <si>
    <t>une note de frais</t>
  </si>
  <si>
    <t>to drown</t>
  </si>
  <si>
    <t>se noyer</t>
  </si>
  <si>
    <t>a stove</t>
  </si>
  <si>
    <t>skewed</t>
  </si>
  <si>
    <t>to stow</t>
  </si>
  <si>
    <t>ranger</t>
  </si>
  <si>
    <t>a latch</t>
  </si>
  <si>
    <t>un loquet</t>
  </si>
  <si>
    <t>slippery</t>
  </si>
  <si>
    <t>glissant</t>
  </si>
  <si>
    <t>a moth</t>
  </si>
  <si>
    <t>un papillon de nuit</t>
  </si>
  <si>
    <t>a spur</t>
  </si>
  <si>
    <t>un éperon</t>
  </si>
  <si>
    <t>a janitor</t>
  </si>
  <si>
    <t>un concierge</t>
  </si>
  <si>
    <t>Tow away zone</t>
  </si>
  <si>
    <t>a chime</t>
  </si>
  <si>
    <t>un carillon</t>
  </si>
  <si>
    <t>a snail</t>
  </si>
  <si>
    <t>un escargot</t>
  </si>
  <si>
    <t>a clam</t>
  </si>
  <si>
    <t>rough</t>
  </si>
  <si>
    <t>rude</t>
  </si>
  <si>
    <t>grossier</t>
  </si>
  <si>
    <t>a trough</t>
  </si>
  <si>
    <t>un creux</t>
  </si>
  <si>
    <t>a bulge</t>
  </si>
  <si>
    <t>a household</t>
  </si>
  <si>
    <t>un ménage (écon.)</t>
  </si>
  <si>
    <t>a staunch</t>
  </si>
  <si>
    <t>discutable, controversé</t>
  </si>
  <si>
    <t>un jet / une rafale</t>
  </si>
  <si>
    <t>to skulk</t>
  </si>
  <si>
    <t>sournois / détourné</t>
  </si>
  <si>
    <t>pleated</t>
  </si>
  <si>
    <t>plissé</t>
  </si>
  <si>
    <t>a vanload (expression)</t>
  </si>
  <si>
    <t>a brothel</t>
  </si>
  <si>
    <t>une maison close</t>
  </si>
  <si>
    <t>a blossom</t>
  </si>
  <si>
    <t>une fleur</t>
  </si>
  <si>
    <t>to stoke</t>
  </si>
  <si>
    <t>alimenter</t>
  </si>
  <si>
    <t>a brushwork</t>
  </si>
  <si>
    <t>un pinceau</t>
  </si>
  <si>
    <t>crinkled</t>
  </si>
  <si>
    <t>froissé</t>
  </si>
  <si>
    <t>linen</t>
  </si>
  <si>
    <t>le lin</t>
  </si>
  <si>
    <t>l'émail</t>
  </si>
  <si>
    <t>a potter</t>
  </si>
  <si>
    <t>un potier</t>
  </si>
  <si>
    <t>a demur</t>
  </si>
  <si>
    <t>une hésitation</t>
  </si>
  <si>
    <t>brûlant</t>
  </si>
  <si>
    <t>ensuing</t>
  </si>
  <si>
    <t>qui s'ensuit</t>
  </si>
  <si>
    <t>the juniper</t>
  </si>
  <si>
    <t>le genévrier</t>
  </si>
  <si>
    <t>the swine</t>
  </si>
  <si>
    <t>le porc</t>
  </si>
  <si>
    <t>a feud</t>
  </si>
  <si>
    <t>une querelle</t>
  </si>
  <si>
    <t>a spat</t>
  </si>
  <si>
    <t>une prise de bec</t>
  </si>
  <si>
    <t>bouillant</t>
  </si>
  <si>
    <t>la fougère</t>
  </si>
  <si>
    <t>to billow</t>
  </si>
  <si>
    <t>onduler</t>
  </si>
  <si>
    <t>plumes of smoke</t>
  </si>
  <si>
    <t>an ewer</t>
  </si>
  <si>
    <t>une aiguière</t>
  </si>
  <si>
    <t>a laundromat</t>
  </si>
  <si>
    <t>une laverie</t>
  </si>
  <si>
    <t>(évènement) passé</t>
  </si>
  <si>
    <t>the truss</t>
  </si>
  <si>
    <t>la charpente</t>
  </si>
  <si>
    <t>le museau</t>
  </si>
  <si>
    <t>pelts</t>
  </si>
  <si>
    <t>le crépuscule</t>
  </si>
  <si>
    <t>to garner</t>
  </si>
  <si>
    <t>recueillir</t>
  </si>
  <si>
    <t>ear plugs</t>
  </si>
  <si>
    <t>a bangle</t>
  </si>
  <si>
    <t>un bracelet</t>
  </si>
  <si>
    <t>tusks</t>
  </si>
  <si>
    <t>conclure, mener à bien / mettre en communication</t>
  </si>
  <si>
    <t>a slash</t>
  </si>
  <si>
    <t>une coupure</t>
  </si>
  <si>
    <t>une piscine / un billard américain</t>
  </si>
  <si>
    <t>un vacillement</t>
  </si>
  <si>
    <t>a route</t>
  </si>
  <si>
    <t>un itinéraire</t>
  </si>
  <si>
    <t>It saddens me to see what becomes of them.</t>
  </si>
  <si>
    <t>précaire / alarmant, périlleux</t>
  </si>
  <si>
    <t>se tromper / pécher</t>
  </si>
  <si>
    <t>to mellow</t>
  </si>
  <si>
    <t>heirs</t>
  </si>
  <si>
    <t>les héritiers</t>
  </si>
  <si>
    <t>a beaver</t>
  </si>
  <si>
    <t>un castor</t>
  </si>
  <si>
    <t>a vacuum</t>
  </si>
  <si>
    <t>un aspirateur</t>
  </si>
  <si>
    <t>the mortgage balance</t>
  </si>
  <si>
    <t>un tracas</t>
  </si>
  <si>
    <t>a squid</t>
  </si>
  <si>
    <t>un calamar</t>
  </si>
  <si>
    <t>a ditch</t>
  </si>
  <si>
    <t>un fossé</t>
  </si>
  <si>
    <t>disheartened</t>
  </si>
  <si>
    <t>découragé</t>
  </si>
  <si>
    <t>a venture loan</t>
  </si>
  <si>
    <t>un prêt à risque</t>
  </si>
  <si>
    <t>to take the leap</t>
  </si>
  <si>
    <t>faire le grand saut</t>
  </si>
  <si>
    <t>paramount</t>
  </si>
  <si>
    <t>primordial</t>
  </si>
  <si>
    <t>seamless</t>
  </si>
  <si>
    <t>sans couture</t>
  </si>
  <si>
    <t>sur mesure</t>
  </si>
  <si>
    <t>to set-off</t>
  </si>
  <si>
    <t>la procuration</t>
  </si>
  <si>
    <t>power of attorney</t>
  </si>
  <si>
    <t>unity bills</t>
  </si>
  <si>
    <t>an outstanding payment</t>
  </si>
  <si>
    <t>un impayé</t>
  </si>
  <si>
    <t>the immediate next of kin</t>
  </si>
  <si>
    <t>le parent le plus proche</t>
  </si>
  <si>
    <t>a bereavement</t>
  </si>
  <si>
    <t>un deuil</t>
  </si>
  <si>
    <t>les laïcs</t>
  </si>
  <si>
    <t>sentient</t>
  </si>
  <si>
    <t>sensible</t>
  </si>
  <si>
    <t>mince</t>
  </si>
  <si>
    <t>twirls</t>
  </si>
  <si>
    <t>pegged</t>
  </si>
  <si>
    <t>attaché</t>
  </si>
  <si>
    <t>a dwelling</t>
  </si>
  <si>
    <t>a quarry</t>
  </si>
  <si>
    <t>une carrière (sens propre)</t>
  </si>
  <si>
    <t>incisors</t>
  </si>
  <si>
    <t>les incisives</t>
  </si>
  <si>
    <t>to vest</t>
  </si>
  <si>
    <t>déléguer</t>
  </si>
  <si>
    <t>a shamrock</t>
  </si>
  <si>
    <t>un trèfle</t>
  </si>
  <si>
    <t>to tout</t>
  </si>
  <si>
    <t>vendre, racoler</t>
  </si>
  <si>
    <t>nipped</t>
  </si>
  <si>
    <t>pincé</t>
  </si>
  <si>
    <t>a headaway</t>
  </si>
  <si>
    <t>to whiz</t>
  </si>
  <si>
    <t>a dash</t>
  </si>
  <si>
    <t>a scoop</t>
  </si>
  <si>
    <t>a contingency</t>
  </si>
  <si>
    <t>un imprévu</t>
  </si>
  <si>
    <t>to smother</t>
  </si>
  <si>
    <t>un marché haussier</t>
  </si>
  <si>
    <t>échanger, troquer</t>
  </si>
  <si>
    <t>vented</t>
  </si>
  <si>
    <t>ventilé</t>
  </si>
  <si>
    <t>a stranglehold</t>
  </si>
  <si>
    <t>une mainmise</t>
  </si>
  <si>
    <t>the salience</t>
  </si>
  <si>
    <t>la saillance</t>
  </si>
  <si>
    <t>to team up with</t>
  </si>
  <si>
    <t>faire équipe avec</t>
  </si>
  <si>
    <t>the storyline</t>
  </si>
  <si>
    <t>le scénario</t>
  </si>
  <si>
    <t>un défaut</t>
  </si>
  <si>
    <t>a shortcoming</t>
  </si>
  <si>
    <t>at the outset</t>
  </si>
  <si>
    <t>au début</t>
  </si>
  <si>
    <t>a foray</t>
  </si>
  <si>
    <t>une incursion</t>
  </si>
  <si>
    <t>a hatchback</t>
  </si>
  <si>
    <t>un hayon</t>
  </si>
  <si>
    <t>to hand back</t>
  </si>
  <si>
    <t>a lossmaking</t>
  </si>
  <si>
    <t>une perte</t>
  </si>
  <si>
    <t>a squall</t>
  </si>
  <si>
    <t>une bourrasque, une rafale</t>
  </si>
  <si>
    <t>a backlash</t>
  </si>
  <si>
    <t>un contrecoup, un effet boomerang</t>
  </si>
  <si>
    <t>truquer / esquiver, tergiverser</t>
  </si>
  <si>
    <t>a haulier</t>
  </si>
  <si>
    <t>un transporteur</t>
  </si>
  <si>
    <t>le dégel</t>
  </si>
  <si>
    <t>vomir / cracher</t>
  </si>
  <si>
    <t>the vanguard</t>
  </si>
  <si>
    <t>l'avant-garde</t>
  </si>
  <si>
    <t>la sellerie</t>
  </si>
  <si>
    <t>the tack</t>
  </si>
  <si>
    <t>a return (écon.)</t>
  </si>
  <si>
    <t>a downturn</t>
  </si>
  <si>
    <t>une baisse, un repli, une récession</t>
  </si>
  <si>
    <t>la sortie, le dévoilement</t>
  </si>
  <si>
    <t>the rollout</t>
  </si>
  <si>
    <t>to tear up</t>
  </si>
  <si>
    <t>a thug</t>
  </si>
  <si>
    <t>un voyou</t>
  </si>
  <si>
    <t>the wardrobe</t>
  </si>
  <si>
    <t>la garde-robe</t>
  </si>
  <si>
    <t>to fallout</t>
  </si>
  <si>
    <t>tomber</t>
  </si>
  <si>
    <t>to grabble</t>
  </si>
  <si>
    <t>attraper</t>
  </si>
  <si>
    <t>nefarious</t>
  </si>
  <si>
    <t>infâme</t>
  </si>
  <si>
    <t>patchy</t>
  </si>
  <si>
    <t>inégal</t>
  </si>
  <si>
    <t>un éloge</t>
  </si>
  <si>
    <t>meager</t>
  </si>
  <si>
    <t>maigre</t>
  </si>
  <si>
    <t>a hamlet</t>
  </si>
  <si>
    <t>un hameau</t>
  </si>
  <si>
    <t>to soak</t>
  </si>
  <si>
    <t>to usher</t>
  </si>
  <si>
    <t>inaugurer</t>
  </si>
  <si>
    <t>a cobblestone</t>
  </si>
  <si>
    <t>un pavé</t>
  </si>
  <si>
    <t>weathered</t>
  </si>
  <si>
    <t>patiné</t>
  </si>
  <si>
    <t>a pumice</t>
  </si>
  <si>
    <t>une pierre ponce</t>
  </si>
  <si>
    <t>blanketed</t>
  </si>
  <si>
    <t>couvert</t>
  </si>
  <si>
    <t>buckled</t>
  </si>
  <si>
    <t>the silt</t>
  </si>
  <si>
    <t>le limon, la vase</t>
  </si>
  <si>
    <t>a pebble</t>
  </si>
  <si>
    <t>un galet</t>
  </si>
  <si>
    <t>towering</t>
  </si>
  <si>
    <t>imposant</t>
  </si>
  <si>
    <t>primeval</t>
  </si>
  <si>
    <t>primitif</t>
  </si>
  <si>
    <t>deceptively</t>
  </si>
  <si>
    <t>trompeusement</t>
  </si>
  <si>
    <t>a slab</t>
  </si>
  <si>
    <t>une dalle</t>
  </si>
  <si>
    <t>readings</t>
  </si>
  <si>
    <t>les lectures</t>
  </si>
  <si>
    <t>to hold true</t>
  </si>
  <si>
    <t>être vrai</t>
  </si>
  <si>
    <t>sintered</t>
  </si>
  <si>
    <t>fritté</t>
  </si>
  <si>
    <t>the fixturing</t>
  </si>
  <si>
    <t>le montage</t>
  </si>
  <si>
    <t>a hanger</t>
  </si>
  <si>
    <t>un cintre</t>
  </si>
  <si>
    <t>renfrogné</t>
  </si>
  <si>
    <t>on the job</t>
  </si>
  <si>
    <t>sur le tas</t>
  </si>
  <si>
    <t>a timeliness</t>
  </si>
  <si>
    <t>une opportunité</t>
  </si>
  <si>
    <t>a schoolboy</t>
  </si>
  <si>
    <t>un écolier</t>
  </si>
  <si>
    <t>la dentelle</t>
  </si>
  <si>
    <t>to skimp</t>
  </si>
  <si>
    <t>lésiner</t>
  </si>
  <si>
    <t>les courses</t>
  </si>
  <si>
    <t>a windfall</t>
  </si>
  <si>
    <t>une aubaine</t>
  </si>
  <si>
    <t>a hedge-trimmer</t>
  </si>
  <si>
    <t>un taille-haie</t>
  </si>
  <si>
    <t>detrimental</t>
  </si>
  <si>
    <t>préjudiciable</t>
  </si>
  <si>
    <t>the soulmate</t>
  </si>
  <si>
    <t>l'âme sœur</t>
  </si>
  <si>
    <t>with respect to</t>
  </si>
  <si>
    <t>par rapport à</t>
  </si>
  <si>
    <t>giveaways</t>
  </si>
  <si>
    <t>des cadeaux</t>
  </si>
  <si>
    <t>to grit</t>
  </si>
  <si>
    <t>grincer</t>
  </si>
  <si>
    <t>a nudge</t>
  </si>
  <si>
    <t>un coup de coude</t>
  </si>
  <si>
    <t>the scurvy</t>
  </si>
  <si>
    <t>le scorbut</t>
  </si>
  <si>
    <t>a wasp</t>
  </si>
  <si>
    <t>une guêpe</t>
  </si>
  <si>
    <t>utterly</t>
  </si>
  <si>
    <t>flagrant</t>
  </si>
  <si>
    <t>a surrogate</t>
  </si>
  <si>
    <t>un substitut</t>
  </si>
  <si>
    <t>featuring with</t>
  </si>
  <si>
    <t>a fixture</t>
  </si>
  <si>
    <t>une fixation</t>
  </si>
  <si>
    <t>a disclaimer</t>
  </si>
  <si>
    <t>un avertissement</t>
  </si>
  <si>
    <t>a buy-off</t>
  </si>
  <si>
    <t>un rachat</t>
  </si>
  <si>
    <t>to cover</t>
  </si>
  <si>
    <t>recouvrir</t>
  </si>
  <si>
    <t>a probe</t>
  </si>
  <si>
    <t>une sonde</t>
  </si>
  <si>
    <t>la falsification</t>
  </si>
  <si>
    <t>a rule of thumb</t>
  </si>
  <si>
    <t>une règle d'or</t>
  </si>
  <si>
    <t>un examen minutieux</t>
  </si>
  <si>
    <t>a scrutiny</t>
  </si>
  <si>
    <t>to substantiate</t>
  </si>
  <si>
    <t>justifier</t>
  </si>
  <si>
    <t>a timeframe</t>
  </si>
  <si>
    <t>une plage de temps</t>
  </si>
  <si>
    <t>a groundwork</t>
  </si>
  <si>
    <t>un travail préparatoire</t>
  </si>
  <si>
    <t>to falter</t>
  </si>
  <si>
    <t>vaciller</t>
  </si>
  <si>
    <t>franc</t>
  </si>
  <si>
    <t>a billboard</t>
  </si>
  <si>
    <t>un panneau d’affichage</t>
  </si>
  <si>
    <t>a mortgage</t>
  </si>
  <si>
    <t>une hypothèque</t>
  </si>
  <si>
    <t>a break up</t>
  </si>
  <si>
    <t>un démantèlement</t>
  </si>
  <si>
    <t>a meadow</t>
  </si>
  <si>
    <t>un pré, une prairie</t>
  </si>
  <si>
    <t>an underwriting</t>
  </si>
  <si>
    <t>a commercial</t>
  </si>
  <si>
    <t>a fallout</t>
  </si>
  <si>
    <t>derogatory</t>
  </si>
  <si>
    <t>dénigrant, dépréciant</t>
  </si>
  <si>
    <t>an omen</t>
  </si>
  <si>
    <t>a buffer</t>
  </si>
  <si>
    <t>un tampon</t>
  </si>
  <si>
    <t>coarse</t>
  </si>
  <si>
    <t>a bucket</t>
  </si>
  <si>
    <t>un seau</t>
  </si>
  <si>
    <t>oblivious</t>
  </si>
  <si>
    <t>inconscient</t>
  </si>
  <si>
    <t>congruent</t>
  </si>
  <si>
    <t>conforme</t>
  </si>
  <si>
    <t>the causeway</t>
  </si>
  <si>
    <t>la chaussée</t>
  </si>
  <si>
    <t>a sling</t>
  </si>
  <si>
    <t>the headdress</t>
  </si>
  <si>
    <t>la coiffure</t>
  </si>
  <si>
    <t>to encompass</t>
  </si>
  <si>
    <t>englober</t>
  </si>
  <si>
    <t>fuzzy</t>
  </si>
  <si>
    <t>a shutter</t>
  </si>
  <si>
    <t>une louche / prodigue</t>
  </si>
  <si>
    <t>un mamelon</t>
  </si>
  <si>
    <t>a nipple</t>
  </si>
  <si>
    <t>le bon sens, la jugeote</t>
  </si>
  <si>
    <t>a ramble</t>
  </si>
  <si>
    <t>une randonnée</t>
  </si>
  <si>
    <t>a seizure</t>
  </si>
  <si>
    <t>le goudron</t>
  </si>
  <si>
    <t>débordant</t>
  </si>
  <si>
    <t>to grizzle</t>
  </si>
  <si>
    <t>geindre</t>
  </si>
  <si>
    <t>to slam</t>
  </si>
  <si>
    <t>claquer</t>
  </si>
  <si>
    <t>a tender</t>
  </si>
  <si>
    <t>a blemish</t>
  </si>
  <si>
    <t>a rooster</t>
  </si>
  <si>
    <t>un coq</t>
  </si>
  <si>
    <t>une dent</t>
  </si>
  <si>
    <t>a prong</t>
  </si>
  <si>
    <t>a tally</t>
  </si>
  <si>
    <t>un pointage, un compte / une baguette / un talon</t>
  </si>
  <si>
    <t>to feud</t>
  </si>
  <si>
    <t>se quereller</t>
  </si>
  <si>
    <t>brackish</t>
  </si>
  <si>
    <t>saumâtre</t>
  </si>
  <si>
    <t>a jackal</t>
  </si>
  <si>
    <t>un chacal</t>
  </si>
  <si>
    <t>piller</t>
  </si>
  <si>
    <t>crippled</t>
  </si>
  <si>
    <t>estropié</t>
  </si>
  <si>
    <t>a lad</t>
  </si>
  <si>
    <t>un gamin, un jeune homme</t>
  </si>
  <si>
    <t>a wineskin</t>
  </si>
  <si>
    <t>une outre</t>
  </si>
  <si>
    <t>a loot</t>
  </si>
  <si>
    <t>un butin</t>
  </si>
  <si>
    <t>les fiançailles</t>
  </si>
  <si>
    <t>to deem</t>
  </si>
  <si>
    <t>considérer</t>
  </si>
  <si>
    <t>a propshaft</t>
  </si>
  <si>
    <t>un arbre de transmission</t>
  </si>
  <si>
    <t>cornered</t>
  </si>
  <si>
    <t>acculé</t>
  </si>
  <si>
    <t>nigh</t>
  </si>
  <si>
    <t>près</t>
  </si>
  <si>
    <t>nonsensical</t>
  </si>
  <si>
    <t>absurde</t>
  </si>
  <si>
    <t>un pressentiment</t>
  </si>
  <si>
    <t>hooves</t>
  </si>
  <si>
    <t>les sabots</t>
  </si>
  <si>
    <t>to entreat</t>
  </si>
  <si>
    <t>une raillerie</t>
  </si>
  <si>
    <t>a horse sense</t>
  </si>
  <si>
    <t>du bon sens</t>
  </si>
  <si>
    <t>a square deal</t>
  </si>
  <si>
    <t>un arrangement équitable</t>
  </si>
  <si>
    <t>un essieu</t>
  </si>
  <si>
    <t>an axle</t>
  </si>
  <si>
    <t>a repository</t>
  </si>
  <si>
    <t>% rattrapage</t>
  </si>
  <si>
    <t>% test</t>
  </si>
  <si>
    <t>Queen Elizabeth</t>
  </si>
  <si>
    <t>the inflow</t>
  </si>
  <si>
    <t>l'afflux</t>
  </si>
  <si>
    <t>a release</t>
  </si>
  <si>
    <t>to entitle (smbdy)</t>
  </si>
  <si>
    <t>habiliter (quelqu'un)</t>
  </si>
  <si>
    <t>to shuffle</t>
  </si>
  <si>
    <t>an ingot</t>
  </si>
  <si>
    <t>un lingot</t>
  </si>
  <si>
    <t>la pulvérisation</t>
  </si>
  <si>
    <t>to tromp</t>
  </si>
  <si>
    <t>marcher sur un terrain difficile</t>
  </si>
  <si>
    <t>les foins</t>
  </si>
  <si>
    <t>to straddle</t>
  </si>
  <si>
    <t>enjamber</t>
  </si>
  <si>
    <t>to screen out</t>
  </si>
  <si>
    <t>filtrer</t>
  </si>
  <si>
    <t>to teeter</t>
  </si>
  <si>
    <t>vaciller, chanceler</t>
  </si>
  <si>
    <t>a switch (techn.)</t>
  </si>
  <si>
    <t>a belt (techn.)</t>
  </si>
  <si>
    <t>une courroie</t>
  </si>
  <si>
    <t>a hose</t>
  </si>
  <si>
    <t>un tuyau</t>
  </si>
  <si>
    <t>an enclosure</t>
  </si>
  <si>
    <t>to huddle</t>
  </si>
  <si>
    <t>se blottir</t>
  </si>
  <si>
    <t>a slat</t>
  </si>
  <si>
    <t>une latte</t>
  </si>
  <si>
    <t>whence</t>
  </si>
  <si>
    <t>d'où</t>
  </si>
  <si>
    <t>a comic strip</t>
  </si>
  <si>
    <t>une bande dessinée</t>
  </si>
  <si>
    <t>hitherto</t>
  </si>
  <si>
    <t>a pellet</t>
  </si>
  <si>
    <t>une pastille</t>
  </si>
  <si>
    <t>downstream</t>
  </si>
  <si>
    <t>en aval</t>
  </si>
  <si>
    <t>a hilt</t>
  </si>
  <si>
    <t>une poignée</t>
  </si>
  <si>
    <t>a contrivance</t>
  </si>
  <si>
    <t>At that time, my father had known my mother for six years.</t>
  </si>
  <si>
    <t>Provided they don't close the factory down before then.</t>
  </si>
  <si>
    <t>A condition qu'ils ne ferment pas l'usine avant.</t>
  </si>
  <si>
    <t>to lecture somebody</t>
  </si>
  <si>
    <t>faire la leçon à quelqu'un</t>
  </si>
  <si>
    <t>les défenses (d'un animal)</t>
  </si>
  <si>
    <t>Est-ce que celui-ci est soldé aussi ?</t>
  </si>
  <si>
    <t>la rougeole</t>
  </si>
  <si>
    <t>soigneux</t>
  </si>
  <si>
    <t>l'amidon</t>
  </si>
  <si>
    <t>There's a lot to be done.</t>
  </si>
  <si>
    <t>The security guards searched the suitcases thoroughly.</t>
  </si>
  <si>
    <t>The Queen Elizabeth</t>
  </si>
  <si>
    <t>The odd cigarette or two won't do you any harm.</t>
  </si>
  <si>
    <t>The mob stabbed the policeman to death.</t>
  </si>
  <si>
    <t>The mayor and corporation (UK)</t>
  </si>
  <si>
    <t>The manager has been sick with the flu' for a week.</t>
  </si>
  <si>
    <t>The last frontier</t>
  </si>
  <si>
    <t>The information is updated every three months.</t>
  </si>
  <si>
    <t>The fight was called off.</t>
  </si>
  <si>
    <t>Matters have come to a head.</t>
  </si>
  <si>
    <t>It happens all too often.</t>
  </si>
  <si>
    <t>His hair is brown.</t>
  </si>
  <si>
    <t>He's not exactly hard up.</t>
  </si>
  <si>
    <t>Henson was interested in the deal, but he pulled out at the last minute.</t>
  </si>
  <si>
    <t>He was convicted of embezzlement.</t>
  </si>
  <si>
    <t>He has lofty ideas.</t>
  </si>
  <si>
    <t>My arm is very sore.</t>
  </si>
  <si>
    <t>pouilleux / mauvais</t>
  </si>
  <si>
    <t>L'empire colonial britannique a couvert à une époque un tiers de la surface du globe</t>
  </si>
  <si>
    <t>Britain's old colonial empire spanned at one time one-third of the surface of the globe</t>
  </si>
  <si>
    <t>Churchill was a great wielder of the english language, and this overly formal style annoyed him.</t>
  </si>
  <si>
    <t>a strike</t>
  </si>
  <si>
    <t>une grève</t>
  </si>
  <si>
    <t>Would you like to go out for dinner with me tomorrow night? Sorry, I can't make it.</t>
  </si>
  <si>
    <t>le calfeutrage</t>
  </si>
  <si>
    <t>a cogwheel</t>
  </si>
  <si>
    <t>une roue dentée</t>
  </si>
  <si>
    <t>faussé / assymétrique</t>
  </si>
  <si>
    <t>a hitch</t>
  </si>
  <si>
    <t>un attelage</t>
  </si>
  <si>
    <t>a zipper</t>
  </si>
  <si>
    <t>nested</t>
  </si>
  <si>
    <t>imbriqué</t>
  </si>
  <si>
    <t>a blunder</t>
  </si>
  <si>
    <t>une gaffe</t>
  </si>
  <si>
    <t>a portcullis</t>
  </si>
  <si>
    <t>une herse</t>
  </si>
  <si>
    <t>forcible</t>
  </si>
  <si>
    <t>puissant, efficace</t>
  </si>
  <si>
    <t>colloquial</t>
  </si>
  <si>
    <t>familier</t>
  </si>
  <si>
    <t>a bane</t>
  </si>
  <si>
    <t>un fléau</t>
  </si>
  <si>
    <t>finicky</t>
  </si>
  <si>
    <t>pointilleux</t>
  </si>
  <si>
    <t>prendre, accepter, se charger de / embaucher / s’attaquer à</t>
  </si>
  <si>
    <t>Les choses se présentent plutôt bien.</t>
  </si>
  <si>
    <t>a load</t>
  </si>
  <si>
    <t>un poids, une charge, une pression</t>
  </si>
  <si>
    <t>a supervisor</t>
  </si>
  <si>
    <t>un agent de maîtrise, un chef d’atelier</t>
  </si>
  <si>
    <t>Je ne veux pas de chat. On a des poils partout.</t>
  </si>
  <si>
    <t>a spade, a shovel</t>
  </si>
  <si>
    <t>une pelle</t>
  </si>
  <si>
    <t>The Royal Mint</t>
  </si>
  <si>
    <t>l'effort / la fatigue</t>
  </si>
  <si>
    <t>un destinataire / un bénéfice / un rabais, une remise, un remboursement / un receveur (d’organe)</t>
  </si>
  <si>
    <t>to stray</t>
  </si>
  <si>
    <t>égarer</t>
  </si>
  <si>
    <t>a twig</t>
  </si>
  <si>
    <t>une brindille</t>
  </si>
  <si>
    <t>to wobble</t>
  </si>
  <si>
    <t>osciller</t>
  </si>
  <si>
    <t>Vous m'en direz tant !</t>
  </si>
  <si>
    <t>a contraption</t>
  </si>
  <si>
    <t>un bidule, un machin</t>
  </si>
  <si>
    <t>a jibe</t>
  </si>
  <si>
    <t>une moquerie</t>
  </si>
  <si>
    <t>Cela vous dérangerait-il si … ?</t>
  </si>
  <si>
    <t>brouiller, mêler / remanier</t>
  </si>
  <si>
    <t>a subsidiary</t>
  </si>
  <si>
    <t>une filiale</t>
  </si>
  <si>
    <t>a cup-tie</t>
  </si>
  <si>
    <t>une série de match de foot</t>
  </si>
  <si>
    <t>a funnel</t>
  </si>
  <si>
    <t>un entonnoir</t>
  </si>
  <si>
    <t>a charter</t>
  </si>
  <si>
    <t>une charte / un affrètement</t>
  </si>
  <si>
    <t>pitonner / bloquer</t>
  </si>
  <si>
    <t>to wring</t>
  </si>
  <si>
    <t>essorer</t>
  </si>
  <si>
    <t>to pour</t>
  </si>
  <si>
    <t>verser</t>
  </si>
  <si>
    <t>a sliver</t>
  </si>
  <si>
    <t>un ruban</t>
  </si>
  <si>
    <t>a hearth</t>
  </si>
  <si>
    <t>un foyer</t>
  </si>
  <si>
    <t>the whereabouts</t>
  </si>
  <si>
    <t>où</t>
  </si>
  <si>
    <t>an offtake</t>
  </si>
  <si>
    <t>un prélèvement</t>
  </si>
  <si>
    <t>to dwindle</t>
  </si>
  <si>
    <t>diminuer</t>
  </si>
  <si>
    <t>a loan word</t>
  </si>
  <si>
    <t>un mot d'emprunt</t>
  </si>
  <si>
    <t>a beet</t>
  </si>
  <si>
    <t>une betterave</t>
  </si>
  <si>
    <t>downtrodden</t>
  </si>
  <si>
    <t>opprimé</t>
  </si>
  <si>
    <t>fun-loving</t>
  </si>
  <si>
    <t>aimer s'amuser</t>
  </si>
  <si>
    <t>budding</t>
  </si>
  <si>
    <t>bourgeonnant</t>
  </si>
  <si>
    <t>a peddler</t>
  </si>
  <si>
    <t>un colporteur</t>
  </si>
  <si>
    <t>a scatter</t>
  </si>
  <si>
    <t>une dispersion</t>
  </si>
  <si>
    <t>a cleat</t>
  </si>
  <si>
    <t>un tasseau</t>
  </si>
  <si>
    <t>a lid</t>
  </si>
  <si>
    <t>un couvercle</t>
  </si>
  <si>
    <t>de l'amadou, du petit bois</t>
  </si>
  <si>
    <t>a vagrant</t>
  </si>
  <si>
    <t>un vagabond</t>
  </si>
  <si>
    <t>to tinker</t>
  </si>
  <si>
    <t>bricoler</t>
  </si>
  <si>
    <t>a nightgown</t>
  </si>
  <si>
    <t>une chemise de nuit</t>
  </si>
  <si>
    <t>a bounty</t>
  </si>
  <si>
    <t>une prime</t>
  </si>
  <si>
    <t>Nombre de english</t>
  </si>
  <si>
    <t>a landmark</t>
  </si>
  <si>
    <t>un point de repère</t>
  </si>
  <si>
    <t>an ointment</t>
  </si>
  <si>
    <t>une pommade</t>
  </si>
  <si>
    <t>sundries</t>
  </si>
  <si>
    <t>to abridge</t>
  </si>
  <si>
    <t>abréger</t>
  </si>
  <si>
    <t>insignifiant</t>
  </si>
  <si>
    <t>a wig</t>
  </si>
  <si>
    <t>une perruque</t>
  </si>
  <si>
    <t>mettre sous sédatif</t>
  </si>
  <si>
    <t>a shed</t>
  </si>
  <si>
    <t>un hangar, un abri, un cabanon</t>
  </si>
  <si>
    <t>custard (cooking)</t>
  </si>
  <si>
    <t>sparingly</t>
  </si>
  <si>
    <t>avec parcimonie</t>
  </si>
  <si>
    <t>a cookbook</t>
  </si>
  <si>
    <t>un livre de recettes</t>
  </si>
  <si>
    <t>a spool</t>
  </si>
  <si>
    <t>une bobine</t>
  </si>
  <si>
    <t>to kindle</t>
  </si>
  <si>
    <t>allumer, déclencher</t>
  </si>
  <si>
    <t>the outline</t>
  </si>
  <si>
    <t>la volaille</t>
  </si>
  <si>
    <t>a hatch</t>
  </si>
  <si>
    <t>une trappe</t>
  </si>
  <si>
    <t>a lump</t>
  </si>
  <si>
    <t>une bosse</t>
  </si>
  <si>
    <t>la fonte</t>
  </si>
  <si>
    <t>a vat</t>
  </si>
  <si>
    <t>une cuve</t>
  </si>
  <si>
    <t>disperser</t>
  </si>
  <si>
    <t>an apex</t>
  </si>
  <si>
    <t>un sommet (propre et figuré)</t>
  </si>
  <si>
    <t>a lathe</t>
  </si>
  <si>
    <t>un tour (machine-outil)</t>
  </si>
  <si>
    <t>to read out</t>
  </si>
  <si>
    <t>lire à haute voix</t>
  </si>
  <si>
    <t>a whip</t>
  </si>
  <si>
    <t>un fouet</t>
  </si>
  <si>
    <t>obtenir la communication / achever, venir à bout de</t>
  </si>
  <si>
    <t>du vernis</t>
  </si>
  <si>
    <t>un titulaire</t>
  </si>
  <si>
    <t>He played two encores.</t>
  </si>
  <si>
    <t>a woe</t>
  </si>
  <si>
    <t>un malheur</t>
  </si>
  <si>
    <t>beleaguered</t>
  </si>
  <si>
    <t>assiégé</t>
  </si>
  <si>
    <t>to beget</t>
  </si>
  <si>
    <t>engendrer</t>
  </si>
  <si>
    <t>to scrabble</t>
  </si>
  <si>
    <t>gratter</t>
  </si>
  <si>
    <t>a spike</t>
  </si>
  <si>
    <t>une pointe</t>
  </si>
  <si>
    <t>a clipboard</t>
  </si>
  <si>
    <t>un presse-papier</t>
  </si>
  <si>
    <t>sworn in</t>
  </si>
  <si>
    <t>assermenté</t>
  </si>
  <si>
    <t>a rhyme</t>
  </si>
  <si>
    <t>une rime</t>
  </si>
  <si>
    <t>dépourvu</t>
  </si>
  <si>
    <t>in his premises</t>
  </si>
  <si>
    <t>chez lui</t>
  </si>
  <si>
    <t>to flush</t>
  </si>
  <si>
    <t>affleurer</t>
  </si>
  <si>
    <t>a spinney</t>
  </si>
  <si>
    <t>un bosquet</t>
  </si>
  <si>
    <t>une incursion, une razzia</t>
  </si>
  <si>
    <t>jam-packed</t>
  </si>
  <si>
    <t>bourré</t>
  </si>
  <si>
    <t>une jetée (dans un port)</t>
  </si>
  <si>
    <t>a jetty (in a haven)</t>
  </si>
  <si>
    <t>a tug</t>
  </si>
  <si>
    <t>un remorqueur</t>
  </si>
  <si>
    <t>a matting</t>
  </si>
  <si>
    <t>une natte (tapis oriental)</t>
  </si>
  <si>
    <t>a reed</t>
  </si>
  <si>
    <t>un roseau</t>
  </si>
  <si>
    <t>a hue</t>
  </si>
  <si>
    <t>une teinte</t>
  </si>
  <si>
    <t>a hip</t>
  </si>
  <si>
    <t>a kidney</t>
  </si>
  <si>
    <t>une hanche</t>
  </si>
  <si>
    <t>un rein</t>
  </si>
  <si>
    <t>a cuff</t>
  </si>
  <si>
    <t>une manchette</t>
  </si>
  <si>
    <t>a warm up</t>
  </si>
  <si>
    <t>une mise en train</t>
  </si>
  <si>
    <t>to foster</t>
  </si>
  <si>
    <t>favoriser</t>
  </si>
  <si>
    <t>to tweak</t>
  </si>
  <si>
    <t>shagged</t>
  </si>
  <si>
    <t>crevé</t>
  </si>
  <si>
    <t>a girth</t>
  </si>
  <si>
    <t>une ceinture / une circonférence</t>
  </si>
  <si>
    <t>dim</t>
  </si>
  <si>
    <t>faible</t>
  </si>
  <si>
    <t>a girdle</t>
  </si>
  <si>
    <t>une démangeaison de la peau</t>
  </si>
  <si>
    <t>a skin rash</t>
  </si>
  <si>
    <t>a hemline</t>
  </si>
  <si>
    <t>un ourlet</t>
  </si>
  <si>
    <t>a leap year</t>
  </si>
  <si>
    <t>une année bissextile</t>
  </si>
  <si>
    <t>to rebounce</t>
  </si>
  <si>
    <t>rebondir</t>
  </si>
  <si>
    <t>a leap</t>
  </si>
  <si>
    <t>un saut</t>
  </si>
  <si>
    <t>a dice roll</t>
  </si>
  <si>
    <t>un lancer de dé</t>
  </si>
  <si>
    <t>the scaliness</t>
  </si>
  <si>
    <t>l'évolutivité</t>
  </si>
  <si>
    <t>scaly</t>
  </si>
  <si>
    <t>méprisable, lâche</t>
  </si>
  <si>
    <t>an outage</t>
  </si>
  <si>
    <t>une interruption de service, une coupure de courant</t>
  </si>
  <si>
    <t>to keen</t>
  </si>
  <si>
    <t>an announcement</t>
  </si>
  <si>
    <t>un avis, une annonce</t>
  </si>
  <si>
    <t>a knob</t>
  </si>
  <si>
    <t>un bouton / une poignée</t>
  </si>
  <si>
    <t>a warranty</t>
  </si>
  <si>
    <t>une garantie</t>
  </si>
  <si>
    <t>a serial</t>
  </si>
  <si>
    <t>un feuilleton</t>
  </si>
  <si>
    <t>a redeployment</t>
  </si>
  <si>
    <t>une reconversion</t>
  </si>
  <si>
    <t>a califlower</t>
  </si>
  <si>
    <t>un chou-fleur</t>
  </si>
  <si>
    <t>mashed potatoes</t>
  </si>
  <si>
    <t>a yam</t>
  </si>
  <si>
    <t>une igname</t>
  </si>
  <si>
    <t>a key lime</t>
  </si>
  <si>
    <t>un citron vert</t>
  </si>
  <si>
    <t>to pinpoint</t>
  </si>
  <si>
    <t>préciser, mettre le doigt sur</t>
  </si>
  <si>
    <t>a blurb</t>
  </si>
  <si>
    <t>une présentation</t>
  </si>
  <si>
    <t>to hover</t>
  </si>
  <si>
    <t>de la levure</t>
  </si>
  <si>
    <t>a housework</t>
  </si>
  <si>
    <t>un ménage</t>
  </si>
  <si>
    <t>a breakwater</t>
  </si>
  <si>
    <t>une digue</t>
  </si>
  <si>
    <t>catégorique</t>
  </si>
  <si>
    <t>ditto</t>
  </si>
  <si>
    <t>idem</t>
  </si>
  <si>
    <t>un trait-d'union</t>
  </si>
  <si>
    <t>overworked</t>
  </si>
  <si>
    <t>surmené</t>
  </si>
  <si>
    <t>clumsy</t>
  </si>
  <si>
    <t>maladroit</t>
  </si>
  <si>
    <t>threadbare</t>
  </si>
  <si>
    <t>râpé</t>
  </si>
  <si>
    <t>hackneyed</t>
  </si>
  <si>
    <t>rebattu</t>
  </si>
  <si>
    <t>sommaire</t>
  </si>
  <si>
    <t>downright</t>
  </si>
  <si>
    <t>a scam</t>
  </si>
  <si>
    <t>une arnaque</t>
  </si>
  <si>
    <t>a hotgoblin</t>
  </si>
  <si>
    <t>un lutin</t>
  </si>
  <si>
    <t>the fortitude</t>
  </si>
  <si>
    <t>a friar</t>
  </si>
  <si>
    <t>un frère (moine)</t>
  </si>
  <si>
    <t>outwardly</t>
  </si>
  <si>
    <t>extérieurement</t>
  </si>
  <si>
    <t>a triteness</t>
  </si>
  <si>
    <t>une banalité</t>
  </si>
  <si>
    <t>a comittal</t>
  </si>
  <si>
    <t>un engagement</t>
  </si>
  <si>
    <t>a logging</t>
  </si>
  <si>
    <t>arcane (adj.)</t>
  </si>
  <si>
    <t>ésotérique</t>
  </si>
  <si>
    <t>a pointer</t>
  </si>
  <si>
    <t>une aiguille</t>
  </si>
  <si>
    <t>a flock</t>
  </si>
  <si>
    <t>un troupeau</t>
  </si>
  <si>
    <t>a plight</t>
  </si>
  <si>
    <t>une situation critique</t>
  </si>
  <si>
    <t>a prank</t>
  </si>
  <si>
    <t>une farce</t>
  </si>
  <si>
    <t>a youngling</t>
  </si>
  <si>
    <t>un jeune garçon</t>
  </si>
  <si>
    <t>a lookout</t>
  </si>
  <si>
    <t>un poste d'observation, de vigie</t>
  </si>
  <si>
    <t>Ca m'a fait plaisir de discuter avec vous.</t>
  </si>
  <si>
    <t>It's been very nice speaking to you.</t>
  </si>
  <si>
    <t>Je vous raccompagne.</t>
  </si>
  <si>
    <t>I'll see you out.</t>
  </si>
  <si>
    <t>sound (adj.)</t>
  </si>
  <si>
    <t>You don't sound to me like your average factory girl.</t>
  </si>
  <si>
    <t>Labour is not a big element in the cost price.</t>
  </si>
  <si>
    <t>une élingue / une écharpe médicale</t>
  </si>
  <si>
    <t>Unlike Mr Smith, ...</t>
  </si>
  <si>
    <t>Contrairement à M. Smith, ...</t>
  </si>
  <si>
    <t>We reserved under the name of Smith.</t>
  </si>
  <si>
    <t>Nous avons réservé au nom de Smith.</t>
  </si>
  <si>
    <t>a strain</t>
  </si>
  <si>
    <t>une souche / une tension</t>
  </si>
  <si>
    <t>His preference is Mozart.</t>
  </si>
  <si>
    <t>Il préfère Mozart.</t>
  </si>
  <si>
    <t>les égouts</t>
  </si>
  <si>
    <t>the sewage system</t>
  </si>
  <si>
    <t>He lives in the country by preference.</t>
  </si>
  <si>
    <t>Il a choisi de vivre à la campagne.</t>
  </si>
  <si>
    <t>L'addition, s'il vous plaît.</t>
  </si>
  <si>
    <t>I want my money back.</t>
  </si>
  <si>
    <t>Je veux être remboursé.</t>
  </si>
  <si>
    <t>My pleasure.</t>
  </si>
  <si>
    <t>Je vous en prie.</t>
  </si>
  <si>
    <t>This is just not good enough.</t>
  </si>
  <si>
    <t>Ce n'est pas acceptable.</t>
  </si>
  <si>
    <t>We found her passed out.</t>
  </si>
  <si>
    <t>On l'a retrouvée évanouie.</t>
  </si>
  <si>
    <t>Mon bras me fait très mal.</t>
  </si>
  <si>
    <t>a compulsion</t>
  </si>
  <si>
    <t>luster (common name)</t>
  </si>
  <si>
    <t>le lustre, l'éclat, la gloire</t>
  </si>
  <si>
    <t>to prop up</t>
  </si>
  <si>
    <t>a demographic</t>
  </si>
  <si>
    <t>destitution (common name)</t>
  </si>
  <si>
    <t>la misère</t>
  </si>
  <si>
    <t>base (adjective)</t>
  </si>
  <si>
    <t>vil, ignoble</t>
  </si>
  <si>
    <t>seasoned</t>
  </si>
  <si>
    <t>chevronné</t>
  </si>
  <si>
    <t>présager</t>
  </si>
  <si>
    <t>de première main</t>
  </si>
  <si>
    <t>likeness (common name)</t>
  </si>
  <si>
    <t>la ressemblance</t>
  </si>
  <si>
    <t>alight</t>
  </si>
  <si>
    <t>en feu, en train de brûler</t>
  </si>
  <si>
    <t>to knit</t>
  </si>
  <si>
    <t>tricoter</t>
  </si>
  <si>
    <t>stingy</t>
  </si>
  <si>
    <t>avare</t>
  </si>
  <si>
    <t>a fad</t>
  </si>
  <si>
    <t>une mode</t>
  </si>
  <si>
    <t>to mend</t>
  </si>
  <si>
    <t>réparer</t>
  </si>
  <si>
    <t>the takeoff</t>
  </si>
  <si>
    <t>le décollage</t>
  </si>
  <si>
    <t>a skein</t>
  </si>
  <si>
    <t>un écheveau</t>
  </si>
  <si>
    <t>the rump</t>
  </si>
  <si>
    <t>la croupe</t>
  </si>
  <si>
    <t>to hamper</t>
  </si>
  <si>
    <t>a woof</t>
  </si>
  <si>
    <t>une trame</t>
  </si>
  <si>
    <t>a glitch</t>
  </si>
  <si>
    <t>un dysfonctionnement soudain (un bug)</t>
  </si>
  <si>
    <t>a winding</t>
  </si>
  <si>
    <t>un enroulement</t>
  </si>
  <si>
    <t>to trade off</t>
  </si>
  <si>
    <t>troquer</t>
  </si>
  <si>
    <t>a cheerleader</t>
  </si>
  <si>
    <t>une pom-pom girl</t>
  </si>
  <si>
    <t>to obviate</t>
  </si>
  <si>
    <t>parer à</t>
  </si>
  <si>
    <t>manquant</t>
  </si>
  <si>
    <t>a pitfall</t>
  </si>
  <si>
    <t>to take hold</t>
  </si>
  <si>
    <t>s'emparer de</t>
  </si>
  <si>
    <t>au pied levé</t>
  </si>
  <si>
    <t>a chore</t>
  </si>
  <si>
    <t>une corvée</t>
  </si>
  <si>
    <t>to sprinkle</t>
  </si>
  <si>
    <t>saupoudrer</t>
  </si>
  <si>
    <t>an avocation</t>
  </si>
  <si>
    <t>un métier</t>
  </si>
  <si>
    <t>circuitous</t>
  </si>
  <si>
    <t>détourné</t>
  </si>
  <si>
    <t>a leash</t>
  </si>
  <si>
    <t>une laisse</t>
  </si>
  <si>
    <t>a dearth</t>
  </si>
  <si>
    <t>une disette</t>
  </si>
  <si>
    <t>a sequel</t>
  </si>
  <si>
    <t>une suite</t>
  </si>
  <si>
    <t>to bring up</t>
  </si>
  <si>
    <t>faire monter</t>
  </si>
  <si>
    <t>twofold</t>
  </si>
  <si>
    <t>double</t>
  </si>
  <si>
    <t>a strait</t>
  </si>
  <si>
    <t>un détroit</t>
  </si>
  <si>
    <t>a grapefruit</t>
  </si>
  <si>
    <t>un pamplemousse</t>
  </si>
  <si>
    <t>a lap</t>
  </si>
  <si>
    <t>un tour (de piste)</t>
  </si>
  <si>
    <t>colorfast</t>
  </si>
  <si>
    <t>teint dans une couleur qui ne fadit pas au lavage</t>
  </si>
  <si>
    <t>the utmost</t>
  </si>
  <si>
    <t>le maximum</t>
  </si>
  <si>
    <t>virtually</t>
  </si>
  <si>
    <t>virtuellement / en pratique</t>
  </si>
  <si>
    <t>to curtail</t>
  </si>
  <si>
    <t>réduire</t>
  </si>
  <si>
    <t>to trim</t>
  </si>
  <si>
    <t>inasmuch</t>
  </si>
  <si>
    <t>dans la mesure où</t>
  </si>
  <si>
    <t>a spigot</t>
  </si>
  <si>
    <t>un robinet</t>
  </si>
  <si>
    <t>passer voir quelqu'un / faire entrer quelqu'un</t>
  </si>
  <si>
    <t>un coffre de voiture</t>
  </si>
  <si>
    <t>un projet clés en main</t>
  </si>
  <si>
    <t>une reprise (comm.)</t>
  </si>
  <si>
    <t>toll (common name)</t>
  </si>
  <si>
    <t>un péage</t>
  </si>
  <si>
    <t>When you work in HR management, you'll be raking in it.</t>
  </si>
  <si>
    <t>Quand tu travailleras dans le management des RH, tu gagneras plein d'argent.</t>
  </si>
  <si>
    <t>retail (common name)</t>
  </si>
  <si>
    <t>la vente au détail</t>
  </si>
  <si>
    <t>the bladder</t>
  </si>
  <si>
    <t>la vessie</t>
  </si>
  <si>
    <t>lointain / vaste</t>
  </si>
  <si>
    <t>an estate</t>
  </si>
  <si>
    <t>une propriété, un patrimoine</t>
  </si>
  <si>
    <t>a cash point</t>
  </si>
  <si>
    <t>un distributeur de billet</t>
  </si>
  <si>
    <t>cash flow (common name)</t>
  </si>
  <si>
    <t>la trésorerie, la marge brute d’autofinancement</t>
  </si>
  <si>
    <t>a teller</t>
  </si>
  <si>
    <t>un caissier</t>
  </si>
  <si>
    <t>a straw buyer (illegal business)</t>
  </si>
  <si>
    <t>thaw (common name)</t>
  </si>
  <si>
    <t>mobs (common name)</t>
  </si>
  <si>
    <t>la foule, la bande</t>
  </si>
  <si>
    <t>to alight</t>
  </si>
  <si>
    <t>mettre pied à terre</t>
  </si>
  <si>
    <t>to sing-song</t>
  </si>
  <si>
    <t>une anguille</t>
  </si>
  <si>
    <t>un aéroglisseur</t>
  </si>
  <si>
    <t>whatever floats your boat</t>
  </si>
  <si>
    <t>c'est comme tu veux</t>
  </si>
  <si>
    <t>un mandrin</t>
  </si>
  <si>
    <t>daunting</t>
  </si>
  <si>
    <t>intimidant</t>
  </si>
  <si>
    <t>a slate</t>
  </si>
  <si>
    <t>une ardoise</t>
  </si>
  <si>
    <t>arranger, mettre en ordre</t>
  </si>
  <si>
    <t>the gist</t>
  </si>
  <si>
    <t>l'essentiel, le point principal</t>
  </si>
  <si>
    <t>a hood</t>
  </si>
  <si>
    <t>un capot</t>
  </si>
  <si>
    <t>une grande compétence</t>
  </si>
  <si>
    <t>They charged us well over the odds.</t>
  </si>
  <si>
    <t>Ils m'ont dépanné quand j'ai eu des problèmes avec le fisc.</t>
  </si>
  <si>
    <t>Ils nous ont fait payer bien au dessus de la normale.</t>
  </si>
  <si>
    <t>Les Etats-Unis sont chez eux.</t>
  </si>
  <si>
    <t>L'URSS était en position d'infériorité.</t>
  </si>
  <si>
    <t>The Soviet Union was in position of inferiority.</t>
  </si>
  <si>
    <t>The United States is on home ground.</t>
  </si>
  <si>
    <t>ore (common name)</t>
  </si>
  <si>
    <t>le minerai</t>
  </si>
  <si>
    <t>He gets tired easily.</t>
  </si>
  <si>
    <t>Il se fatigue facilement.</t>
  </si>
  <si>
    <t>to sedate</t>
  </si>
  <si>
    <t>la charpenterie</t>
  </si>
  <si>
    <t>carpentry (common name)</t>
  </si>
  <si>
    <t>a scheme</t>
  </si>
  <si>
    <t>un plan, un système</t>
  </si>
  <si>
    <t>an air conditioner</t>
  </si>
  <si>
    <t>une climatisation</t>
  </si>
  <si>
    <t>Est-ce que c'est loin d'ici ?</t>
  </si>
  <si>
    <t>Combien de temps cela dure-t-il ?</t>
  </si>
  <si>
    <t>a haulage</t>
  </si>
  <si>
    <t>un transport routier</t>
  </si>
  <si>
    <t>un concours</t>
  </si>
  <si>
    <t>Thanks, I'll make do.</t>
  </si>
  <si>
    <t>Merci, je ferai avec.</t>
  </si>
  <si>
    <t>a gallup poll</t>
  </si>
  <si>
    <t>un sondage d'opinion</t>
  </si>
  <si>
    <t>an inference</t>
  </si>
  <si>
    <t>Saturday doesn't suit me.</t>
  </si>
  <si>
    <t>Samedi ne me convient pas.</t>
  </si>
  <si>
    <t>a taxpayer</t>
  </si>
  <si>
    <t>un contribuable</t>
  </si>
  <si>
    <t>une reconfiguration</t>
  </si>
  <si>
    <t>reengineering (common name)</t>
  </si>
  <si>
    <t>a dainty</t>
  </si>
  <si>
    <t>une friandise</t>
  </si>
  <si>
    <t>a maze</t>
  </si>
  <si>
    <t>un labyrinthe</t>
  </si>
  <si>
    <t>a geezer</t>
  </si>
  <si>
    <t>un type</t>
  </si>
  <si>
    <t>douloureux</t>
  </si>
  <si>
    <t>aching (adj.)</t>
  </si>
  <si>
    <t>a cleaver</t>
  </si>
  <si>
    <t>un couperet</t>
  </si>
  <si>
    <t>to snap</t>
  </si>
  <si>
    <t>casser / mordre / lâcher</t>
  </si>
  <si>
    <t>a grasshopper</t>
  </si>
  <si>
    <t>une sauterelle</t>
  </si>
  <si>
    <t>tangled up</t>
  </si>
  <si>
    <t>emmêlé</t>
  </si>
  <si>
    <t>puny (adj.)</t>
  </si>
  <si>
    <t>chétif</t>
  </si>
  <si>
    <t>a weirdo</t>
  </si>
  <si>
    <t>un type bizarre</t>
  </si>
  <si>
    <t>a swip</t>
  </si>
  <si>
    <t>une lampée</t>
  </si>
  <si>
    <t>a volley</t>
  </si>
  <si>
    <t>une salve, une grêle</t>
  </si>
  <si>
    <t>He's really uptight.</t>
  </si>
  <si>
    <t>She's pretty chilled.</t>
  </si>
  <si>
    <t>I can get on with anyone.</t>
  </si>
  <si>
    <t>Give me a buzz so I can save your number.</t>
  </si>
  <si>
    <t>I'll make a note of it.</t>
  </si>
  <si>
    <t>All in good time.</t>
  </si>
  <si>
    <t>I passed my exam.</t>
  </si>
  <si>
    <t>I failed my exam.</t>
  </si>
  <si>
    <t>I like working as part of a team.</t>
  </si>
  <si>
    <t>I have been in my current job just over two years.</t>
  </si>
  <si>
    <t>Cooking really helps me to relax.</t>
  </si>
  <si>
    <t>I was sorry to hear about your father's death.</t>
  </si>
  <si>
    <t>My brother has fallen in love with her.</t>
  </si>
  <si>
    <t>She enjoys entertaining.</t>
  </si>
  <si>
    <t>I'm not crazy about football.</t>
  </si>
  <si>
    <t>Follow this road up to the crossroads.</t>
  </si>
  <si>
    <t>A draught beer, please.</t>
  </si>
  <si>
    <t>I'm a size 12.</t>
  </si>
  <si>
    <t>endowed</t>
  </si>
  <si>
    <t>doté</t>
  </si>
  <si>
    <t>leotards (common name)</t>
  </si>
  <si>
    <t>dismayed</t>
  </si>
  <si>
    <t>consterné</t>
  </si>
  <si>
    <t>the counterpart</t>
  </si>
  <si>
    <t>l'homologue, l'équivalent</t>
  </si>
  <si>
    <t>moldy</t>
  </si>
  <si>
    <t>moisi</t>
  </si>
  <si>
    <t>a carrion</t>
  </si>
  <si>
    <t>une charogne</t>
  </si>
  <si>
    <t>aqueux</t>
  </si>
  <si>
    <t>to squelch</t>
  </si>
  <si>
    <t>a gurgle</t>
  </si>
  <si>
    <t>un gargouillis</t>
  </si>
  <si>
    <t>a hiss</t>
  </si>
  <si>
    <t>a glimmer</t>
  </si>
  <si>
    <t>une lueur</t>
  </si>
  <si>
    <t>stained</t>
  </si>
  <si>
    <t>the beak</t>
  </si>
  <si>
    <t>le bec</t>
  </si>
  <si>
    <t>impitoyable</t>
  </si>
  <si>
    <t>les patins</t>
  </si>
  <si>
    <t>the skids</t>
  </si>
  <si>
    <t>skidded</t>
  </si>
  <si>
    <t>a pail</t>
  </si>
  <si>
    <t>a keg</t>
  </si>
  <si>
    <t>un petit barril</t>
  </si>
  <si>
    <t>burlap (common name)</t>
  </si>
  <si>
    <t>la toile de jute</t>
  </si>
  <si>
    <t>in lieu of</t>
  </si>
  <si>
    <t xml:space="preserve">au lieu de </t>
  </si>
  <si>
    <t>la saleté</t>
  </si>
  <si>
    <t>dirt (common name)</t>
  </si>
  <si>
    <t>smitten</t>
  </si>
  <si>
    <t>frappé, touché, enchanté</t>
  </si>
  <si>
    <t>a clarion</t>
  </si>
  <si>
    <t>un clairon</t>
  </si>
  <si>
    <t>délicieux</t>
  </si>
  <si>
    <t>to go nuts</t>
  </si>
  <si>
    <t>devenir fou</t>
  </si>
  <si>
    <t>tout de suite</t>
  </si>
  <si>
    <t>essayer</t>
  </si>
  <si>
    <t>to give a go, to have a go</t>
  </si>
  <si>
    <t>a roster</t>
  </si>
  <si>
    <t>une liste de service</t>
  </si>
  <si>
    <t>on the fly</t>
  </si>
  <si>
    <t>à la volée</t>
  </si>
  <si>
    <t>havoc (common name)</t>
  </si>
  <si>
    <t>un ravage, un dégat</t>
  </si>
  <si>
    <t>a shipment</t>
  </si>
  <si>
    <t>une cargaison, un fret, une expédition</t>
  </si>
  <si>
    <t>veneer, varnish (common name)</t>
  </si>
  <si>
    <t>clay (common name)</t>
  </si>
  <si>
    <t>de l'argile</t>
  </si>
  <si>
    <t>rubber (common name)</t>
  </si>
  <si>
    <t>stock taking (common name)</t>
  </si>
  <si>
    <t>un inventaire</t>
  </si>
  <si>
    <t>une vrille</t>
  </si>
  <si>
    <t>étouffant</t>
  </si>
  <si>
    <t>an upwelling</t>
  </si>
  <si>
    <t>une montée d'eau</t>
  </si>
  <si>
    <t>a peek</t>
  </si>
  <si>
    <t>un coup d'œil</t>
  </si>
  <si>
    <t>to scrub</t>
  </si>
  <si>
    <t>frotter</t>
  </si>
  <si>
    <t>a hideout</t>
  </si>
  <si>
    <t>une cachette</t>
  </si>
  <si>
    <t>to throb</t>
  </si>
  <si>
    <t>a homemaker</t>
  </si>
  <si>
    <t>une ménagère</t>
  </si>
  <si>
    <t>mating parts</t>
  </si>
  <si>
    <t>a throughput</t>
  </si>
  <si>
    <t>un débit</t>
  </si>
  <si>
    <t>prétendument</t>
  </si>
  <si>
    <t>starch (common name)</t>
  </si>
  <si>
    <t>claret (common name)</t>
  </si>
  <si>
    <t>une blague, un sarcasme, une raillerie</t>
  </si>
  <si>
    <t>a bundle</t>
  </si>
  <si>
    <t>un paquet, une liasse</t>
  </si>
  <si>
    <t>a conch</t>
  </si>
  <si>
    <t>une conque (coquillage)</t>
  </si>
  <si>
    <t>to stumble</t>
  </si>
  <si>
    <t>mishaps (common name)</t>
  </si>
  <si>
    <t>les mésaventures</t>
  </si>
  <si>
    <t>scalding (adj.)</t>
  </si>
  <si>
    <t>drapes (common name)</t>
  </si>
  <si>
    <t>les teintures</t>
  </si>
  <si>
    <t>to scold</t>
  </si>
  <si>
    <t>un rassemblement, une réunion</t>
  </si>
  <si>
    <t>a pea</t>
  </si>
  <si>
    <t>un pois</t>
  </si>
  <si>
    <t>a culprit</t>
  </si>
  <si>
    <t>un coupable</t>
  </si>
  <si>
    <t>apparemment</t>
  </si>
  <si>
    <t>seemingly</t>
  </si>
  <si>
    <t>dimly</t>
  </si>
  <si>
    <t>faiblement</t>
  </si>
  <si>
    <t>a rookie (familier)</t>
  </si>
  <si>
    <t>un débutant, un bleu</t>
  </si>
  <si>
    <t>mush (common name)</t>
  </si>
  <si>
    <t>de la bouillie</t>
  </si>
  <si>
    <t>The catch is ...</t>
  </si>
  <si>
    <t>Le hic est ...</t>
  </si>
  <si>
    <t>If you don't pay the bill, they'll cut off the electricity.</t>
  </si>
  <si>
    <t>Si tu ne paies pas ta facture, ils vont te couper l'électricité.</t>
  </si>
  <si>
    <t>I'm trying to give up.</t>
  </si>
  <si>
    <t>I'm afraid the news is quite bad.</t>
  </si>
  <si>
    <t>I worked my way up from the bottom.</t>
  </si>
  <si>
    <t>I will retire when I'm thirty.</t>
  </si>
  <si>
    <t>I sold them at a profit.</t>
  </si>
  <si>
    <t>I have to drop off my wife at the airport at nine.</t>
  </si>
  <si>
    <t>I hate living out a suitcase.</t>
  </si>
  <si>
    <t>Je suis débordé de travail.</t>
  </si>
  <si>
    <t>J'ai bien peur que les nouvelles soient plutôt mauvaises</t>
  </si>
  <si>
    <t>Je déteste avoir peu d'affaires</t>
  </si>
  <si>
    <t>wanton (adj.)</t>
  </si>
  <si>
    <t>capricieux / injustifié</t>
  </si>
  <si>
    <t>I would rather you hadn't told me.</t>
  </si>
  <si>
    <t>I'm seeing Pat tonight.</t>
  </si>
  <si>
    <t>I smoked a lot when I was young (I was smoking).</t>
  </si>
  <si>
    <t>Hilary was sitting at the dressing table, brushing her hair.</t>
  </si>
  <si>
    <t>He has taken to stay in bed till noon.</t>
  </si>
  <si>
    <t>Il s'est mis à rester au lit jusqu'à midi.</t>
  </si>
  <si>
    <t>une subvention</t>
  </si>
  <si>
    <t>du troc</t>
  </si>
  <si>
    <t>The name of a product will often change from a market to another throughout the world.</t>
  </si>
  <si>
    <t>Le nom d'un produit change souvent d'un pays à l'autre.</t>
  </si>
  <si>
    <t>The junior managers won't begin until next Wednesday.</t>
  </si>
  <si>
    <t>Les cadres juniors ne commenceront que mercredi prochain.</t>
  </si>
  <si>
    <t>Il ne suffit pas de détenir quelques actions de la société pour devenir membre du conseil d'administration.</t>
  </si>
  <si>
    <t>degreasing (common name)</t>
  </si>
  <si>
    <t>l'astate</t>
  </si>
  <si>
    <t>le brome</t>
  </si>
  <si>
    <t>a framework</t>
  </si>
  <si>
    <t>une charpente</t>
  </si>
  <si>
    <t>a legal limbo</t>
  </si>
  <si>
    <t>a chemist</t>
  </si>
  <si>
    <t>une pharmacie</t>
  </si>
  <si>
    <t>a bump</t>
  </si>
  <si>
    <t>brass (common name)</t>
  </si>
  <si>
    <t>le laiton</t>
  </si>
  <si>
    <t>freight (common name)</t>
  </si>
  <si>
    <t>le fret</t>
  </si>
  <si>
    <t>Ne me contredisez pas !</t>
  </si>
  <si>
    <t>Don't shout at your employees.</t>
  </si>
  <si>
    <t>Don't make up your mind straight away. Think about it for a bit.</t>
  </si>
  <si>
    <t>a dish-washer</t>
  </si>
  <si>
    <t>Ne criez pas sur vos employés.</t>
  </si>
  <si>
    <t>Ne te fâche pas !</t>
  </si>
  <si>
    <t>un lave-vaisselle</t>
  </si>
  <si>
    <t>une volonté / un testament</t>
  </si>
  <si>
    <t>a floral pattern</t>
  </si>
  <si>
    <t>un motif floral</t>
  </si>
  <si>
    <t>La foule a poignardé le policier à mort.</t>
  </si>
  <si>
    <t>Le maire et ses conseillers</t>
  </si>
  <si>
    <t>Le directeur souffre d'une grippe depuis une semaine.</t>
  </si>
  <si>
    <t>Les informations sont mises à jour tous les trois mois.</t>
  </si>
  <si>
    <t>Le combat a été annulé.</t>
  </si>
  <si>
    <t>Les informations sont trompeuses.</t>
  </si>
  <si>
    <t>The cupboard is bare.</t>
  </si>
  <si>
    <t>Les enfants sont réveillés. Adieu notre grasse matinée.</t>
  </si>
  <si>
    <t>The chair's in the way.</t>
  </si>
  <si>
    <t>La chaise est dans le passage.</t>
  </si>
  <si>
    <t>Le batteur lança la balle au guichet (cricket).</t>
  </si>
  <si>
    <t>un chagrin, une douleur</t>
  </si>
  <si>
    <t>measles (common name)</t>
  </si>
  <si>
    <t>Way back when …</t>
  </si>
  <si>
    <t>Il y a longtemps, quand ...</t>
  </si>
  <si>
    <t>The bang for the buck</t>
  </si>
  <si>
    <t>Le rapport qualité-prix, le retour sur investissement</t>
  </si>
  <si>
    <t>a caveat</t>
  </si>
  <si>
    <t>to get stable</t>
  </si>
  <si>
    <t>a bunch</t>
  </si>
  <si>
    <t>un bouquet / un paquet, une poignée</t>
  </si>
  <si>
    <t>assommer</t>
  </si>
  <si>
    <t>to knock out</t>
  </si>
  <si>
    <t>la gaieté</t>
  </si>
  <si>
    <t>merriment (common name)</t>
  </si>
  <si>
    <t>canvassing (common name)</t>
  </si>
  <si>
    <t>inducement (common name)</t>
  </si>
  <si>
    <t>l'incitation, l'encouragement</t>
  </si>
  <si>
    <t>un jour férié, un jour chômé légal</t>
  </si>
  <si>
    <t>a bail</t>
  </si>
  <si>
    <t>a back-packer</t>
  </si>
  <si>
    <t>un randonneur</t>
  </si>
  <si>
    <t>a background</t>
  </si>
  <si>
    <t>un fond, un arrière-plan</t>
  </si>
  <si>
    <t>an auction</t>
  </si>
  <si>
    <t>une vente aux enchères</t>
  </si>
  <si>
    <t>an attendant</t>
  </si>
  <si>
    <t>un domestique, un gardien</t>
  </si>
  <si>
    <t>an assembly line</t>
  </si>
  <si>
    <t>une chaîne de montage</t>
  </si>
  <si>
    <t>an appreciation</t>
  </si>
  <si>
    <t>une plus-value</t>
  </si>
  <si>
    <t>to wash up (UK)</t>
  </si>
  <si>
    <t>un avocat (UK)</t>
  </si>
  <si>
    <t>une recrudescence, un regain</t>
  </si>
  <si>
    <t>du grabuge / une destruction</t>
  </si>
  <si>
    <t>It's David Robinson's turn.</t>
  </si>
  <si>
    <t>C'est au tour de David Robinson.</t>
  </si>
  <si>
    <t>In six months, the training will be coming to an end.</t>
  </si>
  <si>
    <t>I'm going to be absent from work for several months.</t>
  </si>
  <si>
    <t>Better to reserve a hotel room</t>
  </si>
  <si>
    <t>Mieux vaut réserver une chambre d'hôtel</t>
  </si>
  <si>
    <t>Que se passerait-il si Freddie Birtwhistle venait à disparaître ?</t>
  </si>
  <si>
    <t>a hazard</t>
  </si>
  <si>
    <t>un risque, un danger</t>
  </si>
  <si>
    <t>Qui aurait pu imaginer que Michael se mariereait si vite !</t>
  </si>
  <si>
    <t>On a pas idée de faire 60 miles juste pour aller faire la fête !</t>
  </si>
  <si>
    <t>frail (adj.)</t>
  </si>
  <si>
    <t>dusk (common name)</t>
  </si>
  <si>
    <t>lint (common name)</t>
  </si>
  <si>
    <t>de la poussière, une peluche</t>
  </si>
  <si>
    <t>clerical work (common name)</t>
  </si>
  <si>
    <t>un travail de bureau</t>
  </si>
  <si>
    <t>an imbalance</t>
  </si>
  <si>
    <t>un déséquilibre</t>
  </si>
  <si>
    <t>imbued</t>
  </si>
  <si>
    <t>imprégné</t>
  </si>
  <si>
    <t>to stock</t>
  </si>
  <si>
    <t>alimenter, entretenir</t>
  </si>
  <si>
    <t>One will do.</t>
  </si>
  <si>
    <t>On verra.</t>
  </si>
  <si>
    <t>une puanteur, une odeur nauséabonde, un relent</t>
  </si>
  <si>
    <t>to amok</t>
  </si>
  <si>
    <t>smelting (common name)</t>
  </si>
  <si>
    <t>une gauffre / un baratin</t>
  </si>
  <si>
    <t>a shipyard</t>
  </si>
  <si>
    <t>un chantier naval</t>
  </si>
  <si>
    <t>One person in three in Birmingham ends up before the courts.</t>
  </si>
  <si>
    <t>unwieldy (adj.)</t>
  </si>
  <si>
    <t>Cheaper still is to hitch-hike.</t>
  </si>
  <si>
    <t>Encore moins cher : faire de l'auto-stop.</t>
  </si>
  <si>
    <t>hassle (common name)</t>
  </si>
  <si>
    <t>fuser</t>
  </si>
  <si>
    <t>a copycat</t>
  </si>
  <si>
    <t>un imitateur</t>
  </si>
  <si>
    <t>a hoarding</t>
  </si>
  <si>
    <t>une palissade</t>
  </si>
  <si>
    <t>a dormitory</t>
  </si>
  <si>
    <t>un dortoir</t>
  </si>
  <si>
    <t>pruning (common name)</t>
  </si>
  <si>
    <t>la taille (d'un arbuste)</t>
  </si>
  <si>
    <t>a wile</t>
  </si>
  <si>
    <t>une ruse, un piège</t>
  </si>
  <si>
    <t>the selvage</t>
  </si>
  <si>
    <t>la lisière</t>
  </si>
  <si>
    <t>a broker</t>
  </si>
  <si>
    <t>un courtier en bourse</t>
  </si>
  <si>
    <t>bylaws (common name)</t>
  </si>
  <si>
    <t>Fortunately, Leeds is not far away.</t>
  </si>
  <si>
    <t>Heureusement, Leeds n'est pas loin.</t>
  </si>
  <si>
    <t>foes (common name)</t>
  </si>
  <si>
    <t>les ennemis</t>
  </si>
  <si>
    <t>diehard (adj.)</t>
  </si>
  <si>
    <t>un râteau</t>
  </si>
  <si>
    <t>Quand j'aurai 84 ans, …</t>
  </si>
  <si>
    <t>When I'm 84 years old,  …</t>
  </si>
  <si>
    <t>craft (common name)</t>
  </si>
  <si>
    <t>l'artisanat</t>
  </si>
  <si>
    <t>a split</t>
  </si>
  <si>
    <t>une coupure, une cassure</t>
  </si>
  <si>
    <t>fins (common name)</t>
  </si>
  <si>
    <t>les palmes (nageoires)</t>
  </si>
  <si>
    <t>a steering wheel</t>
  </si>
  <si>
    <t>au poil</t>
  </si>
  <si>
    <t>hunky dory (expr.)</t>
  </si>
  <si>
    <t>a breadcrumb</t>
  </si>
  <si>
    <t>une miette de pain</t>
  </si>
  <si>
    <t>a pitch</t>
  </si>
  <si>
    <t>une belette, une fouine</t>
  </si>
  <si>
    <t>creed (common name)</t>
  </si>
  <si>
    <t>des principes, un credo</t>
  </si>
  <si>
    <t>We stopped over in Los Angeles on our way to Hawaii.</t>
  </si>
  <si>
    <t>Nous avons fait escale à Los Angeles dans notre voyage pour Hawaii.</t>
  </si>
  <si>
    <t>Nous avons du pain sur la planche.</t>
  </si>
  <si>
    <t>We had to trudge three miles across the fields into the pouring rain.</t>
  </si>
  <si>
    <t>Nous terminerons cette leçon avec une histoire.</t>
  </si>
  <si>
    <t>Que dirais-tu d'une tasse de thé ?</t>
  </si>
  <si>
    <t>an ox / two oxen</t>
  </si>
  <si>
    <t>un bœuf / deux bœufs</t>
  </si>
  <si>
    <t>a knuckle</t>
  </si>
  <si>
    <t>une articulation</t>
  </si>
  <si>
    <t>a creditor</t>
  </si>
  <si>
    <t>un créancier</t>
  </si>
  <si>
    <t>a meter (techn.)</t>
  </si>
  <si>
    <t>un compteur (EDF, taxi, …)</t>
  </si>
  <si>
    <t>a stage</t>
  </si>
  <si>
    <t>une étape, un stade (d’un processus, …) / une scène de théâtre</t>
  </si>
  <si>
    <t>snide (adj.)</t>
  </si>
  <si>
    <t>enamel (common name)</t>
  </si>
  <si>
    <t>a middle man</t>
  </si>
  <si>
    <t>un intermédiaire</t>
  </si>
  <si>
    <t>a chuck, a mandrel</t>
  </si>
  <si>
    <t>la populace / la cohue</t>
  </si>
  <si>
    <t>prospective (adj.)</t>
  </si>
  <si>
    <t>a discount</t>
  </si>
  <si>
    <t>une réduction, un rabais</t>
  </si>
  <si>
    <t>un distributeur automatique</t>
  </si>
  <si>
    <t>It's all over between us.</t>
  </si>
  <si>
    <t>Tout est fini entre nous.</t>
  </si>
  <si>
    <t>Don't decide now. Think it over for a few days.</t>
  </si>
  <si>
    <t>Ne décide pas maintenant. Réfléchis-y pendant quelques jours.</t>
  </si>
  <si>
    <t>galore (adv.)</t>
  </si>
  <si>
    <t>sly (adj.)</t>
  </si>
  <si>
    <t>une moissonneuse</t>
  </si>
  <si>
    <t>a reckoning</t>
  </si>
  <si>
    <t>un calcul, un compte</t>
  </si>
  <si>
    <t>a leaflet</t>
  </si>
  <si>
    <t>un prospectus</t>
  </si>
  <si>
    <t>a figure</t>
  </si>
  <si>
    <t>un chiffre</t>
  </si>
  <si>
    <t>He's tight with money.</t>
  </si>
  <si>
    <t>Il est radin.</t>
  </si>
  <si>
    <t>attrition (common name)</t>
  </si>
  <si>
    <t>l'usure</t>
  </si>
  <si>
    <t>flush (adj.)</t>
  </si>
  <si>
    <t>a business day</t>
  </si>
  <si>
    <t>un jour ouvré</t>
  </si>
  <si>
    <t>an excerpt</t>
  </si>
  <si>
    <t>un extrait</t>
  </si>
  <si>
    <t>une ornière / une routine</t>
  </si>
  <si>
    <t>une saisie / une crise d'épilepsie</t>
  </si>
  <si>
    <t>a stroll</t>
  </si>
  <si>
    <t>une promenade</t>
  </si>
  <si>
    <t>to get hold</t>
  </si>
  <si>
    <t>se tenir</t>
  </si>
  <si>
    <t>a flint</t>
  </si>
  <si>
    <t>un silex</t>
  </si>
  <si>
    <t>a furlough</t>
  </si>
  <si>
    <t>un congé, une permission</t>
  </si>
  <si>
    <t>a churn</t>
  </si>
  <si>
    <t>a caterer</t>
  </si>
  <si>
    <t>un traiteur</t>
  </si>
  <si>
    <t>a smattering</t>
  </si>
  <si>
    <t>a payout</t>
  </si>
  <si>
    <t>un paiement</t>
  </si>
  <si>
    <t>a hardcover</t>
  </si>
  <si>
    <t>une couverture rigide</t>
  </si>
  <si>
    <t>paperback (adj.)</t>
  </si>
  <si>
    <t>broché (pour un livre)</t>
  </si>
  <si>
    <t>Nombre de révisions</t>
  </si>
  <si>
    <t>la masse monétaire</t>
  </si>
  <si>
    <t>heralding (adj.)</t>
  </si>
  <si>
    <t>She met first with Bill Hayward.</t>
  </si>
  <si>
    <t>Elle a d'abord rencontré Bill Hayward.</t>
  </si>
  <si>
    <t>Elle n'avait plus rien à lui dire.</t>
  </si>
  <si>
    <t>There was not much left for her to tell him.</t>
  </si>
  <si>
    <t>ripeness (common name)</t>
  </si>
  <si>
    <t>la matûrité</t>
  </si>
  <si>
    <t>The MP for Birmingham North polled 20% of the votes.</t>
  </si>
  <si>
    <t>Le député de Birmingham Nord a recueilli 20% des voix.</t>
  </si>
  <si>
    <t>les avantages divers</t>
  </si>
  <si>
    <t>a ladle / ladle (adj.)</t>
  </si>
  <si>
    <t>How long does it take?</t>
  </si>
  <si>
    <t>How far is it from here?</t>
  </si>
  <si>
    <t>Would you mind if …?</t>
  </si>
  <si>
    <t>How about a cup of tea?</t>
  </si>
  <si>
    <t>What good is …?</t>
  </si>
  <si>
    <t>A quoi sert … ?</t>
  </si>
  <si>
    <t>Needless to say that …</t>
  </si>
  <si>
    <t>Inutile de dire que …</t>
  </si>
  <si>
    <t>Paying John a visit</t>
  </si>
  <si>
    <t>Rendre visite à John</t>
  </si>
  <si>
    <t>scathing (adj.)</t>
  </si>
  <si>
    <t>a desktop</t>
  </si>
  <si>
    <t>a desk clerk</t>
  </si>
  <si>
    <t>un réceptionniste</t>
  </si>
  <si>
    <t>bullying (common name)</t>
  </si>
  <si>
    <t>How are you making out at your new job?</t>
  </si>
  <si>
    <t>How about that for economical use of the langage?</t>
  </si>
  <si>
    <t>Comment te débrouilles-tu dans ton nouveau boulot ?</t>
  </si>
  <si>
    <t>N'est-ce pas un emploi économe de la langue ?</t>
  </si>
  <si>
    <t>Son attitude négative m'a complètement refroidi.</t>
  </si>
  <si>
    <t>His negative attitude put me off completely.</t>
  </si>
  <si>
    <t>yummy (adj.)</t>
  </si>
  <si>
    <t>a telltale</t>
  </si>
  <si>
    <t>un témoin, un rapporteur</t>
  </si>
  <si>
    <t>misnomer (adj.)</t>
  </si>
  <si>
    <t>gaunt (adj.)</t>
  </si>
  <si>
    <t>eerie (adj.)</t>
  </si>
  <si>
    <t>parlous (adj.)</t>
  </si>
  <si>
    <t>Did you know that Simon got married last month? No, who to?</t>
  </si>
  <si>
    <t>Do you have anything on this evening?</t>
  </si>
  <si>
    <t>Fancy Michael getting married so quickly!</t>
  </si>
  <si>
    <t>Fancy driving sixty miles just to go to a party!</t>
  </si>
  <si>
    <t>Don't get so upset!</t>
  </si>
  <si>
    <t>Don't argue with me!</t>
  </si>
  <si>
    <t>célèbre, référence / qui relève soit de l'antiquité, soit du XVIIIème siècle</t>
  </si>
  <si>
    <t>un abri</t>
  </si>
  <si>
    <t>We need a few more chairs.</t>
  </si>
  <si>
    <t>We look forward to seeing you soon.</t>
  </si>
  <si>
    <t>We had a lot of difficulty finding this house.</t>
  </si>
  <si>
    <t>Nous avons besoin de quelques chaises supplémentaires</t>
  </si>
  <si>
    <t>Nous nous réjouissons à l'idée de vous voir bientôt.</t>
  </si>
  <si>
    <t>a hacksaw</t>
  </si>
  <si>
    <t>une scie à métaux</t>
  </si>
  <si>
    <t>You can't rule out this possibility.</t>
  </si>
  <si>
    <t>Tu ne peux pas exclure cette possibilité.</t>
  </si>
  <si>
    <t>You won't get much sleep.</t>
  </si>
  <si>
    <t>You can't tell them apart.</t>
  </si>
  <si>
    <t>Tu ne dormiras pas beaucoup.</t>
  </si>
  <si>
    <t>Tu ne peux pas les distinguer.</t>
  </si>
  <si>
    <t>Would you mind paying for your drink? I'll get this, Mike.</t>
  </si>
  <si>
    <t>Tu peux acheter tes vêtements ici si tu veux, mais tu va payer le prix fort.</t>
  </si>
  <si>
    <t>Voulez-vous bien régler vos consommations ? C'est moi qui t'invite, Mike.</t>
  </si>
  <si>
    <t>You can buy your clothes here if you want, but you'll through the nose.</t>
  </si>
  <si>
    <t>Why don't you call in on your way back?</t>
  </si>
  <si>
    <t>Pourquoi ne ferais-tu pas un saut [chez moi] en revenant ?</t>
  </si>
  <si>
    <t>Débrouille-toi !</t>
  </si>
  <si>
    <t>Work that out!</t>
  </si>
  <si>
    <t>un vide juridique</t>
  </si>
  <si>
    <t>a craftsman</t>
  </si>
  <si>
    <t>un artisan</t>
  </si>
  <si>
    <t>a trade-in</t>
  </si>
  <si>
    <t>a wage-earner</t>
  </si>
  <si>
    <t>un salarié</t>
  </si>
  <si>
    <t>a redundancy</t>
  </si>
  <si>
    <t>red tape (expr.)</t>
  </si>
  <si>
    <t>a beverage</t>
  </si>
  <si>
    <t>une boisson, un breuvage</t>
  </si>
  <si>
    <t>a hock</t>
  </si>
  <si>
    <t>un jarret</t>
  </si>
  <si>
    <t>un marasme (écon.) / une impasse</t>
  </si>
  <si>
    <t>poultry (common name)</t>
  </si>
  <si>
    <t>a game (hunt.)</t>
  </si>
  <si>
    <t>un gibier</t>
  </si>
  <si>
    <t>corn (common name)</t>
  </si>
  <si>
    <t>le maïs</t>
  </si>
  <si>
    <t>a headache</t>
  </si>
  <si>
    <t>un mal de tête</t>
  </si>
  <si>
    <t>a backache</t>
  </si>
  <si>
    <t>un mal de dos</t>
  </si>
  <si>
    <t>une sage-femme</t>
  </si>
  <si>
    <t>du travail non déclaré, un cumul d’emploi</t>
  </si>
  <si>
    <t>moonlighting (common name)</t>
  </si>
  <si>
    <t>chopsticks (common name)</t>
  </si>
  <si>
    <t>des baguettes (chinoises)</t>
  </si>
  <si>
    <t>J'aurais voulu disparaître sous terre quand je me suis rendu compte de ce que j'avais dit.</t>
  </si>
  <si>
    <t>Il ne s'en fait jamais.</t>
  </si>
  <si>
    <t>Dis-moi ce qui te tracasse.</t>
  </si>
  <si>
    <t>a mainstay</t>
  </si>
  <si>
    <t>un pilier</t>
  </si>
  <si>
    <t>the breadth</t>
  </si>
  <si>
    <t>la largeur</t>
  </si>
  <si>
    <t>to predate</t>
  </si>
  <si>
    <t>antidater / précéder</t>
  </si>
  <si>
    <t>a short notice</t>
  </si>
  <si>
    <t>un préavis court</t>
  </si>
  <si>
    <t>to entice</t>
  </si>
  <si>
    <t>attirer</t>
  </si>
  <si>
    <t>to delve</t>
  </si>
  <si>
    <t>creuser</t>
  </si>
  <si>
    <t>clunky</t>
  </si>
  <si>
    <t>une charrue</t>
  </si>
  <si>
    <t>extraneous</t>
  </si>
  <si>
    <t>étranger</t>
  </si>
  <si>
    <t>a stint</t>
  </si>
  <si>
    <t>une besogne assignée</t>
  </si>
  <si>
    <t>to skyrocket</t>
  </si>
  <si>
    <t>mail-order (common name)</t>
  </si>
  <si>
    <t>a concern</t>
  </si>
  <si>
    <t>une entreprise</t>
  </si>
  <si>
    <t>Elle est enrouée, elle a chanté toute la nuit.</t>
  </si>
  <si>
    <t>She's hoarse, she's been singing all night.</t>
  </si>
  <si>
    <t>les frais généraux</t>
  </si>
  <si>
    <t>overhead costs</t>
  </si>
  <si>
    <t>les caprices</t>
  </si>
  <si>
    <t>whims (common name)</t>
  </si>
  <si>
    <t>Métros londonien et new-yorkais</t>
  </si>
  <si>
    <t>an infringement</t>
  </si>
  <si>
    <t>une infraction, une violation</t>
  </si>
  <si>
    <t>a taunt</t>
  </si>
  <si>
    <t>to flag down</t>
  </si>
  <si>
    <t>héler, faire signe de s'arrêter</t>
  </si>
  <si>
    <t>to finish with</t>
  </si>
  <si>
    <t>finir par</t>
  </si>
  <si>
    <t>out of fear</t>
  </si>
  <si>
    <t>par peur</t>
  </si>
  <si>
    <t>to report on</t>
  </si>
  <si>
    <t>faire un rapport sur</t>
  </si>
  <si>
    <t>Nb</t>
  </si>
  <si>
    <t>He slumped in his chair.</t>
  </si>
  <si>
    <t>Il s'affala dans son fauteuil.</t>
  </si>
  <si>
    <t>Il joua deux "bis".</t>
  </si>
  <si>
    <t>un compromis</t>
  </si>
  <si>
    <t>a grant</t>
  </si>
  <si>
    <t>une subvention, une allocation, une bourse</t>
  </si>
  <si>
    <t>back-up (adj.)</t>
  </si>
  <si>
    <t>What would happen if Freddie Birtwhistle were to disappear?</t>
  </si>
  <si>
    <t>incipient (adj.)</t>
  </si>
  <si>
    <t>un écart</t>
  </si>
  <si>
    <t>une sieste, un somme</t>
  </si>
  <si>
    <t>Can I try it on?</t>
  </si>
  <si>
    <t>a poacher</t>
  </si>
  <si>
    <t>un braconnier</t>
  </si>
  <si>
    <t>sheer (adj.)</t>
  </si>
  <si>
    <t>I'm reading computer studies.</t>
  </si>
  <si>
    <t>J'étudie l'informatique.</t>
  </si>
  <si>
    <t>standalone</t>
  </si>
  <si>
    <t>autonome</t>
  </si>
  <si>
    <t>jammed</t>
  </si>
  <si>
    <t>coincé</t>
  </si>
  <si>
    <t>sloppy (adj.)</t>
  </si>
  <si>
    <t>a stationery</t>
  </si>
  <si>
    <t>une papeterie</t>
  </si>
  <si>
    <t>arraigned</t>
  </si>
  <si>
    <t>interpellé</t>
  </si>
  <si>
    <t>to withhold</t>
  </si>
  <si>
    <t>retenir</t>
  </si>
  <si>
    <t>a butler</t>
  </si>
  <si>
    <t>un majordome</t>
  </si>
  <si>
    <t>ailments (common name)</t>
  </si>
  <si>
    <t>des maux</t>
  </si>
  <si>
    <t>an outlet</t>
  </si>
  <si>
    <t>une sortie</t>
  </si>
  <si>
    <t>charred</t>
  </si>
  <si>
    <t>carbonisé</t>
  </si>
  <si>
    <t>une cuisse</t>
  </si>
  <si>
    <t>buttocks (common name)</t>
  </si>
  <si>
    <t>les fesses (oh !)</t>
  </si>
  <si>
    <t>to lease</t>
  </si>
  <si>
    <t>peaufiner</t>
  </si>
  <si>
    <t>a turnstile</t>
  </si>
  <si>
    <t>un tourniquet</t>
  </si>
  <si>
    <t>to turnaround</t>
  </si>
  <si>
    <t>faire demi-tour</t>
  </si>
  <si>
    <t>to turnout</t>
  </si>
  <si>
    <t>s'avérer</t>
  </si>
  <si>
    <t>a litter</t>
  </si>
  <si>
    <t>une litière</t>
  </si>
  <si>
    <t>a curbside</t>
  </si>
  <si>
    <t>a landfill</t>
  </si>
  <si>
    <t>une décharge</t>
  </si>
  <si>
    <t>a recress</t>
  </si>
  <si>
    <t>une récréation</t>
  </si>
  <si>
    <t>a parlour</t>
  </si>
  <si>
    <t>jagged</t>
  </si>
  <si>
    <t>déchiqueté</t>
  </si>
  <si>
    <t>a stub</t>
  </si>
  <si>
    <t>a handout</t>
  </si>
  <si>
    <t>un polycopié</t>
  </si>
  <si>
    <t>Je serai en train d'emménager.</t>
  </si>
  <si>
    <t>I'll be moving in.</t>
  </si>
  <si>
    <t>Ses cheveux sont bruns.</t>
  </si>
  <si>
    <t>tar (common name)</t>
  </si>
  <si>
    <t>a contractor</t>
  </si>
  <si>
    <t>lagging (adv. / adj.)</t>
  </si>
  <si>
    <t>a nuisance</t>
  </si>
  <si>
    <t>une poutre / un faisceau</t>
  </si>
  <si>
    <t>Lord Young va mener l'enquête (journalistique).</t>
  </si>
  <si>
    <t>Lord Young is to lead the enquiry.</t>
  </si>
  <si>
    <t>une fente, une rainure</t>
  </si>
  <si>
    <t>a hindsight</t>
  </si>
  <si>
    <t>fads (common name)</t>
  </si>
  <si>
    <t>They helped me out with a loan when I had problems with the tax people.</t>
  </si>
  <si>
    <t>limestone (common name)</t>
  </si>
  <si>
    <t>le calcaire</t>
  </si>
  <si>
    <t>to mimic</t>
  </si>
  <si>
    <t>imiter</t>
  </si>
  <si>
    <t>a grindstone</t>
  </si>
  <si>
    <t>une meule</t>
  </si>
  <si>
    <t>Do come in and make yourself at home.</t>
  </si>
  <si>
    <t>draftiness (common name)</t>
  </si>
  <si>
    <t>les douleurs</t>
  </si>
  <si>
    <t>a security (fin.)</t>
  </si>
  <si>
    <t>une caution (fin.), une garantie</t>
  </si>
  <si>
    <t>an occupation</t>
  </si>
  <si>
    <t>une profession</t>
  </si>
  <si>
    <t>change (common name)</t>
  </si>
  <si>
    <t>de la monnaie (pièces, billets)</t>
  </si>
  <si>
    <t>le sommet, le point culminant</t>
  </si>
  <si>
    <t>un livrable</t>
  </si>
  <si>
    <t>a deliverable</t>
  </si>
  <si>
    <t>trifling (adj.)</t>
  </si>
  <si>
    <t>strapping (common name)</t>
  </si>
  <si>
    <t>to spruce up</t>
  </si>
  <si>
    <t>to baffle</t>
  </si>
  <si>
    <t>déconcerter, dérouter</t>
  </si>
  <si>
    <t>a hearing</t>
  </si>
  <si>
    <t>a filth</t>
  </si>
  <si>
    <t>une saleté</t>
  </si>
  <si>
    <t>a culture vulture</t>
  </si>
  <si>
    <t>une personne avide de culture</t>
  </si>
  <si>
    <t>a junk mail</t>
  </si>
  <si>
    <t>un courrier publicitaire</t>
  </si>
  <si>
    <t>Il a des idéaux élevés.</t>
  </si>
  <si>
    <t>to walk-out / a walk-out</t>
  </si>
  <si>
    <t>se promener / une grève / un retrait</t>
  </si>
  <si>
    <t>the M.O.T.</t>
  </si>
  <si>
    <t>un risque</t>
  </si>
  <si>
    <t>ramshakle (adj.)</t>
  </si>
  <si>
    <t>les biens d’équipement</t>
  </si>
  <si>
    <t>an expense</t>
  </si>
  <si>
    <t>une dépense</t>
  </si>
  <si>
    <t>un évènement, une réunion</t>
  </si>
  <si>
    <t>a prey</t>
  </si>
  <si>
    <t>une proie</t>
  </si>
  <si>
    <t>un client régulier</t>
  </si>
  <si>
    <t>une tanière</t>
  </si>
  <si>
    <t>une télécommande</t>
  </si>
  <si>
    <t>a remote control</t>
  </si>
  <si>
    <t>un espace réservé</t>
  </si>
  <si>
    <t>frying (common name)</t>
  </si>
  <si>
    <t>la friture</t>
  </si>
  <si>
    <t>une estimation, une évaluation, un taux</t>
  </si>
  <si>
    <t>la base, le soubassement, la fondation</t>
  </si>
  <si>
    <t>Say hello to him for me.</t>
  </si>
  <si>
    <t>une poitrine / une faillite, un fiasco</t>
  </si>
  <si>
    <t>I got stung by a wasp / a jellyfish.</t>
  </si>
  <si>
    <t>Je me suis fait piquer par une guêpe / une méduse.</t>
  </si>
  <si>
    <t>a hard currency</t>
  </si>
  <si>
    <t>une devise forte</t>
  </si>
  <si>
    <t>une portée, une étendue, un champ d’action, un domaine</t>
  </si>
  <si>
    <t>une prison, une geôle</t>
  </si>
  <si>
    <t>le gagne-pain</t>
  </si>
  <si>
    <t>the amenities</t>
  </si>
  <si>
    <t>les agréments</t>
  </si>
  <si>
    <t>walk-in (adj.)</t>
  </si>
  <si>
    <t>une vitrine</t>
  </si>
  <si>
    <t>tout à fait, totalement</t>
  </si>
  <si>
    <t>controls (common name)</t>
  </si>
  <si>
    <t>les boutons de commande</t>
  </si>
  <si>
    <t>une bernacle (crustacée) / un crampon</t>
  </si>
  <si>
    <t>a general practitioner</t>
  </si>
  <si>
    <t>un médecin généraliste</t>
  </si>
  <si>
    <t>sludge (common name)</t>
  </si>
  <si>
    <t>La nuit dernière, j'ai rêvé de la maison dans laquelle nous passions nos vacances, dans le temps.</t>
  </si>
  <si>
    <t>tampering (common name)</t>
  </si>
  <si>
    <t>a garbage</t>
  </si>
  <si>
    <t>une ordure</t>
  </si>
  <si>
    <t>a kiln</t>
  </si>
  <si>
    <t>un four</t>
  </si>
  <si>
    <t>power (common name)</t>
  </si>
  <si>
    <t>le pouvoir / l'énergie, l'électricité</t>
  </si>
  <si>
    <t>Fancy that!</t>
  </si>
  <si>
    <t>a debtor</t>
  </si>
  <si>
    <t>un débiteur</t>
  </si>
  <si>
    <t>a parochial outlook</t>
  </si>
  <si>
    <t>a hype</t>
  </si>
  <si>
    <t>une publicité tapageuse, un matraquage</t>
  </si>
  <si>
    <t>grasper (adj.)</t>
  </si>
  <si>
    <t>a wavelet</t>
  </si>
  <si>
    <t>une vaguelette</t>
  </si>
  <si>
    <t>a watchdog</t>
  </si>
  <si>
    <t>a flea market</t>
  </si>
  <si>
    <t>un marché aux puces</t>
  </si>
  <si>
    <t>retraining (common name)</t>
  </si>
  <si>
    <t>le recyclage</t>
  </si>
  <si>
    <t>Come tomorrow, preferably in the morning.</t>
  </si>
  <si>
    <t>Venez demain, de préférence en matinée.</t>
  </si>
  <si>
    <t>un comptoir, un guichet</t>
  </si>
  <si>
    <t>Churchill maniait formidablement bien la langue anglaise, et ce style trop formel l'agaça.</t>
  </si>
  <si>
    <t>a remainder</t>
  </si>
  <si>
    <t>un reste</t>
  </si>
  <si>
    <t>money supply (common name)</t>
  </si>
  <si>
    <t>gas (common name)</t>
  </si>
  <si>
    <t>l'essence (US English)</t>
  </si>
  <si>
    <t>une mission, une affectation, une attribution</t>
  </si>
  <si>
    <t>an incumbent</t>
  </si>
  <si>
    <t>to refurbish</t>
  </si>
  <si>
    <t>remettre à neuf</t>
  </si>
  <si>
    <t>a phrase book</t>
  </si>
  <si>
    <t>un recueil d'expressions</t>
  </si>
  <si>
    <t>être conforme à, respecter</t>
  </si>
  <si>
    <t>a memorandum</t>
  </si>
  <si>
    <t>une note de service</t>
  </si>
  <si>
    <t>billing (common name)</t>
  </si>
  <si>
    <t>la facturation</t>
  </si>
  <si>
    <t>un alliage</t>
  </si>
  <si>
    <t>a demerger</t>
  </si>
  <si>
    <t>un éclatement, une scission</t>
  </si>
  <si>
    <t>What was it like?</t>
  </si>
  <si>
    <t>Comment est-ce que c'était ?</t>
  </si>
  <si>
    <t>Be quiet and don't get in my way.</t>
  </si>
  <si>
    <t>Reste tranquille et ne me gêne pas.</t>
  </si>
  <si>
    <t>un bon de commande</t>
  </si>
  <si>
    <t>an order form</t>
  </si>
  <si>
    <t>catering (common name)</t>
  </si>
  <si>
    <t>une restauration, un ravitaillement</t>
  </si>
  <si>
    <t>a casualty</t>
  </si>
  <si>
    <t>The Secretary of State</t>
  </si>
  <si>
    <t>le Premier Ministre américain</t>
  </si>
  <si>
    <t>an invoice</t>
  </si>
  <si>
    <t>une facture</t>
  </si>
  <si>
    <t>sales (common name)</t>
  </si>
  <si>
    <t>les soldes / le chiffre d’affaire / le départment commercial</t>
  </si>
  <si>
    <t>an editor</t>
  </si>
  <si>
    <t>un rédacteur</t>
  </si>
  <si>
    <t>les factures d'électricité</t>
  </si>
  <si>
    <t>Kate has arrived in Norwich.</t>
  </si>
  <si>
    <t>Kate est arrivée à Norwich.</t>
  </si>
  <si>
    <t>drab (adj.)</t>
  </si>
  <si>
    <t>a wording</t>
  </si>
  <si>
    <t>les termes, la formulation, le libellé</t>
  </si>
  <si>
    <t>an executive board</t>
  </si>
  <si>
    <t>un conseil de direction</t>
  </si>
  <si>
    <t>a board</t>
  </si>
  <si>
    <t>un comité, un conseil, une commission</t>
  </si>
  <si>
    <t>Je ne peux tolérer son égoïsme plus longtemps.</t>
  </si>
  <si>
    <t>Je vais vous la présenter plus tard.</t>
  </si>
  <si>
    <t>a trial period</t>
  </si>
  <si>
    <t>une période d'essai</t>
  </si>
  <si>
    <t>un lapsus, la langue qui fourche</t>
  </si>
  <si>
    <t>faire chanter quelqu'un</t>
  </si>
  <si>
    <t>to blackmail somebody</t>
  </si>
  <si>
    <t>He still drops in quite often to say hello to everyone.</t>
  </si>
  <si>
    <t>Il passe assez souvent pour dire bonjour à tout le monde.</t>
  </si>
  <si>
    <t>un sentier, une piste</t>
  </si>
  <si>
    <t>the corporate image</t>
  </si>
  <si>
    <t>l'image de marque d’une société</t>
  </si>
  <si>
    <t>the windpipe</t>
  </si>
  <si>
    <t>la trachée</t>
  </si>
  <si>
    <t>the bowels</t>
  </si>
  <si>
    <t>les intestins</t>
  </si>
  <si>
    <t>the spinal cord</t>
  </si>
  <si>
    <t>la moëlle épinière</t>
  </si>
  <si>
    <t>to be out of sorts (expr.)</t>
  </si>
  <si>
    <t>être de bonne humeur</t>
  </si>
  <si>
    <t>to cough</t>
  </si>
  <si>
    <t>tousser</t>
  </si>
  <si>
    <t>to gasp</t>
  </si>
  <si>
    <t>haleter</t>
  </si>
  <si>
    <t>to graft</t>
  </si>
  <si>
    <t>greffer</t>
  </si>
  <si>
    <t>une rechute</t>
  </si>
  <si>
    <t>a relapse (medic.)</t>
  </si>
  <si>
    <t>a sheath</t>
  </si>
  <si>
    <t>une gaine</t>
  </si>
  <si>
    <t>to dress a wound</t>
  </si>
  <si>
    <t>panser une plaie</t>
  </si>
  <si>
    <t>a locksmith</t>
  </si>
  <si>
    <t>un serrurier</t>
  </si>
  <si>
    <t>a crane</t>
  </si>
  <si>
    <t>une grue (de chantier)</t>
  </si>
  <si>
    <t>a ladder</t>
  </si>
  <si>
    <t>une échelle</t>
  </si>
  <si>
    <t>rusty</t>
  </si>
  <si>
    <t>rouillé</t>
  </si>
  <si>
    <t>a thankless work</t>
  </si>
  <si>
    <t>un travail ingrat</t>
  </si>
  <si>
    <t>glutted</t>
  </si>
  <si>
    <t>saturé</t>
  </si>
  <si>
    <t>travailler en intérim</t>
  </si>
  <si>
    <t>temping (verb)</t>
  </si>
  <si>
    <t>an occupational disease</t>
  </si>
  <si>
    <t>une maladie professionnelle</t>
  </si>
  <si>
    <t>a deadlock</t>
  </si>
  <si>
    <t>une impasse</t>
  </si>
  <si>
    <t>odd jobs</t>
  </si>
  <si>
    <t>cinnamon (common name)</t>
  </si>
  <si>
    <t>la cannelle</t>
  </si>
  <si>
    <t>parsley (common name)</t>
  </si>
  <si>
    <t>le persil</t>
  </si>
  <si>
    <t>dairy products</t>
  </si>
  <si>
    <t>les produits laitiers</t>
  </si>
  <si>
    <t>plain water</t>
  </si>
  <si>
    <t>de l'eau claire</t>
  </si>
  <si>
    <t>vintage (adj.)</t>
  </si>
  <si>
    <t>cru / ancien</t>
  </si>
  <si>
    <t>heady (adj.)</t>
  </si>
  <si>
    <t>capiteux</t>
  </si>
  <si>
    <t>vicié, rassis, éventé</t>
  </si>
  <si>
    <t>full-bodied</t>
  </si>
  <si>
    <t>corsé, qui a du corps</t>
  </si>
  <si>
    <t>a jug</t>
  </si>
  <si>
    <t>une cruche</t>
  </si>
  <si>
    <t>a saucer</t>
  </si>
  <si>
    <t>une soucoupe</t>
  </si>
  <si>
    <t>to chop</t>
  </si>
  <si>
    <t>hacher</t>
  </si>
  <si>
    <t>a stew</t>
  </si>
  <si>
    <t>un ragoût, un civet</t>
  </si>
  <si>
    <t>to season</t>
  </si>
  <si>
    <t>assaisonner</t>
  </si>
  <si>
    <t>a rare steak</t>
  </si>
  <si>
    <t>un steak saignant</t>
  </si>
  <si>
    <t>to burp</t>
  </si>
  <si>
    <t>roter</t>
  </si>
  <si>
    <t>a lobster</t>
  </si>
  <si>
    <t>un homard</t>
  </si>
  <si>
    <t>a sell-by date</t>
  </si>
  <si>
    <t>une date de péremption</t>
  </si>
  <si>
    <t>scrawny</t>
  </si>
  <si>
    <t>a lollipop</t>
  </si>
  <si>
    <t>une sucette</t>
  </si>
  <si>
    <t>une rafle / une plongée, une descente en piqué</t>
  </si>
  <si>
    <t>un boulet, une entrave, une résistance</t>
  </si>
  <si>
    <t>Elle a des cernes.</t>
  </si>
  <si>
    <t>flotter / voltiger</t>
  </si>
  <si>
    <t>un principe, une doctrine, un dogme</t>
  </si>
  <si>
    <t>a balance-sheet</t>
  </si>
  <si>
    <t>un bilan</t>
  </si>
  <si>
    <t>Une cigarette par-ci par-là ne vous fera pas de mal.</t>
  </si>
  <si>
    <t>a showcase</t>
  </si>
  <si>
    <t>a cleaner</t>
  </si>
  <si>
    <t>le solde hypothécaire</t>
  </si>
  <si>
    <t>un coup de fouet, une pichenette, un coup sur la main</t>
  </si>
  <si>
    <t>les produits ménagers</t>
  </si>
  <si>
    <t>l'hébergement web</t>
  </si>
  <si>
    <t>a waffle</t>
  </si>
  <si>
    <t>une fatigue, une épreuve</t>
  </si>
  <si>
    <t>les indications, les instructions</t>
  </si>
  <si>
    <t>une fusion (écon.)</t>
  </si>
  <si>
    <t>une inculpation, un chef d’inculpation</t>
  </si>
  <si>
    <t>a charge (forensic)</t>
  </si>
  <si>
    <t>How are you enjoying it?</t>
  </si>
  <si>
    <t>Ca te plaît ?</t>
  </si>
  <si>
    <t>L'Hôtel de la Monnaie</t>
  </si>
  <si>
    <t>un criquet, une sauterelle, une caroube</t>
  </si>
  <si>
    <t>Tough luck!</t>
  </si>
  <si>
    <t>Quelle malchance !</t>
  </si>
  <si>
    <t>despondence (common name)</t>
  </si>
  <si>
    <t>the vicinity</t>
  </si>
  <si>
    <t>les environs, les alentours</t>
  </si>
  <si>
    <t>a vilification</t>
  </si>
  <si>
    <t>une diffamation, une calomnie</t>
  </si>
  <si>
    <t>the asbestos</t>
  </si>
  <si>
    <t>Corrections</t>
  </si>
  <si>
    <t>bustling (adj.)</t>
  </si>
  <si>
    <t>a cargo</t>
  </si>
  <si>
    <t>une cargaison</t>
  </si>
  <si>
    <t>Il n'est pas vraiment fauché.</t>
  </si>
  <si>
    <t>In the UK: the benches behind the front benches on either side of the House of Commons, occupied by Members of Parliament who do not hold office in the government or the opposition</t>
  </si>
  <si>
    <t>a claim</t>
  </si>
  <si>
    <t>tool wear (common name)</t>
  </si>
  <si>
    <t>l'usure des outils</t>
  </si>
  <si>
    <t>a subscription</t>
  </si>
  <si>
    <t>un abonnement</t>
  </si>
  <si>
    <t>It slipped my mind.</t>
  </si>
  <si>
    <t>Ca m'est sorti de la tête.</t>
  </si>
  <si>
    <t>une cotisation</t>
  </si>
  <si>
    <t>a contribution</t>
  </si>
  <si>
    <t>un entrepreneur</t>
  </si>
  <si>
    <t>errands (common name)</t>
  </si>
  <si>
    <t>Lord Hinkley fait vraiment partie du gratin.</t>
  </si>
  <si>
    <t>Lord Hinkley is definitely upper crust.</t>
  </si>
  <si>
    <t>sullen (adj.)</t>
  </si>
  <si>
    <t>un escroc</t>
  </si>
  <si>
    <t>un étang</t>
  </si>
  <si>
    <t>un repaire, une tanière</t>
  </si>
  <si>
    <t>a quilt</t>
  </si>
  <si>
    <t>une courtepointe</t>
  </si>
  <si>
    <t>a tariff</t>
  </si>
  <si>
    <t>un tarif douanier</t>
  </si>
  <si>
    <t>un tremplin</t>
  </si>
  <si>
    <t>a voucher</t>
  </si>
  <si>
    <t>une pièce justificative</t>
  </si>
  <si>
    <t>un éloignement, un isolement, un détachement</t>
  </si>
  <si>
    <t>an alienation</t>
  </si>
  <si>
    <t>She could have won the beauty contest, only she didn't give a damn.</t>
  </si>
  <si>
    <t>Une personne sur trois à Birmingham se retrouve devant la justice.</t>
  </si>
  <si>
    <t>a compensation</t>
  </si>
  <si>
    <t>une indemnité, une rémunération</t>
  </si>
  <si>
    <t>les environs, les alentours / l'enceinte</t>
  </si>
  <si>
    <t>a trade-off (common name)</t>
  </si>
  <si>
    <t>to stymie</t>
  </si>
  <si>
    <t>Neologisms enter the language on tiptoe.</t>
  </si>
  <si>
    <t>Les néologismes entrent dans la langue sur la pointe des pieds.</t>
  </si>
  <si>
    <t>a collection</t>
  </si>
  <si>
    <t>quaint (adj.)</t>
  </si>
  <si>
    <t>Go ahead!</t>
  </si>
  <si>
    <t>Allez-y !</t>
  </si>
  <si>
    <t>an eel</t>
  </si>
  <si>
    <t>to defuse</t>
  </si>
  <si>
    <t>shackles (common name)</t>
  </si>
  <si>
    <t>les chaînes, les entraves, les fers</t>
  </si>
  <si>
    <t>un renouvellement</t>
  </si>
  <si>
    <t>un timonier, un homme de barre</t>
  </si>
  <si>
    <t>a helmsman</t>
  </si>
  <si>
    <t>a dale</t>
  </si>
  <si>
    <t>une vallée</t>
  </si>
  <si>
    <t>overhanging</t>
  </si>
  <si>
    <t>surplombant</t>
  </si>
  <si>
    <t>a muskrat</t>
  </si>
  <si>
    <t>un rat musqué</t>
  </si>
  <si>
    <t>a reef</t>
  </si>
  <si>
    <t>un récif</t>
  </si>
  <si>
    <t>a whirlpool</t>
  </si>
  <si>
    <t>un tourbillon</t>
  </si>
  <si>
    <t>a tributary</t>
  </si>
  <si>
    <t>un affluent</t>
  </si>
  <si>
    <t>slimy</t>
  </si>
  <si>
    <t>visqueux</t>
  </si>
  <si>
    <t>a trade wind</t>
  </si>
  <si>
    <t>un alizé</t>
  </si>
  <si>
    <t>drizzle (common name)</t>
  </si>
  <si>
    <t>la bruine</t>
  </si>
  <si>
    <t>a downpour</t>
  </si>
  <si>
    <t>une averse</t>
  </si>
  <si>
    <t>a waterspout</t>
  </si>
  <si>
    <t>une trombe</t>
  </si>
  <si>
    <t>sleet (common name)</t>
  </si>
  <si>
    <t>la neige fondue</t>
  </si>
  <si>
    <t>black ice (common name)</t>
  </si>
  <si>
    <t>le verglas</t>
  </si>
  <si>
    <t>humide</t>
  </si>
  <si>
    <t>He was pushing for a pay rise.</t>
  </si>
  <si>
    <t>Il insistait pour avoir une augmentation de salaire.</t>
  </si>
  <si>
    <t>les effectifs, la paie globale</t>
  </si>
  <si>
    <t>Cricket is looked on as an institution in Australia.</t>
  </si>
  <si>
    <t>Le cricket est considéré comme une institution en Australie.</t>
  </si>
  <si>
    <t>a caption</t>
  </si>
  <si>
    <t>une légende, un sous-titre</t>
  </si>
  <si>
    <t>A quelle heure passent les informations ?</t>
  </si>
  <si>
    <t>What time is the news on?</t>
  </si>
  <si>
    <t>une idée, un soupçon</t>
  </si>
  <si>
    <t>Le coût de la main d'œuvre n'est pas un élément important dans le coût de revient.</t>
  </si>
  <si>
    <t>Les choses en sont venues à un point critique.</t>
  </si>
  <si>
    <t>a dismay</t>
  </si>
  <si>
    <t>une consternation, un effarement</t>
  </si>
  <si>
    <t>Pourriez-vous remettre le rendez-vous à 10 heures ?</t>
  </si>
  <si>
    <t>Could you put the meeting off until ten o'clock?</t>
  </si>
  <si>
    <t>a malpractice</t>
  </si>
  <si>
    <t>cronyism (common name)</t>
  </si>
  <si>
    <t>le copinage</t>
  </si>
  <si>
    <t>a gust of wind</t>
  </si>
  <si>
    <t>to abate</t>
  </si>
  <si>
    <t>sunlit (adj.)</t>
  </si>
  <si>
    <t>ensoleillé</t>
  </si>
  <si>
    <t>a weather vane</t>
  </si>
  <si>
    <t>une girouette</t>
  </si>
  <si>
    <t>a doldrum</t>
  </si>
  <si>
    <t>un marasme</t>
  </si>
  <si>
    <t>takings (common name)</t>
  </si>
  <si>
    <t>les recettes</t>
  </si>
  <si>
    <t>une offre / une navette</t>
  </si>
  <si>
    <t>staple goods</t>
  </si>
  <si>
    <t>les produits de base</t>
  </si>
  <si>
    <t>up-market</t>
  </si>
  <si>
    <t>a flagship</t>
  </si>
  <si>
    <t>un vaisseau amiral</t>
  </si>
  <si>
    <t>the deterrence</t>
  </si>
  <si>
    <t>la dissuasion</t>
  </si>
  <si>
    <t>a warhead</t>
  </si>
  <si>
    <t>une ogive</t>
  </si>
  <si>
    <t>looming</t>
  </si>
  <si>
    <t>imminent</t>
  </si>
  <si>
    <t>a timestamp</t>
  </si>
  <si>
    <t>un horodatage</t>
  </si>
  <si>
    <t>les appareils ménagers</t>
  </si>
  <si>
    <t>une agrafe, une attache</t>
  </si>
  <si>
    <t>les sentiers battus</t>
  </si>
  <si>
    <t>la perspicacité, la finesse, le sens</t>
  </si>
  <si>
    <t>Tu n'as pas l'air d'être une ouvrière comme les autres.</t>
  </si>
  <si>
    <t>Henson était intéressé par l'affaire, mais il s'est retiré à la dernière minute.</t>
  </si>
  <si>
    <t>la main d’œuvre</t>
  </si>
  <si>
    <t>manpower (common name)</t>
  </si>
  <si>
    <t>un bouleversement, un soulèvement, une agitation</t>
  </si>
  <si>
    <t>crestfallen (adj.)</t>
  </si>
  <si>
    <t>I must fly.</t>
  </si>
  <si>
    <t>Je dois y aller.</t>
  </si>
  <si>
    <t>le béton</t>
  </si>
  <si>
    <t>la responsabilité (jurid.)</t>
  </si>
  <si>
    <t>You're telling me!</t>
  </si>
  <si>
    <t>Tu parles !</t>
  </si>
  <si>
    <t>la panacée</t>
  </si>
  <si>
    <t>nostrum (common name)</t>
  </si>
  <si>
    <t>un casque, des écouteurs</t>
  </si>
  <si>
    <t>a service (mechanics)</t>
  </si>
  <si>
    <t>une révision (mécanique, …)</t>
  </si>
  <si>
    <t>un plan, un projet, un schéma directeur</t>
  </si>
  <si>
    <t>to havass</t>
  </si>
  <si>
    <t>ravager</t>
  </si>
  <si>
    <t>a war of attrition</t>
  </si>
  <si>
    <t>une guerre à l'usure</t>
  </si>
  <si>
    <t>warring (adj.)</t>
  </si>
  <si>
    <t>en guerre</t>
  </si>
  <si>
    <t>a roundup</t>
  </si>
  <si>
    <t>une rafle</t>
  </si>
  <si>
    <t>a rout</t>
  </si>
  <si>
    <t>une débâcle, une déroute</t>
  </si>
  <si>
    <t>the rubble</t>
  </si>
  <si>
    <t>les décombres, les gravats</t>
  </si>
  <si>
    <t>Mayday!</t>
  </si>
  <si>
    <t>Au secours !</t>
  </si>
  <si>
    <t>a setback</t>
  </si>
  <si>
    <t>un revers</t>
  </si>
  <si>
    <t>to lapse</t>
  </si>
  <si>
    <t>abandonner</t>
  </si>
  <si>
    <t>a fellow</t>
  </si>
  <si>
    <t>un compagnon / une compagne</t>
  </si>
  <si>
    <t>viril</t>
  </si>
  <si>
    <t>manly (adj.)</t>
  </si>
  <si>
    <t>lawfullness (common name)</t>
  </si>
  <si>
    <t>la régularité</t>
  </si>
  <si>
    <t>to hand out</t>
  </si>
  <si>
    <t>an auction sale</t>
  </si>
  <si>
    <t>Whack!</t>
  </si>
  <si>
    <t>Vlan !</t>
  </si>
  <si>
    <t>"You take the Tube but you ride the Subway"</t>
  </si>
  <si>
    <t>les mesures, les dispositions, les préparatifs</t>
  </si>
  <si>
    <t>Elle connaît son sujet sur le bout des doigts.</t>
  </si>
  <si>
    <t>She has the information at her fingertips.</t>
  </si>
  <si>
    <t>un déploiement, un étalage / un éventail</t>
  </si>
  <si>
    <t>un programme scolaire</t>
  </si>
  <si>
    <t>C'est vrai qu'il faut un peu de temps pour s'y habituer.</t>
  </si>
  <si>
    <t>a headgear</t>
  </si>
  <si>
    <t>une coiffure</t>
  </si>
  <si>
    <t>a department store</t>
  </si>
  <si>
    <t>un grand magasin</t>
  </si>
  <si>
    <t>Savais-tu que Simon s'était marié le mois dernier ? Non, avec qui ?</t>
  </si>
  <si>
    <t>J'essaie d'arrêter.</t>
  </si>
  <si>
    <t>Il a arrêté de fumer la semaine dernière.</t>
  </si>
  <si>
    <t>une malice, une espièglerie / un tort</t>
  </si>
  <si>
    <t>lacklustre (adj.)</t>
  </si>
  <si>
    <t>une oie</t>
  </si>
  <si>
    <t>astatine</t>
  </si>
  <si>
    <t>réciproque</t>
  </si>
  <si>
    <t>interplay (adj.)</t>
  </si>
  <si>
    <t>égaler</t>
  </si>
  <si>
    <t>Having eaten more than usual, I felt sick.</t>
  </si>
  <si>
    <t>goofing (verb)</t>
  </si>
  <si>
    <t>a retrieval</t>
  </si>
  <si>
    <t>une récupération, un recouvrement</t>
  </si>
  <si>
    <t>She really put her foot in it!</t>
  </si>
  <si>
    <t>Elle a vraiment fait une gaffe !</t>
  </si>
  <si>
    <t>She wasn't very convincing as Juliet.</t>
  </si>
  <si>
    <t>une attitude, une position</t>
  </si>
  <si>
    <t>un paquet, un colis</t>
  </si>
  <si>
    <t>ironique</t>
  </si>
  <si>
    <t>caulking (common name)</t>
  </si>
  <si>
    <t>les marchandises</t>
  </si>
  <si>
    <t>a bond</t>
  </si>
  <si>
    <t>un lien / un titre, une obligation (fin.)</t>
  </si>
  <si>
    <t>an endeavour</t>
  </si>
  <si>
    <t>a representative</t>
  </si>
  <si>
    <t>un trimestre / une pièce de vingt-cinq cents</t>
  </si>
  <si>
    <t>a paycheck</t>
  </si>
  <si>
    <t>un salaire</t>
  </si>
  <si>
    <t>an incorporation</t>
  </si>
  <si>
    <t>une fusion</t>
  </si>
  <si>
    <t>bookkeeping (common name)</t>
  </si>
  <si>
    <t>la comptabilité</t>
  </si>
  <si>
    <t>We will round off this lesson with a story.</t>
  </si>
  <si>
    <t>an agenda</t>
  </si>
  <si>
    <t>un ordre du jour, un programme</t>
  </si>
  <si>
    <t>J'ai presque fini de faire les valises. Il reste juste deux-trois bricoles à finir.</t>
  </si>
  <si>
    <t>I've almost finished packing. There are just a few odds and ends to finish.</t>
  </si>
  <si>
    <t>Les dépenses gouvernementales ont été réduites.</t>
  </si>
  <si>
    <t>Governments expenditures have been brought down.</t>
  </si>
  <si>
    <t>un conseil, un tuyau / un pourboire</t>
  </si>
  <si>
    <t>ralentir, se relâcher</t>
  </si>
  <si>
    <t>a draughtsman</t>
  </si>
  <si>
    <t>un dessinateur</t>
  </si>
  <si>
    <t>artistry (common name)</t>
  </si>
  <si>
    <t>le talent artistique</t>
  </si>
  <si>
    <t>a shade</t>
  </si>
  <si>
    <t>une ombre</t>
  </si>
  <si>
    <t>to tone down</t>
  </si>
  <si>
    <t>atténuer</t>
  </si>
  <si>
    <t>a curator</t>
  </si>
  <si>
    <t>un conservateur de musée</t>
  </si>
  <si>
    <t>gaudy</t>
  </si>
  <si>
    <t>voyant, criard</t>
  </si>
  <si>
    <t>garish</t>
  </si>
  <si>
    <t>a forgery</t>
  </si>
  <si>
    <t>une falsification, une contrefaçon</t>
  </si>
  <si>
    <t>a watercolour</t>
  </si>
  <si>
    <t>une aquarelle</t>
  </si>
  <si>
    <t>an easel</t>
  </si>
  <si>
    <t>un chevalet</t>
  </si>
  <si>
    <t>a still life</t>
  </si>
  <si>
    <t>une nature morte</t>
  </si>
  <si>
    <t>doodle (common name)</t>
  </si>
  <si>
    <t>le gribouillage</t>
  </si>
  <si>
    <t>terracotta (common name)</t>
  </si>
  <si>
    <t>une terre cuite</t>
  </si>
  <si>
    <t>plaster (common name)</t>
  </si>
  <si>
    <t>a mallet</t>
  </si>
  <si>
    <t>un maillet</t>
  </si>
  <si>
    <t>a viewfinder</t>
  </si>
  <si>
    <t>un viseur</t>
  </si>
  <si>
    <t>un pas / un lancement / le tangage / le terrain</t>
  </si>
  <si>
    <t>to mumble</t>
  </si>
  <si>
    <t>marmonner</t>
  </si>
  <si>
    <t>shrill</t>
  </si>
  <si>
    <t>aigu</t>
  </si>
  <si>
    <t>a witticism</t>
  </si>
  <si>
    <t>un mot d'esprit</t>
  </si>
  <si>
    <t>rousing</t>
  </si>
  <si>
    <t>vibrant, entraînant</t>
  </si>
  <si>
    <t>a rejoinder</t>
  </si>
  <si>
    <t>une réplique, une répartie</t>
  </si>
  <si>
    <t>an innuendo</t>
  </si>
  <si>
    <t>une insinuation</t>
  </si>
  <si>
    <t>to rail</t>
  </si>
  <si>
    <t>lutter / entourer d'une barrière</t>
  </si>
  <si>
    <t>to jeer</t>
  </si>
  <si>
    <t>railler</t>
  </si>
  <si>
    <t>a soulmate</t>
  </si>
  <si>
    <t>une âme sœur</t>
  </si>
  <si>
    <t>un report d’échéance</t>
  </si>
  <si>
    <t>l'espace vital</t>
  </si>
  <si>
    <t>a corporate lawyer</t>
  </si>
  <si>
    <t>un juriste d’entreprise</t>
  </si>
  <si>
    <t>a heathen</t>
  </si>
  <si>
    <t>un païen</t>
  </si>
  <si>
    <t>Nous pouvons t'héberger dans la chambre de David.</t>
  </si>
  <si>
    <t>We can put you up in David's room.</t>
  </si>
  <si>
    <t>ressortir, se détacher / trancher</t>
  </si>
  <si>
    <t>caution (common name)</t>
  </si>
  <si>
    <t>la prudence</t>
  </si>
  <si>
    <t>a portfolio</t>
  </si>
  <si>
    <t>un portefeuille (fin.)</t>
  </si>
  <si>
    <t>a hovercraft</t>
  </si>
  <si>
    <t>snuff (common name)</t>
  </si>
  <si>
    <t>du tabac à priser</t>
  </si>
  <si>
    <t>un filage / une rotation</t>
  </si>
  <si>
    <t>un rempart, des fortifications</t>
  </si>
  <si>
    <t>an industrial park</t>
  </si>
  <si>
    <t>une zone industrielle</t>
  </si>
  <si>
    <t>Could you go over your explanation again, please?</t>
  </si>
  <si>
    <t>Pourriez-vous répéter votre explication, s'il vous plaît ?</t>
  </si>
  <si>
    <t>un dépôt, un entrepôt</t>
  </si>
  <si>
    <t>The Chancellor of the Exchequer</t>
  </si>
  <si>
    <t>Le Ministre anglais des Finances</t>
  </si>
  <si>
    <t>fern (common name)</t>
  </si>
  <si>
    <t>bromine</t>
  </si>
  <si>
    <t>brawler (adj.)</t>
  </si>
  <si>
    <t>bagarreur</t>
  </si>
  <si>
    <t>une écharpe, un foulard</t>
  </si>
  <si>
    <t>to scram</t>
  </si>
  <si>
    <t>to quiver</t>
  </si>
  <si>
    <t>to strut</t>
  </si>
  <si>
    <t>se pavaner</t>
  </si>
  <si>
    <t>a curfew</t>
  </si>
  <si>
    <t>un couvre-feu</t>
  </si>
  <si>
    <t>la coagulation</t>
  </si>
  <si>
    <t>curdling (common name)</t>
  </si>
  <si>
    <t>head-on (adv.)</t>
  </si>
  <si>
    <t>to reschedule</t>
  </si>
  <si>
    <t>a wholesaler</t>
  </si>
  <si>
    <t>un grossiste</t>
  </si>
  <si>
    <t>eulogising (common name)</t>
  </si>
  <si>
    <t>Les gardes de sécurité ont fouillé les valises à fond.</t>
  </si>
  <si>
    <t>offing (common name)</t>
  </si>
  <si>
    <t>une fermeture éclair</t>
  </si>
  <si>
    <t>la solvabilité</t>
  </si>
  <si>
    <t>credit rating (common name)</t>
  </si>
  <si>
    <t>a quotation</t>
  </si>
  <si>
    <t>une proposition de prix</t>
  </si>
  <si>
    <t>a shop steward</t>
  </si>
  <si>
    <t>un délégué syndical</t>
  </si>
  <si>
    <t>stamina (common name)</t>
  </si>
  <si>
    <t>l'endurance</t>
  </si>
  <si>
    <t>A quel sujet voulez-vous me voir ?</t>
  </si>
  <si>
    <t>demander, exiger / nécessiter</t>
  </si>
  <si>
    <t>No way?!</t>
  </si>
  <si>
    <t>Could you write that down for me, please?</t>
  </si>
  <si>
    <t>Can you put me through to …?</t>
  </si>
  <si>
    <t>garrulous</t>
  </si>
  <si>
    <t>bavard</t>
  </si>
  <si>
    <t>outspoken</t>
  </si>
  <si>
    <t>sec, brusque</t>
  </si>
  <si>
    <t>implied</t>
  </si>
  <si>
    <t>implicite</t>
  </si>
  <si>
    <t>to giggle</t>
  </si>
  <si>
    <t>pouffer de rire</t>
  </si>
  <si>
    <t>a groan</t>
  </si>
  <si>
    <t>un gémissement</t>
  </si>
  <si>
    <t>a sob</t>
  </si>
  <si>
    <t>un sanglot</t>
  </si>
  <si>
    <t>a grunt</t>
  </si>
  <si>
    <t>un grognement</t>
  </si>
  <si>
    <t>to rebuke</t>
  </si>
  <si>
    <t>grumpy</t>
  </si>
  <si>
    <t>grincheux</t>
  </si>
  <si>
    <t>to stammer</t>
  </si>
  <si>
    <t>balbutier</t>
  </si>
  <si>
    <t>to stutter</t>
  </si>
  <si>
    <t>bégayer</t>
  </si>
  <si>
    <t>to splutter</t>
  </si>
  <si>
    <t>bafouiller</t>
  </si>
  <si>
    <t>to squat</t>
  </si>
  <si>
    <t>s'accroupir</t>
  </si>
  <si>
    <t>sandstone (common name)</t>
  </si>
  <si>
    <t>le grès</t>
  </si>
  <si>
    <t>a tile</t>
  </si>
  <si>
    <t>une tuile</t>
  </si>
  <si>
    <t>imputrescible</t>
  </si>
  <si>
    <t>watertight</t>
  </si>
  <si>
    <t>étanche</t>
  </si>
  <si>
    <t>a borough</t>
  </si>
  <si>
    <t>un arrondissement, une municipalité</t>
  </si>
  <si>
    <t>a wasteland</t>
  </si>
  <si>
    <t>une terre desolée</t>
  </si>
  <si>
    <t>a level crossing</t>
  </si>
  <si>
    <t>un passage à niveau</t>
  </si>
  <si>
    <t>a shanty town</t>
  </si>
  <si>
    <t>un bidonville</t>
  </si>
  <si>
    <t>une prise de courant</t>
  </si>
  <si>
    <t>un interrupteur</t>
  </si>
  <si>
    <t>a plug (techn.)</t>
  </si>
  <si>
    <t>blinds (common name)</t>
  </si>
  <si>
    <t>to fit out</t>
  </si>
  <si>
    <t>équiper</t>
  </si>
  <si>
    <t>to sprawl</t>
  </si>
  <si>
    <t>s'étaler</t>
  </si>
  <si>
    <t>bracing (adj.)</t>
  </si>
  <si>
    <t>tonifiant, fortifiant</t>
  </si>
  <si>
    <t>sain, salubre</t>
  </si>
  <si>
    <t>an outing</t>
  </si>
  <si>
    <t>une sortie, une excursion</t>
  </si>
  <si>
    <t>a tow truck</t>
  </si>
  <si>
    <t>une dépanneuse</t>
  </si>
  <si>
    <t>a clutch (techn.)</t>
  </si>
  <si>
    <t>un embrayage</t>
  </si>
  <si>
    <t>a porthole</t>
  </si>
  <si>
    <t>un hublot</t>
  </si>
  <si>
    <t>to stow away</t>
  </si>
  <si>
    <t>s'embarquer clandestinement</t>
  </si>
  <si>
    <t>I'll pick you up from the station.</t>
  </si>
  <si>
    <t>Je viendrai te chercher à la gare.</t>
  </si>
  <si>
    <t>les gaz d’échappement</t>
  </si>
  <si>
    <t>une publicité (radio / télévision)</t>
  </si>
  <si>
    <t>lace (common name)</t>
  </si>
  <si>
    <t>a threshold</t>
  </si>
  <si>
    <t>un seuil</t>
  </si>
  <si>
    <t>protean (adj.)</t>
  </si>
  <si>
    <t>Y a-t-il un entr'acte ?</t>
  </si>
  <si>
    <t>a mileage</t>
  </si>
  <si>
    <t>un kilométrage</t>
  </si>
  <si>
    <t>a hollyhock (flower)</t>
  </si>
  <si>
    <t>une trémière (espèce de rose)</t>
  </si>
  <si>
    <t>les droits de douane</t>
  </si>
  <si>
    <t>paltry (adj.)</t>
  </si>
  <si>
    <t>la convoitise</t>
  </si>
  <si>
    <t>un labeur, un dur travail</t>
  </si>
  <si>
    <t>toil (common name)</t>
  </si>
  <si>
    <t>a crack-down</t>
  </si>
  <si>
    <t>un calice</t>
  </si>
  <si>
    <t>a clerk</t>
  </si>
  <si>
    <t>un employé, un commis</t>
  </si>
  <si>
    <t>a checkbook</t>
  </si>
  <si>
    <t>un chéquier</t>
  </si>
  <si>
    <t>a civil servant</t>
  </si>
  <si>
    <t>un fonctionnaire</t>
  </si>
  <si>
    <t>electrical appliances</t>
  </si>
  <si>
    <t>les appareils électro-ménagers</t>
  </si>
  <si>
    <t>a clerical work</t>
  </si>
  <si>
    <t>traffic lights</t>
  </si>
  <si>
    <t>les feux de circulation</t>
  </si>
  <si>
    <t>to swallow</t>
  </si>
  <si>
    <t>déglutir</t>
  </si>
  <si>
    <t>l'azote</t>
  </si>
  <si>
    <t>sous les feux de la rampe</t>
  </si>
  <si>
    <t>la plus-value</t>
  </si>
  <si>
    <t>capital gain (common name)</t>
  </si>
  <si>
    <t>les heures supplémentaires</t>
  </si>
  <si>
    <t>an expendiency</t>
  </si>
  <si>
    <t>tardif / un retard</t>
  </si>
  <si>
    <t>props (common name)</t>
  </si>
  <si>
    <t>des accessoires</t>
  </si>
  <si>
    <t>une selle / un col</t>
  </si>
  <si>
    <t>un chiffre d'affaire / une rotation (de personnel ou de matériel)</t>
  </si>
  <si>
    <t>le crédit-bail</t>
  </si>
  <si>
    <t>leasing (common name)</t>
  </si>
  <si>
    <t>a scammer</t>
  </si>
  <si>
    <t>a severance package</t>
  </si>
  <si>
    <t>une indemnité de licenciement</t>
  </si>
  <si>
    <t>an accountant</t>
  </si>
  <si>
    <t>un comptable</t>
  </si>
  <si>
    <t>betrothal (common name)</t>
  </si>
  <si>
    <t>the profitability</t>
  </si>
  <si>
    <t>la rentabilité</t>
  </si>
  <si>
    <t>a hothouse</t>
  </si>
  <si>
    <t>une serre / un foyer de décadence</t>
  </si>
  <si>
    <t>de l'argent, des liquidités</t>
  </si>
  <si>
    <t>monies (common name)</t>
  </si>
  <si>
    <t>l'adhésion / le nombre des membres</t>
  </si>
  <si>
    <t>the membership</t>
  </si>
  <si>
    <t>a gobbledegook</t>
  </si>
  <si>
    <t>un charabia</t>
  </si>
  <si>
    <t>We still have to get across Paris.</t>
  </si>
  <si>
    <t>Nous devons encore traverser Paris.</t>
  </si>
  <si>
    <t>les échafaudages</t>
  </si>
  <si>
    <t>scaffolding (common name)</t>
  </si>
  <si>
    <t>l'habileté professionnelle, la main-d’œuvre</t>
  </si>
  <si>
    <t>le bouche à oreille</t>
  </si>
  <si>
    <t>a welfare system</t>
  </si>
  <si>
    <t>un système de protection sociale</t>
  </si>
  <si>
    <t>une formation professionnelle</t>
  </si>
  <si>
    <t>a vocational training</t>
  </si>
  <si>
    <t>a trunk (USA)</t>
  </si>
  <si>
    <t>Lorsque l'équipe de rugby est arrivée, la situation est devenue incontrôlable.</t>
  </si>
  <si>
    <t>It's not enough to hold a few of the company's shares to become a member of the board of directors.</t>
  </si>
  <si>
    <t>a downtown</t>
  </si>
  <si>
    <t>un centre-ville, un centre commerçant</t>
  </si>
  <si>
    <t>a packaging</t>
  </si>
  <si>
    <t>du texte brut</t>
  </si>
  <si>
    <t>une unité de production, les sites de production</t>
  </si>
  <si>
    <t>la vivacité</t>
  </si>
  <si>
    <t>finalement</t>
  </si>
  <si>
    <t>la douceur / la fadeur</t>
  </si>
  <si>
    <t>une exagération, une surestimation</t>
  </si>
  <si>
    <t>des collants / un justaucorps</t>
  </si>
  <si>
    <t>un bruit d'écrasement</t>
  </si>
  <si>
    <t>besides (adv.)</t>
  </si>
  <si>
    <t>une liberté sous caution / une caution</t>
  </si>
  <si>
    <t>a joint (anat.)</t>
  </si>
  <si>
    <t>l'aménagement, l'équipement</t>
  </si>
  <si>
    <t>la débauche, le libertinage</t>
  </si>
  <si>
    <t>à court d'argent</t>
  </si>
  <si>
    <t>Their arrival caught me unaware.</t>
  </si>
  <si>
    <t>Cela m'est complètement égal qu'il vienne ou non.</t>
  </si>
  <si>
    <t>adamant (adj.)</t>
  </si>
  <si>
    <t>des peaux de bête</t>
  </si>
  <si>
    <t>Go figure!</t>
  </si>
  <si>
    <t>Allez comprendre !</t>
  </si>
  <si>
    <t>être troublé</t>
  </si>
  <si>
    <t>une perception, un ramassage, une collecte</t>
  </si>
  <si>
    <t>stérile, aride / ingrat</t>
  </si>
  <si>
    <t>un désarroi / un désordre</t>
  </si>
  <si>
    <t>It's a household name.</t>
  </si>
  <si>
    <t>C'est un nom connu de tous.</t>
  </si>
  <si>
    <t>un marchand, un concessionnaire</t>
  </si>
  <si>
    <t>un pion / un gage</t>
  </si>
  <si>
    <t>J'ai eu de nombreux publics enthousiastes, mais jamais encore comme celui-ci.</t>
  </si>
  <si>
    <t>un creuset / une épreuve</t>
  </si>
  <si>
    <t>la maroquinerie</t>
  </si>
  <si>
    <t>une S.A.R.L.</t>
  </si>
  <si>
    <t>a Limited Liability Company (UK)</t>
  </si>
  <si>
    <t>une course, un élan</t>
  </si>
  <si>
    <t>un glissement de terrain, un éboulement</t>
  </si>
  <si>
    <t>rot proof (adj.)</t>
  </si>
  <si>
    <t>des babillages</t>
  </si>
  <si>
    <t>frapper / lutter</t>
  </si>
  <si>
    <t>un présage, un signe avant-coureur</t>
  </si>
  <si>
    <t>des pièces d'accouplement</t>
  </si>
  <si>
    <t>clouer / se faufiler, essayer une autre tactique</t>
  </si>
  <si>
    <t>un représentant de commerce / un sénateur (U.S.A.)</t>
  </si>
  <si>
    <t>hurdling (common name)</t>
  </si>
  <si>
    <t>de bric et de broc</t>
  </si>
  <si>
    <t>sur le point de</t>
  </si>
  <si>
    <t>les indemnités maladie</t>
  </si>
  <si>
    <t>une petite annonce</t>
  </si>
  <si>
    <t>a classified advertisement</t>
  </si>
  <si>
    <t>sarcastique, narquois / mesquin</t>
  </si>
  <si>
    <t>qui a du succès</t>
  </si>
  <si>
    <t>a goodness of fit</t>
  </si>
  <si>
    <t>une qualité d'ajustement</t>
  </si>
  <si>
    <t>une denrée de base, une matière première / une marchandise</t>
  </si>
  <si>
    <t>les examens de fin d'année</t>
  </si>
  <si>
    <t>les valeurs, les titres, les actions</t>
  </si>
  <si>
    <t>a lawsuit</t>
  </si>
  <si>
    <t>Le paquebot "Queen Elizabeth"</t>
  </si>
  <si>
    <t>Que pensez-vous du projet de construire une rocade autour du village ?</t>
  </si>
  <si>
    <t>What do you think about the plan to build a by-pass around the village?</t>
  </si>
  <si>
    <t>I wish Paul had told them the truth.</t>
  </si>
  <si>
    <t>une confiance en soi excessive</t>
  </si>
  <si>
    <t>hubris (common name)</t>
  </si>
  <si>
    <t>dusty</t>
  </si>
  <si>
    <t>a night shift</t>
  </si>
  <si>
    <t>une équipe de nuit / un poste de nuit</t>
  </si>
  <si>
    <t>a savings bank</t>
  </si>
  <si>
    <t>une caisse d’épargne</t>
  </si>
  <si>
    <t>watery (adj.)</t>
  </si>
  <si>
    <t>itemization (common name)</t>
  </si>
  <si>
    <t>tout à l’heure / à présent (USA)</t>
  </si>
  <si>
    <t>une éructation</t>
  </si>
  <si>
    <t>Le nombre de personnes pouvant être transportées dans un van (une dizaine)</t>
  </si>
  <si>
    <t>a factory floor</t>
  </si>
  <si>
    <t>un atelier de production</t>
  </si>
  <si>
    <t>shards (common name)</t>
  </si>
  <si>
    <t>des éclats, du tesson</t>
  </si>
  <si>
    <t>une retombée (au propre et au figuré)</t>
  </si>
  <si>
    <t>belching (common name)</t>
  </si>
  <si>
    <t>une prime, une récompense</t>
  </si>
  <si>
    <t>a joint-venture</t>
  </si>
  <si>
    <t>une co-entreprise</t>
  </si>
  <si>
    <t>off the cuff</t>
  </si>
  <si>
    <t>ceux-là mêmes</t>
  </si>
  <si>
    <t>a padlock</t>
  </si>
  <si>
    <t>un cadenas</t>
  </si>
  <si>
    <t>an anchor</t>
  </si>
  <si>
    <t>out of whack</t>
  </si>
  <si>
    <t>hors du coup</t>
  </si>
  <si>
    <t>a shack</t>
  </si>
  <si>
    <t>une cabane</t>
  </si>
  <si>
    <t>to fling</t>
  </si>
  <si>
    <t>jeter</t>
  </si>
  <si>
    <t>savvy (common name)</t>
  </si>
  <si>
    <t>to toggle</t>
  </si>
  <si>
    <t>basculer</t>
  </si>
  <si>
    <t>wistful</t>
  </si>
  <si>
    <t>mélancolique</t>
  </si>
  <si>
    <t>to bolster</t>
  </si>
  <si>
    <t>renforcer, rembourrer</t>
  </si>
  <si>
    <t>to cobble</t>
  </si>
  <si>
    <t>une revendication / une réclamation</t>
  </si>
  <si>
    <t>un organisme régulateur</t>
  </si>
  <si>
    <t>une pension de retraite</t>
  </si>
  <si>
    <t>a leverage</t>
  </si>
  <si>
    <t>un effet de levier, une influence</t>
  </si>
  <si>
    <t>le pillage</t>
  </si>
  <si>
    <t>spellbound</t>
  </si>
  <si>
    <t>Give my love to Diane.</t>
  </si>
  <si>
    <t>Embrasse Diane de ma part.</t>
  </si>
  <si>
    <t>le saut de haie</t>
  </si>
  <si>
    <t>the greenhouse effect</t>
  </si>
  <si>
    <t>l'effet de serre</t>
  </si>
  <si>
    <t>le travail à la pièce</t>
  </si>
  <si>
    <t>un transporteur, un tapis roulant</t>
  </si>
  <si>
    <t>Je ne crois pas aux contes de fée !</t>
  </si>
  <si>
    <t>l'externalisation</t>
  </si>
  <si>
    <t>à partir de maintenant</t>
  </si>
  <si>
    <t>le tricot, le tricotage</t>
  </si>
  <si>
    <t>sellotape</t>
  </si>
  <si>
    <t>une disculpation</t>
  </si>
  <si>
    <t>an exculpation</t>
  </si>
  <si>
    <t>a hoax</t>
  </si>
  <si>
    <t>un canular</t>
  </si>
  <si>
    <t>gassy</t>
  </si>
  <si>
    <t>effervescent / bavard</t>
  </si>
  <si>
    <t>Pourriez-vous me dire si la réunion aura bien lieu ?</t>
  </si>
  <si>
    <t>Could you tell me if the meeting is taking place?</t>
  </si>
  <si>
    <t>lointain, éloigné / ancien</t>
  </si>
  <si>
    <t>"mettant en vedette avec"</t>
  </si>
  <si>
    <t>le flux et reflux</t>
  </si>
  <si>
    <t>Il a été condamné pour détournement de fonds.</t>
  </si>
  <si>
    <t>to flout</t>
  </si>
  <si>
    <t>to refine</t>
  </si>
  <si>
    <t>une clé de bras / le forceps (figuré)</t>
  </si>
  <si>
    <t>un plan de coupe (dessin technique)</t>
  </si>
  <si>
    <t>a cutaway</t>
  </si>
  <si>
    <t>pas à pas</t>
  </si>
  <si>
    <t>inching (expr.)</t>
  </si>
  <si>
    <t>des bouchons d'oreille</t>
  </si>
  <si>
    <t>le courrier du jour</t>
  </si>
  <si>
    <t>Hamilton accepta de renoncer à une seule condition.</t>
  </si>
  <si>
    <t>Hamilton agreed to give up on one condition.</t>
  </si>
  <si>
    <t>en fait</t>
  </si>
  <si>
    <t>le plâtre / un pansement, un sparadrap</t>
  </si>
  <si>
    <t>les balisages / la marge</t>
  </si>
  <si>
    <t>bully</t>
  </si>
  <si>
    <t>intimidateur</t>
  </si>
  <si>
    <t>les ordonnances locales (à côté des lois principales)</t>
  </si>
  <si>
    <t>l'expérience sur le tas</t>
  </si>
  <si>
    <t>It's easier said than done.</t>
  </si>
  <si>
    <t>a pink slip</t>
  </si>
  <si>
    <t>une lettre de licenciement</t>
  </si>
  <si>
    <t>l'impôt sur le revenu</t>
  </si>
  <si>
    <t>alité</t>
  </si>
  <si>
    <t>bed-ridden</t>
  </si>
  <si>
    <t>an Automated Teller Machine (ATM)</t>
  </si>
  <si>
    <t>les denrées alimentaires</t>
  </si>
  <si>
    <t>a manslaughter</t>
  </si>
  <si>
    <t>un homicide involontaire</t>
  </si>
  <si>
    <t>une ligne de vie</t>
  </si>
  <si>
    <t>le désespoir</t>
  </si>
  <si>
    <t>Et maintenant, le septième point de l'ordre du jour ...</t>
  </si>
  <si>
    <t>And now for item seven on the agenda…</t>
  </si>
  <si>
    <t>d'humeur changeante, d'humeur inégale</t>
  </si>
  <si>
    <t>les crocs</t>
  </si>
  <si>
    <t>une discussion détaillée sur un point particulier d'un livre, habituellement sous la forme d'une annexe</t>
  </si>
  <si>
    <t>un plat, une assiette / une antenne parabolique</t>
  </si>
  <si>
    <t>aiguiser / avoir envie de / maigrir</t>
  </si>
  <si>
    <t>mettre quelqu'un mal à l'aise</t>
  </si>
  <si>
    <t>une cuillère / une pelle / une boule</t>
  </si>
  <si>
    <t>la sous-traitance</t>
  </si>
  <si>
    <t>The children are awake. There goes our lie-in.</t>
  </si>
  <si>
    <t>La répétition s'est bien passée.</t>
  </si>
  <si>
    <t>hay (common name)</t>
  </si>
  <si>
    <t>astute</t>
  </si>
  <si>
    <t>a magnifying glass</t>
  </si>
  <si>
    <t>une loupe</t>
  </si>
  <si>
    <t>sleek</t>
  </si>
  <si>
    <t>a raft</t>
  </si>
  <si>
    <t>un radeau</t>
  </si>
  <si>
    <t>a yoke</t>
  </si>
  <si>
    <t>un joug, un attelage</t>
  </si>
  <si>
    <t>a revival</t>
  </si>
  <si>
    <t>une remise en vigueur</t>
  </si>
  <si>
    <t>sputtering (common name)</t>
  </si>
  <si>
    <t>l'établissement d’un réseau de relations</t>
  </si>
  <si>
    <t>meandering (adj.)</t>
  </si>
  <si>
    <t>la bureaucratie, la paperasserie</t>
  </si>
  <si>
    <t>a blob</t>
  </si>
  <si>
    <t>une goutte</t>
  </si>
  <si>
    <t>La Reine d'Angleterre Elizabeth II</t>
  </si>
  <si>
    <t>a bumper</t>
  </si>
  <si>
    <t>un pare-chocs</t>
  </si>
  <si>
    <t>les impôts</t>
  </si>
  <si>
    <t>une succursale, une agence</t>
  </si>
  <si>
    <t>cueillir / sélectionner / élire</t>
  </si>
  <si>
    <t>l'assurance maladie</t>
  </si>
  <si>
    <t>l'heure de pointe</t>
  </si>
  <si>
    <t>fiable, sûr de rapporter du succès dans les affaires</t>
  </si>
  <si>
    <t>un refroidissement</t>
  </si>
  <si>
    <t>an air draft</t>
  </si>
  <si>
    <t>un courant d'air</t>
  </si>
  <si>
    <t>a lead time</t>
  </si>
  <si>
    <t>un délai de mise en œuvre</t>
  </si>
  <si>
    <t>a wafer</t>
  </si>
  <si>
    <t>une tranche</t>
  </si>
  <si>
    <t>to shun</t>
  </si>
  <si>
    <t>éviter, fuir</t>
  </si>
  <si>
    <t>flaky</t>
  </si>
  <si>
    <t>floconneux</t>
  </si>
  <si>
    <t>washing up liquid (UK) / dish-soap (USA)</t>
  </si>
  <si>
    <t>far cry (expr.)</t>
  </si>
  <si>
    <t>le harcèlement</t>
  </si>
  <si>
    <t>a nugget</t>
  </si>
  <si>
    <t>une pépite</t>
  </si>
  <si>
    <t>mundane</t>
  </si>
  <si>
    <t>to mop</t>
  </si>
  <si>
    <t>nettoyer, essuyer</t>
  </si>
  <si>
    <t>une pièce de monnaie médiévale</t>
  </si>
  <si>
    <t>a groat</t>
  </si>
  <si>
    <t>a mice</t>
  </si>
  <si>
    <t>une souris</t>
  </si>
  <si>
    <t>le plus à droite, le plus à gauche</t>
  </si>
  <si>
    <t>the rightmost, the leftmost</t>
  </si>
  <si>
    <t>assez large pour y marcher</t>
  </si>
  <si>
    <t>He was a child prodigy.</t>
  </si>
  <si>
    <t>des panaches de fumée</t>
  </si>
  <si>
    <t>I don't believe in fairies!</t>
  </si>
  <si>
    <t>semer, répandre</t>
  </si>
  <si>
    <t>un treillis</t>
  </si>
  <si>
    <t>a lattice</t>
  </si>
  <si>
    <t>d'apparence solide</t>
  </si>
  <si>
    <t>un centre de détention pour mineurs</t>
  </si>
  <si>
    <t>un sursis, un répit</t>
  </si>
  <si>
    <t>une palourde / un bavard</t>
  </si>
  <si>
    <t>no cigar (expr.)</t>
  </si>
  <si>
    <t>presque réussi, mais pas complètement</t>
  </si>
  <si>
    <t>pristine</t>
  </si>
  <si>
    <t>a magnitude</t>
  </si>
  <si>
    <t>un ordre de grandeur</t>
  </si>
  <si>
    <t>hustings (common name)</t>
  </si>
  <si>
    <t>une campagne électorale</t>
  </si>
  <si>
    <t>The last time we ate there, we got ripped off.</t>
  </si>
  <si>
    <t>a flowerbed</t>
  </si>
  <si>
    <t>un parterre de fleurs</t>
  </si>
  <si>
    <t>a stork</t>
  </si>
  <si>
    <t>une cigogne</t>
  </si>
  <si>
    <t>to scoff</t>
  </si>
  <si>
    <t>se moquer, tourner en ridicule</t>
  </si>
  <si>
    <t>to tingle</t>
  </si>
  <si>
    <t>picoter, fourmiller</t>
  </si>
  <si>
    <t>a hoop</t>
  </si>
  <si>
    <t>un cerceau</t>
  </si>
  <si>
    <t>to stocktake</t>
  </si>
  <si>
    <t>faire l'inventaire</t>
  </si>
  <si>
    <t>a hold</t>
  </si>
  <si>
    <t>une prise, une étreinte</t>
  </si>
  <si>
    <t>Is there an intermission?</t>
  </si>
  <si>
    <t>qui n'a pas de limite clairement déterminée</t>
  </si>
  <si>
    <t>to wash up (USA)</t>
  </si>
  <si>
    <t>résister</t>
  </si>
  <si>
    <t>recoudre / mettre quelqu'un en porte-à-faux</t>
  </si>
  <si>
    <t>effronté</t>
  </si>
  <si>
    <t>cueillir / sélectionner</t>
  </si>
  <si>
    <t>des transactions</t>
  </si>
  <si>
    <t>dealings (common name)</t>
  </si>
  <si>
    <t>un vestibule / un groupe représentants d'intérêts</t>
  </si>
  <si>
    <t>a wallop</t>
  </si>
  <si>
    <t>un coup, une rossée</t>
  </si>
  <si>
    <t>an emporium</t>
  </si>
  <si>
    <t>un centre commercial</t>
  </si>
  <si>
    <t>a tryst</t>
  </si>
  <si>
    <t>un rendez-vous galant</t>
  </si>
  <si>
    <t>des chaussures de sport</t>
  </si>
  <si>
    <t>filer, déguerpir</t>
  </si>
  <si>
    <t>la verrerie</t>
  </si>
  <si>
    <t>a marble</t>
  </si>
  <si>
    <t>une bille</t>
  </si>
  <si>
    <t>lackadaisical</t>
  </si>
  <si>
    <t>apathique, indolent</t>
  </si>
  <si>
    <t>rote</t>
  </si>
  <si>
    <t>par cœur</t>
  </si>
  <si>
    <t>mou, relâché</t>
  </si>
  <si>
    <t>a wheelbarrow</t>
  </si>
  <si>
    <t>une brouette</t>
  </si>
  <si>
    <t>to earmark smthg to smthg</t>
  </si>
  <si>
    <t>destiner qqch à un usage particulier</t>
  </si>
  <si>
    <t>le fait d'obliger quelqu'un à faire quelque chose</t>
  </si>
  <si>
    <t>to shove</t>
  </si>
  <si>
    <t>pousser, enfoncer</t>
  </si>
  <si>
    <t>les pièces de rechange, les pièces détachées</t>
  </si>
  <si>
    <t>le chapardage</t>
  </si>
  <si>
    <t>une action (finance)</t>
  </si>
  <si>
    <t>un acheteur de paille (armes, drogues, …)</t>
  </si>
  <si>
    <t>forcefully</t>
  </si>
  <si>
    <t>vigoureusement</t>
  </si>
  <si>
    <t>le caoutchouc</t>
  </si>
  <si>
    <t>pushups (common name)</t>
  </si>
  <si>
    <t>des pompes (musculation)</t>
  </si>
  <si>
    <t>work out (common name)</t>
  </si>
  <si>
    <t>l'entraînement physique</t>
  </si>
  <si>
    <t>mire (common name)</t>
  </si>
  <si>
    <t>It turns out that ...</t>
  </si>
  <si>
    <t>Il semble que …</t>
  </si>
  <si>
    <t>Il est vraiment coincé / crispé.</t>
  </si>
  <si>
    <t>disposal of waste</t>
  </si>
  <si>
    <t>l'élimination des déchets</t>
  </si>
  <si>
    <t>a rationale</t>
  </si>
  <si>
    <t>un raisonnement</t>
  </si>
  <si>
    <t>a flutter</t>
  </si>
  <si>
    <t>un battement / une agitation</t>
  </si>
  <si>
    <t>a curd</t>
  </si>
  <si>
    <t>flax (common name)</t>
  </si>
  <si>
    <t>a cloth</t>
  </si>
  <si>
    <t>conspicuous</t>
  </si>
  <si>
    <t>a drudgery</t>
  </si>
  <si>
    <t>a salvage</t>
  </si>
  <si>
    <t>un sauvetage</t>
  </si>
  <si>
    <t>a chunk</t>
  </si>
  <si>
    <t>un tronçon</t>
  </si>
  <si>
    <t>en admiration</t>
  </si>
  <si>
    <t>in awe (expr.)</t>
  </si>
  <si>
    <t>glistening</t>
  </si>
  <si>
    <t>brillant</t>
  </si>
  <si>
    <t>to rein in</t>
  </si>
  <si>
    <t>maîtriser</t>
  </si>
  <si>
    <t>a war chest</t>
  </si>
  <si>
    <t>un coffre de guerre</t>
  </si>
  <si>
    <t>poised</t>
  </si>
  <si>
    <t>en équilibre</t>
  </si>
  <si>
    <t>un contrecoup</t>
  </si>
  <si>
    <t>a heist</t>
  </si>
  <si>
    <t>un braquage</t>
  </si>
  <si>
    <t>a fender</t>
  </si>
  <si>
    <t>une aile (de véhicule)</t>
  </si>
  <si>
    <t>agonizing</t>
  </si>
  <si>
    <t>angoissant</t>
  </si>
  <si>
    <t>a trove</t>
  </si>
  <si>
    <t>un trophée</t>
  </si>
  <si>
    <t>the foresight</t>
  </si>
  <si>
    <t>la prévoyance</t>
  </si>
  <si>
    <t>the conceit</t>
  </si>
  <si>
    <t>la vanité</t>
  </si>
  <si>
    <t>on premise</t>
  </si>
  <si>
    <t>sur place</t>
  </si>
  <si>
    <t>to doze</t>
  </si>
  <si>
    <t>sommeiller</t>
  </si>
  <si>
    <t>the hare</t>
  </si>
  <si>
    <t>le lièvre</t>
  </si>
  <si>
    <t>la tortue</t>
  </si>
  <si>
    <t>an ordeal</t>
  </si>
  <si>
    <t>un supplice</t>
  </si>
  <si>
    <t>hawking (common name)</t>
  </si>
  <si>
    <t>le colportage</t>
  </si>
  <si>
    <t>Les prix des actions commencent à remonter rapidement.</t>
  </si>
  <si>
    <t>Share prices are beginning to pick up rapidly.</t>
  </si>
  <si>
    <t>a wedge</t>
  </si>
  <si>
    <t>un coin, une cale</t>
  </si>
  <si>
    <t>le Carême</t>
  </si>
  <si>
    <t>a meter reader</t>
  </si>
  <si>
    <t>un releveur de compteur</t>
  </si>
  <si>
    <t>lead (common name)</t>
  </si>
  <si>
    <t>uphill (adj.)</t>
  </si>
  <si>
    <t>difficile, pénible / qui monte</t>
  </si>
  <si>
    <t>to disprove</t>
  </si>
  <si>
    <t>réfuter</t>
  </si>
  <si>
    <t>The new law and order act makes further inroads on individual freedom.</t>
  </si>
  <si>
    <t>La nouvelle législation sur l'ordre public empiète encore plus sur les libertés individuelles.</t>
  </si>
  <si>
    <t>a disbursement</t>
  </si>
  <si>
    <t>un décaissement</t>
  </si>
  <si>
    <t>un acompte / le premier versement</t>
  </si>
  <si>
    <t>a down payment</t>
  </si>
  <si>
    <t>une ancre</t>
  </si>
  <si>
    <t>un renflement, une bosse</t>
  </si>
  <si>
    <t>a pull-back device</t>
  </si>
  <si>
    <t>des aveugles / des stores</t>
  </si>
  <si>
    <t>se dessécher, se faner</t>
  </si>
  <si>
    <t>edible</t>
  </si>
  <si>
    <t>comestible</t>
  </si>
  <si>
    <t>Cumul</t>
  </si>
  <si>
    <t>Be that as it may, …</t>
  </si>
  <si>
    <t>Ceci étant, …</t>
  </si>
  <si>
    <t>les grands magasins à succursales</t>
  </si>
  <si>
    <t>le liquide vaisselle</t>
  </si>
  <si>
    <t>une audience (au tribunal, …)</t>
  </si>
  <si>
    <t>ironiquement</t>
  </si>
  <si>
    <t>l'erreur dans estimation de la fréquence d'un signal, générant une autre erreur</t>
  </si>
  <si>
    <t>le cerclage</t>
  </si>
  <si>
    <t>Cette viande est trop coriace pour être coupée.</t>
  </si>
  <si>
    <t>This meat's too tough to cut.</t>
  </si>
  <si>
    <t>les avantages divers (salaires, notes de frais, CE, …)</t>
  </si>
  <si>
    <t>Il y a beaucoup à faire.</t>
  </si>
  <si>
    <t>Ce n'est qu'un petit quelque chose pour vous remercier.</t>
  </si>
  <si>
    <t>an apple polisher (figurative expression)</t>
  </si>
  <si>
    <t>le commencement, le début</t>
  </si>
  <si>
    <t>to pinch</t>
  </si>
  <si>
    <t>pincer, piquer / serrer</t>
  </si>
  <si>
    <t>to quell</t>
  </si>
  <si>
    <t>gingerbread (common name)</t>
  </si>
  <si>
    <t>le pain d'épice</t>
  </si>
  <si>
    <t>derpy</t>
  </si>
  <si>
    <t>ridicule</t>
  </si>
  <si>
    <t>to sway</t>
  </si>
  <si>
    <t>un coup / un AVC</t>
  </si>
  <si>
    <t>un obscurcissement</t>
  </si>
  <si>
    <t>glutes (common name)</t>
  </si>
  <si>
    <t>a guinea pig</t>
  </si>
  <si>
    <t>un cochon d'inde / un cobaye</t>
  </si>
  <si>
    <t>a typo</t>
  </si>
  <si>
    <t>une faute de frappe</t>
  </si>
  <si>
    <t>like there’s no tomorrow (expr.)</t>
  </si>
  <si>
    <t>a closed shop</t>
  </si>
  <si>
    <t>cattle (common name)</t>
  </si>
  <si>
    <t>household goods</t>
  </si>
  <si>
    <t>to balk</t>
  </si>
  <si>
    <t>rechigner</t>
  </si>
  <si>
    <t>to sully</t>
  </si>
  <si>
    <t>smoldering (adj.)</t>
  </si>
  <si>
    <t>fumant</t>
  </si>
  <si>
    <t>a steward</t>
  </si>
  <si>
    <t>un intendant</t>
  </si>
  <si>
    <t>culling (hunt.)</t>
  </si>
  <si>
    <t>l'abattage (réduction de population organisée)</t>
  </si>
  <si>
    <t>mainstream (adj.)</t>
  </si>
  <si>
    <t>the inception</t>
  </si>
  <si>
    <t>surnaturel</t>
  </si>
  <si>
    <t>gore-flecked</t>
  </si>
  <si>
    <t>maculé de sang</t>
  </si>
  <si>
    <t>jarring</t>
  </si>
  <si>
    <t>discordant</t>
  </si>
  <si>
    <t>a hoot</t>
  </si>
  <si>
    <t>une huée / une hululement</t>
  </si>
  <si>
    <t>complice</t>
  </si>
  <si>
    <t>Macbeth is steeling himself to stab Duncan to death.</t>
  </si>
  <si>
    <t>Macbeth se prépare à poignarder Duncan à mort.</t>
  </si>
  <si>
    <t>une lacune, un point faible / une échappatoire</t>
  </si>
  <si>
    <t>subpar (adj.)</t>
  </si>
  <si>
    <t>inférieur à la moyenne</t>
  </si>
  <si>
    <t xml:space="preserve">tweaking piecemeal </t>
  </si>
  <si>
    <t>ajuster au coup par coup</t>
  </si>
  <si>
    <t>a salver</t>
  </si>
  <si>
    <t>un plateau</t>
  </si>
  <si>
    <t>to till</t>
  </si>
  <si>
    <t>labourer</t>
  </si>
  <si>
    <t>a wake</t>
  </si>
  <si>
    <t>un sillage</t>
  </si>
  <si>
    <t>to whittle</t>
  </si>
  <si>
    <t>entrancing</t>
  </si>
  <si>
    <t>ravissant, enchanteur</t>
  </si>
  <si>
    <t>glibly</t>
  </si>
  <si>
    <t>avec désinvolture</t>
  </si>
  <si>
    <t>le sérieux</t>
  </si>
  <si>
    <t>se méfier de, être prudent vis-à-vis de</t>
  </si>
  <si>
    <t>indistinctement</t>
  </si>
  <si>
    <t>sur-le-champ /  sur place</t>
  </si>
  <si>
    <t>une attitude bornée / un esprit de clocher</t>
  </si>
  <si>
    <t>captiver, séduire / réduire en esclavage</t>
  </si>
  <si>
    <t>un bilan comptable</t>
  </si>
  <si>
    <t>to pluck</t>
  </si>
  <si>
    <t>pincer (les cordes d'un instrument)</t>
  </si>
  <si>
    <t>a wart</t>
  </si>
  <si>
    <t>une verrue</t>
  </si>
  <si>
    <t>un gisant</t>
  </si>
  <si>
    <t>heath (common name)</t>
  </si>
  <si>
    <t>la bruyère</t>
  </si>
  <si>
    <t>pesky</t>
  </si>
  <si>
    <t>embêtant</t>
  </si>
  <si>
    <t>imbécile, crétin, idiot</t>
  </si>
  <si>
    <t>an alimony</t>
  </si>
  <si>
    <t>une pension alimentaire</t>
  </si>
  <si>
    <t>nosy</t>
  </si>
  <si>
    <t>curieux, fouineur</t>
  </si>
  <si>
    <t>as opposed to</t>
  </si>
  <si>
    <t>contrairement à</t>
  </si>
  <si>
    <t>salut / la grêle</t>
  </si>
  <si>
    <t>overwhelming</t>
  </si>
  <si>
    <t>écrasant</t>
  </si>
  <si>
    <t>décevant</t>
  </si>
  <si>
    <t>a slider</t>
  </si>
  <si>
    <t>une glissière</t>
  </si>
  <si>
    <t>en aucune façon</t>
  </si>
  <si>
    <t>by any means (expr.)</t>
  </si>
  <si>
    <t>junk (common name)</t>
  </si>
  <si>
    <t>un déchet, un article mis au rebut</t>
  </si>
  <si>
    <t>futile, sans importance</t>
  </si>
  <si>
    <t>visible, évident / formidable</t>
  </si>
  <si>
    <t>a lapel</t>
  </si>
  <si>
    <t>un revers (sur un vêtement)</t>
  </si>
  <si>
    <t>That's a tall order (expr.)</t>
  </si>
  <si>
    <t>C'est beaucoup demander</t>
  </si>
  <si>
    <t>stately (adj.)</t>
  </si>
  <si>
    <t>crisply (adj.)</t>
  </si>
  <si>
    <t>mock (adj.)</t>
  </si>
  <si>
    <t>faux</t>
  </si>
  <si>
    <t>an eon</t>
  </si>
  <si>
    <t>un temps, une période</t>
  </si>
  <si>
    <t>wrapper (common name)</t>
  </si>
  <si>
    <t>du papier d'emballage</t>
  </si>
  <si>
    <t>without further ado</t>
  </si>
  <si>
    <t>sans plus tarder</t>
  </si>
  <si>
    <t>a thumbnail</t>
  </si>
  <si>
    <t>un ongle de pouce / une vignette</t>
  </si>
  <si>
    <t>a misstep</t>
  </si>
  <si>
    <t>un faux-pas</t>
  </si>
  <si>
    <t>a tycoon</t>
  </si>
  <si>
    <t>un magnat, un homme d'affaire important</t>
  </si>
  <si>
    <t>a tug-of-war</t>
  </si>
  <si>
    <t>une lutte à la corde</t>
  </si>
  <si>
    <t>an oar</t>
  </si>
  <si>
    <t>une rame, un aviron</t>
  </si>
  <si>
    <t>constabulary (common name)</t>
  </si>
  <si>
    <t>les forces de police</t>
  </si>
  <si>
    <t>fluffy</t>
  </si>
  <si>
    <t>duveteux</t>
  </si>
  <si>
    <t>a kettle</t>
  </si>
  <si>
    <t>une bouilloire</t>
  </si>
  <si>
    <t>un fourneau, un four vapeur</t>
  </si>
  <si>
    <t>to cinch</t>
  </si>
  <si>
    <t>sangler</t>
  </si>
  <si>
    <t>désagréable, fâcheux</t>
  </si>
  <si>
    <t>an ignoramuse</t>
  </si>
  <si>
    <t>un ignorant, un ignare</t>
  </si>
  <si>
    <t>maintes et maintes fois</t>
  </si>
  <si>
    <t>to ream</t>
  </si>
  <si>
    <t>fraiser / presser</t>
  </si>
  <si>
    <t>to wrangle</t>
  </si>
  <si>
    <t>se disputer, se chamailler</t>
  </si>
  <si>
    <t>un remboursement</t>
  </si>
  <si>
    <r>
      <t>a flu (in</t>
    </r>
    <r>
      <rPr>
        <b/>
        <sz val="12"/>
        <color theme="1"/>
        <rFont val="Arial"/>
        <family val="2"/>
      </rPr>
      <t>flu</t>
    </r>
    <r>
      <rPr>
        <sz val="12"/>
        <color theme="1"/>
        <rFont val="Arial"/>
        <family val="2"/>
      </rPr>
      <t>enza)</t>
    </r>
  </si>
  <si>
    <t>To make our company recession proof, …</t>
  </si>
  <si>
    <t>Pour mettre notre société à l'abri de la récession, …</t>
  </si>
  <si>
    <t>aptly</t>
  </si>
  <si>
    <t>pertinemment, avec justesse, à propos</t>
  </si>
  <si>
    <t>to scramble</t>
  </si>
  <si>
    <t>brouiller / se ruer</t>
  </si>
  <si>
    <t>a pitchfork</t>
  </si>
  <si>
    <t>une fourche à foin</t>
  </si>
  <si>
    <t>restless</t>
  </si>
  <si>
    <t>agité, inquiet</t>
  </si>
  <si>
    <t>a registered mail</t>
  </si>
  <si>
    <t>un courrier recommandé</t>
  </si>
  <si>
    <t>parcourir, feuilleter</t>
  </si>
  <si>
    <t>Score</t>
  </si>
  <si>
    <t>to bicker</t>
  </si>
  <si>
    <t>se chamailler</t>
  </si>
  <si>
    <t>le remboursement des intérêts sur un prêt bancaire</t>
  </si>
  <si>
    <t>majoritaire</t>
  </si>
  <si>
    <t>de travers, courbé</t>
  </si>
  <si>
    <t>conservateur / pur et dur</t>
  </si>
  <si>
    <t>to tuck away</t>
  </si>
  <si>
    <t>a binge</t>
  </si>
  <si>
    <t>une frénésie, une bringue</t>
  </si>
  <si>
    <t>a kitten</t>
  </si>
  <si>
    <t>un chaton</t>
  </si>
  <si>
    <t>Je passe voir Patrick ce soir.</t>
  </si>
  <si>
    <t>Ils sont capables de se débrouiller tout seuls.</t>
  </si>
  <si>
    <t>They are capable of looking after themselves.</t>
  </si>
  <si>
    <t>barter (common name)</t>
  </si>
  <si>
    <t>a hammock</t>
  </si>
  <si>
    <t>un hamac</t>
  </si>
  <si>
    <t>un volant de voiture</t>
  </si>
  <si>
    <t>de la crème pâtissière</t>
  </si>
  <si>
    <t>a speed bump</t>
  </si>
  <si>
    <t>un dos-d'âne</t>
  </si>
  <si>
    <t>réduit à l'essentiel</t>
  </si>
  <si>
    <t>yeast (common name)</t>
  </si>
  <si>
    <t>prévoir quelque chose de menaçant, la fin de quelque chose</t>
  </si>
  <si>
    <t>de la purée de pomme de terre</t>
  </si>
  <si>
    <t>a thumbtack</t>
  </si>
  <si>
    <t>une punaise (fixation)</t>
  </si>
  <si>
    <t>a ledger</t>
  </si>
  <si>
    <t>un registre</t>
  </si>
  <si>
    <t>tacky</t>
  </si>
  <si>
    <t>collant / moche</t>
  </si>
  <si>
    <t>to brag</t>
  </si>
  <si>
    <t>se vanter, fanfaronner</t>
  </si>
  <si>
    <t>avoir droit à</t>
  </si>
  <si>
    <t>une folie (dépensière)</t>
  </si>
  <si>
    <t>to discard</t>
  </si>
  <si>
    <t>se débarrasser de, écarter</t>
  </si>
  <si>
    <t>to snoop</t>
  </si>
  <si>
    <t>espionner, fureter</t>
  </si>
  <si>
    <t>a recoil</t>
  </si>
  <si>
    <t>un mouvement de recul</t>
  </si>
  <si>
    <t>rétrécir / coincer</t>
  </si>
  <si>
    <t>to deflate</t>
  </si>
  <si>
    <t>dégonfler, faire diminuer</t>
  </si>
  <si>
    <t>IMO</t>
  </si>
  <si>
    <t>in my opinion</t>
  </si>
  <si>
    <t>wanting (adj.)</t>
  </si>
  <si>
    <t>uptime (common name)</t>
  </si>
  <si>
    <t>la disponibilité</t>
  </si>
  <si>
    <t>a hoard</t>
  </si>
  <si>
    <t>un magot / une provision</t>
  </si>
  <si>
    <t>un dispositif de rappel</t>
  </si>
  <si>
    <t>incidentally</t>
  </si>
  <si>
    <t>accidentellement</t>
  </si>
  <si>
    <t>fictitious</t>
  </si>
  <si>
    <t>fictif</t>
  </si>
  <si>
    <t>to fizzle</t>
  </si>
  <si>
    <t>pétiller</t>
  </si>
  <si>
    <t>spinning (common name)</t>
  </si>
  <si>
    <t>sultry (adj.)</t>
  </si>
  <si>
    <t>to peruse</t>
  </si>
  <si>
    <t>lire attentivement</t>
  </si>
  <si>
    <t>backdoor (adj.)</t>
  </si>
  <si>
    <t>détourné, déguisé</t>
  </si>
  <si>
    <t>a reprieve</t>
  </si>
  <si>
    <t>drowsiness (common name)</t>
  </si>
  <si>
    <t>la somnolence</t>
  </si>
  <si>
    <t>de nos jours</t>
  </si>
  <si>
    <t>in our own day</t>
  </si>
  <si>
    <t>une pièce NOK / une nippe</t>
  </si>
  <si>
    <t>briser, fracasser, éclater</t>
  </si>
  <si>
    <t>la mousse, l'écume</t>
  </si>
  <si>
    <t>du (vin de) bordeaux</t>
  </si>
  <si>
    <t>to run afoul</t>
  </si>
  <si>
    <t>se heurter</t>
  </si>
  <si>
    <t>a roll back</t>
  </si>
  <si>
    <t>un retour en arrière</t>
  </si>
  <si>
    <t>a filling cabinet</t>
  </si>
  <si>
    <t>un classeur</t>
  </si>
  <si>
    <t>to grind</t>
  </si>
  <si>
    <t>moudre / grincer</t>
  </si>
  <si>
    <t>un ordinateur de bureau</t>
  </si>
  <si>
    <t>an obfuscation</t>
  </si>
  <si>
    <t>barebones (adj.)</t>
  </si>
  <si>
    <t>secret / à l'abri</t>
  </si>
  <si>
    <t>une parenthèse / une tranche (écon.) / un support</t>
  </si>
  <si>
    <t>jittery (adj.)</t>
  </si>
  <si>
    <t>une incohérence</t>
  </si>
  <si>
    <t>an inconsistency</t>
  </si>
  <si>
    <t>stateless</t>
  </si>
  <si>
    <t>apatride</t>
  </si>
  <si>
    <t>every so often</t>
  </si>
  <si>
    <t>de temps en temps</t>
  </si>
  <si>
    <t>débrouillard, habile / admirable</t>
  </si>
  <si>
    <t>a tab</t>
  </si>
  <si>
    <t>un onglet / une étiquette</t>
  </si>
  <si>
    <t>an onus</t>
  </si>
  <si>
    <t>un fardeau</t>
  </si>
  <si>
    <t>des petits boulots</t>
  </si>
  <si>
    <t>rife (adj.)</t>
  </si>
  <si>
    <t>abondant, répandu</t>
  </si>
  <si>
    <t>une extrémité / un talon / une souche</t>
  </si>
  <si>
    <t>a letter of application</t>
  </si>
  <si>
    <t>une lettre de rendez-vous (confirmation d'embauche)</t>
  </si>
  <si>
    <t>trébucher / broncher / tomber sur</t>
  </si>
  <si>
    <t>exalter, vanter</t>
  </si>
  <si>
    <t>Y a-t-il des croisières de disponible ?</t>
  </si>
  <si>
    <t>awry (adj.)</t>
  </si>
  <si>
    <t>à long terme</t>
  </si>
  <si>
    <t>expédier, envoyer / transférer</t>
  </si>
  <si>
    <t>Qu'est-ce que tu me conseilles de faire ?</t>
  </si>
  <si>
    <t>comme neuf</t>
  </si>
  <si>
    <t>in mint condition</t>
  </si>
  <si>
    <t>une sortie / une évasion (fisc.)</t>
  </si>
  <si>
    <t>firsthand (adj.)</t>
  </si>
  <si>
    <t>to blaze</t>
  </si>
  <si>
    <t>flamber / éclater</t>
  </si>
  <si>
    <t>huckleberry (common name)</t>
  </si>
  <si>
    <t>des airelles</t>
  </si>
  <si>
    <t>a plum</t>
  </si>
  <si>
    <t>une prune</t>
  </si>
  <si>
    <t>a pomegranate</t>
  </si>
  <si>
    <t>une grenade (le fruit)</t>
  </si>
  <si>
    <t>a quince</t>
  </si>
  <si>
    <t>un coing</t>
  </si>
  <si>
    <t>redcurrant (common name)</t>
  </si>
  <si>
    <t>la groseille</t>
  </si>
  <si>
    <t>a leeway</t>
  </si>
  <si>
    <t>une marge de manœuvre</t>
  </si>
  <si>
    <t>an overblow</t>
  </si>
  <si>
    <t>This calls for a celebration!</t>
  </si>
  <si>
    <t>Il faut fêter ça !</t>
  </si>
  <si>
    <t>a beanstalk</t>
  </si>
  <si>
    <t>une tige de haricot / un haricot magique</t>
  </si>
  <si>
    <t>inbred</t>
  </si>
  <si>
    <t>inné</t>
  </si>
  <si>
    <t>a thicket</t>
  </si>
  <si>
    <t>un bosquet / une touffe</t>
  </si>
  <si>
    <t>accroître, augmenter / mettre en valeur</t>
  </si>
  <si>
    <t>Interdiction de stationner (zone d'enlèvement de voiture) / zone de remorquage maritime</t>
  </si>
  <si>
    <t>a boon</t>
  </si>
  <si>
    <t>feisty</t>
  </si>
  <si>
    <t>fougueux</t>
  </si>
  <si>
    <t>un accident, un sinistre / une perte humaine</t>
  </si>
  <si>
    <t>ébranler, déstabiliser / agiter / crépiter</t>
  </si>
  <si>
    <t>a brat</t>
  </si>
  <si>
    <t>un morveux</t>
  </si>
  <si>
    <t>turf (common name)</t>
  </si>
  <si>
    <t>le gazon / le domaine</t>
  </si>
  <si>
    <t>en vain</t>
  </si>
  <si>
    <t>être incontrôlable</t>
  </si>
  <si>
    <t>stale (adj.)</t>
  </si>
  <si>
    <t>a sprig</t>
  </si>
  <si>
    <t>un brin, une branchette</t>
  </si>
  <si>
    <t>a boulder</t>
  </si>
  <si>
    <t>un rocher, un bloc de pierre</t>
  </si>
  <si>
    <t>to toss</t>
  </si>
  <si>
    <t>jeter, lancer</t>
  </si>
  <si>
    <t>pebbledash, roughcast</t>
  </si>
  <si>
    <t>incontrovertible</t>
  </si>
  <si>
    <t>irréfutable</t>
  </si>
  <si>
    <t>to alleviate</t>
  </si>
  <si>
    <t>soulager</t>
  </si>
  <si>
    <t>a keystroke</t>
  </si>
  <si>
    <t>une frappe de touche d'ordinateur</t>
  </si>
  <si>
    <t>to spearhead</t>
  </si>
  <si>
    <t xml:space="preserve">être à la tête de </t>
  </si>
  <si>
    <t>barley (common name)</t>
  </si>
  <si>
    <t>l'orge</t>
  </si>
  <si>
    <t>Ministry of Transport (contrôle automobile annuel)</t>
  </si>
  <si>
    <t>les prestations sociales</t>
  </si>
  <si>
    <t>un emballage</t>
  </si>
  <si>
    <t>aussi vite que possible, sans planification particulière</t>
  </si>
  <si>
    <t>moron (adj.)</t>
  </si>
  <si>
    <t>tin (common name)</t>
  </si>
  <si>
    <t>être doté de, être équipé de</t>
  </si>
  <si>
    <t>a leech</t>
  </si>
  <si>
    <t>une sangsue</t>
  </si>
  <si>
    <t>to loll</t>
  </si>
  <si>
    <t>se prélasser</t>
  </si>
  <si>
    <t>freak (adj.)</t>
  </si>
  <si>
    <t>anormal, exceptionnel</t>
  </si>
  <si>
    <t>une crainte / un doute</t>
  </si>
  <si>
    <t>lossy (adj.)</t>
  </si>
  <si>
    <t>unfathomable</t>
  </si>
  <si>
    <t>insondable</t>
  </si>
  <si>
    <t>a fraudster</t>
  </si>
  <si>
    <t>un fraudeur</t>
  </si>
  <si>
    <t>a hand cracking</t>
  </si>
  <si>
    <t>une manivelle</t>
  </si>
  <si>
    <t>to hallmark</t>
  </si>
  <si>
    <t>poinçonner</t>
  </si>
  <si>
    <t>muck (common name)</t>
  </si>
  <si>
    <t>en quête d'opportunités</t>
  </si>
  <si>
    <t>on the lookout for opportunities</t>
  </si>
  <si>
    <t>a cakewalk</t>
  </si>
  <si>
    <t>seaweed (common name)</t>
  </si>
  <si>
    <t>une algue</t>
  </si>
  <si>
    <t>to grope</t>
  </si>
  <si>
    <t>tâtonner / peloter</t>
  </si>
  <si>
    <t>spiteful</t>
  </si>
  <si>
    <t>rancunier, venimeux</t>
  </si>
  <si>
    <t>a ripple</t>
  </si>
  <si>
    <t>slew (adj.)</t>
  </si>
  <si>
    <t>abattu, meurtri / déporté violemment</t>
  </si>
  <si>
    <t>to hack</t>
  </si>
  <si>
    <t>pirater / tailler / tousser sans arrêt</t>
  </si>
  <si>
    <t>a minesweeper</t>
  </si>
  <si>
    <t>un chasseur de mine</t>
  </si>
  <si>
    <t>a turd</t>
  </si>
  <si>
    <t>to holler</t>
  </si>
  <si>
    <t>brailler</t>
  </si>
  <si>
    <t>a keel</t>
  </si>
  <si>
    <t>une quille / un navire</t>
  </si>
  <si>
    <t>a wee orchard</t>
  </si>
  <si>
    <t>un petit verger</t>
  </si>
  <si>
    <t>a lode</t>
  </si>
  <si>
    <t>un filon, une veine</t>
  </si>
  <si>
    <t>a guile</t>
  </si>
  <si>
    <t>une ruse, une astuce</t>
  </si>
  <si>
    <t>a slit</t>
  </si>
  <si>
    <t>une fente, une incision</t>
  </si>
  <si>
    <t>a crank</t>
  </si>
  <si>
    <t>a swab</t>
  </si>
  <si>
    <t>un écouvillon</t>
  </si>
  <si>
    <t>mooring (common name)</t>
  </si>
  <si>
    <t>l'amarrage, le mouillage</t>
  </si>
  <si>
    <t>gills (common name)</t>
  </si>
  <si>
    <t>les branchies</t>
  </si>
  <si>
    <t>to wince</t>
  </si>
  <si>
    <t>grimacer, tressaillir</t>
  </si>
  <si>
    <t>brine (common name)</t>
  </si>
  <si>
    <t>a tiller (navig.)</t>
  </si>
  <si>
    <t>la barre de gouvernail</t>
  </si>
  <si>
    <t>tenancy (common name)</t>
  </si>
  <si>
    <t>la location</t>
  </si>
  <si>
    <t>l'invention due à une personne</t>
  </si>
  <si>
    <t>a coaster</t>
  </si>
  <si>
    <t>un dessous de verre</t>
  </si>
  <si>
    <t>a yank</t>
  </si>
  <si>
    <t>un coup sec, une saccade</t>
  </si>
  <si>
    <t>a sink</t>
  </si>
  <si>
    <t>un évier</t>
  </si>
  <si>
    <t>a whisker</t>
  </si>
  <si>
    <t>une moustache</t>
  </si>
  <si>
    <t>to shrinkwrap</t>
  </si>
  <si>
    <t>emballer sous papier plastique</t>
  </si>
  <si>
    <t>to dabble</t>
  </si>
  <si>
    <t>barboter</t>
  </si>
  <si>
    <t>amenable</t>
  </si>
  <si>
    <t>accomodant, souple</t>
  </si>
  <si>
    <t>barnyard (common name)</t>
  </si>
  <si>
    <t>la basse-cour</t>
  </si>
  <si>
    <t>apace (adv.)</t>
  </si>
  <si>
    <t>rapidement, vite</t>
  </si>
  <si>
    <t>to elicit</t>
  </si>
  <si>
    <t>obtenir / provoquer</t>
  </si>
  <si>
    <t>a hummingbird</t>
  </si>
  <si>
    <t>un colibri</t>
  </si>
  <si>
    <t>a decoy</t>
  </si>
  <si>
    <t>un leurre</t>
  </si>
  <si>
    <t>a fledge</t>
  </si>
  <si>
    <t>un envol</t>
  </si>
  <si>
    <t>full-fledged</t>
  </si>
  <si>
    <t>à part entière</t>
  </si>
  <si>
    <t>with a fingersnip</t>
  </si>
  <si>
    <t>en un claquement de doigt</t>
  </si>
  <si>
    <t>a shootout</t>
  </si>
  <si>
    <t>une fusillade, un règlement de compte</t>
  </si>
  <si>
    <t>to pay off</t>
  </si>
  <si>
    <t>a backdrop</t>
  </si>
  <si>
    <t>une toile de fond</t>
  </si>
  <si>
    <t>the seascape</t>
  </si>
  <si>
    <t>le paysage marin</t>
  </si>
  <si>
    <t>déguingandé</t>
  </si>
  <si>
    <t>une valeur sûre</t>
  </si>
  <si>
    <t>le bétail, les bovins</t>
  </si>
  <si>
    <t>overtime (common name)</t>
  </si>
  <si>
    <t>a stanza</t>
  </si>
  <si>
    <t>une strophe, un couplet</t>
  </si>
  <si>
    <t>dubbed as …</t>
  </si>
  <si>
    <t>froth (common name)</t>
  </si>
  <si>
    <t>surefire (adj.)</t>
  </si>
  <si>
    <t>kudos (common name)</t>
  </si>
  <si>
    <t>la gloire, les lauriers</t>
  </si>
  <si>
    <t>to treble</t>
  </si>
  <si>
    <t>a stump</t>
  </si>
  <si>
    <t>une souche / un moignon / un mégot</t>
  </si>
  <si>
    <t>to stump</t>
  </si>
  <si>
    <t>laisser perplexe / mettre hors jeu</t>
  </si>
  <si>
    <t>plonger / tremper</t>
  </si>
  <si>
    <t>Cela arrive bien trop souvent.</t>
  </si>
  <si>
    <t>"payer", être rentable …</t>
  </si>
  <si>
    <t>to frolic</t>
  </si>
  <si>
    <t>gambader, batifoler</t>
  </si>
  <si>
    <t>vomir</t>
  </si>
  <si>
    <t>to pit sthg to sthg</t>
  </si>
  <si>
    <t>opposer qc à qc</t>
  </si>
  <si>
    <t>à titre gracieux</t>
  </si>
  <si>
    <t>overhead (adj.) / an overhead (common name)</t>
  </si>
  <si>
    <t>aérien / un coût</t>
  </si>
  <si>
    <t>Just a minute - I'm going to put you on speaker so the rest of the team can hear you.</t>
  </si>
  <si>
    <t>Un instant je vous prie; je mets le haut-parleur pour que le reste de l'équipe puisse vous entendre.</t>
  </si>
  <si>
    <t>moot (adj.)</t>
  </si>
  <si>
    <t>whey (common name)</t>
  </si>
  <si>
    <t>du petit lait</t>
  </si>
  <si>
    <t>time and time again</t>
  </si>
  <si>
    <t>le hoquet</t>
  </si>
  <si>
    <t>hiccup (common name)</t>
  </si>
  <si>
    <t>a warthog</t>
  </si>
  <si>
    <t>un phacochère</t>
  </si>
  <si>
    <t>an ingress</t>
  </si>
  <si>
    <t>une entrée</t>
  </si>
  <si>
    <t>to fret</t>
  </si>
  <si>
    <t>to bristle</t>
  </si>
  <si>
    <t>se hérisser</t>
  </si>
  <si>
    <t>a rachet</t>
  </si>
  <si>
    <t>un cliquet</t>
  </si>
  <si>
    <t>les personnes de profession libérale</t>
  </si>
  <si>
    <t>se montrer sous son vrai jour</t>
  </si>
  <si>
    <t>to show one's true colours</t>
  </si>
  <si>
    <t>eldritch (adj.)</t>
  </si>
  <si>
    <t>to divest</t>
  </si>
  <si>
    <t>dépouiller, priver</t>
  </si>
  <si>
    <t>qui démange</t>
  </si>
  <si>
    <t>itchy (adj.)</t>
  </si>
  <si>
    <t>a periwinkle</t>
  </si>
  <si>
    <t>une pervenche</t>
  </si>
  <si>
    <t>an oleander</t>
  </si>
  <si>
    <t>un laurier rose</t>
  </si>
  <si>
    <t>at the outskirts</t>
  </si>
  <si>
    <t>en périphérie</t>
  </si>
  <si>
    <t>gangly (adj.)</t>
  </si>
  <si>
    <t>to undersay</t>
  </si>
  <si>
    <t>sous-estimer</t>
  </si>
  <si>
    <t>to limp</t>
  </si>
  <si>
    <t>a booth</t>
  </si>
  <si>
    <t>un stand, un kiosque</t>
  </si>
  <si>
    <t>the righteousness</t>
  </si>
  <si>
    <t>la droiture, la vertu</t>
  </si>
  <si>
    <t>to grind to a halt</t>
  </si>
  <si>
    <t>s'arrêter</t>
  </si>
  <si>
    <t>l'eau salée, la saumure</t>
  </si>
  <si>
    <t>to garble</t>
  </si>
  <si>
    <t>brouiller, déformer</t>
  </si>
  <si>
    <t>to traipse</t>
  </si>
  <si>
    <t>se balader</t>
  </si>
  <si>
    <t>allié / convenable</t>
  </si>
  <si>
    <t>germane (adj.)</t>
  </si>
  <si>
    <t>to litter</t>
  </si>
  <si>
    <t>disperser / joncher, couvrir de …</t>
  </si>
  <si>
    <t>an acorn</t>
  </si>
  <si>
    <t>un gland</t>
  </si>
  <si>
    <t>to hark</t>
  </si>
  <si>
    <t>a drove of cattle</t>
  </si>
  <si>
    <t>un troupeau de bétail</t>
  </si>
  <si>
    <t>in droves</t>
  </si>
  <si>
    <t>en masse</t>
  </si>
  <si>
    <t>a bramble</t>
  </si>
  <si>
    <t>un roncier</t>
  </si>
  <si>
    <t>a morass</t>
  </si>
  <si>
    <t>un marécage, un bourbier</t>
  </si>
  <si>
    <t>to slog</t>
  </si>
  <si>
    <t>bosser, donner un grand coup</t>
  </si>
  <si>
    <t>to bemoan</t>
  </si>
  <si>
    <t>déplorer, pleurer</t>
  </si>
  <si>
    <t>to blather</t>
  </si>
  <si>
    <t>bavarder, débiter des bêtises</t>
  </si>
  <si>
    <t>a conundrum</t>
  </si>
  <si>
    <t>une énigme</t>
  </si>
  <si>
    <t>covertly</t>
  </si>
  <si>
    <t>secrètement</t>
  </si>
  <si>
    <t>a racoon</t>
  </si>
  <si>
    <t>un raton-laveur</t>
  </si>
  <si>
    <t>hefty (adj.)</t>
  </si>
  <si>
    <t>donner tort</t>
  </si>
  <si>
    <t>a firehose</t>
  </si>
  <si>
    <t>une lance à incendie</t>
  </si>
  <si>
    <t>to chisel</t>
  </si>
  <si>
    <t>buriner, ciseler</t>
  </si>
  <si>
    <t>le crépi, la cendre de galet</t>
  </si>
  <si>
    <t>les impôts et contributions</t>
  </si>
  <si>
    <t>des mesures de répression</t>
  </si>
  <si>
    <t>une baratte / une résiliation</t>
  </si>
  <si>
    <t>a wisp</t>
  </si>
  <si>
    <t>un brin, une mèche</t>
  </si>
  <si>
    <t>slime (common name)</t>
  </si>
  <si>
    <t>la vase, le limon</t>
  </si>
  <si>
    <t>slurry (common name)</t>
  </si>
  <si>
    <t>du lisier, de la gadoue</t>
  </si>
  <si>
    <t>feces (common name)</t>
  </si>
  <si>
    <t>des excréments</t>
  </si>
  <si>
    <t>tithe (common name)</t>
  </si>
  <si>
    <t>la dîme</t>
  </si>
  <si>
    <t>I'm yet to find …</t>
  </si>
  <si>
    <t>Je n'ai pas encore trouvé …</t>
  </si>
  <si>
    <t>to spoil</t>
  </si>
  <si>
    <t>abîmer</t>
  </si>
  <si>
    <t>dredging (common name)</t>
  </si>
  <si>
    <t>le dragage</t>
  </si>
  <si>
    <t>a crease</t>
  </si>
  <si>
    <t>un pli, une pliure</t>
  </si>
  <si>
    <t>footage (common name)</t>
  </si>
  <si>
    <t>des images</t>
  </si>
  <si>
    <t>a standoff</t>
  </si>
  <si>
    <t>une impasse / une confrontation</t>
  </si>
  <si>
    <t>craven (adj.)</t>
  </si>
  <si>
    <t>lâche</t>
  </si>
  <si>
    <t>blight (common name)</t>
  </si>
  <si>
    <t>la rouille / la corruption / la brûlure</t>
  </si>
  <si>
    <t>une bordure, un trottoir</t>
  </si>
  <si>
    <t>elusive</t>
  </si>
  <si>
    <t>insaisissable</t>
  </si>
  <si>
    <t>a crate</t>
  </si>
  <si>
    <t>une caisse, un cageot</t>
  </si>
  <si>
    <t>tiresome</t>
  </si>
  <si>
    <t>fatigant</t>
  </si>
  <si>
    <t>a gnat</t>
  </si>
  <si>
    <t>un moucheron</t>
  </si>
  <si>
    <t>movie dubbing</t>
  </si>
  <si>
    <t>le doublage d'un film</t>
  </si>
  <si>
    <t>opportun</t>
  </si>
  <si>
    <t>timely (adj.)</t>
  </si>
  <si>
    <t>flimsy</t>
  </si>
  <si>
    <t>fragile, peu solide</t>
  </si>
  <si>
    <t>deceit (common name)</t>
  </si>
  <si>
    <t>la tromperie, le mensonge</t>
  </si>
  <si>
    <t>willy-nilly (expr.)</t>
  </si>
  <si>
    <t>bon gré mal gré</t>
  </si>
  <si>
    <t>facturer / accuser</t>
  </si>
  <si>
    <t>brimming (adj.)</t>
  </si>
  <si>
    <t>a cue</t>
  </si>
  <si>
    <t>un signal / une queue</t>
  </si>
  <si>
    <t>overtly</t>
  </si>
  <si>
    <t>ouvertement</t>
  </si>
  <si>
    <t>ere (adv.)</t>
  </si>
  <si>
    <t>s'accaparer / courber</t>
  </si>
  <si>
    <t>a treadmill</t>
  </si>
  <si>
    <t>un tapis roulant / un manège</t>
  </si>
  <si>
    <t>to nab</t>
  </si>
  <si>
    <t>épingler / pincer</t>
  </si>
  <si>
    <t>a backwater</t>
  </si>
  <si>
    <t>de l'eau stagnante / un coin perdu</t>
  </si>
  <si>
    <t>to seep</t>
  </si>
  <si>
    <t>infiltrer, suinter</t>
  </si>
  <si>
    <t>un blaireau</t>
  </si>
  <si>
    <t>an upholstery</t>
  </si>
  <si>
    <t>une tapisserie</t>
  </si>
  <si>
    <t>the loo</t>
  </si>
  <si>
    <t>les toilettes</t>
  </si>
  <si>
    <t>barmy</t>
  </si>
  <si>
    <t>timbré, maboul</t>
  </si>
  <si>
    <t>to slither</t>
  </si>
  <si>
    <t>glisser</t>
  </si>
  <si>
    <t>to drool</t>
  </si>
  <si>
    <t>baver, saliver</t>
  </si>
  <si>
    <t>a vial</t>
  </si>
  <si>
    <t>une fiole, une bouteille</t>
  </si>
  <si>
    <t>to put one's foot down</t>
  </si>
  <si>
    <t>a hoodie</t>
  </si>
  <si>
    <t>un sweat à capuche</t>
  </si>
  <si>
    <t>unwed (adj.)</t>
  </si>
  <si>
    <t>a gavel</t>
  </si>
  <si>
    <t>un marteau de justice</t>
  </si>
  <si>
    <t>la clémence, l'indulgence</t>
  </si>
  <si>
    <t>une quinzaine de jours</t>
  </si>
  <si>
    <t>slender (adj.)</t>
  </si>
  <si>
    <t>an equity</t>
  </si>
  <si>
    <t>my in-laws</t>
  </si>
  <si>
    <t>ma belle-famille</t>
  </si>
  <si>
    <t>a shortfall</t>
  </si>
  <si>
    <t>head or tail</t>
  </si>
  <si>
    <t>pile ou face</t>
  </si>
  <si>
    <t>a coxswain (navig.)</t>
  </si>
  <si>
    <t>un barreur (navigation)</t>
  </si>
  <si>
    <t>des piquets de grève</t>
  </si>
  <si>
    <t>picketing (common name)</t>
  </si>
  <si>
    <t>boîter, clopiner</t>
  </si>
  <si>
    <t>de la boue</t>
  </si>
  <si>
    <t>pox (common name)</t>
  </si>
  <si>
    <t>la variole / la vérole</t>
  </si>
  <si>
    <t>the clout</t>
  </si>
  <si>
    <t>le poids, l'influence</t>
  </si>
  <si>
    <t>des morceaux</t>
  </si>
  <si>
    <t>smithereens (common name)</t>
  </si>
  <si>
    <t>a roost</t>
  </si>
  <si>
    <t>un perchoir</t>
  </si>
  <si>
    <t>a pyre</t>
  </si>
  <si>
    <t>un bûcher</t>
  </si>
  <si>
    <t>to encroach</t>
  </si>
  <si>
    <t>empiéter</t>
  </si>
  <si>
    <t>thighbone (common name)</t>
  </si>
  <si>
    <t>le fémur</t>
  </si>
  <si>
    <t>a dove</t>
  </si>
  <si>
    <t>une colombe</t>
  </si>
  <si>
    <t>a thud</t>
  </si>
  <si>
    <t>un bruit sourd</t>
  </si>
  <si>
    <t>a bequest</t>
  </si>
  <si>
    <t>un legs</t>
  </si>
  <si>
    <t>to muffle</t>
  </si>
  <si>
    <t>étouffer, assourdir</t>
  </si>
  <si>
    <t>to warble</t>
  </si>
  <si>
    <t>gazouiller, roucouler</t>
  </si>
  <si>
    <t>a doe</t>
  </si>
  <si>
    <t>une biche</t>
  </si>
  <si>
    <t>deer antler</t>
  </si>
  <si>
    <t>la ramure d'un cerf</t>
  </si>
  <si>
    <t>to pilfer</t>
  </si>
  <si>
    <t>chaparder</t>
  </si>
  <si>
    <t>hail (expr. / common name)</t>
  </si>
  <si>
    <t>hawthorne (common name)</t>
  </si>
  <si>
    <t>l'aubépine</t>
  </si>
  <si>
    <t>dewy</t>
  </si>
  <si>
    <t>frais / couvert de rosée</t>
  </si>
  <si>
    <t>a proclivity</t>
  </si>
  <si>
    <t>une propension, une inclination</t>
  </si>
  <si>
    <t>un cireur de pompes</t>
  </si>
  <si>
    <t>to overshoot</t>
  </si>
  <si>
    <t>dépasser</t>
  </si>
  <si>
    <t>une ondulation, une ride</t>
  </si>
  <si>
    <t>to choke</t>
  </si>
  <si>
    <t>étouffer, étrangler</t>
  </si>
  <si>
    <t>to simmer</t>
  </si>
  <si>
    <t>mijoter, frémir</t>
  </si>
  <si>
    <t>to deface</t>
  </si>
  <si>
    <t>rendre illisible, effacer</t>
  </si>
  <si>
    <t>a foothold</t>
  </si>
  <si>
    <t>un ancrage</t>
  </si>
  <si>
    <t>à clapet</t>
  </si>
  <si>
    <t>a closeup</t>
  </si>
  <si>
    <t>un gros plan</t>
  </si>
  <si>
    <t>to slink</t>
  </si>
  <si>
    <t>se glisser, sortir furtivement</t>
  </si>
  <si>
    <t>to hobble</t>
  </si>
  <si>
    <t>a roadblock</t>
  </si>
  <si>
    <t>un barrage routier</t>
  </si>
  <si>
    <t xml:space="preserve"> </t>
  </si>
  <si>
    <t>l'achat par correspondance</t>
  </si>
  <si>
    <t>tout petit</t>
  </si>
  <si>
    <t>itty bitty (adj.)</t>
  </si>
  <si>
    <t>une marmotte</t>
  </si>
  <si>
    <t>a groundhog</t>
  </si>
  <si>
    <t>a hog</t>
  </si>
  <si>
    <t>un cochon, un porc</t>
  </si>
  <si>
    <t>searing (adj.)</t>
  </si>
  <si>
    <t>A ce moment-là, mon père connaissait ma mère depuis six ans</t>
  </si>
  <si>
    <t>être coincé</t>
  </si>
  <si>
    <t>a furrow</t>
  </si>
  <si>
    <t>un sillon</t>
  </si>
  <si>
    <t>an abacus</t>
  </si>
  <si>
    <t>un boulier</t>
  </si>
  <si>
    <t>to sulk</t>
  </si>
  <si>
    <t>bouder</t>
  </si>
  <si>
    <t>to go toe to toe</t>
  </si>
  <si>
    <t>to pry into sthg</t>
  </si>
  <si>
    <t>fouiller dans qc</t>
  </si>
  <si>
    <t>an eggplant</t>
  </si>
  <si>
    <t>une aubergine</t>
  </si>
  <si>
    <t>to scavenge</t>
  </si>
  <si>
    <t>récupérer / faire les poubelles</t>
  </si>
  <si>
    <t>a faucet</t>
  </si>
  <si>
    <t>fichu</t>
  </si>
  <si>
    <t>darned (colloquial)</t>
  </si>
  <si>
    <t>une exagération</t>
  </si>
  <si>
    <t>to segue</t>
  </si>
  <si>
    <t>enchaîner</t>
  </si>
  <si>
    <t>undercover (adj.)</t>
  </si>
  <si>
    <t>as it gets</t>
  </si>
  <si>
    <t>rien de meilleur n'est possible ou disponible</t>
  </si>
  <si>
    <t>to let the cat out of the bag</t>
  </si>
  <si>
    <t>a weir</t>
  </si>
  <si>
    <t>a knack (colloquial)</t>
  </si>
  <si>
    <t>un tour de main</t>
  </si>
  <si>
    <t>to hog up</t>
  </si>
  <si>
    <t>scorched-earth policy</t>
  </si>
  <si>
    <t>la politique de la terre brûlée</t>
  </si>
  <si>
    <t>charcoal (common name)</t>
  </si>
  <si>
    <t>du charbon de bois</t>
  </si>
  <si>
    <t>utilisé pour exprimer la surprise, l'excitation ou l'alarme</t>
  </si>
  <si>
    <t>blimey (expr.)</t>
  </si>
  <si>
    <t>to lisp</t>
  </si>
  <si>
    <t>parler avec un cheveu sur la langue</t>
  </si>
  <si>
    <t>obnoxious (adj.)</t>
  </si>
  <si>
    <t>odieux, insupportable</t>
  </si>
  <si>
    <t>a shooting star</t>
  </si>
  <si>
    <t>une étoile filante</t>
  </si>
  <si>
    <t>a slingshot</t>
  </si>
  <si>
    <t>un lance-pierre</t>
  </si>
  <si>
    <t>l'envergure / l'empan</t>
  </si>
  <si>
    <t>commencer à discuter âprement avec quelqu'un</t>
  </si>
  <si>
    <t>unadorned</t>
  </si>
  <si>
    <t>sans fioriture</t>
  </si>
  <si>
    <t>a freshman</t>
  </si>
  <si>
    <t>un étudiant de première année</t>
  </si>
  <si>
    <t>teal (adj.)</t>
  </si>
  <si>
    <t>sarcelle (turquoise clair)</t>
  </si>
  <si>
    <t>teignant (adj.)</t>
  </si>
  <si>
    <t>d'autant plus que …</t>
  </si>
  <si>
    <t>especially since …</t>
  </si>
  <si>
    <t>a daisy</t>
  </si>
  <si>
    <t>une paquerette / un homme gentil</t>
  </si>
  <si>
    <t>a flee</t>
  </si>
  <si>
    <t>une puce</t>
  </si>
  <si>
    <t>a capstone</t>
  </si>
  <si>
    <t>une pierre angulaire</t>
  </si>
  <si>
    <t>frill (adj.)</t>
  </si>
  <si>
    <t>battered</t>
  </si>
  <si>
    <t>bosselé, cabossé</t>
  </si>
  <si>
    <t>to crumple</t>
  </si>
  <si>
    <t>froisser</t>
  </si>
  <si>
    <t>une tranche de la population</t>
  </si>
  <si>
    <t>la couverture (sociale ou médiatique)</t>
  </si>
  <si>
    <t>to power up</t>
  </si>
  <si>
    <t>mettre sous tension</t>
  </si>
  <si>
    <t>straight off the bat</t>
  </si>
  <si>
    <t>lingo (common name)</t>
  </si>
  <si>
    <t>le jargon, le charabia</t>
  </si>
  <si>
    <t>wads of cash</t>
  </si>
  <si>
    <t>des liasses de billets</t>
  </si>
  <si>
    <t>antics (common name)</t>
  </si>
  <si>
    <t>des bouffonneries</t>
  </si>
  <si>
    <t>to avert</t>
  </si>
  <si>
    <t>a moose</t>
  </si>
  <si>
    <t>un élan</t>
  </si>
  <si>
    <t>gooey (adj.)</t>
  </si>
  <si>
    <t>gluant</t>
  </si>
  <si>
    <t>la fraude fiscale</t>
  </si>
  <si>
    <t>a sticker</t>
  </si>
  <si>
    <t>un autocollant</t>
  </si>
  <si>
    <t>a garment</t>
  </si>
  <si>
    <t>un vêtement, un habit</t>
  </si>
  <si>
    <t>a shoehorn</t>
  </si>
  <si>
    <t>un chausse-pied</t>
  </si>
  <si>
    <t>an umpire</t>
  </si>
  <si>
    <t>un arbitre / un juge de chaise</t>
  </si>
  <si>
    <t>to douse</t>
  </si>
  <si>
    <t>aft (adv.)</t>
  </si>
  <si>
    <t>à l'arrière (d'un navire)</t>
  </si>
  <si>
    <t>squalid (adj.)</t>
  </si>
  <si>
    <t>to cringe</t>
  </si>
  <si>
    <t>grimacer</t>
  </si>
  <si>
    <t>to haggle over</t>
  </si>
  <si>
    <t>bantering (adj.)</t>
  </si>
  <si>
    <t>goguenard</t>
  </si>
  <si>
    <t>le flirt</t>
  </si>
  <si>
    <t>gallivanting (common name)</t>
  </si>
  <si>
    <t>a fulcrum</t>
  </si>
  <si>
    <t>un point d'appui</t>
  </si>
  <si>
    <t>to recant</t>
  </si>
  <si>
    <t>a sieve</t>
  </si>
  <si>
    <t>un tamis</t>
  </si>
  <si>
    <t>an uptick</t>
  </si>
  <si>
    <t>une hausse</t>
  </si>
  <si>
    <t>to latch on</t>
  </si>
  <si>
    <t>s'accrocher</t>
  </si>
  <si>
    <t>to wiggle</t>
  </si>
  <si>
    <t>skimming (common name)</t>
  </si>
  <si>
    <t>scot-free (adj.)</t>
  </si>
  <si>
    <t>acquitté</t>
  </si>
  <si>
    <t>dapper (adj.)</t>
  </si>
  <si>
    <t>a heatsink</t>
  </si>
  <si>
    <t>un dissipateur de chaleur</t>
  </si>
  <si>
    <t>crutches (plural common name)</t>
  </si>
  <si>
    <t>des maniganceries</t>
  </si>
  <si>
    <t>shenanigans (common name)</t>
  </si>
  <si>
    <t>litmus paper</t>
  </si>
  <si>
    <t>le papier pH</t>
  </si>
  <si>
    <t>to tidy up</t>
  </si>
  <si>
    <t>a tipoff</t>
  </si>
  <si>
    <t>une dénonciation</t>
  </si>
  <si>
    <t>a mace</t>
  </si>
  <si>
    <t>une massue</t>
  </si>
  <si>
    <t>crufty (adj.)</t>
  </si>
  <si>
    <t>cruel</t>
  </si>
  <si>
    <t>flippant (adj.)</t>
  </si>
  <si>
    <t>désinvolte</t>
  </si>
  <si>
    <t>dregs (common name)</t>
  </si>
  <si>
    <t>la lie (du vin, …)</t>
  </si>
  <si>
    <t>a bevy</t>
  </si>
  <si>
    <t>une bande</t>
  </si>
  <si>
    <t>wholesome (adj.)</t>
  </si>
  <si>
    <t>a girder</t>
  </si>
  <si>
    <t>une poutre, un longeron</t>
  </si>
  <si>
    <t>a brood</t>
  </si>
  <si>
    <t>une couvée</t>
  </si>
  <si>
    <t>a showdown</t>
  </si>
  <si>
    <t>une épreuve de force, une confrontation</t>
  </si>
  <si>
    <t>Pas le temps de lanterner ! / Pas de temps à perdre !</t>
  </si>
  <si>
    <t>moche / poisseux, collant</t>
  </si>
  <si>
    <t>rouge (particulièrement du visage d'une personne)</t>
  </si>
  <si>
    <t>and you name it (expr.)</t>
  </si>
  <si>
    <t>et tout ce que vous pouvez imaginer</t>
  </si>
  <si>
    <t>an utterance</t>
  </si>
  <si>
    <t>une énonciation</t>
  </si>
  <si>
    <t>a fallback</t>
  </si>
  <si>
    <t>une solution de repli</t>
  </si>
  <si>
    <t>un produit dérivé</t>
  </si>
  <si>
    <t>importantly</t>
  </si>
  <si>
    <t>surtout</t>
  </si>
  <si>
    <t>on and on</t>
  </si>
  <si>
    <t>encore et encore</t>
  </si>
  <si>
    <t>an aisle</t>
  </si>
  <si>
    <t>un rayon (de magasin), une allée</t>
  </si>
  <si>
    <t>stodgy</t>
  </si>
  <si>
    <t>lourd, indigeste, bourratif</t>
  </si>
  <si>
    <t>la surveillance</t>
  </si>
  <si>
    <t>proctoring (common name)</t>
  </si>
  <si>
    <t>gruff (adj.)</t>
  </si>
  <si>
    <t>bourru, brusque, grossier</t>
  </si>
  <si>
    <t>a gambit</t>
  </si>
  <si>
    <t>une manœuvre</t>
  </si>
  <si>
    <t>lust (common name)</t>
  </si>
  <si>
    <t>a snowflake</t>
  </si>
  <si>
    <t>un flocon de neige</t>
  </si>
  <si>
    <t>a barn</t>
  </si>
  <si>
    <t>une grange, une étable</t>
  </si>
  <si>
    <t>to throttle</t>
  </si>
  <si>
    <t>étrangler / accélérer</t>
  </si>
  <si>
    <t>to neigh</t>
  </si>
  <si>
    <t>hennir</t>
  </si>
  <si>
    <t>a bairn</t>
  </si>
  <si>
    <t>un enfant</t>
  </si>
  <si>
    <t>to rue</t>
  </si>
  <si>
    <t>regretter, se repentir</t>
  </si>
  <si>
    <t>méchant, mauvais, inique</t>
  </si>
  <si>
    <t>wicked (adj.)</t>
  </si>
  <si>
    <t>outwitted</t>
  </si>
  <si>
    <t>déjoué</t>
  </si>
  <si>
    <t>dotage (common name)</t>
  </si>
  <si>
    <t>l'âge gâteux, la seconde enfance</t>
  </si>
  <si>
    <t>to snarl</t>
  </si>
  <si>
    <t>gronder, grogner</t>
  </si>
  <si>
    <t>bellows (common name, singular)</t>
  </si>
  <si>
    <t>un soufflet, une soufflerie</t>
  </si>
  <si>
    <t>a jiffy</t>
  </si>
  <si>
    <t>un instant, une seconde</t>
  </si>
  <si>
    <t>a tub</t>
  </si>
  <si>
    <t>un bac, une baignoire</t>
  </si>
  <si>
    <t>to snivel</t>
  </si>
  <si>
    <t>pleurnicher, larmoyer</t>
  </si>
  <si>
    <t>to turn away sbdy</t>
  </si>
  <si>
    <t>chasser, envoyer promener, rejeter qn</t>
  </si>
  <si>
    <t>to sift</t>
  </si>
  <si>
    <t>tamiser, passer au crible</t>
  </si>
  <si>
    <t>gréer / truquer, manipuler // une plate-forme</t>
  </si>
  <si>
    <t>snappy</t>
  </si>
  <si>
    <t>vif, dynamique</t>
  </si>
  <si>
    <t>wacky</t>
  </si>
  <si>
    <t>farfelu</t>
  </si>
  <si>
    <t>underwhelming (adj.)</t>
  </si>
  <si>
    <t>the bark / to bark</t>
  </si>
  <si>
    <t>l'écorce / aboyer</t>
  </si>
  <si>
    <t>deflated</t>
  </si>
  <si>
    <t>dégonflé</t>
  </si>
  <si>
    <t>to squint</t>
  </si>
  <si>
    <t>loucher / plisser les yeux</t>
  </si>
  <si>
    <t>up and running</t>
  </si>
  <si>
    <t>opérationnel</t>
  </si>
  <si>
    <t>l'étain / une boîte de conserve</t>
  </si>
  <si>
    <t>an impersonator</t>
  </si>
  <si>
    <t>to entwine</t>
  </si>
  <si>
    <t>enlacer</t>
  </si>
  <si>
    <t>stonks (common name)</t>
  </si>
  <si>
    <t>des actions financières</t>
  </si>
  <si>
    <t>un dossier / un annuaire, les renseignements</t>
  </si>
  <si>
    <t>to mitigate</t>
  </si>
  <si>
    <t>atténuer, réduire / mitiger</t>
  </si>
  <si>
    <t>I urged him to accept.</t>
  </si>
  <si>
    <t>chantonner, répéter d'une voix chantante (tables de multiplications, …)</t>
  </si>
  <si>
    <t>to equate</t>
  </si>
  <si>
    <t>assimiler</t>
  </si>
  <si>
    <t>to taper off</t>
  </si>
  <si>
    <t>(s') estomper</t>
  </si>
  <si>
    <t>a groom</t>
  </si>
  <si>
    <t>un jeune marié / un valet d'écurie</t>
  </si>
  <si>
    <t>to groom</t>
  </si>
  <si>
    <t>panser / préparer</t>
  </si>
  <si>
    <t>a covenant</t>
  </si>
  <si>
    <t>un engagement / un accord</t>
  </si>
  <si>
    <t>lisse, brillant / élégant</t>
  </si>
  <si>
    <t>a subpoena</t>
  </si>
  <si>
    <t>une assignation à comparaître</t>
  </si>
  <si>
    <t>a grove</t>
  </si>
  <si>
    <t>un bosquet, un jardin</t>
  </si>
  <si>
    <t>bleach (common name)</t>
  </si>
  <si>
    <t>lye (common name)</t>
  </si>
  <si>
    <t>la lessive</t>
  </si>
  <si>
    <t>thrush (common name)</t>
  </si>
  <si>
    <t>du muguet / une grive / la mycose vaginale</t>
  </si>
  <si>
    <t>to rant</t>
  </si>
  <si>
    <t>divaguer / parler avec emphase</t>
  </si>
  <si>
    <t>s’intensifier, monter en flèche / remonter un problème</t>
  </si>
  <si>
    <t>to botch</t>
  </si>
  <si>
    <t>bousiller, saboter / rafistoler</t>
  </si>
  <si>
    <t>anéantir définitivement (fam.)</t>
  </si>
  <si>
    <t>l'abondance, la richesse</t>
  </si>
  <si>
    <t>to no avail / with no avail</t>
  </si>
  <si>
    <t>to gloss</t>
  </si>
  <si>
    <t>briller, faire briller / commenter, interpréter</t>
  </si>
  <si>
    <t>le ventre (fam.)</t>
  </si>
  <si>
    <t>splits (common name)</t>
  </si>
  <si>
    <t>le grand écart</t>
  </si>
  <si>
    <t>the tummy (coll.)</t>
  </si>
  <si>
    <t>no brainer (coll.)</t>
  </si>
  <si>
    <t>sans prise de tête</t>
  </si>
  <si>
    <t>bonafide (adj.)</t>
  </si>
  <si>
    <t>a doppelganger</t>
  </si>
  <si>
    <t>un sosie</t>
  </si>
  <si>
    <t>Odds are that …</t>
  </si>
  <si>
    <t>Il est très probable que …</t>
  </si>
  <si>
    <t>to saunter</t>
  </si>
  <si>
    <t>flâner, se balader</t>
  </si>
  <si>
    <t>foregone (adj.)</t>
  </si>
  <si>
    <t xml:space="preserve">prédéterminé, couru d'avance </t>
  </si>
  <si>
    <t>a flicker</t>
  </si>
  <si>
    <t>un vacillement / une lueur</t>
  </si>
  <si>
    <t>matter-of-fact (adj.)</t>
  </si>
  <si>
    <t>intraitable, indocile / insoluble</t>
  </si>
  <si>
    <t>soothing (adj.)</t>
  </si>
  <si>
    <t>a guestbook</t>
  </si>
  <si>
    <t>un livre d'or</t>
  </si>
  <si>
    <t>letdown (common name)</t>
  </si>
  <si>
    <t>a recumbent</t>
  </si>
  <si>
    <t>Chaque chose en son temps.</t>
  </si>
  <si>
    <t>to rig // a rig (IT)</t>
  </si>
  <si>
    <t>éteindre / tremper</t>
  </si>
  <si>
    <t>serendipituous (adj.)</t>
  </si>
  <si>
    <t>fortuit, découvert par hasard et avec bonheur</t>
  </si>
  <si>
    <t>a blowback</t>
  </si>
  <si>
    <t>un retour de flamme</t>
  </si>
  <si>
    <t>a moat</t>
  </si>
  <si>
    <t>un fossé, les douves</t>
  </si>
  <si>
    <t>at the whim of …</t>
  </si>
  <si>
    <t>au gré de …</t>
  </si>
  <si>
    <t>to sow</t>
  </si>
  <si>
    <t>semer</t>
  </si>
  <si>
    <t>to smear</t>
  </si>
  <si>
    <t>diffamer</t>
  </si>
  <si>
    <t>innards (common name)</t>
  </si>
  <si>
    <t>les entrailles</t>
  </si>
  <si>
    <t>a duct</t>
  </si>
  <si>
    <t>un canal, une conduite</t>
  </si>
  <si>
    <t>a puck</t>
  </si>
  <si>
    <t>un palet</t>
  </si>
  <si>
    <t>a water tower</t>
  </si>
  <si>
    <t>un château d'eau</t>
  </si>
  <si>
    <t>une faute professionnelle / une négligence</t>
  </si>
  <si>
    <t>la déception / la fatigue</t>
  </si>
  <si>
    <t>a hedgedog</t>
  </si>
  <si>
    <t>un hérisson</t>
  </si>
  <si>
    <t>a sickle</t>
  </si>
  <si>
    <t>une faucille</t>
  </si>
  <si>
    <t>to dawdle</t>
  </si>
  <si>
    <t>lambiner, flâner</t>
  </si>
  <si>
    <t>a pulley</t>
  </si>
  <si>
    <t>une poulie</t>
  </si>
  <si>
    <t>gloom (common name)</t>
  </si>
  <si>
    <t>l'obscurité / la tristesse, la mélancolie</t>
  </si>
  <si>
    <t>a landline</t>
  </si>
  <si>
    <t>un téléphone fixe</t>
  </si>
  <si>
    <t>fringe benefits / fringe</t>
  </si>
  <si>
    <t>les avantages divers / marginal</t>
  </si>
  <si>
    <t>se rétracter</t>
  </si>
  <si>
    <t>le sommet</t>
  </si>
  <si>
    <t>the vertex (plural: vertices)</t>
  </si>
  <si>
    <t>Questions posées</t>
  </si>
  <si>
    <t>a roundabout</t>
  </si>
  <si>
    <t>un rond-point / un manège</t>
  </si>
  <si>
    <t>"m subscript train"</t>
  </si>
  <si>
    <t>an uptake</t>
  </si>
  <si>
    <t>une absorption</t>
  </si>
  <si>
    <t>a thread</t>
  </si>
  <si>
    <t>un fil / un filetage</t>
  </si>
  <si>
    <t>a skirt / to skirt</t>
  </si>
  <si>
    <t>une jupe / contourner, esquiver</t>
  </si>
  <si>
    <t>to teardown</t>
  </si>
  <si>
    <t>démolir / démonter</t>
  </si>
  <si>
    <t>to clinch</t>
  </si>
  <si>
    <t>river, attacher / décrocher</t>
  </si>
  <si>
    <t>fodder (common name)</t>
  </si>
  <si>
    <t>du fourrage, du foin</t>
  </si>
  <si>
    <t>un manque à gagner / un montant insuffisant</t>
  </si>
  <si>
    <t>handily</t>
  </si>
  <si>
    <t>facilement</t>
  </si>
  <si>
    <t>to embolden</t>
  </si>
  <si>
    <t>enhardir</t>
  </si>
  <si>
    <t>lourd, gros / costaud</t>
  </si>
  <si>
    <t>a warren</t>
  </si>
  <si>
    <t>un terrier, une garenne / un dédale</t>
  </si>
  <si>
    <t>fiddling (adj.)</t>
  </si>
  <si>
    <t>a thigh</t>
  </si>
  <si>
    <t>a peephole</t>
  </si>
  <si>
    <t>un judas</t>
  </si>
  <si>
    <t>a puppy</t>
  </si>
  <si>
    <t>un chiot, un petit chien</t>
  </si>
  <si>
    <t>un parloir / un petit salon, une arrière-salle</t>
  </si>
  <si>
    <t>a ledge</t>
  </si>
  <si>
    <t>un rebord, une saillie</t>
  </si>
  <si>
    <t>to foil</t>
  </si>
  <si>
    <t>déjouer / tirer au sabre</t>
  </si>
  <si>
    <t>a surmise</t>
  </si>
  <si>
    <t>une conjecture, une hypothèse</t>
  </si>
  <si>
    <t>bosom (common name)</t>
  </si>
  <si>
    <t>le sein, la poitrine</t>
  </si>
  <si>
    <t>to capsize</t>
  </si>
  <si>
    <t>chavirer, se renverser</t>
  </si>
  <si>
    <t>a pod</t>
  </si>
  <si>
    <t>provision (common name)</t>
  </si>
  <si>
    <t>dorky</t>
  </si>
  <si>
    <t>idiot</t>
  </si>
  <si>
    <t>rogner / surgir / récolter</t>
  </si>
  <si>
    <t>crawfish (common name)</t>
  </si>
  <si>
    <t>l'écrevisse</t>
  </si>
  <si>
    <t>idiosyncrasy (common name)</t>
  </si>
  <si>
    <t>la particularité</t>
  </si>
  <si>
    <t>clogs (common name)</t>
  </si>
  <si>
    <t>to clog</t>
  </si>
  <si>
    <t>boucher, engorger</t>
  </si>
  <si>
    <t>to rave</t>
  </si>
  <si>
    <t>délirer / parler avec enthousiasme</t>
  </si>
  <si>
    <t>duress (common name)</t>
  </si>
  <si>
    <t>la contrainte</t>
  </si>
  <si>
    <t>l'eau de javel</t>
  </si>
  <si>
    <t>a valedictorian</t>
  </si>
  <si>
    <t>un major de promotion</t>
  </si>
  <si>
    <t>on the go</t>
  </si>
  <si>
    <t>prêt à partir / très efficace</t>
  </si>
  <si>
    <t>fungible</t>
  </si>
  <si>
    <t>interchangeable</t>
  </si>
  <si>
    <t>tentaculaire</t>
  </si>
  <si>
    <t>sprawling (adj.)</t>
  </si>
  <si>
    <t>cornucopia (common name)</t>
  </si>
  <si>
    <t>la corne d'abondance</t>
  </si>
  <si>
    <t>rye (common name)</t>
  </si>
  <si>
    <t>le seigle</t>
  </si>
  <si>
    <t>hop (common name)</t>
  </si>
  <si>
    <t>le houblon</t>
  </si>
  <si>
    <t>a badger</t>
  </si>
  <si>
    <t>a dork (coll.)</t>
  </si>
  <si>
    <t>un blaireau (insulte)</t>
  </si>
  <si>
    <t>a headful of</t>
  </si>
  <si>
    <t>un bon nombre de</t>
  </si>
  <si>
    <t>to speckle</t>
  </si>
  <si>
    <t>tacheter, moucheter</t>
  </si>
  <si>
    <t>a rhombus</t>
  </si>
  <si>
    <t>un losange</t>
  </si>
  <si>
    <t>pourrir, devenir périmé</t>
  </si>
  <si>
    <t>partway</t>
  </si>
  <si>
    <t>à mi-chemin</t>
  </si>
  <si>
    <t>to start back at square one</t>
  </si>
  <si>
    <t>revenir à la case départ</t>
  </si>
  <si>
    <t>a ridge</t>
  </si>
  <si>
    <t>a pallbearer</t>
  </si>
  <si>
    <t>un porteur funéraire</t>
  </si>
  <si>
    <t>a countertop</t>
  </si>
  <si>
    <t>un comptoir</t>
  </si>
  <si>
    <t>port and starboard</t>
  </si>
  <si>
    <t>babord et tribord</t>
  </si>
  <si>
    <t>fidgety</t>
  </si>
  <si>
    <t>agité</t>
  </si>
  <si>
    <t>a ferret</t>
  </si>
  <si>
    <t>un furet</t>
  </si>
  <si>
    <t>rollpicking (adj.)</t>
  </si>
  <si>
    <t>La frontière de l'espace (métaphorique)</t>
  </si>
  <si>
    <t>ampersand</t>
  </si>
  <si>
    <t>le caractère "&amp;"</t>
  </si>
  <si>
    <t>être en bonne forme</t>
  </si>
  <si>
    <t>a knicker</t>
  </si>
  <si>
    <t>une culotte</t>
  </si>
  <si>
    <t>to ponder</t>
  </si>
  <si>
    <t>a crossbow</t>
  </si>
  <si>
    <t>une arbalète</t>
  </si>
  <si>
    <t>un droit (préférentiel) de souscription</t>
  </si>
  <si>
    <t>paucity (common name)</t>
  </si>
  <si>
    <t>le manque</t>
  </si>
  <si>
    <t>a pageants</t>
  </si>
  <si>
    <t>un concours (de beauté, …)</t>
  </si>
  <si>
    <t>a wonk</t>
  </si>
  <si>
    <t>un fou, un idiot</t>
  </si>
  <si>
    <t>a paw</t>
  </si>
  <si>
    <t>une patte</t>
  </si>
  <si>
    <t>une nacelle, une capsule / une sacoche</t>
  </si>
  <si>
    <t>un enregistrement / une exploitation forestière</t>
  </si>
  <si>
    <t>a linchpin</t>
  </si>
  <si>
    <t>un pivot</t>
  </si>
  <si>
    <t>la bastonnade (châtiment)</t>
  </si>
  <si>
    <t>l'angoisse / le supplice</t>
  </si>
  <si>
    <t>untoward (adj.)</t>
  </si>
  <si>
    <t>a key fob</t>
  </si>
  <si>
    <t>un porte-clés</t>
  </si>
  <si>
    <t>an abbot</t>
  </si>
  <si>
    <t>un abbé</t>
  </si>
  <si>
    <t>a mermaid</t>
  </si>
  <si>
    <t>une sirène</t>
  </si>
  <si>
    <t>tracasser / énerver</t>
  </si>
  <si>
    <t>premises (adj.) (prèmissiz)</t>
  </si>
  <si>
    <t>an egress</t>
  </si>
  <si>
    <t>une sortie, une issue</t>
  </si>
  <si>
    <t>un basculement</t>
  </si>
  <si>
    <t>a failover (IT)</t>
  </si>
  <si>
    <t>caning (common name)</t>
  </si>
  <si>
    <t>peser le pour et le contre</t>
  </si>
  <si>
    <t>Heating, ventilation, and air conditioning</t>
  </si>
  <si>
    <t>HVAC</t>
  </si>
  <si>
    <t>a whitepaper</t>
  </si>
  <si>
    <t>dank (adj.)</t>
  </si>
  <si>
    <t>damp (adj.)</t>
  </si>
  <si>
    <t>a squabble</t>
  </si>
  <si>
    <t>une dispute</t>
  </si>
  <si>
    <t>anguish (common name)</t>
  </si>
  <si>
    <t>le moment critique, le grand tournant / le bassin versant</t>
  </si>
  <si>
    <t>a dealership</t>
  </si>
  <si>
    <t>une concession / une procuration</t>
  </si>
  <si>
    <t>a headwind</t>
  </si>
  <si>
    <t>un vent contraire</t>
  </si>
  <si>
    <t>a simile</t>
  </si>
  <si>
    <t>une comparaison</t>
  </si>
  <si>
    <t>a primer</t>
  </si>
  <si>
    <t>un apprêt / un premier livre</t>
  </si>
  <si>
    <t>une allocation, une indemnité / une réduction, un rabais</t>
  </si>
  <si>
    <t>steadfast</t>
  </si>
  <si>
    <t>inébranlable / fidèle</t>
  </si>
  <si>
    <t>au moment où cette vidéo est enregistrée</t>
  </si>
  <si>
    <t>as of this recording (expr.)</t>
  </si>
  <si>
    <t>offspring (common name)</t>
  </si>
  <si>
    <t>la progéniture / le résultat</t>
  </si>
  <si>
    <t>gimp (adj.)</t>
  </si>
  <si>
    <t>boiteux</t>
  </si>
  <si>
    <t>to sire</t>
  </si>
  <si>
    <t>a headstart</t>
  </si>
  <si>
    <t>cordoned</t>
  </si>
  <si>
    <t>encerclé</t>
  </si>
  <si>
    <t>disputably</t>
  </si>
  <si>
    <t>inconstestablement</t>
  </si>
  <si>
    <t>calves (common name)</t>
  </si>
  <si>
    <t>les mollets</t>
  </si>
  <si>
    <t>a kingpin</t>
  </si>
  <si>
    <t>un pivot central</t>
  </si>
  <si>
    <t>une chaîne / un voile</t>
  </si>
  <si>
    <t>choppy</t>
  </si>
  <si>
    <t>agité, houleux</t>
  </si>
  <si>
    <t>une courroie crantée</t>
  </si>
  <si>
    <t>un taraudage</t>
  </si>
  <si>
    <t>a timing belt (tech.)</t>
  </si>
  <si>
    <t>a tapping (tech.)</t>
  </si>
  <si>
    <t>a bolt</t>
  </si>
  <si>
    <t>un boulon</t>
  </si>
  <si>
    <t>a rod</t>
  </si>
  <si>
    <t>une baguette / une tringle</t>
  </si>
  <si>
    <t>a spring</t>
  </si>
  <si>
    <t>un ressort</t>
  </si>
  <si>
    <t>une crête, une arête</t>
  </si>
  <si>
    <t>at the behest of</t>
  </si>
  <si>
    <t>à la demande de</t>
  </si>
  <si>
    <t>a paper trail</t>
  </si>
  <si>
    <t>backward (adj.) / a backward</t>
  </si>
  <si>
    <t>des articles divers</t>
  </si>
  <si>
    <t>tamper-proof</t>
  </si>
  <si>
    <t>inviolable</t>
  </si>
  <si>
    <t>to engulf</t>
  </si>
  <si>
    <t>engloutir / sombrer dans</t>
  </si>
  <si>
    <t>a pall</t>
  </si>
  <si>
    <t>un voile / un pallium</t>
  </si>
  <si>
    <t>des tourbillons</t>
  </si>
  <si>
    <t>bespoke (adj.)</t>
  </si>
  <si>
    <t>a groundskeeper</t>
  </si>
  <si>
    <t>un jardinier</t>
  </si>
  <si>
    <t>a ballpark</t>
  </si>
  <si>
    <t>un stade de baseball</t>
  </si>
  <si>
    <t>Et voilà !</t>
  </si>
  <si>
    <t>And Bob's your uncle!</t>
  </si>
  <si>
    <t>surnommé … / doublé</t>
  </si>
  <si>
    <t>adopter une politique ferme (face à de l'opposition)</t>
  </si>
  <si>
    <t>upfront (adj.) / an upfront payment</t>
  </si>
  <si>
    <t>franc / un paiement initial</t>
  </si>
  <si>
    <t>a sash</t>
  </si>
  <si>
    <t>Her work at the factory has put her off chocolate.</t>
  </si>
  <si>
    <t>Son travail à l'usine l'a dégoûtée du chocolat.</t>
  </si>
  <si>
    <t>wheel spokes</t>
  </si>
  <si>
    <t>les rayons d'une roue</t>
  </si>
  <si>
    <t>hemp (common name)</t>
  </si>
  <si>
    <t>le chanvre</t>
  </si>
  <si>
    <t>a sprocket</t>
  </si>
  <si>
    <t>un pignon (de vélo)</t>
  </si>
  <si>
    <t>to cling</t>
  </si>
  <si>
    <t>se cramponner / enlacer</t>
  </si>
  <si>
    <t>second to none (expr.)</t>
  </si>
  <si>
    <t>incomparable</t>
  </si>
  <si>
    <t>"m indice train"</t>
  </si>
  <si>
    <t>nimble (adj.)</t>
  </si>
  <si>
    <t>to swelter</t>
  </si>
  <si>
    <t>étouffer de chaleur</t>
  </si>
  <si>
    <t>crass (adj.)</t>
  </si>
  <si>
    <t>a fire hydrant</t>
  </si>
  <si>
    <t>une bouche d'incendie</t>
  </si>
  <si>
    <t>a slinter</t>
  </si>
  <si>
    <t>un éclat</t>
  </si>
  <si>
    <t>a bushel</t>
  </si>
  <si>
    <t>un boisseau</t>
  </si>
  <si>
    <t>douteux</t>
  </si>
  <si>
    <t>un contremaître</t>
  </si>
  <si>
    <t>to kibosh (coll.)</t>
  </si>
  <si>
    <t>outright (adv.)</t>
  </si>
  <si>
    <t>unary minus</t>
  </si>
  <si>
    <t>le signe moins "-"</t>
  </si>
  <si>
    <t>a guesswork</t>
  </si>
  <si>
    <t>une conjecture</t>
  </si>
  <si>
    <t>limitrophe</t>
  </si>
  <si>
    <t>conterminous</t>
  </si>
  <si>
    <t xml:space="preserve"> de la boue</t>
  </si>
  <si>
    <t>une ceinture / une écharpe</t>
  </si>
  <si>
    <t>a speeding ticket</t>
  </si>
  <si>
    <t>grudge (common name)</t>
  </si>
  <si>
    <t>la rancune</t>
  </si>
  <si>
    <t>a crib</t>
  </si>
  <si>
    <t>un lit de bébé / une cage</t>
  </si>
  <si>
    <t>un embauchoir</t>
  </si>
  <si>
    <t>a shoe tree</t>
  </si>
  <si>
    <t>an appendage</t>
  </si>
  <si>
    <t>un appendice</t>
  </si>
  <si>
    <t>aspen (common name)</t>
  </si>
  <si>
    <t>le tremble</t>
  </si>
  <si>
    <t>a punnet</t>
  </si>
  <si>
    <t>une barquette</t>
  </si>
  <si>
    <t>to disrupt</t>
  </si>
  <si>
    <t>perturber</t>
  </si>
  <si>
    <t>uncough (adj.)</t>
  </si>
  <si>
    <t>grossier, incongru</t>
  </si>
  <si>
    <t>musings (common name)</t>
  </si>
  <si>
    <t>des rêveries / des réflexions</t>
  </si>
  <si>
    <t>to lop off</t>
  </si>
  <si>
    <t>couper, tronquer</t>
  </si>
  <si>
    <t>a yard sale</t>
  </si>
  <si>
    <t>un vide-grenier</t>
  </si>
  <si>
    <t>les jeux de société</t>
  </si>
  <si>
    <t>board games (common name)</t>
  </si>
  <si>
    <t>humongous (adj.)</t>
  </si>
  <si>
    <t>énorme</t>
  </si>
  <si>
    <t>stiff (adj.)</t>
  </si>
  <si>
    <t>tweezers (common name)</t>
  </si>
  <si>
    <t>une pince à épiler</t>
  </si>
  <si>
    <t>tongs (common name)</t>
  </si>
  <si>
    <t>des pinces de cuisine</t>
  </si>
  <si>
    <t>brazen (adj.)</t>
  </si>
  <si>
    <t>a hangover</t>
  </si>
  <si>
    <t>une gueule de bois</t>
  </si>
  <si>
    <t>une rive, une berge / un flan / un blanc</t>
  </si>
  <si>
    <t>une dame de ménage / un teinturier</t>
  </si>
  <si>
    <t>un rapport d'autorité donnant des information ou des propositions sur un sujet</t>
  </si>
  <si>
    <t>to come into being</t>
  </si>
  <si>
    <t>naître</t>
  </si>
  <si>
    <t>Taux</t>
  </si>
  <si>
    <t>un moulin à paroles / une personne intarissable</t>
  </si>
  <si>
    <t>a broad swath</t>
  </si>
  <si>
    <t>un large éventail</t>
  </si>
  <si>
    <t>I was hoping to be able to see you next week.</t>
  </si>
  <si>
    <t>J'espérais pouvoir te voir la semaine prochaine.</t>
  </si>
  <si>
    <t>scant (adj.)</t>
  </si>
  <si>
    <t>The batsman threw the ball at the wicket.</t>
  </si>
  <si>
    <t>The singsong voice of children reciting tables.</t>
  </si>
  <si>
    <t>By mutual agreement, they went their separate ways.</t>
  </si>
  <si>
    <t>un volet / un obturateur</t>
  </si>
  <si>
    <t>Anglais</t>
  </si>
  <si>
    <t>Français</t>
  </si>
  <si>
    <t>une redondance / un licenciement</t>
  </si>
  <si>
    <t>licencier / abandonner / rejeter</t>
  </si>
  <si>
    <t>cogent (adj.)</t>
  </si>
  <si>
    <t>convaincant</t>
  </si>
  <si>
    <t>gilt (adj.)</t>
  </si>
  <si>
    <t>éperdu</t>
  </si>
  <si>
    <t>distraught (adj.)</t>
  </si>
  <si>
    <t>pithy (adj.)</t>
  </si>
  <si>
    <t>une publication, une parution / une libération</t>
  </si>
  <si>
    <t>stalwart (adj.)</t>
  </si>
  <si>
    <t>l'accent aigu</t>
  </si>
  <si>
    <t>acute accent (common name)</t>
  </si>
  <si>
    <t>un seuil / un barrage</t>
  </si>
  <si>
    <t>to evict</t>
  </si>
  <si>
    <t>desperation (common name)</t>
  </si>
  <si>
    <t>une amende pour excès de vitesse</t>
  </si>
  <si>
    <t>taché / coloré</t>
  </si>
  <si>
    <t>to grapple with</t>
  </si>
  <si>
    <t>lutter avec</t>
  </si>
  <si>
    <t>un série de documents apportant la preuve de l'activité d'une personne ou d'une organisation</t>
  </si>
  <si>
    <t>swift (adj.)</t>
  </si>
  <si>
    <t>to lull</t>
  </si>
  <si>
    <t>bercer, apaiser, calmer</t>
  </si>
  <si>
    <t>Dis-lui bonjour de ma part.</t>
  </si>
  <si>
    <t>tardiness (common name)</t>
  </si>
  <si>
    <t>la lenteur / le manque de ponctualité</t>
  </si>
  <si>
    <t>It would behoove you to learn from them as well.</t>
  </si>
  <si>
    <t>Il vous appartiendrait d'apprendre d'eux également.</t>
  </si>
  <si>
    <t>a trinket</t>
  </si>
  <si>
    <t>un bibelot, une babiole</t>
  </si>
  <si>
    <t>expulser / récupérer</t>
  </si>
  <si>
    <t>amorcer / des attaches de bottes</t>
  </si>
  <si>
    <t>to bootstrap / bootstraps</t>
  </si>
  <si>
    <t>de peur de …</t>
  </si>
  <si>
    <t>unassailable (adj.)</t>
  </si>
  <si>
    <t>inattaquable</t>
  </si>
  <si>
    <t>slack (adj.)</t>
  </si>
  <si>
    <t>ironclad (adj.)</t>
  </si>
  <si>
    <t>cuirassé</t>
  </si>
  <si>
    <t>to shrivel</t>
  </si>
  <si>
    <t>se ratatiner</t>
  </si>
  <si>
    <t>a bailiff</t>
  </si>
  <si>
    <t>un huissier</t>
  </si>
  <si>
    <t>a blooper</t>
  </si>
  <si>
    <t>un bêtisier</t>
  </si>
  <si>
    <t>J'ai beaucoup fumé dans ma jeunesse.</t>
  </si>
  <si>
    <t>Ayant mangé plus que d'habitude, je suis tombé malade.</t>
  </si>
  <si>
    <t>Elle aurait pu gagner le concours de beauté, si seulement elle n'en avait pas qu'à sa tête.</t>
  </si>
  <si>
    <t>La voix chantonnante des enfants récitant les tables de multiplication.</t>
  </si>
  <si>
    <t>J'ai été content de recevoir une lettre de sa part hier.</t>
  </si>
  <si>
    <t>J'aurais aimé que Paule leur dise la vérité.</t>
  </si>
  <si>
    <t>J'aurais préféré que tu ne me le dises pas.</t>
  </si>
  <si>
    <t>Hilary était assise à la coiffeuse, peignant ses cheveux.</t>
  </si>
  <si>
    <t>I'm getting thirsty.</t>
  </si>
  <si>
    <t>Je commence à avoir soif.</t>
  </si>
  <si>
    <t>Suivez cette rue jusqu'au carrefour.</t>
  </si>
  <si>
    <t>a pothole</t>
  </si>
  <si>
    <t>un nid-de-poule</t>
  </si>
  <si>
    <t>ruggedly</t>
  </si>
  <si>
    <t>durement</t>
  </si>
  <si>
    <t>a pitcher</t>
  </si>
  <si>
    <t>un pichet, une cruche, un broc</t>
  </si>
  <si>
    <t>a toll plaza</t>
  </si>
  <si>
    <t>to weed</t>
  </si>
  <si>
    <t>désherber</t>
  </si>
  <si>
    <t>a timeout</t>
  </si>
  <si>
    <t>un temps mort / une pause</t>
  </si>
  <si>
    <t>menial (adj.)</t>
  </si>
  <si>
    <t>subalterne, (tâche) domestique</t>
  </si>
  <si>
    <t>fleece (common name)</t>
  </si>
  <si>
    <t>la toison / le flocon</t>
  </si>
  <si>
    <t>wye (common name)</t>
  </si>
  <si>
    <t>le y grec</t>
  </si>
  <si>
    <t>un type de fromage blanc / un cabot, un sale chien</t>
  </si>
  <si>
    <t>Nombre de Nb</t>
  </si>
  <si>
    <t>Mon frère est tombé amoureux d'elle.</t>
  </si>
  <si>
    <t>l'énumération, le fait de lister</t>
  </si>
  <si>
    <t>squarely (adv.)</t>
  </si>
  <si>
    <t>an affidavit</t>
  </si>
  <si>
    <t>une déclaration écrite sous serment</t>
  </si>
  <si>
    <t>a moniker</t>
  </si>
  <si>
    <t>un sobriquet</t>
  </si>
  <si>
    <t>a wench</t>
  </si>
  <si>
    <t>une jeune fille</t>
  </si>
  <si>
    <t>slums (common name)</t>
  </si>
  <si>
    <t>des bidonvilles</t>
  </si>
  <si>
    <t>I'm beginning to get bored.</t>
  </si>
  <si>
    <t>Je suis parti du bas de l'échelle.</t>
  </si>
  <si>
    <t>I wouldn't mind a cup of coffee.</t>
  </si>
  <si>
    <t>Je prendrais bien une tasse de café.</t>
  </si>
  <si>
    <t>Let's get rid of that.</t>
  </si>
  <si>
    <t>Débarrassons-nous de ça.</t>
  </si>
  <si>
    <t>There wasn't a crust to eat in the house.</t>
  </si>
  <si>
    <t>Il n'y avait rien à manger dans la maison.</t>
  </si>
  <si>
    <t>Cela fait un peu plus de deux ans que j'occupe mon poste actuel.</t>
  </si>
  <si>
    <t>Nous avons eu de nombreuses difficultés à trouver cette maison.</t>
  </si>
  <si>
    <t>grognon, grincheux</t>
  </si>
  <si>
    <t>grouchy (adj.)</t>
  </si>
  <si>
    <t>jabbering (common name)</t>
  </si>
  <si>
    <t>le bavardage</t>
  </si>
  <si>
    <t>spleen (common name)</t>
  </si>
  <si>
    <t>la rate, la bile</t>
  </si>
  <si>
    <t>to slobber</t>
  </si>
  <si>
    <t>brimstone (common name)</t>
  </si>
  <si>
    <t>du soufre</t>
  </si>
  <si>
    <t>dérapé / patiné</t>
  </si>
  <si>
    <t>a drivel</t>
  </si>
  <si>
    <t>une imbécilité, une bêtise</t>
  </si>
  <si>
    <t>styrofoam (common name)</t>
  </si>
  <si>
    <t>le polystyrène</t>
  </si>
  <si>
    <t>un milieu professionnel où l'adhésion à un syndicat est la condition pour être employé</t>
  </si>
  <si>
    <t>to cater</t>
  </si>
  <si>
    <t>hamstring (common name)</t>
  </si>
  <si>
    <t>le tendon</t>
  </si>
  <si>
    <t>shin (common name)</t>
  </si>
  <si>
    <t>le tibia</t>
  </si>
  <si>
    <t>les muscles fessiers</t>
  </si>
  <si>
    <t>For all my brave talk, ...</t>
  </si>
  <si>
    <t>Malgré tous mes discours courageux, …</t>
  </si>
  <si>
    <t>southpaw (adj.)</t>
  </si>
  <si>
    <t>gaucher</t>
  </si>
  <si>
    <t>It's a lost and found case.</t>
  </si>
  <si>
    <t>C'est évident.</t>
  </si>
  <si>
    <t>a blind alley</t>
  </si>
  <si>
    <t>There was a small dent in the casing, so the salesman knocked off 10%.</t>
  </si>
  <si>
    <t>Il y avait une petite bosse dans le carter, et le vendeur a fait un rabais de 10%.</t>
  </si>
  <si>
    <t>Je garderai les enfants.</t>
  </si>
  <si>
    <t>I'll look after the kids.</t>
  </si>
  <si>
    <t>La dernière fois que nous avons mangé là-bas, nous nous sommes fait roulés (argot).</t>
  </si>
  <si>
    <t>Ne vous faites pas votre avis sur la question tout de suite. Réfléchissez-y un moment.</t>
  </si>
  <si>
    <t>parfait / primitif, virginal</t>
  </si>
  <si>
    <t>approvisionner</t>
  </si>
  <si>
    <t>a hunk</t>
  </si>
  <si>
    <t>un gros morceau</t>
  </si>
  <si>
    <t>bygone (adj.)</t>
  </si>
  <si>
    <t>to besmirch</t>
  </si>
  <si>
    <t>ternir, entacher</t>
  </si>
  <si>
    <t>to smite</t>
  </si>
  <si>
    <t>châtier, déchirer, tourmenter</t>
  </si>
  <si>
    <t>You deserve it.</t>
  </si>
  <si>
    <t>Tu le mérites.</t>
  </si>
  <si>
    <t>Tout bien considéré, je pense que c'est une bonne idée.</t>
  </si>
  <si>
    <t>Je les ai revendus avec un bénéfice.</t>
  </si>
  <si>
    <t>Il y est allé par curiosité.</t>
  </si>
  <si>
    <t>Une bière pression s'il vous plaît.</t>
  </si>
  <si>
    <t>Ce médicament soulagera la douleur.</t>
  </si>
  <si>
    <t>I'm just having a main course.</t>
  </si>
  <si>
    <t>Je ne prends qu'un plat.</t>
  </si>
  <si>
    <t>to gouge</t>
  </si>
  <si>
    <t>escroquer</t>
  </si>
  <si>
    <t>A huge shoutout and thanks to Mark.</t>
  </si>
  <si>
    <t>Un grand bravo et merci à Marc.</t>
  </si>
  <si>
    <t>Aimerais-tu aller dîner avec moi demain soir ? Désolé, je ne peux pas.</t>
  </si>
  <si>
    <t>skyline (common name)</t>
  </si>
  <si>
    <t>la ligne d'horizon</t>
  </si>
  <si>
    <t>aliasing (common name, techn.)</t>
  </si>
  <si>
    <t>I took an exam.</t>
  </si>
  <si>
    <t>J'ai passé un examen.</t>
  </si>
  <si>
    <t>upscale (adj.)</t>
  </si>
  <si>
    <t>devoid (adj.)</t>
  </si>
  <si>
    <t>de retour à la niche</t>
  </si>
  <si>
    <t>back to the kennel</t>
  </si>
  <si>
    <t>Further to my call this morning, I would like to confirm my order.</t>
  </si>
  <si>
    <t>Suite à mon appel de ce matin, j'aimerais confirmer ma commande.</t>
  </si>
  <si>
    <t>I'm getting ahead of myself.</t>
  </si>
  <si>
    <t>Je prends de l'avance / Je vais trop vite.</t>
  </si>
  <si>
    <t>to browse</t>
  </si>
  <si>
    <t>feuilleter / brouter</t>
  </si>
  <si>
    <t>a derelict</t>
  </si>
  <si>
    <t>un délaissement / une épave</t>
  </si>
  <si>
    <t>previous / prior (adj.)</t>
  </si>
  <si>
    <t>a pane</t>
  </si>
  <si>
    <t>une vitre, un carreau / une plaque</t>
  </si>
  <si>
    <t>cladding (common name)</t>
  </si>
  <si>
    <t>le revêtement</t>
  </si>
  <si>
    <t>Finally, he blurts out his burning question.</t>
  </si>
  <si>
    <t>Finalement, il laisse échapper sa question brûlante.</t>
  </si>
  <si>
    <t>Je prends une douche et je m'habille.</t>
  </si>
  <si>
    <t>J'ai une licence de mathématiques.</t>
  </si>
  <si>
    <t>énorme, géant</t>
  </si>
  <si>
    <t>whopping (adj.)</t>
  </si>
  <si>
    <t>No time to dillydally!</t>
  </si>
  <si>
    <t>to wallow</t>
  </si>
  <si>
    <t>se vautrer</t>
  </si>
  <si>
    <t>Elle adore recevoir du monde.</t>
  </si>
  <si>
    <t>curt (adj.)</t>
  </si>
  <si>
    <t>brash (adj.)</t>
  </si>
  <si>
    <t>rash (adj.)</t>
  </si>
  <si>
    <t>I have cracked lips.</t>
  </si>
  <si>
    <t>J'ai les lèvres gercées.</t>
  </si>
  <si>
    <t>vague, incomplet</t>
  </si>
  <si>
    <t>sketchy (adj.)</t>
  </si>
  <si>
    <t>Dans six mois, la période de formation touchera à sa fin.</t>
  </si>
  <si>
    <t>Putting out fires is not improvement of the process. Deming</t>
  </si>
  <si>
    <t>La réduction des incendies n'est pas l'amélioration du processus. Deming</t>
  </si>
  <si>
    <t>to weep</t>
  </si>
  <si>
    <t>verser des larmes</t>
  </si>
  <si>
    <t>per-say (expr.)</t>
  </si>
  <si>
    <t>laity (common name)</t>
  </si>
  <si>
    <t>sophomore</t>
  </si>
  <si>
    <t>la deuxième année d'étude</t>
  </si>
  <si>
    <t>to beckon</t>
  </si>
  <si>
    <t>faire signe</t>
  </si>
  <si>
    <t>a blotter</t>
  </si>
  <si>
    <t>un registre / un buvard</t>
  </si>
  <si>
    <t>fairing (common name)</t>
  </si>
  <si>
    <t>le carénage</t>
  </si>
  <si>
    <t>a jackscrew</t>
  </si>
  <si>
    <t>un cric</t>
  </si>
  <si>
    <t>a shim</t>
  </si>
  <si>
    <t>une cale</t>
  </si>
  <si>
    <t>a damper</t>
  </si>
  <si>
    <t>un amortisseur</t>
  </si>
  <si>
    <t>a flange</t>
  </si>
  <si>
    <t>une bride</t>
  </si>
  <si>
    <t>a sump</t>
  </si>
  <si>
    <t>un puisard</t>
  </si>
  <si>
    <t>a stud</t>
  </si>
  <si>
    <t>un goujon</t>
  </si>
  <si>
    <t>to braid</t>
  </si>
  <si>
    <t>tresser</t>
  </si>
  <si>
    <t>a gasket</t>
  </si>
  <si>
    <t>un joint</t>
  </si>
  <si>
    <t>to lambaste</t>
  </si>
  <si>
    <t>réprimander / rosser</t>
  </si>
  <si>
    <t>Nombre de mots</t>
  </si>
  <si>
    <t xml:space="preserve"> une charge, un fardeau</t>
  </si>
  <si>
    <t>a rudder</t>
  </si>
  <si>
    <t xml:space="preserve"> un gouvernail</t>
  </si>
  <si>
    <t>foursquare (adj.)</t>
  </si>
  <si>
    <t>a rink</t>
  </si>
  <si>
    <t>une patinoire</t>
  </si>
  <si>
    <t>to construe</t>
  </si>
  <si>
    <t>interpréter</t>
  </si>
  <si>
    <t>chirping (common name)</t>
  </si>
  <si>
    <t>un gazouillement, un pépiement</t>
  </si>
  <si>
    <t>seldom (adv.)</t>
  </si>
  <si>
    <t>subcontracting (common name)</t>
  </si>
  <si>
    <t>to vet</t>
  </si>
  <si>
    <t>examiner</t>
  </si>
  <si>
    <t>Don't hit me, he whimpered.</t>
  </si>
  <si>
    <t>Ne me frappez pas, dit-il d'une voix pleurnicharde.</t>
  </si>
  <si>
    <t>a canister</t>
  </si>
  <si>
    <t>une boîte, un bidon</t>
  </si>
  <si>
    <t>Je vais être absent du travail pendant plusieurs mois.</t>
  </si>
  <si>
    <t>a polecat</t>
  </si>
  <si>
    <t>un putois</t>
  </si>
  <si>
    <t>a skunk</t>
  </si>
  <si>
    <t>une moufette</t>
  </si>
  <si>
    <t>chive (common name)</t>
  </si>
  <si>
    <t>la ciboulette</t>
  </si>
  <si>
    <t>Put on some warm clothes.</t>
  </si>
  <si>
    <t>Mettez des vêtements chauds.</t>
  </si>
  <si>
    <t>He's tight.</t>
  </si>
  <si>
    <t>Il est saoûl.</t>
  </si>
  <si>
    <t>distressing</t>
  </si>
  <si>
    <t>pénible, inquiétant, bouleversant</t>
  </si>
  <si>
    <t>a ward</t>
  </si>
  <si>
    <t>un quartier</t>
  </si>
  <si>
    <t>I've got a temperature.</t>
  </si>
  <si>
    <t>J'ai de la fièvre.</t>
  </si>
  <si>
    <t>J'ai obtenu mon diplôme d'anglais en 2017.</t>
  </si>
  <si>
    <t>Cuisiner m'aide vraiment à me détendre.</t>
  </si>
  <si>
    <t>collusive (adj.)</t>
  </si>
  <si>
    <t>shill (adj.)</t>
  </si>
  <si>
    <t>blabber (commmon name)</t>
  </si>
  <si>
    <t>des bavardages</t>
  </si>
  <si>
    <t>to gobble</t>
  </si>
  <si>
    <t>engouffrer</t>
  </si>
  <si>
    <t>prendre la succession, reprendre (un commerce), racheter / se mettre à l'abri</t>
  </si>
  <si>
    <t>J'ai été désolé d'apprendre la mort de votre père.</t>
  </si>
  <si>
    <t>Je dois déposer ma femme à l'aéroport à 9 heures.</t>
  </si>
  <si>
    <t>The information is misleading.</t>
  </si>
  <si>
    <t>mumbo jumbo (coll.)</t>
  </si>
  <si>
    <t>de l'enfumage</t>
  </si>
  <si>
    <t>wherewithal (common name)</t>
  </si>
  <si>
    <t>les moyens</t>
  </si>
  <si>
    <t>perfunctory (adj.)</t>
  </si>
  <si>
    <t>a rollercoaster</t>
  </si>
  <si>
    <t>une montagne russe</t>
  </si>
  <si>
    <t>a wayland</t>
  </si>
  <si>
    <t>un chemin de terre</t>
  </si>
  <si>
    <t>augmenter le rythme</t>
  </si>
  <si>
    <t>concrete (common name)</t>
  </si>
  <si>
    <t>an armrest</t>
  </si>
  <si>
    <t>un accoudoir</t>
  </si>
  <si>
    <t>conducive (adv.)</t>
  </si>
  <si>
    <t>to checkmate</t>
  </si>
  <si>
    <t>faire échec et mat</t>
  </si>
  <si>
    <t>to shrug</t>
  </si>
  <si>
    <t>hausser les épaules</t>
  </si>
  <si>
    <t>a stencil</t>
  </si>
  <si>
    <t>un pochoir</t>
  </si>
  <si>
    <t>to addle</t>
  </si>
  <si>
    <t>pourrir / brouiller</t>
  </si>
  <si>
    <t>clamshell (adj.)</t>
  </si>
  <si>
    <t>carpeting (commmon name)</t>
  </si>
  <si>
    <t>la moquette</t>
  </si>
  <si>
    <t>Le placard est vide.</t>
  </si>
  <si>
    <t>a hyphen</t>
  </si>
  <si>
    <t>to tighten the brakes</t>
  </si>
  <si>
    <t>I ran into an old school friend this morning.</t>
  </si>
  <si>
    <t>Je suis tombé sur un ancien camarade d'école ce matin.</t>
  </si>
  <si>
    <t>un con, un couillon (a t…)</t>
  </si>
  <si>
    <t>Je ne fais qu'exécuter les ordres.</t>
  </si>
  <si>
    <t>to read the fine print</t>
  </si>
  <si>
    <t>lire les astérisques d'un contrat</t>
  </si>
  <si>
    <t>le grenaillage</t>
  </si>
  <si>
    <t>shot peening (tech.)</t>
  </si>
  <si>
    <t>You're dogged.</t>
  </si>
  <si>
    <t>Tu es tenace.</t>
  </si>
  <si>
    <t>scuzzy</t>
  </si>
  <si>
    <t>sale et déplaisant</t>
  </si>
  <si>
    <t>Suit yourself.</t>
  </si>
  <si>
    <t>Comme tu voudras.</t>
  </si>
  <si>
    <t>Keep it handy.</t>
  </si>
  <si>
    <t>Garde-le à portée de main.</t>
  </si>
  <si>
    <t>painstaking (adj.)</t>
  </si>
  <si>
    <t>to wail</t>
  </si>
  <si>
    <t>se lamenter</t>
  </si>
  <si>
    <t>wheedling (adj.)</t>
  </si>
  <si>
    <t>câlin, enjôleur</t>
  </si>
  <si>
    <t>conned</t>
  </si>
  <si>
    <t>escroqué</t>
  </si>
  <si>
    <t>foolhardy (adj.)</t>
  </si>
  <si>
    <t>That was uncalled for.</t>
  </si>
  <si>
    <t>C'était injustifié.</t>
  </si>
  <si>
    <t>I'm looking for the bathroom linen section.</t>
  </si>
  <si>
    <t>Je cherche le rayon du linge de toilette.</t>
  </si>
  <si>
    <t>diaper (common name)</t>
  </si>
  <si>
    <t>une couche de bébé</t>
  </si>
  <si>
    <t>a wad</t>
  </si>
  <si>
    <t>une boulette (de papier, …)</t>
  </si>
  <si>
    <t>to clobber</t>
  </si>
  <si>
    <t>tabasser</t>
  </si>
  <si>
    <t>to bedevil</t>
  </si>
  <si>
    <t>tourmenter, harceler</t>
  </si>
  <si>
    <t>to trounce</t>
  </si>
  <si>
    <t>écraser, battre à plate couture</t>
  </si>
  <si>
    <t>tinder (common name)</t>
  </si>
  <si>
    <t>Est-ce que vous pouvez servir le vin au verre ?</t>
  </si>
  <si>
    <t>haywire (adj.)</t>
  </si>
  <si>
    <t>détraqué</t>
  </si>
  <si>
    <t>I fell over.</t>
  </si>
  <si>
    <t>Je suis tombé.</t>
  </si>
  <si>
    <t>a solicitor (UK)</t>
  </si>
  <si>
    <t>faire éclore / couver</t>
  </si>
  <si>
    <t>I’ll give you my two cents.</t>
  </si>
  <si>
    <t>Je vais te donner mon grain de sel.</t>
  </si>
  <si>
    <t>My date didn't show up.</t>
  </si>
  <si>
    <t>On m'a posé un lapin.</t>
  </si>
  <si>
    <t>J'ai raté mon examen.</t>
  </si>
  <si>
    <t>highways and byways (expr.)</t>
  </si>
  <si>
    <t>Je vais le noter.</t>
  </si>
  <si>
    <t>He stopped smoking last week.</t>
  </si>
  <si>
    <t>fallow (common name)</t>
  </si>
  <si>
    <t>la jachère</t>
  </si>
  <si>
    <t>lice (common name)</t>
  </si>
  <si>
    <t>les poux</t>
  </si>
  <si>
    <t>monotone</t>
  </si>
  <si>
    <t>humdrum (common name)</t>
  </si>
  <si>
    <t>motley (adj.)</t>
  </si>
  <si>
    <t>bigarré, bariolé</t>
  </si>
  <si>
    <t>a beachhead</t>
  </si>
  <si>
    <t>une tête de pont</t>
  </si>
  <si>
    <t>la perdrix</t>
  </si>
  <si>
    <t>a partridge</t>
  </si>
  <si>
    <t>the tortoise (tortus')</t>
  </si>
  <si>
    <t>la bonne connaissance d'une situation</t>
  </si>
  <si>
    <t>reporter</t>
  </si>
  <si>
    <t>se cacher (to l…)</t>
  </si>
  <si>
    <t>désirer (to y…)</t>
  </si>
  <si>
    <t>J'aime travailler au sein d'une équipe.</t>
  </si>
  <si>
    <t>iffy (adj.)</t>
  </si>
  <si>
    <t>a turnkey project</t>
  </si>
  <si>
    <t>to whelm</t>
  </si>
  <si>
    <t>déferler</t>
  </si>
  <si>
    <t>to buy sthg on hire purchase</t>
  </si>
  <si>
    <t>célibataire (u...)</t>
  </si>
  <si>
    <t>a caveman</t>
  </si>
  <si>
    <t>un homme des cavernes</t>
  </si>
  <si>
    <t>to jot</t>
  </si>
  <si>
    <t>prendre des notes</t>
  </si>
  <si>
    <t>It does getting a little time getting used to.</t>
  </si>
  <si>
    <t>le démarchage, la sollicitation (c…)</t>
  </si>
  <si>
    <t>des tas de (s…)</t>
  </si>
  <si>
    <t>scads of</t>
  </si>
  <si>
    <t>un avertissement (d…)</t>
  </si>
  <si>
    <t>rapide (s…)</t>
  </si>
  <si>
    <t>lutter contre (w…)</t>
  </si>
  <si>
    <t>bleeding edge (adj.)</t>
  </si>
  <si>
    <t>to handpick</t>
  </si>
  <si>
    <t>trier</t>
  </si>
  <si>
    <t>befuddled</t>
  </si>
  <si>
    <t>confus</t>
  </si>
  <si>
    <t>to slather</t>
  </si>
  <si>
    <t>badigeonner</t>
  </si>
  <si>
    <t>a pantry</t>
  </si>
  <si>
    <t>un garde-manger</t>
  </si>
  <si>
    <t>souiller (to s…)</t>
  </si>
  <si>
    <t>Je prendrai ma retraite quand j'aurai 30 ans.</t>
  </si>
  <si>
    <t>Nous avons dû marcher péniblement pendant 5 km à travers champs sous une pluie battante.</t>
  </si>
  <si>
    <t>I've been feeling off-colours ever since I came back from holidays.</t>
  </si>
  <si>
    <t>Je me sens patraque depuis que je suis rentré de vacances.</t>
  </si>
  <si>
    <t>une liaison (amoureuse)</t>
  </si>
  <si>
    <t>pratiquement, en fait (expr.)</t>
  </si>
  <si>
    <t>You give up too easily.</t>
  </si>
  <si>
    <t>annonciateur (h…)</t>
  </si>
  <si>
    <t>non rentable</t>
  </si>
  <si>
    <t>a bloodline</t>
  </si>
  <si>
    <t>une lignée</t>
  </si>
  <si>
    <t>to prod</t>
  </si>
  <si>
    <t>pousser doucement du doigt</t>
  </si>
  <si>
    <t>vagaries (common name)</t>
  </si>
  <si>
    <t>les aléas</t>
  </si>
  <si>
    <t>stretches of code</t>
  </si>
  <si>
    <t>des tronçons de code</t>
  </si>
  <si>
    <t>au courant</t>
  </si>
  <si>
    <t>abreast (adj.)</t>
  </si>
  <si>
    <t>du carburant, du combustible (f…)</t>
  </si>
  <si>
    <t>une déduction, une conclusion (i…)</t>
  </si>
  <si>
    <t>to come over the bouts</t>
  </si>
  <si>
    <t>surmonter les combats</t>
  </si>
  <si>
    <t>Il est évident qu'elle ment. (p…)</t>
  </si>
  <si>
    <t>le contour (o…)</t>
  </si>
  <si>
    <t>un domaine (r…))</t>
  </si>
  <si>
    <t>holdout (adj.)</t>
  </si>
  <si>
    <t>résistant, récalcitrant</t>
  </si>
  <si>
    <t>a grab bag</t>
  </si>
  <si>
    <t>un sac à main</t>
  </si>
  <si>
    <t xml:space="preserve">toothless </t>
  </si>
  <si>
    <t>édenté / impuissant</t>
  </si>
  <si>
    <t>un tas, un amas, un dépôt</t>
  </si>
  <si>
    <t>un piège (p…)</t>
  </si>
  <si>
    <t>lest…</t>
  </si>
  <si>
    <t>une bizarrerie (q…)</t>
  </si>
  <si>
    <t>by luck of the draw (expr.)</t>
  </si>
  <si>
    <t>par chance (expr.)</t>
  </si>
  <si>
    <t>to hew</t>
  </si>
  <si>
    <t>tailler, couper</t>
  </si>
  <si>
    <t>lots of (coll.)</t>
  </si>
  <si>
    <t>Tu peux oublier !</t>
  </si>
  <si>
    <t>Suffice it to say that…</t>
  </si>
  <si>
    <t>Il suffit de dire que …</t>
  </si>
  <si>
    <t>an umbrella term</t>
  </si>
  <si>
    <t>un mot générique</t>
  </si>
  <si>
    <t>aisé, riche (w…)</t>
  </si>
  <si>
    <t>la partie la plus éloignée à l'horizon sur la mer</t>
  </si>
  <si>
    <t>Il était un enfant prodige.</t>
  </si>
  <si>
    <t>une capacité (p…)</t>
  </si>
  <si>
    <t>accorder, décerner (to a…)</t>
  </si>
  <si>
    <t>J'aurais aimé que Paul leur dise la vérité.</t>
  </si>
  <si>
    <t>déchirer (to t…)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</si>
</sst>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9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sz val="12"/>
      <color rgb="FFFF0000"/>
      <name val="Arial"/>
      <family val="2"/>
    </font>
    <font>
      <sz val="8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color theme="0" tint="-4.9989318521683403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662">
    <xf numFmtId="0" fontId="0" fillId="0" borderId="0" xfId="0"/>
    <xf numFmtId="0" fontId="183" fillId="3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 wrapText="1"/>
    </xf>
    <xf numFmtId="0" fontId="183" fillId="0" borderId="0" xfId="0" applyFont="1" applyAlignment="1">
      <alignment horizontal="center" vertical="center" wrapText="1"/>
    </xf>
    <xf numFmtId="0" fontId="183" fillId="2" borderId="0" xfId="0" applyFont="1" applyFill="1" applyAlignment="1">
      <alignment horizontal="center" vertical="center" wrapText="1"/>
    </xf>
    <xf numFmtId="0" fontId="186" fillId="0" borderId="0" xfId="0" applyFont="1" applyAlignment="1">
      <alignment horizontal="left" vertical="center" wrapText="1"/>
    </xf>
    <xf numFmtId="0" fontId="186" fillId="0" borderId="0" xfId="0" applyFont="1" applyAlignment="1">
      <alignment horizontal="center" vertical="center" wrapText="1"/>
    </xf>
    <xf numFmtId="1" fontId="183" fillId="0" borderId="0" xfId="0" applyNumberFormat="1" applyFont="1" applyAlignment="1">
      <alignment horizontal="center" vertical="center" wrapText="1"/>
    </xf>
    <xf numFmtId="1" fontId="183" fillId="2" borderId="0" xfId="0" applyNumberFormat="1" applyFont="1" applyFill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3" borderId="1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 wrapText="1"/>
    </xf>
    <xf numFmtId="0" fontId="188" fillId="3" borderId="0" xfId="0" applyFont="1" applyFill="1" applyAlignment="1">
      <alignment horizontal="center" vertical="center" wrapText="1"/>
    </xf>
    <xf numFmtId="14" fontId="183" fillId="3" borderId="0" xfId="0" applyNumberFormat="1" applyFont="1" applyFill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1" fillId="0" borderId="0" xfId="0" applyFont="1" applyAlignment="1">
      <alignment horizontal="left" vertical="center"/>
    </xf>
    <xf numFmtId="0" fontId="180" fillId="0" borderId="0" xfId="0" applyFont="1" applyAlignment="1">
      <alignment horizontal="left" vertical="center"/>
    </xf>
    <xf numFmtId="0" fontId="179" fillId="0" borderId="0" xfId="0" applyFont="1" applyAlignment="1">
      <alignment horizontal="left" vertical="center"/>
    </xf>
    <xf numFmtId="0" fontId="178" fillId="0" borderId="0" xfId="0" applyFont="1" applyAlignment="1">
      <alignment horizontal="left" vertical="center"/>
    </xf>
    <xf numFmtId="0" fontId="177" fillId="0" borderId="0" xfId="0" applyFont="1" applyAlignment="1">
      <alignment horizontal="left" vertical="center"/>
    </xf>
    <xf numFmtId="0" fontId="176" fillId="0" borderId="0" xfId="0" applyFont="1" applyAlignment="1">
      <alignment horizontal="left" vertical="center"/>
    </xf>
    <xf numFmtId="0" fontId="175" fillId="0" borderId="0" xfId="0" applyFont="1" applyAlignment="1">
      <alignment horizontal="left" vertical="center"/>
    </xf>
    <xf numFmtId="0" fontId="174" fillId="0" borderId="0" xfId="0" applyFont="1" applyAlignment="1">
      <alignment horizontal="left" vertical="center"/>
    </xf>
    <xf numFmtId="0" fontId="173" fillId="0" borderId="0" xfId="0" applyFont="1" applyAlignment="1">
      <alignment horizontal="left" vertical="center"/>
    </xf>
    <xf numFmtId="0" fontId="172" fillId="0" borderId="0" xfId="0" applyFont="1" applyAlignment="1">
      <alignment horizontal="left" vertical="center"/>
    </xf>
    <xf numFmtId="0" fontId="171" fillId="0" borderId="0" xfId="0" applyFont="1" applyAlignment="1">
      <alignment horizontal="left" vertical="center"/>
    </xf>
    <xf numFmtId="0" fontId="170" fillId="0" borderId="0" xfId="0" applyFont="1" applyAlignment="1">
      <alignment horizontal="left" vertical="center" wrapText="1"/>
    </xf>
    <xf numFmtId="0" fontId="170" fillId="0" borderId="0" xfId="0" applyFont="1" applyAlignment="1">
      <alignment horizontal="right" vertical="center" wrapText="1"/>
    </xf>
    <xf numFmtId="0" fontId="170" fillId="0" borderId="0" xfId="0" applyFont="1" applyAlignment="1">
      <alignment horizontal="center" vertical="center" wrapText="1"/>
    </xf>
    <xf numFmtId="20" fontId="170" fillId="0" borderId="0" xfId="0" applyNumberFormat="1" applyFont="1" applyAlignment="1">
      <alignment horizontal="left" vertical="center" wrapText="1"/>
    </xf>
    <xf numFmtId="4" fontId="170" fillId="0" borderId="0" xfId="0" applyNumberFormat="1" applyFont="1" applyAlignment="1">
      <alignment horizontal="right" vertical="center" wrapText="1"/>
    </xf>
    <xf numFmtId="0" fontId="170" fillId="0" borderId="0" xfId="0" quotePrefix="1" applyFont="1" applyAlignment="1">
      <alignment horizontal="right" vertical="center" wrapText="1"/>
    </xf>
    <xf numFmtId="0" fontId="170" fillId="0" borderId="0" xfId="0" applyFont="1" applyAlignment="1">
      <alignment horizontal="left" vertical="center"/>
    </xf>
    <xf numFmtId="0" fontId="169" fillId="0" borderId="0" xfId="0" applyFont="1" applyAlignment="1">
      <alignment horizontal="left" vertical="center" wrapText="1"/>
    </xf>
    <xf numFmtId="0" fontId="169" fillId="0" borderId="0" xfId="0" applyFont="1" applyAlignment="1">
      <alignment horizontal="right" vertical="center" wrapText="1"/>
    </xf>
    <xf numFmtId="0" fontId="169" fillId="0" borderId="0" xfId="0" applyFont="1" applyAlignment="1">
      <alignment horizontal="center" vertical="center" wrapText="1"/>
    </xf>
    <xf numFmtId="0" fontId="168" fillId="0" borderId="0" xfId="0" applyFont="1" applyAlignment="1">
      <alignment horizontal="left" vertical="center" wrapText="1"/>
    </xf>
    <xf numFmtId="0" fontId="168" fillId="0" borderId="0" xfId="0" applyFont="1" applyAlignment="1">
      <alignment horizontal="right" vertical="center" wrapText="1"/>
    </xf>
    <xf numFmtId="0" fontId="168" fillId="0" borderId="0" xfId="0" applyFont="1" applyAlignment="1">
      <alignment horizontal="center" vertical="center" wrapText="1"/>
    </xf>
    <xf numFmtId="0" fontId="167" fillId="0" borderId="0" xfId="0" applyFont="1" applyAlignment="1">
      <alignment horizontal="left" vertical="center" wrapText="1"/>
    </xf>
    <xf numFmtId="0" fontId="167" fillId="0" borderId="0" xfId="0" applyFont="1" applyAlignment="1">
      <alignment horizontal="right" vertical="center" wrapText="1"/>
    </xf>
    <xf numFmtId="0" fontId="167" fillId="0" borderId="0" xfId="0" applyFont="1" applyAlignment="1">
      <alignment horizontal="center" vertical="center" wrapText="1"/>
    </xf>
    <xf numFmtId="0" fontId="166" fillId="0" borderId="0" xfId="0" applyFont="1" applyAlignment="1">
      <alignment horizontal="left" vertical="center" wrapText="1"/>
    </xf>
    <xf numFmtId="0" fontId="166" fillId="0" borderId="0" xfId="0" applyFont="1" applyAlignment="1">
      <alignment horizontal="right" vertical="center" wrapText="1"/>
    </xf>
    <xf numFmtId="0" fontId="166" fillId="0" borderId="0" xfId="0" applyFont="1" applyAlignment="1">
      <alignment horizontal="left" vertical="center"/>
    </xf>
    <xf numFmtId="0" fontId="165" fillId="0" borderId="0" xfId="0" applyFont="1" applyAlignment="1">
      <alignment horizontal="right" vertical="center" wrapText="1"/>
    </xf>
    <xf numFmtId="0" fontId="164" fillId="0" borderId="0" xfId="0" applyFont="1" applyAlignment="1">
      <alignment horizontal="left" vertical="center"/>
    </xf>
    <xf numFmtId="0" fontId="163" fillId="0" borderId="0" xfId="0" applyFont="1" applyAlignment="1">
      <alignment horizontal="left" vertical="center"/>
    </xf>
    <xf numFmtId="0" fontId="162" fillId="0" borderId="0" xfId="0" applyFont="1" applyAlignment="1">
      <alignment horizontal="left" vertical="center"/>
    </xf>
    <xf numFmtId="0" fontId="161" fillId="0" borderId="0" xfId="0" applyFont="1" applyAlignment="1">
      <alignment horizontal="center" vertical="center" wrapText="1"/>
    </xf>
    <xf numFmtId="0" fontId="161" fillId="0" borderId="0" xfId="0" applyFont="1" applyAlignment="1">
      <alignment horizontal="left" vertical="center" wrapText="1"/>
    </xf>
    <xf numFmtId="0" fontId="160" fillId="0" borderId="0" xfId="0" applyFont="1" applyAlignment="1">
      <alignment horizontal="left" vertical="center" wrapText="1"/>
    </xf>
    <xf numFmtId="0" fontId="160" fillId="0" borderId="0" xfId="0" applyFont="1" applyAlignment="1">
      <alignment horizontal="right" vertical="center" wrapText="1"/>
    </xf>
    <xf numFmtId="0" fontId="160" fillId="0" borderId="0" xfId="0" applyFont="1" applyAlignment="1">
      <alignment horizontal="center" vertical="center" wrapText="1"/>
    </xf>
    <xf numFmtId="0" fontId="159" fillId="0" borderId="0" xfId="0" applyFont="1" applyAlignment="1">
      <alignment horizontal="left" vertical="center"/>
    </xf>
    <xf numFmtId="0" fontId="159" fillId="0" borderId="0" xfId="0" applyFont="1" applyAlignment="1">
      <alignment horizontal="right" vertical="center" wrapText="1"/>
    </xf>
    <xf numFmtId="0" fontId="158" fillId="0" borderId="0" xfId="0" applyFont="1" applyAlignment="1">
      <alignment horizontal="right" vertical="center" wrapText="1"/>
    </xf>
    <xf numFmtId="0" fontId="158" fillId="0" borderId="0" xfId="0" applyFont="1" applyAlignment="1">
      <alignment horizontal="center" vertical="center" wrapText="1"/>
    </xf>
    <xf numFmtId="0" fontId="157" fillId="0" borderId="0" xfId="0" applyFont="1" applyAlignment="1">
      <alignment horizontal="left" vertical="center"/>
    </xf>
    <xf numFmtId="0" fontId="157" fillId="0" borderId="0" xfId="0" applyFont="1" applyAlignment="1">
      <alignment horizontal="right" vertical="center" wrapText="1"/>
    </xf>
    <xf numFmtId="0" fontId="156" fillId="0" borderId="0" xfId="0" applyFont="1" applyAlignment="1">
      <alignment horizontal="left" vertical="center" wrapText="1"/>
    </xf>
    <xf numFmtId="0" fontId="156" fillId="0" borderId="0" xfId="0" applyFont="1" applyAlignment="1">
      <alignment horizontal="right" vertical="center" wrapText="1"/>
    </xf>
    <xf numFmtId="0" fontId="156" fillId="0" borderId="0" xfId="0" applyFont="1" applyAlignment="1">
      <alignment horizontal="center" vertical="center" wrapText="1"/>
    </xf>
    <xf numFmtId="0" fontId="155" fillId="0" borderId="0" xfId="0" applyFont="1" applyAlignment="1">
      <alignment horizontal="left" vertical="center"/>
    </xf>
    <xf numFmtId="0" fontId="154" fillId="0" borderId="0" xfId="0" applyFont="1" applyAlignment="1">
      <alignment horizontal="left" vertical="center" wrapText="1"/>
    </xf>
    <xf numFmtId="0" fontId="154" fillId="0" borderId="0" xfId="0" applyFont="1" applyAlignment="1">
      <alignment horizontal="right" vertical="center" wrapText="1"/>
    </xf>
    <xf numFmtId="0" fontId="154" fillId="0" borderId="0" xfId="0" applyFont="1" applyAlignment="1">
      <alignment horizontal="center" vertical="center" wrapText="1"/>
    </xf>
    <xf numFmtId="0" fontId="154" fillId="0" borderId="0" xfId="0" applyFont="1" applyAlignment="1">
      <alignment horizontal="left" vertical="center"/>
    </xf>
    <xf numFmtId="0" fontId="153" fillId="0" borderId="0" xfId="0" applyFont="1" applyAlignment="1">
      <alignment horizontal="left" vertical="center" wrapText="1"/>
    </xf>
    <xf numFmtId="0" fontId="153" fillId="0" borderId="0" xfId="0" applyFont="1" applyAlignment="1">
      <alignment horizontal="right" vertical="center" wrapText="1"/>
    </xf>
    <xf numFmtId="0" fontId="153" fillId="0" borderId="0" xfId="0" applyFont="1" applyAlignment="1">
      <alignment horizontal="center" vertical="center" wrapText="1"/>
    </xf>
    <xf numFmtId="0" fontId="153" fillId="0" borderId="0" xfId="0" applyFont="1" applyAlignment="1">
      <alignment horizontal="left" vertical="center"/>
    </xf>
    <xf numFmtId="0" fontId="152" fillId="0" borderId="0" xfId="0" applyFont="1" applyAlignment="1">
      <alignment horizontal="left" vertical="center" wrapText="1"/>
    </xf>
    <xf numFmtId="0" fontId="152" fillId="0" borderId="0" xfId="0" applyFont="1" applyAlignment="1">
      <alignment horizontal="right" vertical="center" wrapText="1"/>
    </xf>
    <xf numFmtId="0" fontId="152" fillId="0" borderId="0" xfId="0" applyFont="1" applyAlignment="1">
      <alignment horizontal="center" vertical="center" wrapText="1"/>
    </xf>
    <xf numFmtId="0" fontId="152" fillId="0" borderId="0" xfId="0" applyFont="1" applyAlignment="1">
      <alignment horizontal="left" vertical="center"/>
    </xf>
    <xf numFmtId="0" fontId="151" fillId="0" borderId="0" xfId="0" applyFont="1" applyAlignment="1">
      <alignment horizontal="left" vertical="center" wrapText="1"/>
    </xf>
    <xf numFmtId="0" fontId="151" fillId="0" borderId="0" xfId="0" applyFont="1" applyAlignment="1">
      <alignment horizontal="right" vertical="center" wrapText="1"/>
    </xf>
    <xf numFmtId="0" fontId="151" fillId="0" borderId="0" xfId="0" applyFont="1" applyAlignment="1">
      <alignment horizontal="center" vertical="center" wrapText="1"/>
    </xf>
    <xf numFmtId="0" fontId="150" fillId="0" borderId="0" xfId="0" applyFont="1" applyAlignment="1">
      <alignment horizontal="left" vertical="center"/>
    </xf>
    <xf numFmtId="0" fontId="150" fillId="0" borderId="0" xfId="0" applyFont="1" applyAlignment="1">
      <alignment horizontal="left" vertical="center" wrapText="1"/>
    </xf>
    <xf numFmtId="0" fontId="149" fillId="0" borderId="0" xfId="0" applyFont="1" applyAlignment="1">
      <alignment horizontal="left" vertical="center"/>
    </xf>
    <xf numFmtId="0" fontId="148" fillId="0" borderId="0" xfId="0" applyFont="1" applyAlignment="1">
      <alignment horizontal="left" vertical="center" wrapText="1"/>
    </xf>
    <xf numFmtId="0" fontId="148" fillId="0" borderId="0" xfId="0" applyFont="1" applyAlignment="1">
      <alignment horizontal="right" vertical="center" wrapText="1"/>
    </xf>
    <xf numFmtId="0" fontId="148" fillId="0" borderId="0" xfId="0" applyFont="1" applyAlignment="1">
      <alignment horizontal="center" vertical="center" wrapText="1"/>
    </xf>
    <xf numFmtId="0" fontId="147" fillId="0" borderId="0" xfId="0" applyFont="1" applyAlignment="1">
      <alignment horizontal="left" vertical="center" wrapText="1"/>
    </xf>
    <xf numFmtId="0" fontId="147" fillId="0" borderId="0" xfId="0" applyFont="1" applyAlignment="1">
      <alignment horizontal="right" vertical="center" wrapText="1"/>
    </xf>
    <xf numFmtId="0" fontId="147" fillId="0" borderId="0" xfId="0" applyFont="1" applyAlignment="1">
      <alignment horizontal="center" vertical="center" wrapText="1"/>
    </xf>
    <xf numFmtId="0" fontId="146" fillId="0" borderId="0" xfId="0" applyFont="1" applyAlignment="1">
      <alignment horizontal="left" vertical="center" wrapText="1"/>
    </xf>
    <xf numFmtId="0" fontId="146" fillId="0" borderId="0" xfId="0" applyFont="1" applyAlignment="1">
      <alignment horizontal="right" vertical="center" wrapText="1"/>
    </xf>
    <xf numFmtId="0" fontId="146" fillId="0" borderId="0" xfId="0" applyFont="1" applyAlignment="1">
      <alignment horizontal="center" vertical="center" wrapText="1"/>
    </xf>
    <xf numFmtId="0" fontId="145" fillId="0" borderId="0" xfId="0" applyFont="1" applyAlignment="1">
      <alignment horizontal="left" vertical="center" wrapText="1"/>
    </xf>
    <xf numFmtId="0" fontId="145" fillId="0" borderId="0" xfId="0" applyFont="1" applyAlignment="1">
      <alignment horizontal="right" vertical="center" wrapText="1"/>
    </xf>
    <xf numFmtId="0" fontId="145" fillId="0" borderId="0" xfId="0" applyFont="1" applyAlignment="1">
      <alignment horizontal="center" vertical="center" wrapText="1"/>
    </xf>
    <xf numFmtId="0" fontId="145" fillId="0" borderId="0" xfId="0" applyFont="1" applyAlignment="1">
      <alignment horizontal="left" vertical="center"/>
    </xf>
    <xf numFmtId="0" fontId="144" fillId="0" borderId="0" xfId="0" applyFont="1" applyAlignment="1">
      <alignment horizontal="left" vertical="center" wrapText="1"/>
    </xf>
    <xf numFmtId="0" fontId="144" fillId="0" borderId="0" xfId="0" applyFont="1" applyAlignment="1">
      <alignment horizontal="right" vertical="center" wrapText="1"/>
    </xf>
    <xf numFmtId="0" fontId="144" fillId="0" borderId="0" xfId="0" applyFont="1" applyAlignment="1">
      <alignment horizontal="center" vertical="center" wrapText="1"/>
    </xf>
    <xf numFmtId="0" fontId="143" fillId="0" borderId="0" xfId="0" applyFont="1" applyAlignment="1">
      <alignment horizontal="left" vertical="center"/>
    </xf>
    <xf numFmtId="0" fontId="142" fillId="0" borderId="0" xfId="0" applyFont="1" applyAlignment="1">
      <alignment horizontal="left" vertical="center" wrapText="1"/>
    </xf>
    <xf numFmtId="0" fontId="142" fillId="0" borderId="0" xfId="0" applyFont="1" applyAlignment="1">
      <alignment horizontal="right" vertical="center" wrapText="1"/>
    </xf>
    <xf numFmtId="0" fontId="142" fillId="0" borderId="0" xfId="0" applyFont="1" applyAlignment="1">
      <alignment horizontal="center" vertical="center" wrapText="1"/>
    </xf>
    <xf numFmtId="0" fontId="141" fillId="0" borderId="0" xfId="0" applyFont="1" applyAlignment="1">
      <alignment horizontal="left" vertical="center"/>
    </xf>
    <xf numFmtId="0" fontId="140" fillId="0" borderId="0" xfId="0" applyFont="1" applyAlignment="1">
      <alignment horizontal="left" vertical="center" wrapText="1"/>
    </xf>
    <xf numFmtId="0" fontId="140" fillId="0" borderId="0" xfId="0" applyFont="1" applyAlignment="1">
      <alignment horizontal="right" vertical="center" wrapText="1"/>
    </xf>
    <xf numFmtId="0" fontId="140" fillId="0" borderId="0" xfId="0" applyFont="1" applyAlignment="1">
      <alignment horizontal="center" vertical="center" wrapText="1"/>
    </xf>
    <xf numFmtId="0" fontId="140" fillId="0" borderId="0" xfId="0" applyFont="1" applyAlignment="1">
      <alignment horizontal="left" vertical="center"/>
    </xf>
    <xf numFmtId="0" fontId="139" fillId="0" borderId="0" xfId="0" applyFont="1" applyAlignment="1">
      <alignment horizontal="left" vertical="center" wrapText="1"/>
    </xf>
    <xf numFmtId="0" fontId="139" fillId="0" borderId="0" xfId="0" applyFont="1" applyAlignment="1">
      <alignment horizontal="right" vertical="center" wrapText="1"/>
    </xf>
    <xf numFmtId="0" fontId="139" fillId="0" borderId="0" xfId="0" applyFont="1" applyAlignment="1">
      <alignment horizontal="center" vertical="center" wrapText="1"/>
    </xf>
    <xf numFmtId="0" fontId="138" fillId="0" borderId="0" xfId="0" applyFont="1" applyAlignment="1">
      <alignment horizontal="left" vertical="center"/>
    </xf>
    <xf numFmtId="0" fontId="138" fillId="0" borderId="0" xfId="0" applyFont="1" applyAlignment="1">
      <alignment horizontal="left" vertical="center" wrapText="1"/>
    </xf>
    <xf numFmtId="0" fontId="137" fillId="0" borderId="0" xfId="0" applyFont="1" applyAlignment="1">
      <alignment horizontal="left" vertical="center" wrapText="1"/>
    </xf>
    <xf numFmtId="0" fontId="137" fillId="0" borderId="0" xfId="0" applyFont="1" applyAlignment="1">
      <alignment horizontal="right" vertical="center" wrapText="1"/>
    </xf>
    <xf numFmtId="0" fontId="137" fillId="0" borderId="0" xfId="0" applyFont="1" applyAlignment="1">
      <alignment horizontal="center" vertical="center" wrapText="1"/>
    </xf>
    <xf numFmtId="0" fontId="136" fillId="0" borderId="0" xfId="0" applyFont="1" applyAlignment="1">
      <alignment horizontal="left" vertical="center" wrapText="1"/>
    </xf>
    <xf numFmtId="0" fontId="136" fillId="0" borderId="0" xfId="0" applyFont="1" applyAlignment="1">
      <alignment horizontal="right" vertical="center" wrapText="1"/>
    </xf>
    <xf numFmtId="0" fontId="136" fillId="0" borderId="0" xfId="0" applyFont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0" borderId="0" xfId="0" applyFont="1" applyAlignment="1">
      <alignment horizontal="right" vertical="center" wrapText="1"/>
    </xf>
    <xf numFmtId="0" fontId="134" fillId="0" borderId="0" xfId="0" applyFont="1" applyAlignment="1">
      <alignment horizontal="left" vertical="center" wrapText="1"/>
    </xf>
    <xf numFmtId="0" fontId="134" fillId="0" borderId="0" xfId="0" applyFont="1" applyAlignment="1">
      <alignment horizontal="right" vertical="center" wrapText="1"/>
    </xf>
    <xf numFmtId="0" fontId="134" fillId="0" borderId="0" xfId="0" applyFont="1" applyAlignment="1">
      <alignment horizontal="center" vertical="center" wrapText="1"/>
    </xf>
    <xf numFmtId="0" fontId="133" fillId="0" borderId="0" xfId="0" applyFont="1" applyAlignment="1">
      <alignment horizontal="left" vertical="center" wrapText="1"/>
    </xf>
    <xf numFmtId="0" fontId="133" fillId="0" borderId="0" xfId="0" applyFont="1" applyAlignment="1">
      <alignment horizontal="right" vertical="center" wrapText="1"/>
    </xf>
    <xf numFmtId="0" fontId="133" fillId="0" borderId="0" xfId="0" applyFont="1" applyAlignment="1">
      <alignment horizontal="center" vertical="center" wrapText="1"/>
    </xf>
    <xf numFmtId="0" fontId="132" fillId="0" borderId="0" xfId="0" applyFont="1" applyAlignment="1">
      <alignment horizontal="left" vertical="center" wrapText="1"/>
    </xf>
    <xf numFmtId="0" fontId="132" fillId="0" borderId="0" xfId="0" applyFont="1" applyAlignment="1">
      <alignment horizontal="right" vertical="center" wrapText="1"/>
    </xf>
    <xf numFmtId="0" fontId="132" fillId="0" borderId="0" xfId="0" applyFont="1" applyAlignment="1">
      <alignment horizontal="center" vertical="center" wrapText="1"/>
    </xf>
    <xf numFmtId="0" fontId="131" fillId="0" borderId="0" xfId="0" applyFont="1" applyAlignment="1">
      <alignment horizontal="left" vertical="center"/>
    </xf>
    <xf numFmtId="0" fontId="131" fillId="0" borderId="0" xfId="0" applyFont="1" applyAlignment="1">
      <alignment horizontal="left" vertical="center" wrapText="1"/>
    </xf>
    <xf numFmtId="0" fontId="130" fillId="0" borderId="0" xfId="0" applyFont="1" applyAlignment="1">
      <alignment horizontal="left" vertical="center"/>
    </xf>
    <xf numFmtId="0" fontId="130" fillId="0" borderId="0" xfId="0" applyFont="1" applyAlignment="1">
      <alignment horizontal="left" vertical="center" wrapText="1"/>
    </xf>
    <xf numFmtId="0" fontId="129" fillId="0" borderId="0" xfId="0" applyFont="1" applyAlignment="1">
      <alignment horizontal="left" vertical="center" wrapText="1"/>
    </xf>
    <xf numFmtId="0" fontId="129" fillId="0" borderId="0" xfId="0" applyFont="1" applyAlignment="1">
      <alignment horizontal="right" vertical="center" wrapText="1"/>
    </xf>
    <xf numFmtId="0" fontId="129" fillId="0" borderId="0" xfId="0" applyFont="1" applyAlignment="1">
      <alignment horizontal="center" vertical="center" wrapText="1"/>
    </xf>
    <xf numFmtId="0" fontId="128" fillId="0" borderId="0" xfId="0" applyFont="1" applyAlignment="1">
      <alignment horizontal="left" vertical="center" wrapText="1"/>
    </xf>
    <xf numFmtId="0" fontId="128" fillId="0" borderId="0" xfId="0" applyFont="1" applyAlignment="1">
      <alignment horizontal="right" vertical="center" wrapText="1"/>
    </xf>
    <xf numFmtId="0" fontId="128" fillId="0" borderId="0" xfId="0" applyFont="1" applyAlignment="1">
      <alignment horizontal="center" vertical="center" wrapText="1"/>
    </xf>
    <xf numFmtId="0" fontId="128" fillId="0" borderId="0" xfId="0" applyFont="1" applyAlignment="1">
      <alignment horizontal="left" vertical="center"/>
    </xf>
    <xf numFmtId="0" fontId="127" fillId="0" borderId="0" xfId="0" applyFont="1" applyAlignment="1">
      <alignment horizontal="left" vertical="center" wrapText="1"/>
    </xf>
    <xf numFmtId="0" fontId="127" fillId="0" borderId="0" xfId="0" applyFont="1" applyAlignment="1">
      <alignment horizontal="right" vertical="center" wrapText="1"/>
    </xf>
    <xf numFmtId="0" fontId="127" fillId="0" borderId="0" xfId="0" applyFont="1" applyAlignment="1">
      <alignment horizontal="center" vertical="center" wrapText="1"/>
    </xf>
    <xf numFmtId="0" fontId="126" fillId="0" borderId="0" xfId="0" applyFont="1" applyAlignment="1">
      <alignment horizontal="right" vertical="center" wrapText="1"/>
    </xf>
    <xf numFmtId="0" fontId="126" fillId="0" borderId="0" xfId="0" applyFont="1" applyAlignment="1">
      <alignment horizontal="left" vertical="center"/>
    </xf>
    <xf numFmtId="0" fontId="125" fillId="0" borderId="0" xfId="0" applyFont="1" applyAlignment="1">
      <alignment horizontal="right" vertical="center" wrapText="1"/>
    </xf>
    <xf numFmtId="0" fontId="124" fillId="0" borderId="0" xfId="0" applyFont="1" applyAlignment="1">
      <alignment horizontal="left" vertical="center"/>
    </xf>
    <xf numFmtId="0" fontId="123" fillId="0" borderId="0" xfId="0" applyFont="1" applyAlignment="1">
      <alignment horizontal="right" vertical="center" wrapText="1"/>
    </xf>
    <xf numFmtId="0" fontId="123" fillId="0" borderId="0" xfId="0" applyFont="1" applyAlignment="1">
      <alignment horizontal="center" vertical="center" wrapText="1"/>
    </xf>
    <xf numFmtId="0" fontId="123" fillId="0" borderId="0" xfId="0" applyFont="1" applyAlignment="1">
      <alignment horizontal="left" vertical="center"/>
    </xf>
    <xf numFmtId="0" fontId="122" fillId="0" borderId="0" xfId="0" applyFont="1"/>
    <xf numFmtId="0" fontId="121" fillId="0" borderId="0" xfId="0" applyFont="1" applyAlignment="1">
      <alignment horizontal="left" vertical="center" wrapText="1"/>
    </xf>
    <xf numFmtId="0" fontId="121" fillId="0" borderId="0" xfId="0" applyFont="1" applyAlignment="1">
      <alignment horizontal="right" vertical="center" wrapText="1"/>
    </xf>
    <xf numFmtId="0" fontId="121" fillId="0" borderId="0" xfId="0" applyFont="1" applyAlignment="1">
      <alignment horizontal="left" vertical="center"/>
    </xf>
    <xf numFmtId="0" fontId="121" fillId="0" borderId="0" xfId="0" applyFont="1" applyAlignment="1">
      <alignment horizontal="center" vertical="center" wrapText="1"/>
    </xf>
    <xf numFmtId="0" fontId="121" fillId="0" borderId="0" xfId="0" applyFont="1"/>
    <xf numFmtId="20" fontId="121" fillId="0" borderId="0" xfId="0" applyNumberFormat="1" applyFont="1" applyAlignment="1">
      <alignment horizontal="right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84" fillId="0" borderId="0" xfId="0" applyFont="1"/>
    <xf numFmtId="14" fontId="121" fillId="0" borderId="0" xfId="0" applyNumberFormat="1" applyFont="1" applyAlignment="1">
      <alignment horizontal="right" vertical="center" wrapText="1"/>
    </xf>
    <xf numFmtId="164" fontId="183" fillId="0" borderId="0" xfId="0" applyNumberFormat="1" applyFont="1" applyAlignment="1">
      <alignment horizontal="center" vertical="center" wrapText="1"/>
    </xf>
    <xf numFmtId="164" fontId="183" fillId="2" borderId="0" xfId="0" applyNumberFormat="1" applyFont="1" applyFill="1" applyAlignment="1">
      <alignment horizontal="center" vertical="center" wrapText="1"/>
    </xf>
    <xf numFmtId="0" fontId="184" fillId="3" borderId="0" xfId="0" applyFont="1" applyFill="1" applyAlignment="1">
      <alignment horizontal="center" vertical="center" wrapText="1"/>
    </xf>
    <xf numFmtId="0" fontId="184" fillId="0" borderId="0" xfId="0" applyFont="1" applyAlignment="1">
      <alignment horizontal="center" vertical="center" wrapText="1"/>
    </xf>
    <xf numFmtId="0" fontId="190" fillId="3" borderId="0" xfId="0" applyFont="1" applyFill="1" applyAlignment="1">
      <alignment horizontal="center" vertical="center" wrapText="1"/>
    </xf>
    <xf numFmtId="20" fontId="184" fillId="3" borderId="0" xfId="0" applyNumberFormat="1" applyFont="1" applyFill="1" applyAlignment="1">
      <alignment horizontal="center" vertical="center" wrapText="1"/>
    </xf>
    <xf numFmtId="0" fontId="191" fillId="0" borderId="0" xfId="0" applyFont="1" applyAlignment="1">
      <alignment horizontal="center" vertical="center" wrapText="1"/>
    </xf>
    <xf numFmtId="0" fontId="191" fillId="3" borderId="0" xfId="0" applyFont="1" applyFill="1" applyAlignment="1">
      <alignment horizontal="center" vertical="center" wrapText="1"/>
    </xf>
    <xf numFmtId="0" fontId="190" fillId="3" borderId="0" xfId="0" quotePrefix="1" applyFont="1" applyFill="1" applyAlignment="1">
      <alignment horizontal="center" vertical="center" wrapText="1"/>
    </xf>
    <xf numFmtId="1" fontId="184" fillId="0" borderId="0" xfId="0" applyNumberFormat="1" applyFont="1" applyAlignment="1">
      <alignment horizontal="center" vertical="center" wrapText="1"/>
    </xf>
    <xf numFmtId="1" fontId="190" fillId="3" borderId="0" xfId="0" applyNumberFormat="1" applyFont="1" applyFill="1" applyAlignment="1">
      <alignment horizontal="center" vertical="center" wrapText="1"/>
    </xf>
    <xf numFmtId="0" fontId="190" fillId="0" borderId="0" xfId="0" applyFont="1" applyAlignment="1">
      <alignment horizontal="center" vertical="center" wrapText="1"/>
    </xf>
    <xf numFmtId="164" fontId="170" fillId="0" borderId="0" xfId="0" applyNumberFormat="1" applyFont="1" applyAlignment="1">
      <alignment horizontal="center" vertical="center" wrapText="1"/>
    </xf>
    <xf numFmtId="164" fontId="169" fillId="0" borderId="0" xfId="0" applyNumberFormat="1" applyFont="1" applyAlignment="1">
      <alignment horizontal="center" vertical="center" wrapText="1"/>
    </xf>
    <xf numFmtId="164" fontId="168" fillId="0" borderId="0" xfId="0" applyNumberFormat="1" applyFont="1" applyAlignment="1">
      <alignment horizontal="center" vertical="center" wrapText="1"/>
    </xf>
    <xf numFmtId="164" fontId="167" fillId="0" borderId="0" xfId="0" applyNumberFormat="1" applyFont="1" applyAlignment="1">
      <alignment horizontal="center" vertical="center" wrapText="1"/>
    </xf>
    <xf numFmtId="164" fontId="160" fillId="0" borderId="0" xfId="0" applyNumberFormat="1" applyFont="1" applyAlignment="1">
      <alignment horizontal="center" vertical="center" wrapText="1"/>
    </xf>
    <xf numFmtId="164" fontId="158" fillId="0" borderId="0" xfId="0" applyNumberFormat="1" applyFont="1" applyAlignment="1">
      <alignment horizontal="center" vertical="center" wrapText="1"/>
    </xf>
    <xf numFmtId="164" fontId="156" fillId="0" borderId="0" xfId="0" applyNumberFormat="1" applyFont="1" applyAlignment="1">
      <alignment horizontal="center" vertical="center" wrapText="1"/>
    </xf>
    <xf numFmtId="164" fontId="154" fillId="0" borderId="0" xfId="0" applyNumberFormat="1" applyFont="1" applyAlignment="1">
      <alignment horizontal="center" vertical="center" wrapText="1"/>
    </xf>
    <xf numFmtId="164" fontId="153" fillId="0" borderId="0" xfId="0" applyNumberFormat="1" applyFont="1" applyAlignment="1">
      <alignment horizontal="center" vertical="center" wrapText="1"/>
    </xf>
    <xf numFmtId="164" fontId="152" fillId="0" borderId="0" xfId="0" applyNumberFormat="1" applyFont="1" applyAlignment="1">
      <alignment horizontal="center" vertical="center" wrapText="1"/>
    </xf>
    <xf numFmtId="164" fontId="151" fillId="0" borderId="0" xfId="0" applyNumberFormat="1" applyFont="1" applyAlignment="1">
      <alignment horizontal="center" vertical="center" wrapText="1"/>
    </xf>
    <xf numFmtId="164" fontId="148" fillId="0" borderId="0" xfId="0" applyNumberFormat="1" applyFont="1" applyAlignment="1">
      <alignment horizontal="center" vertical="center" wrapText="1"/>
    </xf>
    <xf numFmtId="164" fontId="147" fillId="0" borderId="0" xfId="0" applyNumberFormat="1" applyFont="1" applyAlignment="1">
      <alignment horizontal="center" vertical="center" wrapText="1"/>
    </xf>
    <xf numFmtId="164" fontId="146" fillId="0" borderId="0" xfId="0" applyNumberFormat="1" applyFont="1" applyAlignment="1">
      <alignment horizontal="center" vertical="center" wrapText="1"/>
    </xf>
    <xf numFmtId="164" fontId="145" fillId="0" borderId="0" xfId="0" applyNumberFormat="1" applyFont="1" applyAlignment="1">
      <alignment horizontal="center" vertical="center" wrapText="1"/>
    </xf>
    <xf numFmtId="164" fontId="144" fillId="0" borderId="0" xfId="0" applyNumberFormat="1" applyFont="1" applyAlignment="1">
      <alignment horizontal="center" vertical="center" wrapText="1"/>
    </xf>
    <xf numFmtId="164" fontId="142" fillId="0" borderId="0" xfId="0" applyNumberFormat="1" applyFont="1" applyAlignment="1">
      <alignment horizontal="center" vertical="center" wrapText="1"/>
    </xf>
    <xf numFmtId="164" fontId="140" fillId="0" borderId="0" xfId="0" applyNumberFormat="1" applyFont="1" applyAlignment="1">
      <alignment horizontal="center" vertical="center" wrapText="1"/>
    </xf>
    <xf numFmtId="164" fontId="139" fillId="0" borderId="0" xfId="0" applyNumberFormat="1" applyFont="1" applyAlignment="1">
      <alignment horizontal="center" vertical="center" wrapText="1"/>
    </xf>
    <xf numFmtId="164" fontId="137" fillId="0" borderId="0" xfId="0" applyNumberFormat="1" applyFont="1" applyAlignment="1">
      <alignment horizontal="center" vertical="center" wrapText="1"/>
    </xf>
    <xf numFmtId="164" fontId="136" fillId="0" borderId="0" xfId="0" applyNumberFormat="1" applyFont="1" applyAlignment="1">
      <alignment horizontal="center" vertical="center" wrapText="1"/>
    </xf>
    <xf numFmtId="164" fontId="134" fillId="0" borderId="0" xfId="0" applyNumberFormat="1" applyFont="1" applyAlignment="1">
      <alignment horizontal="center" vertical="center" wrapText="1"/>
    </xf>
    <xf numFmtId="164" fontId="133" fillId="0" borderId="0" xfId="0" applyNumberFormat="1" applyFont="1" applyAlignment="1">
      <alignment horizontal="center" vertical="center" wrapText="1"/>
    </xf>
    <xf numFmtId="164" fontId="132" fillId="0" borderId="0" xfId="0" applyNumberFormat="1" applyFont="1" applyAlignment="1">
      <alignment horizontal="center" vertical="center" wrapText="1"/>
    </xf>
    <xf numFmtId="164" fontId="129" fillId="0" borderId="0" xfId="0" applyNumberFormat="1" applyFont="1" applyAlignment="1">
      <alignment horizontal="center" vertical="center" wrapText="1"/>
    </xf>
    <xf numFmtId="164" fontId="128" fillId="0" borderId="0" xfId="0" applyNumberFormat="1" applyFont="1" applyAlignment="1">
      <alignment horizontal="center" vertical="center" wrapText="1"/>
    </xf>
    <xf numFmtId="164" fontId="127" fillId="0" borderId="0" xfId="0" applyNumberFormat="1" applyFont="1" applyAlignment="1">
      <alignment horizontal="center" vertical="center" wrapText="1"/>
    </xf>
    <xf numFmtId="164" fontId="123" fillId="0" borderId="0" xfId="0" applyNumberFormat="1" applyFont="1" applyAlignment="1">
      <alignment horizontal="center" vertical="center" wrapText="1"/>
    </xf>
    <xf numFmtId="164" fontId="121" fillId="0" borderId="0" xfId="0" applyNumberFormat="1" applyFont="1" applyAlignment="1">
      <alignment horizontal="center" vertical="center" wrapText="1"/>
    </xf>
    <xf numFmtId="164" fontId="183" fillId="3" borderId="0" xfId="0" applyNumberFormat="1" applyFont="1" applyFill="1" applyAlignment="1">
      <alignment horizontal="center" vertical="center" wrapText="1"/>
    </xf>
    <xf numFmtId="164" fontId="185" fillId="2" borderId="0" xfId="0" applyNumberFormat="1" applyFont="1" applyFill="1" applyAlignment="1">
      <alignment horizontal="center" vertical="center" wrapText="1"/>
    </xf>
    <xf numFmtId="2" fontId="121" fillId="0" borderId="0" xfId="0" applyNumberFormat="1" applyFont="1" applyAlignment="1">
      <alignment horizontal="center" vertical="center" wrapText="1"/>
    </xf>
    <xf numFmtId="20" fontId="121" fillId="0" borderId="0" xfId="0" applyNumberFormat="1" applyFont="1" applyAlignment="1">
      <alignment horizontal="left" vertical="center" wrapText="1"/>
    </xf>
    <xf numFmtId="2" fontId="184" fillId="3" borderId="0" xfId="0" applyNumberFormat="1" applyFont="1" applyFill="1" applyAlignment="1">
      <alignment horizontal="center" vertical="center" wrapText="1"/>
    </xf>
    <xf numFmtId="1" fontId="121" fillId="0" borderId="0" xfId="0" applyNumberFormat="1" applyFont="1" applyAlignment="1">
      <alignment horizontal="center" vertical="center" wrapText="1"/>
    </xf>
    <xf numFmtId="0" fontId="120" fillId="0" borderId="0" xfId="0" applyFont="1" applyAlignment="1">
      <alignment horizontal="left" vertical="center"/>
    </xf>
    <xf numFmtId="20" fontId="121" fillId="0" borderId="0" xfId="0" applyNumberFormat="1" applyFont="1"/>
    <xf numFmtId="0" fontId="119" fillId="0" borderId="0" xfId="0" applyFont="1" applyAlignment="1">
      <alignment horizontal="left" vertical="center" wrapText="1"/>
    </xf>
    <xf numFmtId="0" fontId="119" fillId="0" borderId="0" xfId="0" applyFont="1" applyAlignment="1">
      <alignment horizontal="right" vertical="center" wrapText="1"/>
    </xf>
    <xf numFmtId="164" fontId="119" fillId="0" borderId="0" xfId="0" applyNumberFormat="1" applyFont="1" applyAlignment="1">
      <alignment horizontal="center" vertical="center" wrapText="1"/>
    </xf>
    <xf numFmtId="0" fontId="119" fillId="0" borderId="0" xfId="0" applyFont="1" applyAlignment="1">
      <alignment horizontal="center" vertical="center" wrapText="1"/>
    </xf>
    <xf numFmtId="2" fontId="119" fillId="0" borderId="0" xfId="0" applyNumberFormat="1" applyFont="1" applyAlignment="1">
      <alignment horizontal="center" vertical="center" wrapText="1"/>
    </xf>
    <xf numFmtId="0" fontId="118" fillId="0" borderId="0" xfId="0" applyFont="1" applyAlignment="1">
      <alignment horizontal="left" vertical="center"/>
    </xf>
    <xf numFmtId="0" fontId="118" fillId="0" borderId="0" xfId="0" applyFont="1" applyAlignment="1">
      <alignment horizontal="left" vertical="center" wrapText="1"/>
    </xf>
    <xf numFmtId="0" fontId="117" fillId="0" borderId="0" xfId="0" applyFont="1" applyAlignment="1">
      <alignment horizontal="left" vertical="center"/>
    </xf>
    <xf numFmtId="0" fontId="116" fillId="0" borderId="0" xfId="0" applyFont="1" applyAlignment="1">
      <alignment horizontal="left" vertical="center"/>
    </xf>
    <xf numFmtId="0" fontId="115" fillId="0" borderId="0" xfId="0" applyFont="1" applyAlignment="1">
      <alignment horizontal="left" vertical="center"/>
    </xf>
    <xf numFmtId="0" fontId="114" fillId="0" borderId="0" xfId="0" applyFont="1" applyAlignment="1">
      <alignment horizontal="left" vertical="center"/>
    </xf>
    <xf numFmtId="0" fontId="113" fillId="0" borderId="0" xfId="0" applyFont="1" applyAlignment="1">
      <alignment horizontal="left" vertical="center" wrapText="1"/>
    </xf>
    <xf numFmtId="0" fontId="113" fillId="0" borderId="0" xfId="0" applyFont="1" applyAlignment="1">
      <alignment horizontal="right" vertical="center" wrapText="1"/>
    </xf>
    <xf numFmtId="164" fontId="113" fillId="0" borderId="0" xfId="0" applyNumberFormat="1" applyFont="1" applyAlignment="1">
      <alignment horizontal="center" vertical="center" wrapText="1"/>
    </xf>
    <xf numFmtId="0" fontId="113" fillId="0" borderId="0" xfId="0" applyFont="1" applyAlignment="1">
      <alignment horizontal="center" vertical="center" wrapText="1"/>
    </xf>
    <xf numFmtId="2" fontId="113" fillId="0" borderId="0" xfId="0" applyNumberFormat="1" applyFont="1" applyAlignment="1">
      <alignment horizontal="center" vertical="center" wrapText="1"/>
    </xf>
    <xf numFmtId="0" fontId="112" fillId="0" borderId="0" xfId="0" applyFont="1" applyAlignment="1">
      <alignment horizontal="left" vertical="center" wrapText="1"/>
    </xf>
    <xf numFmtId="0" fontId="112" fillId="0" borderId="0" xfId="0" applyFont="1" applyAlignment="1">
      <alignment horizontal="right" vertical="center" wrapText="1"/>
    </xf>
    <xf numFmtId="164" fontId="112" fillId="0" borderId="0" xfId="0" applyNumberFormat="1" applyFont="1" applyAlignment="1">
      <alignment horizontal="center" vertical="center" wrapText="1"/>
    </xf>
    <xf numFmtId="0" fontId="112" fillId="0" borderId="0" xfId="0" applyFont="1" applyAlignment="1">
      <alignment horizontal="center" vertical="center" wrapText="1"/>
    </xf>
    <xf numFmtId="2" fontId="112" fillId="0" borderId="0" xfId="0" applyNumberFormat="1" applyFont="1" applyAlignment="1">
      <alignment horizontal="center" vertical="center" wrapText="1"/>
    </xf>
    <xf numFmtId="0" fontId="111" fillId="0" borderId="0" xfId="0" applyFont="1" applyAlignment="1">
      <alignment horizontal="left" vertical="center" wrapText="1"/>
    </xf>
    <xf numFmtId="0" fontId="111" fillId="0" borderId="0" xfId="0" applyFont="1" applyAlignment="1">
      <alignment horizontal="right" vertical="center" wrapText="1"/>
    </xf>
    <xf numFmtId="164" fontId="111" fillId="0" borderId="0" xfId="0" applyNumberFormat="1" applyFont="1" applyAlignment="1">
      <alignment horizontal="center" vertical="center" wrapText="1"/>
    </xf>
    <xf numFmtId="0" fontId="111" fillId="0" borderId="0" xfId="0" applyFont="1" applyAlignment="1">
      <alignment horizontal="center" vertical="center" wrapText="1"/>
    </xf>
    <xf numFmtId="2" fontId="111" fillId="0" borderId="0" xfId="0" applyNumberFormat="1" applyFont="1" applyAlignment="1">
      <alignment horizontal="center" vertical="center" wrapText="1"/>
    </xf>
    <xf numFmtId="0" fontId="110" fillId="0" borderId="0" xfId="0" applyFont="1" applyAlignment="1">
      <alignment horizontal="left" vertical="center" wrapText="1"/>
    </xf>
    <xf numFmtId="0" fontId="110" fillId="0" borderId="0" xfId="0" applyFont="1" applyAlignment="1">
      <alignment horizontal="right" vertical="center" wrapText="1"/>
    </xf>
    <xf numFmtId="164" fontId="110" fillId="0" borderId="0" xfId="0" applyNumberFormat="1" applyFont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2" fontId="110" fillId="0" borderId="0" xfId="0" applyNumberFormat="1" applyFont="1" applyAlignment="1">
      <alignment horizontal="center" vertical="center" wrapText="1"/>
    </xf>
    <xf numFmtId="0" fontId="109" fillId="0" borderId="0" xfId="0" applyFont="1" applyAlignment="1">
      <alignment horizontal="left" vertical="center"/>
    </xf>
    <xf numFmtId="14" fontId="109" fillId="0" borderId="0" xfId="0" applyNumberFormat="1" applyFont="1" applyAlignment="1">
      <alignment horizontal="left" vertical="center"/>
    </xf>
    <xf numFmtId="0" fontId="108" fillId="0" borderId="0" xfId="0" applyFont="1" applyAlignment="1">
      <alignment horizontal="left" vertical="center"/>
    </xf>
    <xf numFmtId="0" fontId="107" fillId="0" borderId="0" xfId="0" applyFont="1" applyAlignment="1">
      <alignment horizontal="left" vertical="center"/>
    </xf>
    <xf numFmtId="14" fontId="107" fillId="0" borderId="0" xfId="0" applyNumberFormat="1" applyFont="1" applyAlignment="1">
      <alignment horizontal="left" vertical="center"/>
    </xf>
    <xf numFmtId="0" fontId="106" fillId="0" borderId="0" xfId="0" applyFont="1" applyAlignment="1">
      <alignment horizontal="left" vertical="center" wrapText="1"/>
    </xf>
    <xf numFmtId="0" fontId="106" fillId="0" borderId="0" xfId="0" applyFont="1" applyAlignment="1">
      <alignment horizontal="right" vertical="center" wrapText="1"/>
    </xf>
    <xf numFmtId="164" fontId="106" fillId="0" borderId="0" xfId="0" applyNumberFormat="1" applyFont="1" applyAlignment="1">
      <alignment horizontal="center" vertical="center" wrapText="1"/>
    </xf>
    <xf numFmtId="0" fontId="106" fillId="0" borderId="0" xfId="0" applyFont="1" applyAlignment="1">
      <alignment horizontal="center" vertical="center" wrapText="1"/>
    </xf>
    <xf numFmtId="2" fontId="106" fillId="0" borderId="0" xfId="0" applyNumberFormat="1" applyFont="1" applyAlignment="1">
      <alignment horizontal="center" vertical="center" wrapText="1"/>
    </xf>
    <xf numFmtId="0" fontId="192" fillId="0" borderId="0" xfId="0" applyFont="1" applyAlignment="1">
      <alignment horizontal="center" vertical="center" wrapText="1"/>
    </xf>
    <xf numFmtId="0" fontId="192" fillId="3" borderId="0" xfId="0" applyFont="1" applyFill="1" applyAlignment="1">
      <alignment horizontal="center" vertical="center" wrapText="1"/>
    </xf>
    <xf numFmtId="0" fontId="193" fillId="3" borderId="0" xfId="0" applyFont="1" applyFill="1" applyAlignment="1">
      <alignment horizontal="center" vertical="center" wrapText="1"/>
    </xf>
    <xf numFmtId="14" fontId="192" fillId="3" borderId="0" xfId="0" applyNumberFormat="1" applyFont="1" applyFill="1" applyAlignment="1">
      <alignment horizontal="center" vertical="center" wrapText="1"/>
    </xf>
    <xf numFmtId="0" fontId="194" fillId="0" borderId="0" xfId="0" applyFont="1" applyAlignment="1">
      <alignment horizontal="center" vertical="center" wrapText="1"/>
    </xf>
    <xf numFmtId="0" fontId="193" fillId="3" borderId="0" xfId="0" quotePrefix="1" applyFont="1" applyFill="1" applyAlignment="1">
      <alignment horizontal="center" vertical="center" wrapText="1"/>
    </xf>
    <xf numFmtId="1" fontId="192" fillId="0" borderId="0" xfId="0" applyNumberFormat="1" applyFont="1" applyAlignment="1">
      <alignment horizontal="center" vertical="center" wrapText="1"/>
    </xf>
    <xf numFmtId="1" fontId="193" fillId="3" borderId="0" xfId="0" applyNumberFormat="1" applyFont="1" applyFill="1" applyAlignment="1">
      <alignment horizontal="center" vertical="center" wrapText="1"/>
    </xf>
    <xf numFmtId="0" fontId="193" fillId="0" borderId="0" xfId="0" applyFont="1" applyAlignment="1">
      <alignment horizontal="center" vertical="center" wrapText="1"/>
    </xf>
    <xf numFmtId="1" fontId="192" fillId="3" borderId="0" xfId="0" applyNumberFormat="1" applyFont="1" applyFill="1" applyAlignment="1">
      <alignment horizontal="center" vertical="center" wrapText="1"/>
    </xf>
    <xf numFmtId="0" fontId="105" fillId="0" borderId="0" xfId="0" applyFont="1" applyAlignment="1">
      <alignment horizontal="left" vertical="center" wrapText="1"/>
    </xf>
    <xf numFmtId="0" fontId="105" fillId="0" borderId="0" xfId="0" applyFont="1" applyAlignment="1">
      <alignment horizontal="left" vertical="center"/>
    </xf>
    <xf numFmtId="14" fontId="105" fillId="0" borderId="0" xfId="0" applyNumberFormat="1" applyFont="1" applyAlignment="1">
      <alignment horizontal="left" vertical="center"/>
    </xf>
    <xf numFmtId="0" fontId="104" fillId="0" borderId="0" xfId="0" applyFont="1" applyAlignment="1">
      <alignment horizontal="left" vertical="center" wrapText="1"/>
    </xf>
    <xf numFmtId="0" fontId="104" fillId="0" borderId="0" xfId="0" applyFont="1" applyAlignment="1">
      <alignment horizontal="left" vertical="center"/>
    </xf>
    <xf numFmtId="20" fontId="103" fillId="0" borderId="0" xfId="0" applyNumberFormat="1" applyFont="1" applyAlignment="1">
      <alignment horizontal="left" vertical="center" wrapText="1"/>
    </xf>
    <xf numFmtId="0" fontId="103" fillId="0" borderId="0" xfId="0" applyFont="1" applyAlignment="1">
      <alignment horizontal="right" vertical="center" wrapText="1"/>
    </xf>
    <xf numFmtId="164" fontId="103" fillId="0" borderId="0" xfId="0" applyNumberFormat="1" applyFont="1" applyAlignment="1">
      <alignment horizontal="center" vertical="center" wrapText="1"/>
    </xf>
    <xf numFmtId="0" fontId="103" fillId="0" borderId="0" xfId="0" applyFont="1" applyAlignment="1">
      <alignment horizontal="center" vertical="center" wrapText="1"/>
    </xf>
    <xf numFmtId="2" fontId="103" fillId="0" borderId="0" xfId="0" applyNumberFormat="1" applyFont="1" applyAlignment="1">
      <alignment horizontal="center" vertical="center" wrapText="1"/>
    </xf>
    <xf numFmtId="0" fontId="102" fillId="0" borderId="0" xfId="0" applyFont="1" applyAlignment="1">
      <alignment horizontal="left" vertical="center"/>
    </xf>
    <xf numFmtId="14" fontId="102" fillId="0" borderId="0" xfId="0" applyNumberFormat="1" applyFont="1" applyAlignment="1">
      <alignment horizontal="left" vertical="center"/>
    </xf>
    <xf numFmtId="0" fontId="195" fillId="3" borderId="0" xfId="0" applyFont="1" applyFill="1" applyAlignment="1">
      <alignment horizontal="center" vertical="center" wrapText="1"/>
    </xf>
    <xf numFmtId="20" fontId="195" fillId="3" borderId="0" xfId="0" applyNumberFormat="1" applyFont="1" applyFill="1" applyAlignment="1">
      <alignment horizontal="center" vertical="center" wrapText="1"/>
    </xf>
    <xf numFmtId="0" fontId="101" fillId="0" borderId="0" xfId="0" applyFont="1" applyAlignment="1">
      <alignment horizontal="left" vertical="center" wrapText="1"/>
    </xf>
    <xf numFmtId="0" fontId="101" fillId="0" borderId="0" xfId="0" applyFont="1" applyAlignment="1">
      <alignment horizontal="right" vertical="center" wrapText="1"/>
    </xf>
    <xf numFmtId="164" fontId="101" fillId="0" borderId="0" xfId="0" applyNumberFormat="1" applyFont="1" applyAlignment="1">
      <alignment horizontal="center" vertical="center" wrapText="1"/>
    </xf>
    <xf numFmtId="0" fontId="101" fillId="0" borderId="0" xfId="0" applyFont="1" applyAlignment="1">
      <alignment horizontal="center" vertical="center" wrapText="1"/>
    </xf>
    <xf numFmtId="2" fontId="101" fillId="0" borderId="0" xfId="0" applyNumberFormat="1" applyFont="1" applyAlignment="1">
      <alignment horizontal="center" vertical="center" wrapText="1"/>
    </xf>
    <xf numFmtId="0" fontId="100" fillId="0" borderId="0" xfId="0" applyFont="1" applyAlignment="1">
      <alignment horizontal="left" vertical="center" wrapText="1"/>
    </xf>
    <xf numFmtId="0" fontId="100" fillId="0" borderId="0" xfId="0" applyFont="1" applyAlignment="1">
      <alignment horizontal="right" vertical="center" wrapText="1"/>
    </xf>
    <xf numFmtId="0" fontId="100" fillId="0" borderId="0" xfId="0" applyFont="1" applyAlignment="1">
      <alignment horizontal="left" vertical="center"/>
    </xf>
    <xf numFmtId="14" fontId="100" fillId="0" borderId="0" xfId="0" applyNumberFormat="1" applyFont="1" applyAlignment="1">
      <alignment horizontal="left" vertical="center"/>
    </xf>
    <xf numFmtId="0" fontId="99" fillId="0" borderId="0" xfId="0" applyFont="1" applyAlignment="1">
      <alignment horizontal="left" vertical="center" wrapText="1"/>
    </xf>
    <xf numFmtId="0" fontId="99" fillId="0" borderId="0" xfId="0" applyFont="1" applyAlignment="1">
      <alignment horizontal="left" vertical="center"/>
    </xf>
    <xf numFmtId="14" fontId="99" fillId="0" borderId="0" xfId="0" applyNumberFormat="1" applyFont="1" applyAlignment="1">
      <alignment horizontal="left" vertical="center"/>
    </xf>
    <xf numFmtId="0" fontId="98" fillId="0" borderId="0" xfId="0" applyFont="1" applyAlignment="1">
      <alignment horizontal="left" vertical="center"/>
    </xf>
    <xf numFmtId="0" fontId="97" fillId="0" borderId="0" xfId="0" applyFont="1" applyAlignment="1">
      <alignment horizontal="left" vertical="center" wrapText="1"/>
    </xf>
    <xf numFmtId="0" fontId="97" fillId="0" borderId="0" xfId="0" applyFont="1" applyAlignment="1">
      <alignment horizontal="right" vertical="center" wrapText="1"/>
    </xf>
    <xf numFmtId="164" fontId="97" fillId="0" borderId="0" xfId="0" applyNumberFormat="1" applyFont="1" applyAlignment="1">
      <alignment horizontal="center" vertical="center" wrapText="1"/>
    </xf>
    <xf numFmtId="0" fontId="97" fillId="0" borderId="0" xfId="0" applyFont="1" applyAlignment="1">
      <alignment horizontal="center" vertical="center" wrapText="1"/>
    </xf>
    <xf numFmtId="2" fontId="97" fillId="0" borderId="0" xfId="0" applyNumberFormat="1" applyFont="1" applyAlignment="1">
      <alignment horizontal="center" vertical="center" wrapText="1"/>
    </xf>
    <xf numFmtId="0" fontId="96" fillId="0" borderId="0" xfId="0" applyFont="1" applyAlignment="1">
      <alignment horizontal="left" vertical="center"/>
    </xf>
    <xf numFmtId="14" fontId="96" fillId="0" borderId="0" xfId="0" applyNumberFormat="1" applyFont="1" applyAlignment="1">
      <alignment horizontal="left" vertical="center"/>
    </xf>
    <xf numFmtId="0" fontId="95" fillId="0" borderId="0" xfId="0" applyFont="1" applyAlignment="1">
      <alignment horizontal="left" vertical="center"/>
    </xf>
    <xf numFmtId="14" fontId="95" fillId="0" borderId="0" xfId="0" applyNumberFormat="1" applyFont="1" applyAlignment="1">
      <alignment horizontal="left" vertical="center"/>
    </xf>
    <xf numFmtId="0" fontId="94" fillId="0" borderId="0" xfId="0" applyFont="1" applyAlignment="1">
      <alignment horizontal="left" vertical="center" wrapText="1"/>
    </xf>
    <xf numFmtId="0" fontId="94" fillId="0" borderId="0" xfId="0" applyFont="1" applyAlignment="1">
      <alignment horizontal="right" vertical="center" wrapText="1"/>
    </xf>
    <xf numFmtId="164" fontId="94" fillId="0" borderId="0" xfId="0" applyNumberFormat="1" applyFont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2" fontId="94" fillId="0" borderId="0" xfId="0" applyNumberFormat="1" applyFont="1" applyAlignment="1">
      <alignment horizontal="center" vertical="center" wrapText="1"/>
    </xf>
    <xf numFmtId="0" fontId="93" fillId="0" borderId="0" xfId="0" applyFont="1" applyAlignment="1">
      <alignment horizontal="left" vertical="center"/>
    </xf>
    <xf numFmtId="14" fontId="93" fillId="0" borderId="0" xfId="0" applyNumberFormat="1" applyFont="1" applyAlignment="1">
      <alignment horizontal="left" vertical="center"/>
    </xf>
    <xf numFmtId="0" fontId="92" fillId="0" borderId="0" xfId="0" applyFont="1" applyAlignment="1">
      <alignment horizontal="left" vertical="center" wrapText="1"/>
    </xf>
    <xf numFmtId="0" fontId="92" fillId="0" borderId="0" xfId="0" applyFont="1" applyAlignment="1">
      <alignment horizontal="right" vertical="center" wrapText="1"/>
    </xf>
    <xf numFmtId="164" fontId="92" fillId="0" borderId="0" xfId="0" applyNumberFormat="1" applyFont="1" applyAlignment="1">
      <alignment horizontal="center" vertical="center" wrapText="1"/>
    </xf>
    <xf numFmtId="0" fontId="92" fillId="0" borderId="0" xfId="0" applyFont="1" applyAlignment="1">
      <alignment horizontal="center" vertical="center" wrapText="1"/>
    </xf>
    <xf numFmtId="2" fontId="92" fillId="0" borderId="0" xfId="0" applyNumberFormat="1" applyFont="1" applyAlignment="1">
      <alignment horizontal="center" vertical="center" wrapText="1"/>
    </xf>
    <xf numFmtId="0" fontId="91" fillId="0" borderId="0" xfId="0" applyFont="1" applyAlignment="1">
      <alignment horizontal="left" vertical="center"/>
    </xf>
    <xf numFmtId="14" fontId="91" fillId="0" borderId="0" xfId="0" applyNumberFormat="1" applyFont="1" applyAlignment="1">
      <alignment horizontal="left" vertical="center"/>
    </xf>
    <xf numFmtId="0" fontId="90" fillId="0" borderId="0" xfId="0" applyFont="1" applyAlignment="1">
      <alignment horizontal="left" vertical="center"/>
    </xf>
    <xf numFmtId="0" fontId="89" fillId="0" borderId="0" xfId="0" applyFont="1" applyAlignment="1">
      <alignment horizontal="left" vertical="center"/>
    </xf>
    <xf numFmtId="0" fontId="88" fillId="0" borderId="0" xfId="0" applyFont="1" applyAlignment="1">
      <alignment horizontal="left" vertical="center"/>
    </xf>
    <xf numFmtId="14" fontId="88" fillId="0" borderId="0" xfId="0" applyNumberFormat="1" applyFont="1" applyAlignment="1">
      <alignment horizontal="left" vertical="center"/>
    </xf>
    <xf numFmtId="0" fontId="87" fillId="0" borderId="0" xfId="0" applyFont="1" applyAlignment="1">
      <alignment horizontal="left" vertical="center" wrapText="1"/>
    </xf>
    <xf numFmtId="0" fontId="87" fillId="0" borderId="0" xfId="0" applyFont="1" applyAlignment="1">
      <alignment horizontal="right" vertical="center" wrapText="1"/>
    </xf>
    <xf numFmtId="164" fontId="87" fillId="0" borderId="0" xfId="0" applyNumberFormat="1" applyFont="1" applyAlignment="1">
      <alignment horizontal="center" vertical="center" wrapText="1"/>
    </xf>
    <xf numFmtId="0" fontId="87" fillId="0" borderId="0" xfId="0" applyFont="1" applyAlignment="1">
      <alignment horizontal="center" vertical="center" wrapText="1"/>
    </xf>
    <xf numFmtId="2" fontId="87" fillId="0" borderId="0" xfId="0" applyNumberFormat="1" applyFont="1" applyAlignment="1">
      <alignment horizontal="center" vertical="center" wrapText="1"/>
    </xf>
    <xf numFmtId="0" fontId="86" fillId="0" borderId="0" xfId="0" applyFont="1" applyAlignment="1">
      <alignment horizontal="left" vertical="center" wrapText="1"/>
    </xf>
    <xf numFmtId="0" fontId="86" fillId="0" borderId="0" xfId="0" applyFont="1" applyAlignment="1">
      <alignment horizontal="right" vertical="center" wrapText="1"/>
    </xf>
    <xf numFmtId="0" fontId="86" fillId="0" borderId="0" xfId="0" applyFont="1" applyAlignment="1">
      <alignment horizontal="left" vertical="center"/>
    </xf>
    <xf numFmtId="14" fontId="86" fillId="0" borderId="0" xfId="0" applyNumberFormat="1" applyFont="1" applyAlignment="1">
      <alignment horizontal="left" vertical="center"/>
    </xf>
    <xf numFmtId="0" fontId="85" fillId="0" borderId="0" xfId="0" applyFont="1" applyAlignment="1">
      <alignment horizontal="left" vertical="center" wrapText="1"/>
    </xf>
    <xf numFmtId="0" fontId="85" fillId="0" borderId="0" xfId="0" applyFont="1" applyAlignment="1">
      <alignment horizontal="right" vertical="center" wrapText="1"/>
    </xf>
    <xf numFmtId="164" fontId="85" fillId="0" borderId="0" xfId="0" applyNumberFormat="1" applyFont="1" applyAlignment="1">
      <alignment horizontal="center" vertical="center" wrapText="1"/>
    </xf>
    <xf numFmtId="0" fontId="85" fillId="0" borderId="0" xfId="0" applyFont="1" applyAlignment="1">
      <alignment horizontal="center" vertical="center" wrapText="1"/>
    </xf>
    <xf numFmtId="2" fontId="85" fillId="0" borderId="0" xfId="0" applyNumberFormat="1" applyFont="1" applyAlignment="1">
      <alignment horizontal="center" vertical="center" wrapText="1"/>
    </xf>
    <xf numFmtId="0" fontId="84" fillId="0" borderId="0" xfId="0" applyFont="1" applyAlignment="1">
      <alignment horizontal="left" vertical="center" wrapText="1"/>
    </xf>
    <xf numFmtId="0" fontId="84" fillId="0" borderId="0" xfId="0" applyFont="1" applyAlignment="1">
      <alignment horizontal="right" vertical="center" wrapText="1"/>
    </xf>
    <xf numFmtId="164" fontId="84" fillId="0" borderId="0" xfId="0" applyNumberFormat="1" applyFont="1" applyAlignment="1">
      <alignment horizontal="center" vertical="center" wrapText="1"/>
    </xf>
    <xf numFmtId="0" fontId="84" fillId="0" borderId="0" xfId="0" applyFont="1" applyAlignment="1">
      <alignment horizontal="center" vertical="center" wrapText="1"/>
    </xf>
    <xf numFmtId="2" fontId="84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left" vertical="center"/>
    </xf>
    <xf numFmtId="0" fontId="82" fillId="0" borderId="0" xfId="0" applyFont="1" applyAlignment="1">
      <alignment horizontal="left" vertical="center" wrapText="1"/>
    </xf>
    <xf numFmtId="0" fontId="82" fillId="0" borderId="0" xfId="0" applyFont="1" applyAlignment="1">
      <alignment horizontal="left" vertical="center"/>
    </xf>
    <xf numFmtId="0" fontId="81" fillId="0" borderId="0" xfId="0" applyFont="1" applyAlignment="1">
      <alignment horizontal="left" vertical="center" wrapText="1"/>
    </xf>
    <xf numFmtId="0" fontId="81" fillId="0" borderId="0" xfId="0" applyFont="1" applyAlignment="1">
      <alignment horizontal="right" vertical="center" wrapText="1"/>
    </xf>
    <xf numFmtId="164" fontId="81" fillId="0" borderId="0" xfId="0" applyNumberFormat="1" applyFont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2" fontId="81" fillId="0" borderId="0" xfId="0" applyNumberFormat="1" applyFont="1" applyAlignment="1">
      <alignment horizontal="center" vertical="center" wrapText="1"/>
    </xf>
    <xf numFmtId="0" fontId="80" fillId="0" borderId="0" xfId="0" applyFont="1" applyAlignment="1">
      <alignment horizontal="left" vertical="center" wrapText="1"/>
    </xf>
    <xf numFmtId="0" fontId="80" fillId="0" borderId="0" xfId="0" applyFont="1" applyAlignment="1">
      <alignment horizontal="right" vertical="center" wrapText="1"/>
    </xf>
    <xf numFmtId="164" fontId="80" fillId="0" borderId="0" xfId="0" applyNumberFormat="1" applyFont="1" applyAlignment="1">
      <alignment horizontal="center" vertical="center" wrapText="1"/>
    </xf>
    <xf numFmtId="0" fontId="80" fillId="0" borderId="0" xfId="0" applyFont="1" applyAlignment="1">
      <alignment horizontal="center" vertical="center" wrapText="1"/>
    </xf>
    <xf numFmtId="2" fontId="80" fillId="0" borderId="0" xfId="0" applyNumberFormat="1" applyFont="1" applyAlignment="1">
      <alignment horizontal="center" vertical="center" wrapText="1"/>
    </xf>
    <xf numFmtId="0" fontId="79" fillId="0" borderId="0" xfId="0" applyFont="1" applyAlignment="1">
      <alignment horizontal="right" vertical="center" wrapText="1"/>
    </xf>
    <xf numFmtId="0" fontId="79" fillId="0" borderId="0" xfId="0" applyFont="1" applyAlignment="1">
      <alignment horizontal="left" vertical="center"/>
    </xf>
    <xf numFmtId="14" fontId="79" fillId="0" borderId="0" xfId="0" applyNumberFormat="1" applyFont="1" applyAlignment="1">
      <alignment horizontal="left" vertical="center"/>
    </xf>
    <xf numFmtId="20" fontId="183" fillId="2" borderId="0" xfId="0" applyNumberFormat="1" applyFont="1" applyFill="1" applyAlignment="1">
      <alignment horizontal="center" vertical="center" wrapText="1"/>
    </xf>
    <xf numFmtId="0" fontId="78" fillId="0" borderId="0" xfId="0" applyFont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76" fillId="0" borderId="0" xfId="0" applyFont="1" applyAlignment="1">
      <alignment horizontal="left" vertical="center"/>
    </xf>
    <xf numFmtId="14" fontId="76" fillId="0" borderId="0" xfId="0" applyNumberFormat="1" applyFont="1" applyAlignment="1">
      <alignment horizontal="left" vertical="center"/>
    </xf>
    <xf numFmtId="0" fontId="75" fillId="0" borderId="0" xfId="0" applyFont="1" applyAlignment="1">
      <alignment horizontal="left" vertical="center"/>
    </xf>
    <xf numFmtId="14" fontId="75" fillId="0" borderId="0" xfId="0" applyNumberFormat="1" applyFont="1" applyAlignment="1">
      <alignment horizontal="left" vertical="center"/>
    </xf>
    <xf numFmtId="0" fontId="74" fillId="0" borderId="0" xfId="0" applyFont="1" applyAlignment="1">
      <alignment horizontal="left" vertical="center" wrapText="1"/>
    </xf>
    <xf numFmtId="0" fontId="74" fillId="0" borderId="0" xfId="0" applyFont="1" applyAlignment="1">
      <alignment horizontal="right" vertical="center" wrapText="1"/>
    </xf>
    <xf numFmtId="164" fontId="74" fillId="0" borderId="0" xfId="0" applyNumberFormat="1" applyFont="1" applyAlignment="1">
      <alignment horizontal="center" vertical="center" wrapText="1"/>
    </xf>
    <xf numFmtId="0" fontId="74" fillId="0" borderId="0" xfId="0" applyFont="1" applyAlignment="1">
      <alignment horizontal="center" vertical="center" wrapText="1"/>
    </xf>
    <xf numFmtId="2" fontId="74" fillId="0" borderId="0" xfId="0" applyNumberFormat="1" applyFont="1" applyAlignment="1">
      <alignment horizontal="center" vertical="center" wrapText="1"/>
    </xf>
    <xf numFmtId="0" fontId="73" fillId="0" borderId="0" xfId="0" applyFont="1" applyAlignment="1">
      <alignment horizontal="left" vertical="center" wrapText="1"/>
    </xf>
    <xf numFmtId="0" fontId="73" fillId="0" borderId="0" xfId="0" applyFont="1" applyAlignment="1">
      <alignment horizontal="right" vertical="center" wrapText="1"/>
    </xf>
    <xf numFmtId="164" fontId="73" fillId="0" borderId="0" xfId="0" applyNumberFormat="1" applyFont="1" applyAlignment="1">
      <alignment horizontal="center" vertical="center" wrapText="1"/>
    </xf>
    <xf numFmtId="0" fontId="73" fillId="0" borderId="0" xfId="0" applyFont="1" applyAlignment="1">
      <alignment horizontal="center" vertical="center" wrapText="1"/>
    </xf>
    <xf numFmtId="2" fontId="73" fillId="0" borderId="0" xfId="0" applyNumberFormat="1" applyFont="1" applyAlignment="1">
      <alignment horizontal="center" vertical="center" wrapText="1"/>
    </xf>
    <xf numFmtId="0" fontId="72" fillId="0" borderId="0" xfId="0" applyFont="1" applyAlignment="1">
      <alignment horizontal="left" vertical="center" wrapText="1"/>
    </xf>
    <xf numFmtId="0" fontId="72" fillId="0" borderId="0" xfId="0" applyFont="1" applyAlignment="1">
      <alignment horizontal="left" vertical="center"/>
    </xf>
    <xf numFmtId="14" fontId="72" fillId="0" borderId="0" xfId="0" applyNumberFormat="1" applyFont="1" applyAlignment="1">
      <alignment horizontal="left" vertical="center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right" vertical="center" wrapText="1"/>
    </xf>
    <xf numFmtId="164" fontId="71" fillId="0" borderId="0" xfId="0" applyNumberFormat="1" applyFont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2" fontId="71" fillId="0" borderId="0" xfId="0" applyNumberFormat="1" applyFont="1" applyAlignment="1">
      <alignment horizontal="center" vertical="center" wrapText="1"/>
    </xf>
    <xf numFmtId="0" fontId="71" fillId="0" borderId="0" xfId="0" applyFont="1" applyAlignment="1">
      <alignment horizontal="left" vertical="center"/>
    </xf>
    <xf numFmtId="14" fontId="71" fillId="0" borderId="0" xfId="0" applyNumberFormat="1" applyFont="1" applyAlignment="1">
      <alignment horizontal="left" vertical="center"/>
    </xf>
    <xf numFmtId="0" fontId="70" fillId="0" borderId="0" xfId="0" applyFont="1" applyAlignment="1">
      <alignment horizontal="left" vertical="center" wrapText="1"/>
    </xf>
    <xf numFmtId="0" fontId="70" fillId="0" borderId="0" xfId="0" applyFont="1" applyAlignment="1">
      <alignment horizontal="right" vertical="center" wrapText="1"/>
    </xf>
    <xf numFmtId="164" fontId="70" fillId="0" borderId="0" xfId="0" applyNumberFormat="1" applyFont="1" applyAlignment="1">
      <alignment horizontal="center" vertical="center" wrapText="1"/>
    </xf>
    <xf numFmtId="0" fontId="70" fillId="0" borderId="0" xfId="0" applyFont="1" applyAlignment="1">
      <alignment horizontal="center" vertical="center" wrapText="1"/>
    </xf>
    <xf numFmtId="2" fontId="70" fillId="0" borderId="0" xfId="0" applyNumberFormat="1" applyFont="1" applyAlignment="1">
      <alignment horizontal="center" vertical="center" wrapText="1"/>
    </xf>
    <xf numFmtId="0" fontId="70" fillId="0" borderId="0" xfId="0" applyFont="1" applyAlignment="1">
      <alignment horizontal="left" vertical="center"/>
    </xf>
    <xf numFmtId="0" fontId="69" fillId="0" borderId="0" xfId="0" applyFont="1" applyAlignment="1">
      <alignment horizontal="left" vertical="center" wrapText="1"/>
    </xf>
    <xf numFmtId="0" fontId="69" fillId="0" borderId="0" xfId="0" applyFont="1" applyAlignment="1">
      <alignment horizontal="right" vertical="center" wrapText="1"/>
    </xf>
    <xf numFmtId="164" fontId="69" fillId="0" borderId="0" xfId="0" applyNumberFormat="1" applyFont="1" applyAlignment="1">
      <alignment horizontal="center" vertical="center" wrapText="1"/>
    </xf>
    <xf numFmtId="0" fontId="69" fillId="0" borderId="0" xfId="0" applyFont="1" applyAlignment="1">
      <alignment horizontal="center" vertical="center" wrapText="1"/>
    </xf>
    <xf numFmtId="2" fontId="69" fillId="0" borderId="0" xfId="0" applyNumberFormat="1" applyFont="1" applyAlignment="1">
      <alignment horizontal="center" vertical="center" wrapText="1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right" vertical="center" wrapText="1"/>
    </xf>
    <xf numFmtId="164" fontId="68" fillId="0" borderId="0" xfId="0" applyNumberFormat="1" applyFont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2" fontId="68" fillId="0" borderId="0" xfId="0" applyNumberFormat="1" applyFont="1" applyAlignment="1">
      <alignment horizontal="center" vertical="center" wrapText="1"/>
    </xf>
    <xf numFmtId="0" fontId="67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 wrapText="1"/>
    </xf>
    <xf numFmtId="0" fontId="66" fillId="0" borderId="0" xfId="0" applyFont="1" applyAlignment="1">
      <alignment horizontal="right" vertical="center" wrapText="1"/>
    </xf>
    <xf numFmtId="164" fontId="66" fillId="0" borderId="0" xfId="0" applyNumberFormat="1" applyFont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2" fontId="66" fillId="0" borderId="0" xfId="0" applyNumberFormat="1" applyFont="1" applyAlignment="1">
      <alignment horizontal="center" vertical="center" wrapText="1"/>
    </xf>
    <xf numFmtId="20" fontId="66" fillId="0" borderId="0" xfId="0" applyNumberFormat="1" applyFont="1" applyAlignment="1">
      <alignment horizontal="left" vertical="center" wrapText="1"/>
    </xf>
    <xf numFmtId="0" fontId="65" fillId="0" borderId="0" xfId="0" applyFont="1" applyAlignment="1">
      <alignment horizontal="left" vertical="center" wrapText="1"/>
    </xf>
    <xf numFmtId="0" fontId="65" fillId="0" borderId="0" xfId="0" applyFont="1" applyAlignment="1">
      <alignment horizontal="left" vertical="center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right" vertical="center" wrapText="1"/>
    </xf>
    <xf numFmtId="164" fontId="64" fillId="0" borderId="0" xfId="0" applyNumberFormat="1" applyFont="1" applyAlignment="1">
      <alignment horizontal="center" vertical="center" wrapText="1"/>
    </xf>
    <xf numFmtId="0" fontId="64" fillId="0" borderId="0" xfId="0" applyFont="1" applyAlignment="1">
      <alignment horizontal="center" vertical="center" wrapText="1"/>
    </xf>
    <xf numFmtId="2" fontId="64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left" vertical="center" wrapText="1"/>
    </xf>
    <xf numFmtId="0" fontId="63" fillId="0" borderId="0" xfId="0" applyFont="1" applyAlignment="1">
      <alignment horizontal="left" vertical="center"/>
    </xf>
    <xf numFmtId="14" fontId="63" fillId="0" borderId="0" xfId="0" applyNumberFormat="1" applyFont="1" applyAlignment="1">
      <alignment horizontal="left" vertical="center"/>
    </xf>
    <xf numFmtId="0" fontId="62" fillId="0" borderId="0" xfId="0" applyFont="1" applyAlignment="1">
      <alignment horizontal="left" vertical="center" wrapText="1"/>
    </xf>
    <xf numFmtId="164" fontId="62" fillId="0" borderId="0" xfId="0" applyNumberFormat="1" applyFont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2" fontId="62" fillId="0" borderId="0" xfId="0" applyNumberFormat="1" applyFont="1" applyAlignment="1">
      <alignment horizontal="center" vertical="center" wrapText="1"/>
    </xf>
    <xf numFmtId="14" fontId="62" fillId="0" borderId="0" xfId="0" applyNumberFormat="1" applyFont="1" applyAlignment="1">
      <alignment horizontal="right" vertical="center" wrapText="1"/>
    </xf>
    <xf numFmtId="0" fontId="61" fillId="0" borderId="0" xfId="0" applyFont="1" applyAlignment="1">
      <alignment horizontal="right" vertical="center" wrapText="1"/>
    </xf>
    <xf numFmtId="164" fontId="61" fillId="0" borderId="0" xfId="0" applyNumberFormat="1" applyFont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2" fontId="61" fillId="0" borderId="0" xfId="0" applyNumberFormat="1" applyFont="1" applyAlignment="1">
      <alignment horizontal="center" vertical="center" wrapText="1"/>
    </xf>
    <xf numFmtId="0" fontId="61" fillId="0" borderId="0" xfId="0" applyFont="1" applyAlignment="1">
      <alignment horizontal="left" vertical="center" wrapText="1"/>
    </xf>
    <xf numFmtId="0" fontId="61" fillId="0" borderId="0" xfId="0" applyFont="1" applyAlignment="1">
      <alignment horizontal="left" vertical="center"/>
    </xf>
    <xf numFmtId="0" fontId="60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 wrapText="1"/>
    </xf>
    <xf numFmtId="0" fontId="59" fillId="0" borderId="0" xfId="0" applyFont="1" applyAlignment="1">
      <alignment horizontal="right" vertical="center" wrapText="1"/>
    </xf>
    <xf numFmtId="164" fontId="59" fillId="0" borderId="0" xfId="0" applyNumberFormat="1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2" fontId="59" fillId="0" borderId="0" xfId="0" applyNumberFormat="1" applyFont="1" applyAlignment="1">
      <alignment horizontal="center" vertical="center" wrapText="1"/>
    </xf>
    <xf numFmtId="0" fontId="58" fillId="0" borderId="0" xfId="0" applyFont="1" applyAlignment="1">
      <alignment horizontal="left" vertical="center" wrapText="1"/>
    </xf>
    <xf numFmtId="0" fontId="58" fillId="0" borderId="0" xfId="0" applyFont="1" applyAlignment="1">
      <alignment horizontal="right" vertical="center" wrapText="1"/>
    </xf>
    <xf numFmtId="0" fontId="58" fillId="0" borderId="0" xfId="0" applyFont="1" applyAlignment="1">
      <alignment horizontal="left" vertical="center"/>
    </xf>
    <xf numFmtId="0" fontId="57" fillId="0" borderId="0" xfId="0" applyFont="1" applyAlignment="1">
      <alignment horizontal="left" vertical="center" wrapText="1"/>
    </xf>
    <xf numFmtId="0" fontId="57" fillId="0" borderId="0" xfId="0" applyFont="1" applyAlignment="1">
      <alignment horizontal="left" vertical="center"/>
    </xf>
    <xf numFmtId="14" fontId="57" fillId="0" borderId="0" xfId="0" applyNumberFormat="1" applyFont="1" applyAlignment="1">
      <alignment horizontal="left" vertical="center"/>
    </xf>
    <xf numFmtId="0" fontId="56" fillId="0" borderId="0" xfId="0" applyFont="1" applyAlignment="1">
      <alignment horizontal="left" vertical="center" wrapText="1"/>
    </xf>
    <xf numFmtId="0" fontId="56" fillId="0" borderId="0" xfId="0" applyFont="1" applyAlignment="1">
      <alignment horizontal="right" vertical="center" wrapText="1"/>
    </xf>
    <xf numFmtId="164" fontId="56" fillId="0" borderId="0" xfId="0" applyNumberFormat="1" applyFont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2" fontId="56" fillId="0" borderId="0" xfId="0" applyNumberFormat="1" applyFont="1" applyAlignment="1">
      <alignment horizontal="center" vertical="center" wrapText="1"/>
    </xf>
    <xf numFmtId="0" fontId="55" fillId="0" borderId="0" xfId="0" applyFont="1" applyAlignment="1">
      <alignment horizontal="left" vertical="center"/>
    </xf>
    <xf numFmtId="0" fontId="54" fillId="0" borderId="0" xfId="0" applyFont="1" applyAlignment="1">
      <alignment horizontal="right" vertical="center" wrapText="1"/>
    </xf>
    <xf numFmtId="164" fontId="54" fillId="0" borderId="0" xfId="0" applyNumberFormat="1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2" fontId="54" fillId="0" borderId="0" xfId="0" applyNumberFormat="1" applyFont="1" applyAlignment="1">
      <alignment horizontal="center" vertical="center" wrapText="1"/>
    </xf>
    <xf numFmtId="0" fontId="54" fillId="0" borderId="0" xfId="0" applyFont="1" applyAlignment="1">
      <alignment horizontal="left" vertical="center" wrapText="1"/>
    </xf>
    <xf numFmtId="0" fontId="54" fillId="0" borderId="0" xfId="0" applyFont="1" applyAlignment="1">
      <alignment horizontal="left" vertical="center"/>
    </xf>
    <xf numFmtId="14" fontId="54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left" vertical="center" wrapText="1"/>
    </xf>
    <xf numFmtId="0" fontId="53" fillId="0" borderId="0" xfId="0" applyFont="1" applyAlignment="1">
      <alignment horizontal="right" vertical="center" wrapText="1"/>
    </xf>
    <xf numFmtId="164" fontId="53" fillId="0" borderId="0" xfId="0" applyNumberFormat="1" applyFont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2" fontId="53" fillId="0" borderId="0" xfId="0" applyNumberFormat="1" applyFont="1" applyAlignment="1">
      <alignment horizontal="center" vertical="center" wrapText="1"/>
    </xf>
    <xf numFmtId="0" fontId="52" fillId="0" borderId="0" xfId="0" applyFont="1" applyAlignment="1">
      <alignment horizontal="left" vertical="center"/>
    </xf>
    <xf numFmtId="0" fontId="51" fillId="0" borderId="0" xfId="0" applyFont="1" applyAlignment="1">
      <alignment horizontal="left" vertical="center"/>
    </xf>
    <xf numFmtId="0" fontId="50" fillId="0" borderId="0" xfId="0" applyFont="1" applyAlignment="1">
      <alignment horizontal="left" vertical="center"/>
    </xf>
    <xf numFmtId="14" fontId="50" fillId="0" borderId="0" xfId="0" applyNumberFormat="1" applyFont="1" applyAlignment="1">
      <alignment horizontal="left" vertical="center"/>
    </xf>
    <xf numFmtId="0" fontId="49" fillId="0" borderId="0" xfId="0" applyFont="1" applyAlignment="1">
      <alignment horizontal="left" vertical="center" wrapText="1"/>
    </xf>
    <xf numFmtId="0" fontId="49" fillId="0" borderId="0" xfId="0" applyFont="1" applyAlignment="1">
      <alignment horizontal="right" vertical="center" wrapText="1"/>
    </xf>
    <xf numFmtId="164" fontId="49" fillId="0" borderId="0" xfId="0" applyNumberFormat="1" applyFont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2" fontId="49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left" vertical="center" wrapText="1"/>
    </xf>
    <xf numFmtId="0" fontId="48" fillId="0" borderId="0" xfId="0" applyFont="1" applyAlignment="1">
      <alignment horizontal="right" vertical="center" wrapText="1"/>
    </xf>
    <xf numFmtId="164" fontId="48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2" fontId="48" fillId="0" borderId="0" xfId="0" applyNumberFormat="1" applyFont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164" fontId="47" fillId="0" borderId="0" xfId="0" applyNumberFormat="1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2" fontId="47" fillId="0" borderId="0" xfId="0" applyNumberFormat="1" applyFont="1" applyAlignment="1">
      <alignment horizontal="center" vertical="center" wrapText="1"/>
    </xf>
    <xf numFmtId="0" fontId="47" fillId="0" borderId="0" xfId="0" applyFont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46" fillId="0" borderId="0" xfId="0" applyFont="1" applyAlignment="1">
      <alignment horizontal="right" vertical="center" wrapText="1"/>
    </xf>
    <xf numFmtId="16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2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left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14" fontId="45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right" vertical="center" wrapText="1"/>
    </xf>
    <xf numFmtId="164" fontId="44" fillId="0" borderId="0" xfId="0" applyNumberFormat="1" applyFont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2" fontId="44" fillId="0" borderId="0" xfId="0" applyNumberFormat="1" applyFont="1" applyAlignment="1">
      <alignment horizontal="center" vertical="center" wrapText="1"/>
    </xf>
    <xf numFmtId="0" fontId="43" fillId="0" borderId="0" xfId="0" applyFont="1" applyAlignment="1">
      <alignment horizontal="left" vertical="center" wrapText="1"/>
    </xf>
    <xf numFmtId="0" fontId="43" fillId="0" borderId="0" xfId="0" applyFont="1" applyAlignment="1">
      <alignment horizontal="right" vertical="center" wrapText="1"/>
    </xf>
    <xf numFmtId="0" fontId="43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 wrapText="1"/>
    </xf>
    <xf numFmtId="0" fontId="42" fillId="0" borderId="0" xfId="0" applyFont="1" applyAlignment="1">
      <alignment horizontal="left" vertical="center"/>
    </xf>
    <xf numFmtId="14" fontId="42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 wrapText="1"/>
    </xf>
    <xf numFmtId="0" fontId="41" fillId="0" borderId="0" xfId="0" applyFont="1" applyAlignment="1">
      <alignment horizontal="right" vertical="center" wrapText="1"/>
    </xf>
    <xf numFmtId="164" fontId="41" fillId="0" borderId="0" xfId="0" applyNumberFormat="1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2" fontId="41" fillId="0" borderId="0" xfId="0" applyNumberFormat="1" applyFont="1" applyAlignment="1">
      <alignment horizontal="center" vertical="center" wrapText="1"/>
    </xf>
    <xf numFmtId="0" fontId="40" fillId="0" borderId="0" xfId="0" applyFont="1" applyAlignment="1">
      <alignment horizontal="left" vertical="center" wrapText="1"/>
    </xf>
    <xf numFmtId="0" fontId="40" fillId="0" borderId="0" xfId="0" applyFont="1" applyAlignment="1">
      <alignment horizontal="right" vertical="center" wrapText="1"/>
    </xf>
    <xf numFmtId="164" fontId="40" fillId="0" borderId="0" xfId="0" applyNumberFormat="1" applyFont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left" vertical="center" wrapText="1"/>
    </xf>
    <xf numFmtId="0" fontId="39" fillId="0" borderId="0" xfId="0" applyFont="1" applyAlignment="1">
      <alignment horizontal="right" vertical="center" wrapText="1"/>
    </xf>
    <xf numFmtId="164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2" fontId="39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horizontal="left" vertical="center" wrapText="1"/>
    </xf>
    <xf numFmtId="0" fontId="38" fillId="0" borderId="0" xfId="0" applyFont="1" applyAlignment="1">
      <alignment horizontal="right" vertical="center" wrapText="1"/>
    </xf>
    <xf numFmtId="164" fontId="38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2" fontId="38" fillId="0" borderId="0" xfId="0" applyNumberFormat="1" applyFont="1" applyAlignment="1">
      <alignment horizontal="center" vertical="center" wrapText="1"/>
    </xf>
    <xf numFmtId="0" fontId="37" fillId="0" borderId="0" xfId="0" applyFont="1" applyAlignment="1">
      <alignment horizontal="left" vertical="center" wrapText="1"/>
    </xf>
    <xf numFmtId="0" fontId="37" fillId="0" borderId="0" xfId="0" applyFont="1" applyAlignment="1">
      <alignment horizontal="right" vertical="center" wrapText="1"/>
    </xf>
    <xf numFmtId="164" fontId="37" fillId="0" borderId="0" xfId="0" applyNumberFormat="1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2" fontId="37" fillId="0" borderId="0" xfId="0" applyNumberFormat="1" applyFont="1" applyAlignment="1">
      <alignment horizontal="center" vertical="center" wrapText="1"/>
    </xf>
    <xf numFmtId="0" fontId="36" fillId="0" borderId="0" xfId="0" applyFont="1" applyAlignment="1">
      <alignment horizontal="left" vertical="center"/>
    </xf>
    <xf numFmtId="0" fontId="35" fillId="0" borderId="0" xfId="0" applyFont="1" applyAlignment="1">
      <alignment horizontal="right" vertical="center" wrapText="1"/>
    </xf>
    <xf numFmtId="0" fontId="35" fillId="0" borderId="0" xfId="0" applyFont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14" fontId="33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 wrapText="1"/>
    </xf>
    <xf numFmtId="164" fontId="32" fillId="0" borderId="0" xfId="0" applyNumberFormat="1" applyFont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2" fontId="32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>
      <alignment horizontal="right" vertical="center" wrapText="1"/>
    </xf>
    <xf numFmtId="164" fontId="30" fillId="0" borderId="0" xfId="0" applyNumberFormat="1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2" fontId="30" fillId="0" borderId="0" xfId="0" applyNumberFormat="1" applyFont="1" applyAlignment="1">
      <alignment horizontal="center" vertical="center" wrapText="1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>
      <alignment horizontal="right" vertical="center" wrapText="1"/>
    </xf>
    <xf numFmtId="164" fontId="29" fillId="0" borderId="0" xfId="0" applyNumberFormat="1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2" fontId="29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14" fontId="28" fillId="0" borderId="0" xfId="0" applyNumberFormat="1" applyFont="1" applyAlignment="1">
      <alignment horizontal="left" vertical="center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center" wrapText="1"/>
    </xf>
    <xf numFmtId="164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2" fontId="27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right" vertical="center" wrapText="1"/>
    </xf>
    <xf numFmtId="164" fontId="26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2" fontId="26" fillId="0" borderId="0" xfId="0" applyNumberFormat="1" applyFont="1" applyAlignment="1">
      <alignment horizontal="center" vertical="center" wrapText="1"/>
    </xf>
    <xf numFmtId="0" fontId="2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right" vertical="center" wrapText="1"/>
    </xf>
    <xf numFmtId="164" fontId="21" fillId="0" borderId="0" xfId="0" applyNumberFormat="1" applyFont="1" applyAlignment="1">
      <alignment horizontal="left" vertical="center" wrapText="1"/>
    </xf>
    <xf numFmtId="14" fontId="21" fillId="0" borderId="0" xfId="0" applyNumberFormat="1" applyFont="1" applyAlignment="1">
      <alignment horizontal="left" vertical="center"/>
    </xf>
    <xf numFmtId="20" fontId="21" fillId="0" borderId="0" xfId="0" applyNumberFormat="1" applyFont="1" applyAlignment="1">
      <alignment horizontal="left" vertical="center" wrapText="1"/>
    </xf>
    <xf numFmtId="0" fontId="21" fillId="0" borderId="0" xfId="0" quotePrefix="1" applyFont="1" applyAlignment="1">
      <alignment horizontal="left" vertical="center" wrapText="1"/>
    </xf>
    <xf numFmtId="4" fontId="21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64" fontId="20" fillId="0" borderId="0" xfId="0" applyNumberFormat="1" applyFont="1" applyAlignment="1">
      <alignment horizontal="left" vertical="center" wrapText="1"/>
    </xf>
    <xf numFmtId="0" fontId="192" fillId="0" borderId="0" xfId="0" pivotButton="1" applyFont="1"/>
    <xf numFmtId="0" fontId="192" fillId="0" borderId="0" xfId="0" applyFont="1"/>
    <xf numFmtId="0" fontId="192" fillId="0" borderId="0" xfId="0" applyFont="1" applyAlignment="1">
      <alignment horizontal="left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164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2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164" fontId="18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8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right" vertical="center" wrapText="1"/>
    </xf>
    <xf numFmtId="164" fontId="17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164" fontId="16" fillId="0" borderId="0" xfId="0" applyNumberFormat="1" applyFont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 wrapText="1"/>
    </xf>
    <xf numFmtId="0" fontId="14" fillId="0" borderId="0" xfId="0" applyFont="1" applyAlignment="1">
      <alignment horizontal="left" vertical="center" wrapText="1"/>
    </xf>
    <xf numFmtId="0" fontId="14" fillId="0" borderId="0" xfId="0" applyFont="1" applyAlignment="1">
      <alignment horizontal="right" vertical="center" wrapText="1"/>
    </xf>
    <xf numFmtId="16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2" fontId="1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>
      <alignment horizontal="right" vertical="center" wrapText="1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2" fontId="13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right" vertical="center" wrapText="1"/>
    </xf>
    <xf numFmtId="164" fontId="12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righ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right" vertical="center" wrapText="1"/>
    </xf>
    <xf numFmtId="164" fontId="9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right"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right" vertical="center" wrapText="1"/>
    </xf>
    <xf numFmtId="164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right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right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64" fontId="1" fillId="0" borderId="0" xfId="0" applyNumberFormat="1" applyFont="1" applyAlignment="1">
      <alignment horizontal="left" vertical="center" wrapText="1"/>
    </xf>
    <xf numFmtId="0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/>
    </xf>
    <xf numFmtId="0" fontId="1" fillId="0" borderId="0" xfId="0" applyNumberFormat="1" applyFont="1"/>
    <xf numFmtId="0" fontId="192" fillId="0" borderId="0" xfId="0" applyNumberFormat="1" applyFont="1"/>
    <xf numFmtId="0" fontId="1" fillId="0" borderId="0" xfId="0" pivotButton="1" applyFont="1" applyAlignment="1">
      <alignment horizontal="left" vertical="center"/>
    </xf>
  </cellXfs>
  <cellStyles count="1">
    <cellStyle name="Normal" xfId="0" builtinId="0"/>
  </cellStyles>
  <dxfs count="121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yyyy\-mm\-dd;@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yyyy\-mm\-dd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D7D31"/>
      <color rgb="FFF8CBAD"/>
      <color rgb="FFFBE5D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1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>
                  <a:alpha val="70000"/>
                </a:srgbClr>
              </a:solidFill>
              <a:ln w="0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28"/>
            <c:dispRSqr val="0"/>
            <c:dispEq val="0"/>
          </c:trendline>
          <c:val>
            <c:numRef>
              <c:f>voc_macro!$D$363:$D$728</c:f>
              <c:numCache>
                <c:formatCode>0</c:formatCode>
                <c:ptCount val="366"/>
                <c:pt idx="0">
                  <c:v>83</c:v>
                </c:pt>
                <c:pt idx="1">
                  <c:v>84</c:v>
                </c:pt>
                <c:pt idx="2">
                  <c:v>80</c:v>
                </c:pt>
                <c:pt idx="3">
                  <c:v>81</c:v>
                </c:pt>
                <c:pt idx="4">
                  <c:v>84</c:v>
                </c:pt>
                <c:pt idx="5">
                  <c:v>84</c:v>
                </c:pt>
                <c:pt idx="6">
                  <c:v>75</c:v>
                </c:pt>
                <c:pt idx="7">
                  <c:v>83</c:v>
                </c:pt>
                <c:pt idx="8">
                  <c:v>77</c:v>
                </c:pt>
                <c:pt idx="9">
                  <c:v>79</c:v>
                </c:pt>
                <c:pt idx="10">
                  <c:v>83</c:v>
                </c:pt>
                <c:pt idx="11">
                  <c:v>87</c:v>
                </c:pt>
                <c:pt idx="12">
                  <c:v>85</c:v>
                </c:pt>
                <c:pt idx="13">
                  <c:v>83</c:v>
                </c:pt>
                <c:pt idx="14">
                  <c:v>85</c:v>
                </c:pt>
                <c:pt idx="15">
                  <c:v>87</c:v>
                </c:pt>
                <c:pt idx="16">
                  <c:v>84</c:v>
                </c:pt>
                <c:pt idx="17">
                  <c:v>83</c:v>
                </c:pt>
                <c:pt idx="18">
                  <c:v>82</c:v>
                </c:pt>
                <c:pt idx="19">
                  <c:v>92</c:v>
                </c:pt>
                <c:pt idx="20">
                  <c:v>86</c:v>
                </c:pt>
                <c:pt idx="21">
                  <c:v>86</c:v>
                </c:pt>
                <c:pt idx="22">
                  <c:v>84</c:v>
                </c:pt>
                <c:pt idx="23">
                  <c:v>86</c:v>
                </c:pt>
                <c:pt idx="24">
                  <c:v>76</c:v>
                </c:pt>
                <c:pt idx="25">
                  <c:v>90</c:v>
                </c:pt>
                <c:pt idx="26">
                  <c:v>88</c:v>
                </c:pt>
                <c:pt idx="27">
                  <c:v>80</c:v>
                </c:pt>
                <c:pt idx="28">
                  <c:v>82</c:v>
                </c:pt>
                <c:pt idx="29">
                  <c:v>81</c:v>
                </c:pt>
                <c:pt idx="30">
                  <c:v>88</c:v>
                </c:pt>
                <c:pt idx="31">
                  <c:v>82</c:v>
                </c:pt>
                <c:pt idx="32">
                  <c:v>83</c:v>
                </c:pt>
                <c:pt idx="33">
                  <c:v>80</c:v>
                </c:pt>
                <c:pt idx="34">
                  <c:v>87</c:v>
                </c:pt>
                <c:pt idx="35">
                  <c:v>80</c:v>
                </c:pt>
                <c:pt idx="36">
                  <c:v>81</c:v>
                </c:pt>
                <c:pt idx="37">
                  <c:v>74</c:v>
                </c:pt>
                <c:pt idx="38">
                  <c:v>82</c:v>
                </c:pt>
                <c:pt idx="39">
                  <c:v>80</c:v>
                </c:pt>
                <c:pt idx="40">
                  <c:v>79</c:v>
                </c:pt>
                <c:pt idx="41">
                  <c:v>87</c:v>
                </c:pt>
                <c:pt idx="42">
                  <c:v>86</c:v>
                </c:pt>
                <c:pt idx="43">
                  <c:v>88</c:v>
                </c:pt>
                <c:pt idx="44">
                  <c:v>82</c:v>
                </c:pt>
                <c:pt idx="45">
                  <c:v>80</c:v>
                </c:pt>
                <c:pt idx="46">
                  <c:v>78</c:v>
                </c:pt>
                <c:pt idx="47">
                  <c:v>89</c:v>
                </c:pt>
                <c:pt idx="48">
                  <c:v>82</c:v>
                </c:pt>
                <c:pt idx="49">
                  <c:v>84</c:v>
                </c:pt>
                <c:pt idx="50">
                  <c:v>74</c:v>
                </c:pt>
                <c:pt idx="51">
                  <c:v>75</c:v>
                </c:pt>
                <c:pt idx="52">
                  <c:v>79</c:v>
                </c:pt>
                <c:pt idx="53">
                  <c:v>81</c:v>
                </c:pt>
                <c:pt idx="54">
                  <c:v>83</c:v>
                </c:pt>
                <c:pt idx="55">
                  <c:v>80</c:v>
                </c:pt>
                <c:pt idx="56">
                  <c:v>78</c:v>
                </c:pt>
                <c:pt idx="57">
                  <c:v>91</c:v>
                </c:pt>
                <c:pt idx="58">
                  <c:v>82</c:v>
                </c:pt>
                <c:pt idx="59">
                  <c:v>84</c:v>
                </c:pt>
                <c:pt idx="60">
                  <c:v>79</c:v>
                </c:pt>
                <c:pt idx="61">
                  <c:v>84</c:v>
                </c:pt>
                <c:pt idx="62">
                  <c:v>76</c:v>
                </c:pt>
                <c:pt idx="63">
                  <c:v>75</c:v>
                </c:pt>
                <c:pt idx="64">
                  <c:v>81</c:v>
                </c:pt>
                <c:pt idx="65">
                  <c:v>80</c:v>
                </c:pt>
                <c:pt idx="66">
                  <c:v>82</c:v>
                </c:pt>
                <c:pt idx="67">
                  <c:v>78</c:v>
                </c:pt>
                <c:pt idx="68">
                  <c:v>86</c:v>
                </c:pt>
                <c:pt idx="69">
                  <c:v>81</c:v>
                </c:pt>
                <c:pt idx="70">
                  <c:v>87</c:v>
                </c:pt>
                <c:pt idx="71">
                  <c:v>81</c:v>
                </c:pt>
                <c:pt idx="72">
                  <c:v>79</c:v>
                </c:pt>
                <c:pt idx="73">
                  <c:v>81</c:v>
                </c:pt>
                <c:pt idx="74">
                  <c:v>82</c:v>
                </c:pt>
                <c:pt idx="75">
                  <c:v>86</c:v>
                </c:pt>
                <c:pt idx="76">
                  <c:v>82</c:v>
                </c:pt>
                <c:pt idx="77">
                  <c:v>85</c:v>
                </c:pt>
                <c:pt idx="78">
                  <c:v>81</c:v>
                </c:pt>
                <c:pt idx="79">
                  <c:v>91</c:v>
                </c:pt>
                <c:pt idx="80">
                  <c:v>81</c:v>
                </c:pt>
                <c:pt idx="81">
                  <c:v>90</c:v>
                </c:pt>
                <c:pt idx="82">
                  <c:v>86</c:v>
                </c:pt>
                <c:pt idx="83">
                  <c:v>87</c:v>
                </c:pt>
                <c:pt idx="84">
                  <c:v>78</c:v>
                </c:pt>
                <c:pt idx="85">
                  <c:v>82</c:v>
                </c:pt>
                <c:pt idx="86">
                  <c:v>75</c:v>
                </c:pt>
                <c:pt idx="87">
                  <c:v>87</c:v>
                </c:pt>
                <c:pt idx="88">
                  <c:v>87</c:v>
                </c:pt>
                <c:pt idx="89">
                  <c:v>84</c:v>
                </c:pt>
                <c:pt idx="90">
                  <c:v>83</c:v>
                </c:pt>
                <c:pt idx="91">
                  <c:v>78</c:v>
                </c:pt>
                <c:pt idx="92">
                  <c:v>84</c:v>
                </c:pt>
                <c:pt idx="93">
                  <c:v>80</c:v>
                </c:pt>
                <c:pt idx="94">
                  <c:v>84</c:v>
                </c:pt>
                <c:pt idx="95">
                  <c:v>85</c:v>
                </c:pt>
                <c:pt idx="96">
                  <c:v>85</c:v>
                </c:pt>
                <c:pt idx="97">
                  <c:v>79</c:v>
                </c:pt>
                <c:pt idx="98">
                  <c:v>84</c:v>
                </c:pt>
                <c:pt idx="99">
                  <c:v>80</c:v>
                </c:pt>
                <c:pt idx="100">
                  <c:v>79</c:v>
                </c:pt>
                <c:pt idx="101">
                  <c:v>85</c:v>
                </c:pt>
                <c:pt idx="102">
                  <c:v>84</c:v>
                </c:pt>
                <c:pt idx="103">
                  <c:v>87</c:v>
                </c:pt>
                <c:pt idx="104">
                  <c:v>83</c:v>
                </c:pt>
                <c:pt idx="105">
                  <c:v>85</c:v>
                </c:pt>
                <c:pt idx="106">
                  <c:v>86</c:v>
                </c:pt>
                <c:pt idx="107">
                  <c:v>86</c:v>
                </c:pt>
                <c:pt idx="108">
                  <c:v>81</c:v>
                </c:pt>
                <c:pt idx="109">
                  <c:v>80</c:v>
                </c:pt>
                <c:pt idx="110">
                  <c:v>72</c:v>
                </c:pt>
                <c:pt idx="111">
                  <c:v>78</c:v>
                </c:pt>
                <c:pt idx="112">
                  <c:v>83</c:v>
                </c:pt>
                <c:pt idx="113">
                  <c:v>81</c:v>
                </c:pt>
                <c:pt idx="114">
                  <c:v>80</c:v>
                </c:pt>
                <c:pt idx="115">
                  <c:v>82</c:v>
                </c:pt>
                <c:pt idx="116">
                  <c:v>83</c:v>
                </c:pt>
                <c:pt idx="117">
                  <c:v>85</c:v>
                </c:pt>
                <c:pt idx="118">
                  <c:v>88</c:v>
                </c:pt>
                <c:pt idx="119">
                  <c:v>78</c:v>
                </c:pt>
                <c:pt idx="120">
                  <c:v>89</c:v>
                </c:pt>
                <c:pt idx="121">
                  <c:v>83</c:v>
                </c:pt>
                <c:pt idx="122">
                  <c:v>78</c:v>
                </c:pt>
                <c:pt idx="123">
                  <c:v>82</c:v>
                </c:pt>
                <c:pt idx="124">
                  <c:v>84</c:v>
                </c:pt>
                <c:pt idx="125">
                  <c:v>80</c:v>
                </c:pt>
                <c:pt idx="126">
                  <c:v>88</c:v>
                </c:pt>
                <c:pt idx="127">
                  <c:v>89</c:v>
                </c:pt>
                <c:pt idx="128">
                  <c:v>86</c:v>
                </c:pt>
                <c:pt idx="129">
                  <c:v>87</c:v>
                </c:pt>
                <c:pt idx="130">
                  <c:v>85</c:v>
                </c:pt>
                <c:pt idx="131">
                  <c:v>83</c:v>
                </c:pt>
                <c:pt idx="132">
                  <c:v>80</c:v>
                </c:pt>
                <c:pt idx="133">
                  <c:v>85</c:v>
                </c:pt>
                <c:pt idx="134">
                  <c:v>80</c:v>
                </c:pt>
                <c:pt idx="135">
                  <c:v>82</c:v>
                </c:pt>
                <c:pt idx="136">
                  <c:v>81</c:v>
                </c:pt>
                <c:pt idx="137">
                  <c:v>88</c:v>
                </c:pt>
                <c:pt idx="138">
                  <c:v>82</c:v>
                </c:pt>
                <c:pt idx="139">
                  <c:v>87</c:v>
                </c:pt>
                <c:pt idx="140">
                  <c:v>76</c:v>
                </c:pt>
                <c:pt idx="141">
                  <c:v>84</c:v>
                </c:pt>
                <c:pt idx="142">
                  <c:v>81</c:v>
                </c:pt>
                <c:pt idx="143">
                  <c:v>81</c:v>
                </c:pt>
                <c:pt idx="144">
                  <c:v>85</c:v>
                </c:pt>
                <c:pt idx="145">
                  <c:v>80</c:v>
                </c:pt>
                <c:pt idx="146">
                  <c:v>82</c:v>
                </c:pt>
                <c:pt idx="147">
                  <c:v>82</c:v>
                </c:pt>
                <c:pt idx="148">
                  <c:v>83</c:v>
                </c:pt>
                <c:pt idx="149">
                  <c:v>82</c:v>
                </c:pt>
                <c:pt idx="150">
                  <c:v>86</c:v>
                </c:pt>
                <c:pt idx="151">
                  <c:v>82</c:v>
                </c:pt>
                <c:pt idx="152">
                  <c:v>80</c:v>
                </c:pt>
                <c:pt idx="153">
                  <c:v>87</c:v>
                </c:pt>
                <c:pt idx="154">
                  <c:v>85</c:v>
                </c:pt>
                <c:pt idx="155">
                  <c:v>82</c:v>
                </c:pt>
                <c:pt idx="156">
                  <c:v>82</c:v>
                </c:pt>
                <c:pt idx="157">
                  <c:v>83</c:v>
                </c:pt>
                <c:pt idx="158">
                  <c:v>84</c:v>
                </c:pt>
                <c:pt idx="159">
                  <c:v>79</c:v>
                </c:pt>
                <c:pt idx="160">
                  <c:v>76</c:v>
                </c:pt>
                <c:pt idx="161">
                  <c:v>76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78</c:v>
                </c:pt>
                <c:pt idx="166">
                  <c:v>80</c:v>
                </c:pt>
                <c:pt idx="167">
                  <c:v>78</c:v>
                </c:pt>
                <c:pt idx="168">
                  <c:v>77</c:v>
                </c:pt>
                <c:pt idx="169">
                  <c:v>76</c:v>
                </c:pt>
                <c:pt idx="170">
                  <c:v>85</c:v>
                </c:pt>
                <c:pt idx="171">
                  <c:v>78</c:v>
                </c:pt>
                <c:pt idx="172">
                  <c:v>80</c:v>
                </c:pt>
                <c:pt idx="173">
                  <c:v>81</c:v>
                </c:pt>
                <c:pt idx="174">
                  <c:v>79</c:v>
                </c:pt>
                <c:pt idx="175">
                  <c:v>80</c:v>
                </c:pt>
                <c:pt idx="176">
                  <c:v>84</c:v>
                </c:pt>
                <c:pt idx="177">
                  <c:v>83</c:v>
                </c:pt>
                <c:pt idx="178">
                  <c:v>81</c:v>
                </c:pt>
                <c:pt idx="179">
                  <c:v>86</c:v>
                </c:pt>
                <c:pt idx="180">
                  <c:v>80</c:v>
                </c:pt>
                <c:pt idx="181">
                  <c:v>76</c:v>
                </c:pt>
                <c:pt idx="182">
                  <c:v>84</c:v>
                </c:pt>
                <c:pt idx="183">
                  <c:v>80</c:v>
                </c:pt>
                <c:pt idx="184">
                  <c:v>82</c:v>
                </c:pt>
                <c:pt idx="185">
                  <c:v>77</c:v>
                </c:pt>
                <c:pt idx="186">
                  <c:v>78</c:v>
                </c:pt>
                <c:pt idx="187">
                  <c:v>83</c:v>
                </c:pt>
                <c:pt idx="188">
                  <c:v>82</c:v>
                </c:pt>
                <c:pt idx="189">
                  <c:v>82</c:v>
                </c:pt>
                <c:pt idx="190">
                  <c:v>91</c:v>
                </c:pt>
                <c:pt idx="191">
                  <c:v>83</c:v>
                </c:pt>
                <c:pt idx="192">
                  <c:v>85</c:v>
                </c:pt>
                <c:pt idx="193">
                  <c:v>76</c:v>
                </c:pt>
                <c:pt idx="194">
                  <c:v>80</c:v>
                </c:pt>
                <c:pt idx="195">
                  <c:v>80</c:v>
                </c:pt>
                <c:pt idx="196">
                  <c:v>83</c:v>
                </c:pt>
                <c:pt idx="197">
                  <c:v>87</c:v>
                </c:pt>
                <c:pt idx="198">
                  <c:v>79</c:v>
                </c:pt>
                <c:pt idx="199">
                  <c:v>79</c:v>
                </c:pt>
                <c:pt idx="200">
                  <c:v>77</c:v>
                </c:pt>
                <c:pt idx="201">
                  <c:v>83</c:v>
                </c:pt>
                <c:pt idx="202">
                  <c:v>80</c:v>
                </c:pt>
                <c:pt idx="203">
                  <c:v>75</c:v>
                </c:pt>
                <c:pt idx="204">
                  <c:v>81</c:v>
                </c:pt>
                <c:pt idx="205">
                  <c:v>77</c:v>
                </c:pt>
                <c:pt idx="206">
                  <c:v>78</c:v>
                </c:pt>
                <c:pt idx="207">
                  <c:v>87</c:v>
                </c:pt>
                <c:pt idx="208">
                  <c:v>82</c:v>
                </c:pt>
                <c:pt idx="209">
                  <c:v>88</c:v>
                </c:pt>
                <c:pt idx="210">
                  <c:v>79</c:v>
                </c:pt>
                <c:pt idx="211">
                  <c:v>82</c:v>
                </c:pt>
                <c:pt idx="212">
                  <c:v>82</c:v>
                </c:pt>
                <c:pt idx="213">
                  <c:v>80</c:v>
                </c:pt>
                <c:pt idx="214">
                  <c:v>87</c:v>
                </c:pt>
                <c:pt idx="215">
                  <c:v>81</c:v>
                </c:pt>
                <c:pt idx="216">
                  <c:v>77</c:v>
                </c:pt>
                <c:pt idx="217">
                  <c:v>84</c:v>
                </c:pt>
                <c:pt idx="218">
                  <c:v>74</c:v>
                </c:pt>
                <c:pt idx="219">
                  <c:v>82</c:v>
                </c:pt>
                <c:pt idx="220">
                  <c:v>85</c:v>
                </c:pt>
                <c:pt idx="221">
                  <c:v>88</c:v>
                </c:pt>
                <c:pt idx="222">
                  <c:v>79</c:v>
                </c:pt>
                <c:pt idx="223">
                  <c:v>85</c:v>
                </c:pt>
                <c:pt idx="224">
                  <c:v>84</c:v>
                </c:pt>
                <c:pt idx="225">
                  <c:v>73</c:v>
                </c:pt>
                <c:pt idx="226">
                  <c:v>83</c:v>
                </c:pt>
                <c:pt idx="227">
                  <c:v>87</c:v>
                </c:pt>
                <c:pt idx="228">
                  <c:v>82</c:v>
                </c:pt>
                <c:pt idx="229">
                  <c:v>82</c:v>
                </c:pt>
                <c:pt idx="230">
                  <c:v>78</c:v>
                </c:pt>
                <c:pt idx="231">
                  <c:v>81</c:v>
                </c:pt>
                <c:pt idx="232">
                  <c:v>89</c:v>
                </c:pt>
                <c:pt idx="233">
                  <c:v>86</c:v>
                </c:pt>
                <c:pt idx="234">
                  <c:v>81</c:v>
                </c:pt>
                <c:pt idx="235">
                  <c:v>80</c:v>
                </c:pt>
                <c:pt idx="236">
                  <c:v>79</c:v>
                </c:pt>
                <c:pt idx="237">
                  <c:v>82</c:v>
                </c:pt>
                <c:pt idx="238">
                  <c:v>79</c:v>
                </c:pt>
                <c:pt idx="239">
                  <c:v>81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85</c:v>
                </c:pt>
                <c:pt idx="244">
                  <c:v>78</c:v>
                </c:pt>
                <c:pt idx="245">
                  <c:v>84</c:v>
                </c:pt>
                <c:pt idx="246">
                  <c:v>84</c:v>
                </c:pt>
                <c:pt idx="247">
                  <c:v>71</c:v>
                </c:pt>
                <c:pt idx="248">
                  <c:v>87</c:v>
                </c:pt>
                <c:pt idx="249">
                  <c:v>81</c:v>
                </c:pt>
                <c:pt idx="250">
                  <c:v>82</c:v>
                </c:pt>
                <c:pt idx="251">
                  <c:v>79</c:v>
                </c:pt>
                <c:pt idx="252">
                  <c:v>79</c:v>
                </c:pt>
                <c:pt idx="253">
                  <c:v>86</c:v>
                </c:pt>
                <c:pt idx="254">
                  <c:v>82</c:v>
                </c:pt>
                <c:pt idx="255">
                  <c:v>91</c:v>
                </c:pt>
                <c:pt idx="256">
                  <c:v>86</c:v>
                </c:pt>
                <c:pt idx="257">
                  <c:v>80</c:v>
                </c:pt>
                <c:pt idx="258">
                  <c:v>87</c:v>
                </c:pt>
                <c:pt idx="259">
                  <c:v>92</c:v>
                </c:pt>
                <c:pt idx="260">
                  <c:v>84</c:v>
                </c:pt>
                <c:pt idx="261">
                  <c:v>79</c:v>
                </c:pt>
                <c:pt idx="262">
                  <c:v>81</c:v>
                </c:pt>
                <c:pt idx="263">
                  <c:v>84</c:v>
                </c:pt>
                <c:pt idx="264">
                  <c:v>81</c:v>
                </c:pt>
                <c:pt idx="265">
                  <c:v>76</c:v>
                </c:pt>
                <c:pt idx="266">
                  <c:v>86</c:v>
                </c:pt>
                <c:pt idx="267">
                  <c:v>83</c:v>
                </c:pt>
                <c:pt idx="268">
                  <c:v>80</c:v>
                </c:pt>
                <c:pt idx="269">
                  <c:v>79</c:v>
                </c:pt>
                <c:pt idx="270">
                  <c:v>83</c:v>
                </c:pt>
                <c:pt idx="271">
                  <c:v>83</c:v>
                </c:pt>
                <c:pt idx="272">
                  <c:v>78</c:v>
                </c:pt>
                <c:pt idx="273">
                  <c:v>87</c:v>
                </c:pt>
                <c:pt idx="274">
                  <c:v>85</c:v>
                </c:pt>
                <c:pt idx="275">
                  <c:v>77</c:v>
                </c:pt>
                <c:pt idx="276">
                  <c:v>82</c:v>
                </c:pt>
                <c:pt idx="277">
                  <c:v>82</c:v>
                </c:pt>
                <c:pt idx="278">
                  <c:v>83</c:v>
                </c:pt>
                <c:pt idx="279">
                  <c:v>87</c:v>
                </c:pt>
                <c:pt idx="280">
                  <c:v>81</c:v>
                </c:pt>
                <c:pt idx="281">
                  <c:v>79</c:v>
                </c:pt>
                <c:pt idx="282">
                  <c:v>86</c:v>
                </c:pt>
                <c:pt idx="283">
                  <c:v>81</c:v>
                </c:pt>
                <c:pt idx="284">
                  <c:v>84</c:v>
                </c:pt>
                <c:pt idx="285">
                  <c:v>84</c:v>
                </c:pt>
                <c:pt idx="286">
                  <c:v>83</c:v>
                </c:pt>
                <c:pt idx="287">
                  <c:v>89</c:v>
                </c:pt>
                <c:pt idx="288">
                  <c:v>82</c:v>
                </c:pt>
                <c:pt idx="289">
                  <c:v>85</c:v>
                </c:pt>
                <c:pt idx="290">
                  <c:v>84</c:v>
                </c:pt>
                <c:pt idx="291">
                  <c:v>85</c:v>
                </c:pt>
                <c:pt idx="292">
                  <c:v>80</c:v>
                </c:pt>
                <c:pt idx="293">
                  <c:v>84</c:v>
                </c:pt>
                <c:pt idx="294">
                  <c:v>86</c:v>
                </c:pt>
                <c:pt idx="295">
                  <c:v>87</c:v>
                </c:pt>
                <c:pt idx="296">
                  <c:v>85</c:v>
                </c:pt>
                <c:pt idx="297">
                  <c:v>79</c:v>
                </c:pt>
                <c:pt idx="298">
                  <c:v>80</c:v>
                </c:pt>
                <c:pt idx="299">
                  <c:v>80</c:v>
                </c:pt>
                <c:pt idx="300">
                  <c:v>84</c:v>
                </c:pt>
                <c:pt idx="301">
                  <c:v>76</c:v>
                </c:pt>
                <c:pt idx="302">
                  <c:v>83</c:v>
                </c:pt>
                <c:pt idx="303">
                  <c:v>88</c:v>
                </c:pt>
                <c:pt idx="304">
                  <c:v>88</c:v>
                </c:pt>
                <c:pt idx="305">
                  <c:v>87</c:v>
                </c:pt>
                <c:pt idx="306">
                  <c:v>90</c:v>
                </c:pt>
                <c:pt idx="307">
                  <c:v>92</c:v>
                </c:pt>
                <c:pt idx="308">
                  <c:v>85</c:v>
                </c:pt>
                <c:pt idx="309">
                  <c:v>81</c:v>
                </c:pt>
                <c:pt idx="310">
                  <c:v>91</c:v>
                </c:pt>
                <c:pt idx="311">
                  <c:v>81</c:v>
                </c:pt>
                <c:pt idx="312">
                  <c:v>78</c:v>
                </c:pt>
                <c:pt idx="313">
                  <c:v>80</c:v>
                </c:pt>
                <c:pt idx="314">
                  <c:v>83</c:v>
                </c:pt>
                <c:pt idx="315">
                  <c:v>90</c:v>
                </c:pt>
                <c:pt idx="316">
                  <c:v>88</c:v>
                </c:pt>
                <c:pt idx="317">
                  <c:v>85</c:v>
                </c:pt>
                <c:pt idx="318">
                  <c:v>81</c:v>
                </c:pt>
                <c:pt idx="319">
                  <c:v>78</c:v>
                </c:pt>
                <c:pt idx="320">
                  <c:v>87</c:v>
                </c:pt>
                <c:pt idx="321">
                  <c:v>83</c:v>
                </c:pt>
                <c:pt idx="322">
                  <c:v>85</c:v>
                </c:pt>
                <c:pt idx="323">
                  <c:v>82</c:v>
                </c:pt>
                <c:pt idx="324">
                  <c:v>79</c:v>
                </c:pt>
                <c:pt idx="325">
                  <c:v>83</c:v>
                </c:pt>
                <c:pt idx="326">
                  <c:v>77</c:v>
                </c:pt>
                <c:pt idx="327">
                  <c:v>87</c:v>
                </c:pt>
                <c:pt idx="328">
                  <c:v>91</c:v>
                </c:pt>
                <c:pt idx="329">
                  <c:v>83</c:v>
                </c:pt>
                <c:pt idx="330">
                  <c:v>79</c:v>
                </c:pt>
                <c:pt idx="331">
                  <c:v>84</c:v>
                </c:pt>
                <c:pt idx="332">
                  <c:v>86</c:v>
                </c:pt>
                <c:pt idx="333">
                  <c:v>80</c:v>
                </c:pt>
                <c:pt idx="334">
                  <c:v>82</c:v>
                </c:pt>
                <c:pt idx="335">
                  <c:v>81</c:v>
                </c:pt>
                <c:pt idx="336">
                  <c:v>84</c:v>
                </c:pt>
                <c:pt idx="337">
                  <c:v>82</c:v>
                </c:pt>
                <c:pt idx="338">
                  <c:v>86</c:v>
                </c:pt>
                <c:pt idx="339">
                  <c:v>80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86</c:v>
                </c:pt>
                <c:pt idx="344">
                  <c:v>84</c:v>
                </c:pt>
                <c:pt idx="345">
                  <c:v>80</c:v>
                </c:pt>
                <c:pt idx="346">
                  <c:v>76</c:v>
                </c:pt>
                <c:pt idx="347">
                  <c:v>85</c:v>
                </c:pt>
                <c:pt idx="348">
                  <c:v>82</c:v>
                </c:pt>
                <c:pt idx="349">
                  <c:v>85</c:v>
                </c:pt>
                <c:pt idx="350">
                  <c:v>61</c:v>
                </c:pt>
                <c:pt idx="351">
                  <c:v>85</c:v>
                </c:pt>
                <c:pt idx="352">
                  <c:v>84</c:v>
                </c:pt>
                <c:pt idx="353">
                  <c:v>73</c:v>
                </c:pt>
                <c:pt idx="354">
                  <c:v>87</c:v>
                </c:pt>
                <c:pt idx="355">
                  <c:v>80</c:v>
                </c:pt>
                <c:pt idx="356">
                  <c:v>83</c:v>
                </c:pt>
                <c:pt idx="357">
                  <c:v>82</c:v>
                </c:pt>
                <c:pt idx="358">
                  <c:v>88</c:v>
                </c:pt>
                <c:pt idx="359">
                  <c:v>89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77</c:v>
                </c:pt>
                <c:pt idx="364">
                  <c:v>83</c:v>
                </c:pt>
                <c:pt idx="36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B3-420B-B931-189B810A6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728240"/>
        <c:axId val="764020448"/>
      </c:lineChart>
      <c:catAx>
        <c:axId val="76872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4020448"/>
        <c:crossesAt val="0"/>
        <c:auto val="1"/>
        <c:lblAlgn val="ctr"/>
        <c:lblOffset val="100"/>
        <c:tickLblSkip val="10"/>
        <c:tickMarkSkip val="30"/>
        <c:noMultiLvlLbl val="0"/>
      </c:catAx>
      <c:valAx>
        <c:axId val="764020448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rgbClr val="5B9BD5"/>
            </a:solidFill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872824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D7D31">
                  <a:alpha val="70000"/>
                </a:srgbClr>
              </a:solidFill>
              <a:ln w="0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28"/>
            <c:dispRSqr val="0"/>
            <c:dispEq val="0"/>
          </c:trendline>
          <c:val>
            <c:numRef>
              <c:f>voc_macro!$E$363:$E$728</c:f>
              <c:numCache>
                <c:formatCode>0</c:formatCode>
                <c:ptCount val="366"/>
                <c:pt idx="0">
                  <c:v>76.470588235294116</c:v>
                </c:pt>
                <c:pt idx="1">
                  <c:v>75</c:v>
                </c:pt>
                <c:pt idx="2">
                  <c:v>90</c:v>
                </c:pt>
                <c:pt idx="3">
                  <c:v>84.21052631578948</c:v>
                </c:pt>
                <c:pt idx="4">
                  <c:v>81.25</c:v>
                </c:pt>
                <c:pt idx="5">
                  <c:v>81.25</c:v>
                </c:pt>
                <c:pt idx="6">
                  <c:v>86.956521739130437</c:v>
                </c:pt>
                <c:pt idx="7">
                  <c:v>85.714285714285722</c:v>
                </c:pt>
                <c:pt idx="8">
                  <c:v>72.727272727272734</c:v>
                </c:pt>
                <c:pt idx="9">
                  <c:v>84</c:v>
                </c:pt>
                <c:pt idx="10">
                  <c:v>68.75</c:v>
                </c:pt>
                <c:pt idx="11">
                  <c:v>100</c:v>
                </c:pt>
                <c:pt idx="12">
                  <c:v>85.714285714285722</c:v>
                </c:pt>
                <c:pt idx="13">
                  <c:v>76.470588235294116</c:v>
                </c:pt>
                <c:pt idx="14">
                  <c:v>78.571428571428569</c:v>
                </c:pt>
                <c:pt idx="15">
                  <c:v>83.333333333333343</c:v>
                </c:pt>
                <c:pt idx="16">
                  <c:v>81.25</c:v>
                </c:pt>
                <c:pt idx="17">
                  <c:v>87.5</c:v>
                </c:pt>
                <c:pt idx="18">
                  <c:v>94.444444444444443</c:v>
                </c:pt>
                <c:pt idx="19">
                  <c:v>100</c:v>
                </c:pt>
                <c:pt idx="20">
                  <c:v>71.428571428571431</c:v>
                </c:pt>
                <c:pt idx="21">
                  <c:v>69.230769230769226</c:v>
                </c:pt>
                <c:pt idx="22">
                  <c:v>81.25</c:v>
                </c:pt>
                <c:pt idx="23">
                  <c:v>92.307692307692307</c:v>
                </c:pt>
                <c:pt idx="24">
                  <c:v>73.913043478260875</c:v>
                </c:pt>
                <c:pt idx="25">
                  <c:v>100</c:v>
                </c:pt>
                <c:pt idx="26">
                  <c:v>83.333333333333343</c:v>
                </c:pt>
                <c:pt idx="27">
                  <c:v>87.5</c:v>
                </c:pt>
                <c:pt idx="28">
                  <c:v>82.35294117647058</c:v>
                </c:pt>
                <c:pt idx="29">
                  <c:v>81.25</c:v>
                </c:pt>
                <c:pt idx="30">
                  <c:v>75</c:v>
                </c:pt>
                <c:pt idx="31">
                  <c:v>76.470588235294116</c:v>
                </c:pt>
                <c:pt idx="32">
                  <c:v>93.75</c:v>
                </c:pt>
                <c:pt idx="33">
                  <c:v>84</c:v>
                </c:pt>
                <c:pt idx="34">
                  <c:v>85.714285714285722</c:v>
                </c:pt>
                <c:pt idx="35">
                  <c:v>55.555555555555557</c:v>
                </c:pt>
                <c:pt idx="36">
                  <c:v>78.94736842105263</c:v>
                </c:pt>
                <c:pt idx="37">
                  <c:v>88.461538461538467</c:v>
                </c:pt>
                <c:pt idx="38">
                  <c:v>76.470588235294116</c:v>
                </c:pt>
                <c:pt idx="39">
                  <c:v>94.736842105263165</c:v>
                </c:pt>
                <c:pt idx="40">
                  <c:v>78.94736842105263</c:v>
                </c:pt>
                <c:pt idx="41">
                  <c:v>84.615384615384613</c:v>
                </c:pt>
                <c:pt idx="42">
                  <c:v>84.615384615384613</c:v>
                </c:pt>
                <c:pt idx="43">
                  <c:v>83.333333333333343</c:v>
                </c:pt>
                <c:pt idx="44">
                  <c:v>66.666666666666671</c:v>
                </c:pt>
                <c:pt idx="45">
                  <c:v>63.15789473684211</c:v>
                </c:pt>
                <c:pt idx="46">
                  <c:v>85</c:v>
                </c:pt>
                <c:pt idx="47">
                  <c:v>88.888888888888886</c:v>
                </c:pt>
                <c:pt idx="48">
                  <c:v>88.235294117647058</c:v>
                </c:pt>
                <c:pt idx="49">
                  <c:v>68.75</c:v>
                </c:pt>
                <c:pt idx="50">
                  <c:v>92.307692307692307</c:v>
                </c:pt>
                <c:pt idx="51">
                  <c:v>88</c:v>
                </c:pt>
                <c:pt idx="52">
                  <c:v>75</c:v>
                </c:pt>
                <c:pt idx="53">
                  <c:v>61.111111111111107</c:v>
                </c:pt>
                <c:pt idx="54">
                  <c:v>76.470588235294116</c:v>
                </c:pt>
                <c:pt idx="55">
                  <c:v>64.705882352941174</c:v>
                </c:pt>
                <c:pt idx="56">
                  <c:v>95.454545454545453</c:v>
                </c:pt>
                <c:pt idx="57">
                  <c:v>77.777777777777771</c:v>
                </c:pt>
                <c:pt idx="58">
                  <c:v>87.5</c:v>
                </c:pt>
                <c:pt idx="59">
                  <c:v>66.666666666666671</c:v>
                </c:pt>
                <c:pt idx="60">
                  <c:v>89.473684210526315</c:v>
                </c:pt>
                <c:pt idx="61">
                  <c:v>68.75</c:v>
                </c:pt>
                <c:pt idx="62">
                  <c:v>73.913043478260875</c:v>
                </c:pt>
                <c:pt idx="63">
                  <c:v>75</c:v>
                </c:pt>
                <c:pt idx="64">
                  <c:v>52.631578947368425</c:v>
                </c:pt>
                <c:pt idx="65">
                  <c:v>83.333333333333343</c:v>
                </c:pt>
                <c:pt idx="66">
                  <c:v>82.35294117647058</c:v>
                </c:pt>
                <c:pt idx="67">
                  <c:v>45.45454545454546</c:v>
                </c:pt>
                <c:pt idx="68">
                  <c:v>84.615384615384613</c:v>
                </c:pt>
                <c:pt idx="69">
                  <c:v>66.666666666666671</c:v>
                </c:pt>
                <c:pt idx="70">
                  <c:v>81.818181818181813</c:v>
                </c:pt>
                <c:pt idx="71">
                  <c:v>83.333333333333343</c:v>
                </c:pt>
                <c:pt idx="72">
                  <c:v>76.19047619047619</c:v>
                </c:pt>
                <c:pt idx="73">
                  <c:v>78.94736842105263</c:v>
                </c:pt>
                <c:pt idx="74">
                  <c:v>55.555555555555557</c:v>
                </c:pt>
                <c:pt idx="75">
                  <c:v>86.666666666666671</c:v>
                </c:pt>
                <c:pt idx="76">
                  <c:v>82.35294117647058</c:v>
                </c:pt>
                <c:pt idx="77">
                  <c:v>71.428571428571431</c:v>
                </c:pt>
                <c:pt idx="78">
                  <c:v>88.888888888888886</c:v>
                </c:pt>
                <c:pt idx="79">
                  <c:v>100</c:v>
                </c:pt>
                <c:pt idx="80">
                  <c:v>77.777777777777771</c:v>
                </c:pt>
                <c:pt idx="81">
                  <c:v>100</c:v>
                </c:pt>
                <c:pt idx="82">
                  <c:v>70</c:v>
                </c:pt>
                <c:pt idx="83">
                  <c:v>76.92307692307692</c:v>
                </c:pt>
                <c:pt idx="84">
                  <c:v>85</c:v>
                </c:pt>
                <c:pt idx="85">
                  <c:v>76.470588235294116</c:v>
                </c:pt>
                <c:pt idx="86">
                  <c:v>70.833333333333329</c:v>
                </c:pt>
                <c:pt idx="87">
                  <c:v>91.666666666666671</c:v>
                </c:pt>
                <c:pt idx="88">
                  <c:v>69.230769230769226</c:v>
                </c:pt>
                <c:pt idx="89">
                  <c:v>80</c:v>
                </c:pt>
                <c:pt idx="90">
                  <c:v>64.705882352941174</c:v>
                </c:pt>
                <c:pt idx="91">
                  <c:v>66.666666666666671</c:v>
                </c:pt>
                <c:pt idx="92">
                  <c:v>86.666666666666671</c:v>
                </c:pt>
                <c:pt idx="93">
                  <c:v>79</c:v>
                </c:pt>
                <c:pt idx="94">
                  <c:v>85.714285714285722</c:v>
                </c:pt>
                <c:pt idx="95">
                  <c:v>64.285714285714278</c:v>
                </c:pt>
                <c:pt idx="96">
                  <c:v>92.857142857142861</c:v>
                </c:pt>
                <c:pt idx="97">
                  <c:v>100</c:v>
                </c:pt>
                <c:pt idx="98">
                  <c:v>80</c:v>
                </c:pt>
                <c:pt idx="99">
                  <c:v>78.94736842105263</c:v>
                </c:pt>
                <c:pt idx="100">
                  <c:v>72.222222222222229</c:v>
                </c:pt>
                <c:pt idx="101">
                  <c:v>80</c:v>
                </c:pt>
                <c:pt idx="102">
                  <c:v>75</c:v>
                </c:pt>
                <c:pt idx="103">
                  <c:v>53.846153846153847</c:v>
                </c:pt>
                <c:pt idx="104">
                  <c:v>64.705882352941174</c:v>
                </c:pt>
                <c:pt idx="105">
                  <c:v>64.285714285714278</c:v>
                </c:pt>
                <c:pt idx="106">
                  <c:v>92.307692307692307</c:v>
                </c:pt>
                <c:pt idx="107">
                  <c:v>69.230769230769226</c:v>
                </c:pt>
                <c:pt idx="108">
                  <c:v>78.94736842105263</c:v>
                </c:pt>
                <c:pt idx="109">
                  <c:v>72.222222222222229</c:v>
                </c:pt>
                <c:pt idx="110">
                  <c:v>84.615384615384613</c:v>
                </c:pt>
                <c:pt idx="111">
                  <c:v>78.94736842105263</c:v>
                </c:pt>
                <c:pt idx="112">
                  <c:v>94.117647058823536</c:v>
                </c:pt>
                <c:pt idx="113">
                  <c:v>55.555555555555557</c:v>
                </c:pt>
                <c:pt idx="114">
                  <c:v>85</c:v>
                </c:pt>
                <c:pt idx="115">
                  <c:v>72.222222222222229</c:v>
                </c:pt>
                <c:pt idx="116">
                  <c:v>75</c:v>
                </c:pt>
                <c:pt idx="117">
                  <c:v>69.230769230769226</c:v>
                </c:pt>
                <c:pt idx="118">
                  <c:v>100</c:v>
                </c:pt>
                <c:pt idx="119">
                  <c:v>86.36363636363636</c:v>
                </c:pt>
                <c:pt idx="120">
                  <c:v>72.727272727272734</c:v>
                </c:pt>
                <c:pt idx="121">
                  <c:v>82</c:v>
                </c:pt>
                <c:pt idx="122">
                  <c:v>63.636363636363633</c:v>
                </c:pt>
                <c:pt idx="123">
                  <c:v>62.5</c:v>
                </c:pt>
                <c:pt idx="124">
                  <c:v>86.666666666666671</c:v>
                </c:pt>
                <c:pt idx="125">
                  <c:v>70</c:v>
                </c:pt>
                <c:pt idx="126">
                  <c:v>63.636363636363633</c:v>
                </c:pt>
                <c:pt idx="127">
                  <c:v>100</c:v>
                </c:pt>
                <c:pt idx="128">
                  <c:v>85.714285714285722</c:v>
                </c:pt>
                <c:pt idx="129">
                  <c:v>63.636363636363633</c:v>
                </c:pt>
                <c:pt idx="130">
                  <c:v>76.92307692307692</c:v>
                </c:pt>
                <c:pt idx="131">
                  <c:v>70.588235294117652</c:v>
                </c:pt>
                <c:pt idx="132">
                  <c:v>78.94736842105263</c:v>
                </c:pt>
                <c:pt idx="133">
                  <c:v>78.571428571428569</c:v>
                </c:pt>
                <c:pt idx="134">
                  <c:v>83.333333333333343</c:v>
                </c:pt>
                <c:pt idx="135">
                  <c:v>81.25</c:v>
                </c:pt>
                <c:pt idx="136">
                  <c:v>57.894736842105267</c:v>
                </c:pt>
                <c:pt idx="137">
                  <c:v>100</c:v>
                </c:pt>
                <c:pt idx="138">
                  <c:v>88.235294117647058</c:v>
                </c:pt>
                <c:pt idx="139">
                  <c:v>91</c:v>
                </c:pt>
                <c:pt idx="140">
                  <c:v>65</c:v>
                </c:pt>
                <c:pt idx="141">
                  <c:v>92.857142857142861</c:v>
                </c:pt>
                <c:pt idx="142">
                  <c:v>77.777777777777771</c:v>
                </c:pt>
                <c:pt idx="143">
                  <c:v>67</c:v>
                </c:pt>
                <c:pt idx="144">
                  <c:v>57.142857142857146</c:v>
                </c:pt>
                <c:pt idx="145">
                  <c:v>89.473684210526315</c:v>
                </c:pt>
                <c:pt idx="146">
                  <c:v>72.222222222222229</c:v>
                </c:pt>
                <c:pt idx="147">
                  <c:v>61.111111111111107</c:v>
                </c:pt>
                <c:pt idx="148">
                  <c:v>81</c:v>
                </c:pt>
                <c:pt idx="149">
                  <c:v>72.222222222222229</c:v>
                </c:pt>
                <c:pt idx="150">
                  <c:v>92.307692307692307</c:v>
                </c:pt>
                <c:pt idx="151">
                  <c:v>58.82352941176471</c:v>
                </c:pt>
                <c:pt idx="152">
                  <c:v>70.588235294117652</c:v>
                </c:pt>
                <c:pt idx="153">
                  <c:v>92.307692307692307</c:v>
                </c:pt>
                <c:pt idx="154">
                  <c:v>66.666666666666671</c:v>
                </c:pt>
                <c:pt idx="155">
                  <c:v>73.333333333333329</c:v>
                </c:pt>
                <c:pt idx="156">
                  <c:v>70.588235294117652</c:v>
                </c:pt>
                <c:pt idx="157">
                  <c:v>88.235294117647058</c:v>
                </c:pt>
                <c:pt idx="158">
                  <c:v>84.615384615384613</c:v>
                </c:pt>
                <c:pt idx="159">
                  <c:v>80</c:v>
                </c:pt>
                <c:pt idx="160">
                  <c:v>63</c:v>
                </c:pt>
                <c:pt idx="161">
                  <c:v>85.714285714285722</c:v>
                </c:pt>
                <c:pt idx="162">
                  <c:v>82.35294117647058</c:v>
                </c:pt>
                <c:pt idx="163">
                  <c:v>50</c:v>
                </c:pt>
                <c:pt idx="164">
                  <c:v>64.705882352941174</c:v>
                </c:pt>
                <c:pt idx="165">
                  <c:v>71.428571428571431</c:v>
                </c:pt>
                <c:pt idx="166">
                  <c:v>68.75</c:v>
                </c:pt>
                <c:pt idx="167">
                  <c:v>80</c:v>
                </c:pt>
                <c:pt idx="168">
                  <c:v>71.428571428571431</c:v>
                </c:pt>
                <c:pt idx="169">
                  <c:v>77.27272727272728</c:v>
                </c:pt>
                <c:pt idx="170">
                  <c:v>41.666666666666664</c:v>
                </c:pt>
                <c:pt idx="171">
                  <c:v>85.714285714285722</c:v>
                </c:pt>
                <c:pt idx="172">
                  <c:v>95</c:v>
                </c:pt>
                <c:pt idx="173">
                  <c:v>52.941176470588239</c:v>
                </c:pt>
                <c:pt idx="174">
                  <c:v>57</c:v>
                </c:pt>
                <c:pt idx="175">
                  <c:v>78.94736842105263</c:v>
                </c:pt>
                <c:pt idx="176">
                  <c:v>80</c:v>
                </c:pt>
                <c:pt idx="177">
                  <c:v>73.333333333333329</c:v>
                </c:pt>
                <c:pt idx="178">
                  <c:v>88.888888888888886</c:v>
                </c:pt>
                <c:pt idx="179">
                  <c:v>84.615384615384613</c:v>
                </c:pt>
                <c:pt idx="180">
                  <c:v>66.666666666666671</c:v>
                </c:pt>
                <c:pt idx="181">
                  <c:v>82.608695652173907</c:v>
                </c:pt>
                <c:pt idx="182">
                  <c:v>86.666666666666671</c:v>
                </c:pt>
                <c:pt idx="183">
                  <c:v>58.82352941176471</c:v>
                </c:pt>
                <c:pt idx="184">
                  <c:v>64.705882352941174</c:v>
                </c:pt>
                <c:pt idx="185">
                  <c:v>63.636363636363633</c:v>
                </c:pt>
                <c:pt idx="186">
                  <c:v>88.888888888888886</c:v>
                </c:pt>
                <c:pt idx="187">
                  <c:v>93.333333333333329</c:v>
                </c:pt>
                <c:pt idx="188">
                  <c:v>68.75</c:v>
                </c:pt>
                <c:pt idx="189">
                  <c:v>83.333333333333343</c:v>
                </c:pt>
                <c:pt idx="190">
                  <c:v>77.777777777777771</c:v>
                </c:pt>
                <c:pt idx="191">
                  <c:v>84.615384615384613</c:v>
                </c:pt>
                <c:pt idx="192">
                  <c:v>86.666666666666671</c:v>
                </c:pt>
                <c:pt idx="193">
                  <c:v>60.869565217391305</c:v>
                </c:pt>
                <c:pt idx="194">
                  <c:v>66</c:v>
                </c:pt>
                <c:pt idx="195">
                  <c:v>70</c:v>
                </c:pt>
                <c:pt idx="196">
                  <c:v>52.941176470588239</c:v>
                </c:pt>
                <c:pt idx="197">
                  <c:v>90.909090909090907</c:v>
                </c:pt>
                <c:pt idx="198">
                  <c:v>66.666666666666671</c:v>
                </c:pt>
                <c:pt idx="199">
                  <c:v>80</c:v>
                </c:pt>
                <c:pt idx="200">
                  <c:v>60</c:v>
                </c:pt>
                <c:pt idx="201">
                  <c:v>86</c:v>
                </c:pt>
                <c:pt idx="202">
                  <c:v>89.473684210526315</c:v>
                </c:pt>
                <c:pt idx="203">
                  <c:v>78.260869565217391</c:v>
                </c:pt>
                <c:pt idx="204">
                  <c:v>73.684210526315795</c:v>
                </c:pt>
                <c:pt idx="205">
                  <c:v>61.904761904761905</c:v>
                </c:pt>
                <c:pt idx="206">
                  <c:v>72.727272727272734</c:v>
                </c:pt>
                <c:pt idx="207">
                  <c:v>63.636363636363633</c:v>
                </c:pt>
                <c:pt idx="208">
                  <c:v>78</c:v>
                </c:pt>
                <c:pt idx="209">
                  <c:v>83.333333333333343</c:v>
                </c:pt>
                <c:pt idx="210">
                  <c:v>63.15789473684211</c:v>
                </c:pt>
                <c:pt idx="211">
                  <c:v>83</c:v>
                </c:pt>
                <c:pt idx="212">
                  <c:v>72.222222222222229</c:v>
                </c:pt>
                <c:pt idx="213">
                  <c:v>72.222222222222229</c:v>
                </c:pt>
                <c:pt idx="214">
                  <c:v>54</c:v>
                </c:pt>
                <c:pt idx="215">
                  <c:v>75</c:v>
                </c:pt>
                <c:pt idx="216">
                  <c:v>73.913043478260875</c:v>
                </c:pt>
                <c:pt idx="217">
                  <c:v>100</c:v>
                </c:pt>
                <c:pt idx="218">
                  <c:v>68</c:v>
                </c:pt>
                <c:pt idx="219">
                  <c:v>83.333333333333343</c:v>
                </c:pt>
                <c:pt idx="220">
                  <c:v>71.428571428571431</c:v>
                </c:pt>
                <c:pt idx="221">
                  <c:v>63.636363636363633</c:v>
                </c:pt>
                <c:pt idx="222">
                  <c:v>75</c:v>
                </c:pt>
                <c:pt idx="223">
                  <c:v>84.615384615384613</c:v>
                </c:pt>
                <c:pt idx="224">
                  <c:v>87.5</c:v>
                </c:pt>
                <c:pt idx="225">
                  <c:v>92</c:v>
                </c:pt>
                <c:pt idx="226">
                  <c:v>86.666666666666671</c:v>
                </c:pt>
                <c:pt idx="227">
                  <c:v>91.666666666666671</c:v>
                </c:pt>
                <c:pt idx="228">
                  <c:v>77.777777777777771</c:v>
                </c:pt>
                <c:pt idx="229">
                  <c:v>81.25</c:v>
                </c:pt>
                <c:pt idx="230">
                  <c:v>65</c:v>
                </c:pt>
                <c:pt idx="231">
                  <c:v>60</c:v>
                </c:pt>
                <c:pt idx="232">
                  <c:v>90</c:v>
                </c:pt>
                <c:pt idx="233">
                  <c:v>71.428571428571431</c:v>
                </c:pt>
                <c:pt idx="234">
                  <c:v>84.21052631578948</c:v>
                </c:pt>
                <c:pt idx="235">
                  <c:v>61.111111111111107</c:v>
                </c:pt>
                <c:pt idx="236">
                  <c:v>75</c:v>
                </c:pt>
                <c:pt idx="237">
                  <c:v>75</c:v>
                </c:pt>
                <c:pt idx="238">
                  <c:v>88.888888888888886</c:v>
                </c:pt>
                <c:pt idx="239">
                  <c:v>82.35294117647058</c:v>
                </c:pt>
                <c:pt idx="240">
                  <c:v>76.470588235294116</c:v>
                </c:pt>
                <c:pt idx="241">
                  <c:v>82.35294117647058</c:v>
                </c:pt>
                <c:pt idx="242">
                  <c:v>88.235294117647058</c:v>
                </c:pt>
                <c:pt idx="243">
                  <c:v>93.333333333333329</c:v>
                </c:pt>
                <c:pt idx="244">
                  <c:v>90</c:v>
                </c:pt>
                <c:pt idx="245">
                  <c:v>78.571428571428569</c:v>
                </c:pt>
                <c:pt idx="246">
                  <c:v>80</c:v>
                </c:pt>
                <c:pt idx="247">
                  <c:v>66</c:v>
                </c:pt>
                <c:pt idx="248">
                  <c:v>83.333333333333343</c:v>
                </c:pt>
                <c:pt idx="249">
                  <c:v>87.5</c:v>
                </c:pt>
                <c:pt idx="250">
                  <c:v>77.777777777777771</c:v>
                </c:pt>
                <c:pt idx="251">
                  <c:v>90</c:v>
                </c:pt>
                <c:pt idx="252">
                  <c:v>80</c:v>
                </c:pt>
                <c:pt idx="253">
                  <c:v>76.92307692307692</c:v>
                </c:pt>
                <c:pt idx="254">
                  <c:v>70.588235294117638</c:v>
                </c:pt>
                <c:pt idx="255">
                  <c:v>100</c:v>
                </c:pt>
                <c:pt idx="256">
                  <c:v>66.666666666666671</c:v>
                </c:pt>
                <c:pt idx="257">
                  <c:v>63.157894736842103</c:v>
                </c:pt>
                <c:pt idx="258">
                  <c:v>75</c:v>
                </c:pt>
                <c:pt idx="259">
                  <c:v>66.666666666666671</c:v>
                </c:pt>
                <c:pt idx="260">
                  <c:v>100</c:v>
                </c:pt>
                <c:pt idx="261">
                  <c:v>80.952380952380949</c:v>
                </c:pt>
                <c:pt idx="262">
                  <c:v>82.35294117647058</c:v>
                </c:pt>
                <c:pt idx="263">
                  <c:v>87.5</c:v>
                </c:pt>
                <c:pt idx="264">
                  <c:v>70.588235294117638</c:v>
                </c:pt>
                <c:pt idx="265">
                  <c:v>68.421052631578945</c:v>
                </c:pt>
                <c:pt idx="266">
                  <c:v>85.714285714285722</c:v>
                </c:pt>
                <c:pt idx="267">
                  <c:v>75</c:v>
                </c:pt>
                <c:pt idx="268">
                  <c:v>65</c:v>
                </c:pt>
                <c:pt idx="269">
                  <c:v>52.941176470588239</c:v>
                </c:pt>
                <c:pt idx="270">
                  <c:v>80</c:v>
                </c:pt>
                <c:pt idx="271">
                  <c:v>76.470588235294116</c:v>
                </c:pt>
                <c:pt idx="272">
                  <c:v>68.181818181818187</c:v>
                </c:pt>
                <c:pt idx="273">
                  <c:v>84.615384615384613</c:v>
                </c:pt>
                <c:pt idx="274">
                  <c:v>57.142857142857139</c:v>
                </c:pt>
                <c:pt idx="275">
                  <c:v>85</c:v>
                </c:pt>
                <c:pt idx="276">
                  <c:v>88.235294117647058</c:v>
                </c:pt>
                <c:pt idx="277">
                  <c:v>72.222222222222214</c:v>
                </c:pt>
                <c:pt idx="278">
                  <c:v>67</c:v>
                </c:pt>
                <c:pt idx="279">
                  <c:v>54.54545454545454</c:v>
                </c:pt>
                <c:pt idx="280">
                  <c:v>78.94736842105263</c:v>
                </c:pt>
                <c:pt idx="281">
                  <c:v>66.666666666666671</c:v>
                </c:pt>
                <c:pt idx="282">
                  <c:v>90.909090909090907</c:v>
                </c:pt>
                <c:pt idx="283">
                  <c:v>70.588235294117638</c:v>
                </c:pt>
                <c:pt idx="284">
                  <c:v>46.666666666666664</c:v>
                </c:pt>
                <c:pt idx="285">
                  <c:v>71.428571428571431</c:v>
                </c:pt>
                <c:pt idx="286">
                  <c:v>86.666666666666671</c:v>
                </c:pt>
                <c:pt idx="287">
                  <c:v>90.909090909090907</c:v>
                </c:pt>
                <c:pt idx="288">
                  <c:v>75</c:v>
                </c:pt>
                <c:pt idx="289">
                  <c:v>78.571428571428569</c:v>
                </c:pt>
                <c:pt idx="290">
                  <c:v>66.666666666666671</c:v>
                </c:pt>
                <c:pt idx="291">
                  <c:v>61.53846153846154</c:v>
                </c:pt>
                <c:pt idx="292">
                  <c:v>75</c:v>
                </c:pt>
                <c:pt idx="293">
                  <c:v>76.92307692307692</c:v>
                </c:pt>
                <c:pt idx="294">
                  <c:v>78.571428571428569</c:v>
                </c:pt>
                <c:pt idx="295">
                  <c:v>72.727272727272734</c:v>
                </c:pt>
                <c:pt idx="296">
                  <c:v>57.142857142857139</c:v>
                </c:pt>
                <c:pt idx="297">
                  <c:v>75</c:v>
                </c:pt>
                <c:pt idx="298">
                  <c:v>70</c:v>
                </c:pt>
                <c:pt idx="299">
                  <c:v>61.111111111111114</c:v>
                </c:pt>
                <c:pt idx="300">
                  <c:v>71.428571428571431</c:v>
                </c:pt>
                <c:pt idx="301">
                  <c:v>76.19047619047619</c:v>
                </c:pt>
                <c:pt idx="302">
                  <c:v>92.857142857142861</c:v>
                </c:pt>
                <c:pt idx="303">
                  <c:v>100</c:v>
                </c:pt>
                <c:pt idx="304">
                  <c:v>81.818181818181813</c:v>
                </c:pt>
                <c:pt idx="305">
                  <c:v>58.333333333333329</c:v>
                </c:pt>
                <c:pt idx="306">
                  <c:v>75</c:v>
                </c:pt>
                <c:pt idx="307">
                  <c:v>100</c:v>
                </c:pt>
                <c:pt idx="308">
                  <c:v>92.307692307692307</c:v>
                </c:pt>
                <c:pt idx="309">
                  <c:v>75</c:v>
                </c:pt>
                <c:pt idx="310">
                  <c:v>77.777777777777786</c:v>
                </c:pt>
                <c:pt idx="311">
                  <c:v>76.470588235294116</c:v>
                </c:pt>
                <c:pt idx="312">
                  <c:v>73.684210526315795</c:v>
                </c:pt>
                <c:pt idx="313">
                  <c:v>68.421052631578945</c:v>
                </c:pt>
                <c:pt idx="314">
                  <c:v>68.75</c:v>
                </c:pt>
                <c:pt idx="315">
                  <c:v>100</c:v>
                </c:pt>
                <c:pt idx="316">
                  <c:v>100</c:v>
                </c:pt>
                <c:pt idx="317">
                  <c:v>60</c:v>
                </c:pt>
                <c:pt idx="318">
                  <c:v>86.666666666666671</c:v>
                </c:pt>
                <c:pt idx="319">
                  <c:v>72.222222222222214</c:v>
                </c:pt>
                <c:pt idx="320">
                  <c:v>45</c:v>
                </c:pt>
                <c:pt idx="321">
                  <c:v>75</c:v>
                </c:pt>
                <c:pt idx="322">
                  <c:v>85.714285714285722</c:v>
                </c:pt>
                <c:pt idx="323">
                  <c:v>88.235294117647058</c:v>
                </c:pt>
                <c:pt idx="324">
                  <c:v>64.705882352941174</c:v>
                </c:pt>
                <c:pt idx="325">
                  <c:v>87.5</c:v>
                </c:pt>
                <c:pt idx="326">
                  <c:v>73</c:v>
                </c:pt>
                <c:pt idx="327">
                  <c:v>84.615384615384613</c:v>
                </c:pt>
                <c:pt idx="328">
                  <c:v>87.5</c:v>
                </c:pt>
                <c:pt idx="329">
                  <c:v>91.666666666666657</c:v>
                </c:pt>
                <c:pt idx="330">
                  <c:v>68.421052631578945</c:v>
                </c:pt>
                <c:pt idx="331">
                  <c:v>66.666666666666671</c:v>
                </c:pt>
                <c:pt idx="332">
                  <c:v>81.818181818181813</c:v>
                </c:pt>
                <c:pt idx="333">
                  <c:v>80</c:v>
                </c:pt>
                <c:pt idx="334">
                  <c:v>62.5</c:v>
                </c:pt>
                <c:pt idx="335">
                  <c:v>62</c:v>
                </c:pt>
                <c:pt idx="336">
                  <c:v>66.666666666666671</c:v>
                </c:pt>
                <c:pt idx="337">
                  <c:v>88.888888888888886</c:v>
                </c:pt>
                <c:pt idx="338">
                  <c:v>92.857142857142861</c:v>
                </c:pt>
                <c:pt idx="339">
                  <c:v>66.666666666666671</c:v>
                </c:pt>
                <c:pt idx="340">
                  <c:v>90</c:v>
                </c:pt>
                <c:pt idx="341">
                  <c:v>100</c:v>
                </c:pt>
                <c:pt idx="342">
                  <c:v>81.818181818181813</c:v>
                </c:pt>
                <c:pt idx="343">
                  <c:v>73</c:v>
                </c:pt>
                <c:pt idx="344">
                  <c:v>60</c:v>
                </c:pt>
                <c:pt idx="345">
                  <c:v>88.235294117647058</c:v>
                </c:pt>
                <c:pt idx="346">
                  <c:v>44.999999999999993</c:v>
                </c:pt>
                <c:pt idx="347">
                  <c:v>71.428571428571431</c:v>
                </c:pt>
                <c:pt idx="348">
                  <c:v>76.470588235294116</c:v>
                </c:pt>
                <c:pt idx="349">
                  <c:v>78.571428571428569</c:v>
                </c:pt>
                <c:pt idx="350">
                  <c:v>60</c:v>
                </c:pt>
                <c:pt idx="351">
                  <c:v>83.333333333333343</c:v>
                </c:pt>
                <c:pt idx="352">
                  <c:v>53.846153846153847</c:v>
                </c:pt>
                <c:pt idx="353">
                  <c:v>62</c:v>
                </c:pt>
                <c:pt idx="354">
                  <c:v>61.53846153846154</c:v>
                </c:pt>
                <c:pt idx="355">
                  <c:v>82.35294117647058</c:v>
                </c:pt>
                <c:pt idx="356">
                  <c:v>93.333333333333329</c:v>
                </c:pt>
                <c:pt idx="357">
                  <c:v>93.333333333333329</c:v>
                </c:pt>
                <c:pt idx="358">
                  <c:v>72.727272727272734</c:v>
                </c:pt>
                <c:pt idx="359">
                  <c:v>81.818181818181813</c:v>
                </c:pt>
                <c:pt idx="360">
                  <c:v>64.705882352941174</c:v>
                </c:pt>
                <c:pt idx="361">
                  <c:v>94.444444444444443</c:v>
                </c:pt>
                <c:pt idx="362">
                  <c:v>62.5</c:v>
                </c:pt>
                <c:pt idx="363">
                  <c:v>83.333333333333343</c:v>
                </c:pt>
                <c:pt idx="364">
                  <c:v>64.705882352941174</c:v>
                </c:pt>
                <c:pt idx="365">
                  <c:v>86.666666666666671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B3-420B-B931-189B810A6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728240"/>
        <c:axId val="764020448"/>
      </c:lineChart>
      <c:catAx>
        <c:axId val="76872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4020448"/>
        <c:crosses val="autoZero"/>
        <c:auto val="1"/>
        <c:lblAlgn val="ctr"/>
        <c:lblOffset val="100"/>
        <c:tickLblSkip val="10"/>
        <c:tickMarkSkip val="30"/>
        <c:noMultiLvlLbl val="0"/>
      </c:catAx>
      <c:valAx>
        <c:axId val="764020448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872824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fr-FR"/>
              <a:t>Nombre de corrections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corrections!$B$18</c:f>
              <c:strCache>
                <c:ptCount val="1"/>
                <c:pt idx="0">
                  <c:v>Cumul</c:v>
                </c:pt>
              </c:strCache>
            </c:strRef>
          </c:tx>
          <c:spPr>
            <a:ln w="12700" cap="rnd">
              <a:solidFill>
                <a:srgbClr val="ED7D31"/>
              </a:solidFill>
              <a:round/>
            </a:ln>
            <a:effectLst/>
          </c:spPr>
          <c:marker>
            <c:symbol val="none"/>
          </c:marker>
          <c:val>
            <c:numRef>
              <c:f>corrections!$B$19:$B$678</c:f>
              <c:numCache>
                <c:formatCode>General</c:formatCode>
                <c:ptCount val="660"/>
                <c:pt idx="0">
                  <c:v>14</c:v>
                </c:pt>
                <c:pt idx="1">
                  <c:v>34</c:v>
                </c:pt>
                <c:pt idx="2">
                  <c:v>56</c:v>
                </c:pt>
                <c:pt idx="3">
                  <c:v>71</c:v>
                </c:pt>
                <c:pt idx="4">
                  <c:v>87</c:v>
                </c:pt>
                <c:pt idx="5">
                  <c:v>100</c:v>
                </c:pt>
                <c:pt idx="6">
                  <c:v>111</c:v>
                </c:pt>
                <c:pt idx="7">
                  <c:v>126</c:v>
                </c:pt>
                <c:pt idx="8">
                  <c:v>138</c:v>
                </c:pt>
                <c:pt idx="9">
                  <c:v>154</c:v>
                </c:pt>
                <c:pt idx="10">
                  <c:v>165</c:v>
                </c:pt>
                <c:pt idx="11">
                  <c:v>183</c:v>
                </c:pt>
                <c:pt idx="12">
                  <c:v>187</c:v>
                </c:pt>
                <c:pt idx="13">
                  <c:v>201</c:v>
                </c:pt>
                <c:pt idx="14">
                  <c:v>211</c:v>
                </c:pt>
                <c:pt idx="15">
                  <c:v>228</c:v>
                </c:pt>
                <c:pt idx="16">
                  <c:v>237</c:v>
                </c:pt>
                <c:pt idx="17">
                  <c:v>251</c:v>
                </c:pt>
                <c:pt idx="18">
                  <c:v>257</c:v>
                </c:pt>
                <c:pt idx="19">
                  <c:v>258</c:v>
                </c:pt>
                <c:pt idx="20">
                  <c:v>271</c:v>
                </c:pt>
                <c:pt idx="21">
                  <c:v>277</c:v>
                </c:pt>
                <c:pt idx="22">
                  <c:v>283</c:v>
                </c:pt>
                <c:pt idx="23">
                  <c:v>291</c:v>
                </c:pt>
                <c:pt idx="24">
                  <c:v>296</c:v>
                </c:pt>
                <c:pt idx="25">
                  <c:v>304</c:v>
                </c:pt>
                <c:pt idx="26">
                  <c:v>314</c:v>
                </c:pt>
                <c:pt idx="27">
                  <c:v>318</c:v>
                </c:pt>
                <c:pt idx="28">
                  <c:v>320</c:v>
                </c:pt>
                <c:pt idx="29">
                  <c:v>326</c:v>
                </c:pt>
                <c:pt idx="30">
                  <c:v>330</c:v>
                </c:pt>
                <c:pt idx="31">
                  <c:v>343</c:v>
                </c:pt>
                <c:pt idx="32">
                  <c:v>347</c:v>
                </c:pt>
                <c:pt idx="33">
                  <c:v>355</c:v>
                </c:pt>
                <c:pt idx="34">
                  <c:v>364</c:v>
                </c:pt>
                <c:pt idx="35">
                  <c:v>370</c:v>
                </c:pt>
                <c:pt idx="36">
                  <c:v>377</c:v>
                </c:pt>
                <c:pt idx="37">
                  <c:v>384</c:v>
                </c:pt>
                <c:pt idx="38">
                  <c:v>387</c:v>
                </c:pt>
                <c:pt idx="39">
                  <c:v>396</c:v>
                </c:pt>
                <c:pt idx="40">
                  <c:v>406</c:v>
                </c:pt>
                <c:pt idx="41">
                  <c:v>413</c:v>
                </c:pt>
                <c:pt idx="42">
                  <c:v>416</c:v>
                </c:pt>
                <c:pt idx="43">
                  <c:v>423</c:v>
                </c:pt>
                <c:pt idx="44">
                  <c:v>424</c:v>
                </c:pt>
                <c:pt idx="45">
                  <c:v>429</c:v>
                </c:pt>
                <c:pt idx="46">
                  <c:v>431</c:v>
                </c:pt>
                <c:pt idx="47">
                  <c:v>437</c:v>
                </c:pt>
                <c:pt idx="48">
                  <c:v>444</c:v>
                </c:pt>
                <c:pt idx="49">
                  <c:v>456</c:v>
                </c:pt>
                <c:pt idx="50">
                  <c:v>457</c:v>
                </c:pt>
                <c:pt idx="51">
                  <c:v>467</c:v>
                </c:pt>
                <c:pt idx="52">
                  <c:v>472</c:v>
                </c:pt>
                <c:pt idx="53">
                  <c:v>477</c:v>
                </c:pt>
                <c:pt idx="54">
                  <c:v>488</c:v>
                </c:pt>
                <c:pt idx="55">
                  <c:v>495</c:v>
                </c:pt>
                <c:pt idx="56">
                  <c:v>504</c:v>
                </c:pt>
                <c:pt idx="57">
                  <c:v>511</c:v>
                </c:pt>
                <c:pt idx="58">
                  <c:v>518</c:v>
                </c:pt>
                <c:pt idx="59">
                  <c:v>525</c:v>
                </c:pt>
                <c:pt idx="60">
                  <c:v>534</c:v>
                </c:pt>
                <c:pt idx="61">
                  <c:v>540</c:v>
                </c:pt>
                <c:pt idx="62">
                  <c:v>547</c:v>
                </c:pt>
                <c:pt idx="63">
                  <c:v>556</c:v>
                </c:pt>
                <c:pt idx="64">
                  <c:v>560</c:v>
                </c:pt>
                <c:pt idx="65">
                  <c:v>568</c:v>
                </c:pt>
                <c:pt idx="66">
                  <c:v>572</c:v>
                </c:pt>
                <c:pt idx="67">
                  <c:v>582</c:v>
                </c:pt>
                <c:pt idx="68">
                  <c:v>587</c:v>
                </c:pt>
                <c:pt idx="69">
                  <c:v>591</c:v>
                </c:pt>
                <c:pt idx="70">
                  <c:v>596</c:v>
                </c:pt>
                <c:pt idx="71">
                  <c:v>599</c:v>
                </c:pt>
                <c:pt idx="72">
                  <c:v>605</c:v>
                </c:pt>
                <c:pt idx="73">
                  <c:v>608</c:v>
                </c:pt>
                <c:pt idx="74">
                  <c:v>613</c:v>
                </c:pt>
                <c:pt idx="75">
                  <c:v>615</c:v>
                </c:pt>
                <c:pt idx="76">
                  <c:v>620</c:v>
                </c:pt>
                <c:pt idx="77">
                  <c:v>624</c:v>
                </c:pt>
                <c:pt idx="78">
                  <c:v>626</c:v>
                </c:pt>
                <c:pt idx="79">
                  <c:v>633</c:v>
                </c:pt>
                <c:pt idx="80">
                  <c:v>639</c:v>
                </c:pt>
                <c:pt idx="81">
                  <c:v>643</c:v>
                </c:pt>
                <c:pt idx="82">
                  <c:v>647</c:v>
                </c:pt>
                <c:pt idx="83">
                  <c:v>651</c:v>
                </c:pt>
                <c:pt idx="84">
                  <c:v>655</c:v>
                </c:pt>
                <c:pt idx="85">
                  <c:v>659</c:v>
                </c:pt>
                <c:pt idx="86">
                  <c:v>665</c:v>
                </c:pt>
                <c:pt idx="87">
                  <c:v>668</c:v>
                </c:pt>
                <c:pt idx="88">
                  <c:v>674</c:v>
                </c:pt>
                <c:pt idx="89">
                  <c:v>682</c:v>
                </c:pt>
                <c:pt idx="90">
                  <c:v>688</c:v>
                </c:pt>
                <c:pt idx="91">
                  <c:v>689</c:v>
                </c:pt>
                <c:pt idx="92">
                  <c:v>693</c:v>
                </c:pt>
                <c:pt idx="93">
                  <c:v>697</c:v>
                </c:pt>
                <c:pt idx="94">
                  <c:v>698</c:v>
                </c:pt>
                <c:pt idx="95">
                  <c:v>702</c:v>
                </c:pt>
                <c:pt idx="96">
                  <c:v>707</c:v>
                </c:pt>
                <c:pt idx="97">
                  <c:v>708</c:v>
                </c:pt>
                <c:pt idx="98">
                  <c:v>713</c:v>
                </c:pt>
                <c:pt idx="99">
                  <c:v>714</c:v>
                </c:pt>
                <c:pt idx="100">
                  <c:v>719</c:v>
                </c:pt>
                <c:pt idx="101">
                  <c:v>725</c:v>
                </c:pt>
                <c:pt idx="102">
                  <c:v>728</c:v>
                </c:pt>
                <c:pt idx="103">
                  <c:v>730</c:v>
                </c:pt>
                <c:pt idx="104">
                  <c:v>731</c:v>
                </c:pt>
                <c:pt idx="105">
                  <c:v>732</c:v>
                </c:pt>
                <c:pt idx="106">
                  <c:v>736</c:v>
                </c:pt>
                <c:pt idx="107">
                  <c:v>738</c:v>
                </c:pt>
                <c:pt idx="108">
                  <c:v>740</c:v>
                </c:pt>
                <c:pt idx="109">
                  <c:v>743</c:v>
                </c:pt>
                <c:pt idx="110">
                  <c:v>746</c:v>
                </c:pt>
                <c:pt idx="111">
                  <c:v>748</c:v>
                </c:pt>
                <c:pt idx="112">
                  <c:v>750</c:v>
                </c:pt>
                <c:pt idx="113">
                  <c:v>752</c:v>
                </c:pt>
                <c:pt idx="114">
                  <c:v>753</c:v>
                </c:pt>
                <c:pt idx="115">
                  <c:v>753</c:v>
                </c:pt>
                <c:pt idx="116">
                  <c:v>754</c:v>
                </c:pt>
                <c:pt idx="117">
                  <c:v>759</c:v>
                </c:pt>
                <c:pt idx="118">
                  <c:v>761</c:v>
                </c:pt>
                <c:pt idx="119">
                  <c:v>766</c:v>
                </c:pt>
                <c:pt idx="120">
                  <c:v>768</c:v>
                </c:pt>
                <c:pt idx="121">
                  <c:v>768</c:v>
                </c:pt>
                <c:pt idx="122">
                  <c:v>770</c:v>
                </c:pt>
                <c:pt idx="123">
                  <c:v>772</c:v>
                </c:pt>
                <c:pt idx="124">
                  <c:v>774</c:v>
                </c:pt>
                <c:pt idx="125">
                  <c:v>776</c:v>
                </c:pt>
                <c:pt idx="126">
                  <c:v>776</c:v>
                </c:pt>
                <c:pt idx="127">
                  <c:v>778</c:v>
                </c:pt>
                <c:pt idx="128">
                  <c:v>778</c:v>
                </c:pt>
                <c:pt idx="129">
                  <c:v>782</c:v>
                </c:pt>
                <c:pt idx="130">
                  <c:v>787</c:v>
                </c:pt>
                <c:pt idx="131">
                  <c:v>790</c:v>
                </c:pt>
                <c:pt idx="132">
                  <c:v>791</c:v>
                </c:pt>
                <c:pt idx="133">
                  <c:v>792</c:v>
                </c:pt>
                <c:pt idx="134">
                  <c:v>795</c:v>
                </c:pt>
                <c:pt idx="135">
                  <c:v>795</c:v>
                </c:pt>
                <c:pt idx="136">
                  <c:v>795</c:v>
                </c:pt>
                <c:pt idx="137">
                  <c:v>797</c:v>
                </c:pt>
                <c:pt idx="138">
                  <c:v>799</c:v>
                </c:pt>
                <c:pt idx="139">
                  <c:v>799</c:v>
                </c:pt>
                <c:pt idx="140">
                  <c:v>799</c:v>
                </c:pt>
                <c:pt idx="141">
                  <c:v>799</c:v>
                </c:pt>
                <c:pt idx="142">
                  <c:v>800</c:v>
                </c:pt>
                <c:pt idx="143">
                  <c:v>801</c:v>
                </c:pt>
                <c:pt idx="144">
                  <c:v>802</c:v>
                </c:pt>
                <c:pt idx="145">
                  <c:v>804</c:v>
                </c:pt>
                <c:pt idx="146">
                  <c:v>805</c:v>
                </c:pt>
                <c:pt idx="147">
                  <c:v>805</c:v>
                </c:pt>
                <c:pt idx="148">
                  <c:v>805</c:v>
                </c:pt>
                <c:pt idx="149">
                  <c:v>807</c:v>
                </c:pt>
                <c:pt idx="150">
                  <c:v>808</c:v>
                </c:pt>
                <c:pt idx="151">
                  <c:v>808</c:v>
                </c:pt>
                <c:pt idx="152">
                  <c:v>808</c:v>
                </c:pt>
                <c:pt idx="153">
                  <c:v>811</c:v>
                </c:pt>
                <c:pt idx="154">
                  <c:v>813</c:v>
                </c:pt>
                <c:pt idx="155">
                  <c:v>815</c:v>
                </c:pt>
                <c:pt idx="156">
                  <c:v>817</c:v>
                </c:pt>
                <c:pt idx="157">
                  <c:v>818</c:v>
                </c:pt>
                <c:pt idx="158">
                  <c:v>818</c:v>
                </c:pt>
                <c:pt idx="159">
                  <c:v>820</c:v>
                </c:pt>
                <c:pt idx="160">
                  <c:v>821</c:v>
                </c:pt>
                <c:pt idx="161">
                  <c:v>822</c:v>
                </c:pt>
                <c:pt idx="162">
                  <c:v>823</c:v>
                </c:pt>
                <c:pt idx="163">
                  <c:v>826</c:v>
                </c:pt>
                <c:pt idx="164">
                  <c:v>826</c:v>
                </c:pt>
                <c:pt idx="165">
                  <c:v>826</c:v>
                </c:pt>
                <c:pt idx="166">
                  <c:v>826</c:v>
                </c:pt>
                <c:pt idx="167">
                  <c:v>826</c:v>
                </c:pt>
                <c:pt idx="168">
                  <c:v>828</c:v>
                </c:pt>
                <c:pt idx="169">
                  <c:v>829</c:v>
                </c:pt>
                <c:pt idx="170">
                  <c:v>831</c:v>
                </c:pt>
                <c:pt idx="171">
                  <c:v>834</c:v>
                </c:pt>
                <c:pt idx="172">
                  <c:v>835</c:v>
                </c:pt>
                <c:pt idx="173">
                  <c:v>835</c:v>
                </c:pt>
                <c:pt idx="174">
                  <c:v>835</c:v>
                </c:pt>
                <c:pt idx="175">
                  <c:v>835</c:v>
                </c:pt>
                <c:pt idx="176">
                  <c:v>838</c:v>
                </c:pt>
                <c:pt idx="177">
                  <c:v>840</c:v>
                </c:pt>
                <c:pt idx="178">
                  <c:v>840</c:v>
                </c:pt>
                <c:pt idx="179">
                  <c:v>840</c:v>
                </c:pt>
                <c:pt idx="180">
                  <c:v>840</c:v>
                </c:pt>
                <c:pt idx="181">
                  <c:v>843</c:v>
                </c:pt>
                <c:pt idx="182">
                  <c:v>845</c:v>
                </c:pt>
                <c:pt idx="183">
                  <c:v>848</c:v>
                </c:pt>
                <c:pt idx="184">
                  <c:v>850</c:v>
                </c:pt>
                <c:pt idx="185">
                  <c:v>852</c:v>
                </c:pt>
                <c:pt idx="186">
                  <c:v>852</c:v>
                </c:pt>
                <c:pt idx="187">
                  <c:v>853</c:v>
                </c:pt>
                <c:pt idx="188">
                  <c:v>854</c:v>
                </c:pt>
                <c:pt idx="189">
                  <c:v>856</c:v>
                </c:pt>
                <c:pt idx="190">
                  <c:v>857</c:v>
                </c:pt>
                <c:pt idx="191">
                  <c:v>858</c:v>
                </c:pt>
                <c:pt idx="192">
                  <c:v>859</c:v>
                </c:pt>
                <c:pt idx="193">
                  <c:v>860</c:v>
                </c:pt>
                <c:pt idx="194">
                  <c:v>862</c:v>
                </c:pt>
                <c:pt idx="195">
                  <c:v>862</c:v>
                </c:pt>
                <c:pt idx="196">
                  <c:v>864</c:v>
                </c:pt>
                <c:pt idx="197">
                  <c:v>864</c:v>
                </c:pt>
                <c:pt idx="198">
                  <c:v>864</c:v>
                </c:pt>
                <c:pt idx="199">
                  <c:v>867</c:v>
                </c:pt>
                <c:pt idx="200">
                  <c:v>868</c:v>
                </c:pt>
                <c:pt idx="201">
                  <c:v>869</c:v>
                </c:pt>
                <c:pt idx="202">
                  <c:v>869</c:v>
                </c:pt>
                <c:pt idx="203">
                  <c:v>871</c:v>
                </c:pt>
                <c:pt idx="204">
                  <c:v>871</c:v>
                </c:pt>
                <c:pt idx="205">
                  <c:v>872</c:v>
                </c:pt>
                <c:pt idx="206">
                  <c:v>872</c:v>
                </c:pt>
                <c:pt idx="207">
                  <c:v>875</c:v>
                </c:pt>
                <c:pt idx="208">
                  <c:v>878</c:v>
                </c:pt>
                <c:pt idx="209">
                  <c:v>879</c:v>
                </c:pt>
                <c:pt idx="210">
                  <c:v>879</c:v>
                </c:pt>
                <c:pt idx="211">
                  <c:v>879</c:v>
                </c:pt>
                <c:pt idx="212">
                  <c:v>879</c:v>
                </c:pt>
                <c:pt idx="213">
                  <c:v>880</c:v>
                </c:pt>
                <c:pt idx="214">
                  <c:v>882</c:v>
                </c:pt>
                <c:pt idx="215">
                  <c:v>884</c:v>
                </c:pt>
                <c:pt idx="216">
                  <c:v>885</c:v>
                </c:pt>
                <c:pt idx="217">
                  <c:v>888</c:v>
                </c:pt>
                <c:pt idx="218">
                  <c:v>892</c:v>
                </c:pt>
                <c:pt idx="219">
                  <c:v>892</c:v>
                </c:pt>
                <c:pt idx="220">
                  <c:v>892</c:v>
                </c:pt>
                <c:pt idx="221">
                  <c:v>893</c:v>
                </c:pt>
                <c:pt idx="222">
                  <c:v>894</c:v>
                </c:pt>
                <c:pt idx="223">
                  <c:v>894</c:v>
                </c:pt>
                <c:pt idx="224">
                  <c:v>896</c:v>
                </c:pt>
                <c:pt idx="225">
                  <c:v>896</c:v>
                </c:pt>
                <c:pt idx="226">
                  <c:v>897</c:v>
                </c:pt>
                <c:pt idx="227">
                  <c:v>899</c:v>
                </c:pt>
                <c:pt idx="228">
                  <c:v>899</c:v>
                </c:pt>
                <c:pt idx="229">
                  <c:v>899</c:v>
                </c:pt>
                <c:pt idx="230">
                  <c:v>900</c:v>
                </c:pt>
                <c:pt idx="231">
                  <c:v>901</c:v>
                </c:pt>
                <c:pt idx="232">
                  <c:v>902</c:v>
                </c:pt>
                <c:pt idx="233">
                  <c:v>905</c:v>
                </c:pt>
                <c:pt idx="234">
                  <c:v>906</c:v>
                </c:pt>
                <c:pt idx="235">
                  <c:v>906</c:v>
                </c:pt>
                <c:pt idx="236">
                  <c:v>906</c:v>
                </c:pt>
                <c:pt idx="237">
                  <c:v>906</c:v>
                </c:pt>
                <c:pt idx="238">
                  <c:v>910</c:v>
                </c:pt>
                <c:pt idx="239">
                  <c:v>911</c:v>
                </c:pt>
                <c:pt idx="240">
                  <c:v>912</c:v>
                </c:pt>
                <c:pt idx="241">
                  <c:v>913</c:v>
                </c:pt>
                <c:pt idx="242">
                  <c:v>914</c:v>
                </c:pt>
                <c:pt idx="243">
                  <c:v>915</c:v>
                </c:pt>
                <c:pt idx="244">
                  <c:v>916</c:v>
                </c:pt>
                <c:pt idx="245">
                  <c:v>916</c:v>
                </c:pt>
                <c:pt idx="246">
                  <c:v>916</c:v>
                </c:pt>
                <c:pt idx="247">
                  <c:v>917</c:v>
                </c:pt>
                <c:pt idx="248">
                  <c:v>917</c:v>
                </c:pt>
                <c:pt idx="249">
                  <c:v>918</c:v>
                </c:pt>
                <c:pt idx="250">
                  <c:v>920</c:v>
                </c:pt>
                <c:pt idx="251">
                  <c:v>920</c:v>
                </c:pt>
                <c:pt idx="252">
                  <c:v>920</c:v>
                </c:pt>
                <c:pt idx="253">
                  <c:v>920</c:v>
                </c:pt>
                <c:pt idx="254">
                  <c:v>923</c:v>
                </c:pt>
                <c:pt idx="255">
                  <c:v>923</c:v>
                </c:pt>
                <c:pt idx="256">
                  <c:v>923</c:v>
                </c:pt>
                <c:pt idx="257">
                  <c:v>925</c:v>
                </c:pt>
                <c:pt idx="258">
                  <c:v>926</c:v>
                </c:pt>
                <c:pt idx="259">
                  <c:v>927</c:v>
                </c:pt>
                <c:pt idx="260">
                  <c:v>929</c:v>
                </c:pt>
                <c:pt idx="261">
                  <c:v>930</c:v>
                </c:pt>
                <c:pt idx="262">
                  <c:v>931</c:v>
                </c:pt>
                <c:pt idx="263">
                  <c:v>931</c:v>
                </c:pt>
                <c:pt idx="264">
                  <c:v>932</c:v>
                </c:pt>
                <c:pt idx="265">
                  <c:v>932</c:v>
                </c:pt>
                <c:pt idx="266">
                  <c:v>935</c:v>
                </c:pt>
                <c:pt idx="267">
                  <c:v>936</c:v>
                </c:pt>
                <c:pt idx="268">
                  <c:v>937</c:v>
                </c:pt>
                <c:pt idx="269">
                  <c:v>937</c:v>
                </c:pt>
                <c:pt idx="270">
                  <c:v>938</c:v>
                </c:pt>
                <c:pt idx="271">
                  <c:v>938</c:v>
                </c:pt>
                <c:pt idx="272">
                  <c:v>938</c:v>
                </c:pt>
                <c:pt idx="273">
                  <c:v>939</c:v>
                </c:pt>
                <c:pt idx="274">
                  <c:v>940</c:v>
                </c:pt>
                <c:pt idx="275">
                  <c:v>941</c:v>
                </c:pt>
                <c:pt idx="276">
                  <c:v>942</c:v>
                </c:pt>
                <c:pt idx="277">
                  <c:v>943</c:v>
                </c:pt>
                <c:pt idx="278">
                  <c:v>943</c:v>
                </c:pt>
                <c:pt idx="279">
                  <c:v>943</c:v>
                </c:pt>
                <c:pt idx="280">
                  <c:v>943</c:v>
                </c:pt>
                <c:pt idx="281">
                  <c:v>944</c:v>
                </c:pt>
                <c:pt idx="282">
                  <c:v>944</c:v>
                </c:pt>
                <c:pt idx="283">
                  <c:v>944</c:v>
                </c:pt>
                <c:pt idx="284">
                  <c:v>945</c:v>
                </c:pt>
                <c:pt idx="285">
                  <c:v>945</c:v>
                </c:pt>
                <c:pt idx="286">
                  <c:v>945</c:v>
                </c:pt>
                <c:pt idx="287">
                  <c:v>945</c:v>
                </c:pt>
                <c:pt idx="288">
                  <c:v>946</c:v>
                </c:pt>
                <c:pt idx="289">
                  <c:v>948</c:v>
                </c:pt>
                <c:pt idx="290">
                  <c:v>948</c:v>
                </c:pt>
                <c:pt idx="291">
                  <c:v>951</c:v>
                </c:pt>
                <c:pt idx="292">
                  <c:v>952</c:v>
                </c:pt>
                <c:pt idx="293">
                  <c:v>952</c:v>
                </c:pt>
                <c:pt idx="294">
                  <c:v>952</c:v>
                </c:pt>
                <c:pt idx="295">
                  <c:v>952</c:v>
                </c:pt>
                <c:pt idx="296">
                  <c:v>954</c:v>
                </c:pt>
                <c:pt idx="297">
                  <c:v>954</c:v>
                </c:pt>
                <c:pt idx="298">
                  <c:v>954</c:v>
                </c:pt>
                <c:pt idx="299">
                  <c:v>954</c:v>
                </c:pt>
                <c:pt idx="300">
                  <c:v>954</c:v>
                </c:pt>
                <c:pt idx="301">
                  <c:v>954</c:v>
                </c:pt>
                <c:pt idx="302">
                  <c:v>957</c:v>
                </c:pt>
                <c:pt idx="303">
                  <c:v>958</c:v>
                </c:pt>
                <c:pt idx="304">
                  <c:v>959</c:v>
                </c:pt>
                <c:pt idx="305">
                  <c:v>959</c:v>
                </c:pt>
                <c:pt idx="306">
                  <c:v>959</c:v>
                </c:pt>
                <c:pt idx="307">
                  <c:v>961</c:v>
                </c:pt>
                <c:pt idx="308">
                  <c:v>963</c:v>
                </c:pt>
                <c:pt idx="309">
                  <c:v>964</c:v>
                </c:pt>
                <c:pt idx="310">
                  <c:v>967</c:v>
                </c:pt>
                <c:pt idx="311">
                  <c:v>967</c:v>
                </c:pt>
                <c:pt idx="312">
                  <c:v>967</c:v>
                </c:pt>
                <c:pt idx="313">
                  <c:v>968</c:v>
                </c:pt>
                <c:pt idx="314">
                  <c:v>969</c:v>
                </c:pt>
                <c:pt idx="315">
                  <c:v>969</c:v>
                </c:pt>
                <c:pt idx="316">
                  <c:v>969</c:v>
                </c:pt>
                <c:pt idx="317">
                  <c:v>970</c:v>
                </c:pt>
                <c:pt idx="318">
                  <c:v>970</c:v>
                </c:pt>
                <c:pt idx="319">
                  <c:v>970</c:v>
                </c:pt>
                <c:pt idx="320">
                  <c:v>973</c:v>
                </c:pt>
                <c:pt idx="321">
                  <c:v>973</c:v>
                </c:pt>
                <c:pt idx="322">
                  <c:v>974</c:v>
                </c:pt>
                <c:pt idx="323">
                  <c:v>974</c:v>
                </c:pt>
                <c:pt idx="324">
                  <c:v>974</c:v>
                </c:pt>
                <c:pt idx="325">
                  <c:v>976</c:v>
                </c:pt>
                <c:pt idx="326">
                  <c:v>977</c:v>
                </c:pt>
                <c:pt idx="327">
                  <c:v>978</c:v>
                </c:pt>
                <c:pt idx="328">
                  <c:v>979</c:v>
                </c:pt>
                <c:pt idx="329">
                  <c:v>979</c:v>
                </c:pt>
                <c:pt idx="330">
                  <c:v>980</c:v>
                </c:pt>
                <c:pt idx="331">
                  <c:v>980</c:v>
                </c:pt>
                <c:pt idx="332">
                  <c:v>980</c:v>
                </c:pt>
                <c:pt idx="333">
                  <c:v>981</c:v>
                </c:pt>
                <c:pt idx="334">
                  <c:v>982</c:v>
                </c:pt>
                <c:pt idx="335">
                  <c:v>983</c:v>
                </c:pt>
                <c:pt idx="336">
                  <c:v>984</c:v>
                </c:pt>
                <c:pt idx="337">
                  <c:v>984</c:v>
                </c:pt>
                <c:pt idx="338">
                  <c:v>984</c:v>
                </c:pt>
                <c:pt idx="339">
                  <c:v>984</c:v>
                </c:pt>
                <c:pt idx="340">
                  <c:v>984</c:v>
                </c:pt>
                <c:pt idx="341">
                  <c:v>985</c:v>
                </c:pt>
                <c:pt idx="342">
                  <c:v>985</c:v>
                </c:pt>
                <c:pt idx="343">
                  <c:v>985</c:v>
                </c:pt>
                <c:pt idx="344">
                  <c:v>987</c:v>
                </c:pt>
                <c:pt idx="345">
                  <c:v>988</c:v>
                </c:pt>
                <c:pt idx="346">
                  <c:v>989</c:v>
                </c:pt>
                <c:pt idx="347">
                  <c:v>989</c:v>
                </c:pt>
                <c:pt idx="348">
                  <c:v>990</c:v>
                </c:pt>
                <c:pt idx="349">
                  <c:v>992</c:v>
                </c:pt>
                <c:pt idx="350">
                  <c:v>993</c:v>
                </c:pt>
                <c:pt idx="351">
                  <c:v>994</c:v>
                </c:pt>
                <c:pt idx="352">
                  <c:v>994</c:v>
                </c:pt>
                <c:pt idx="353">
                  <c:v>995</c:v>
                </c:pt>
                <c:pt idx="354">
                  <c:v>995</c:v>
                </c:pt>
                <c:pt idx="355">
                  <c:v>996</c:v>
                </c:pt>
                <c:pt idx="356">
                  <c:v>997</c:v>
                </c:pt>
                <c:pt idx="357">
                  <c:v>998</c:v>
                </c:pt>
                <c:pt idx="358">
                  <c:v>998</c:v>
                </c:pt>
                <c:pt idx="359">
                  <c:v>1000</c:v>
                </c:pt>
                <c:pt idx="360">
                  <c:v>1000</c:v>
                </c:pt>
                <c:pt idx="361">
                  <c:v>1001</c:v>
                </c:pt>
                <c:pt idx="362">
                  <c:v>1001</c:v>
                </c:pt>
                <c:pt idx="363">
                  <c:v>1001</c:v>
                </c:pt>
                <c:pt idx="364">
                  <c:v>1001</c:v>
                </c:pt>
                <c:pt idx="365">
                  <c:v>1001</c:v>
                </c:pt>
                <c:pt idx="366">
                  <c:v>1002</c:v>
                </c:pt>
                <c:pt idx="367">
                  <c:v>1004</c:v>
                </c:pt>
                <c:pt idx="368">
                  <c:v>1005</c:v>
                </c:pt>
                <c:pt idx="369">
                  <c:v>1006</c:v>
                </c:pt>
                <c:pt idx="370">
                  <c:v>1009</c:v>
                </c:pt>
                <c:pt idx="371">
                  <c:v>1009</c:v>
                </c:pt>
                <c:pt idx="372">
                  <c:v>1009</c:v>
                </c:pt>
                <c:pt idx="373">
                  <c:v>1010</c:v>
                </c:pt>
                <c:pt idx="374">
                  <c:v>1010</c:v>
                </c:pt>
                <c:pt idx="375">
                  <c:v>1010</c:v>
                </c:pt>
                <c:pt idx="376">
                  <c:v>1010</c:v>
                </c:pt>
                <c:pt idx="377">
                  <c:v>1013</c:v>
                </c:pt>
                <c:pt idx="378">
                  <c:v>1013</c:v>
                </c:pt>
                <c:pt idx="379">
                  <c:v>1014</c:v>
                </c:pt>
                <c:pt idx="380">
                  <c:v>1019</c:v>
                </c:pt>
                <c:pt idx="381">
                  <c:v>1019</c:v>
                </c:pt>
                <c:pt idx="382">
                  <c:v>1019</c:v>
                </c:pt>
                <c:pt idx="383">
                  <c:v>1019</c:v>
                </c:pt>
                <c:pt idx="384">
                  <c:v>1019</c:v>
                </c:pt>
                <c:pt idx="385">
                  <c:v>1019</c:v>
                </c:pt>
                <c:pt idx="386">
                  <c:v>1020</c:v>
                </c:pt>
                <c:pt idx="387">
                  <c:v>1022</c:v>
                </c:pt>
                <c:pt idx="388">
                  <c:v>1024</c:v>
                </c:pt>
                <c:pt idx="389">
                  <c:v>1024</c:v>
                </c:pt>
                <c:pt idx="390">
                  <c:v>1024</c:v>
                </c:pt>
                <c:pt idx="391">
                  <c:v>1024</c:v>
                </c:pt>
                <c:pt idx="392">
                  <c:v>1024</c:v>
                </c:pt>
                <c:pt idx="393">
                  <c:v>1025</c:v>
                </c:pt>
                <c:pt idx="394">
                  <c:v>1026</c:v>
                </c:pt>
                <c:pt idx="395">
                  <c:v>1026</c:v>
                </c:pt>
                <c:pt idx="396">
                  <c:v>1028</c:v>
                </c:pt>
                <c:pt idx="397">
                  <c:v>1028</c:v>
                </c:pt>
                <c:pt idx="398">
                  <c:v>1028</c:v>
                </c:pt>
                <c:pt idx="399">
                  <c:v>1029</c:v>
                </c:pt>
                <c:pt idx="400">
                  <c:v>1029</c:v>
                </c:pt>
                <c:pt idx="401">
                  <c:v>1029</c:v>
                </c:pt>
                <c:pt idx="402">
                  <c:v>1029</c:v>
                </c:pt>
                <c:pt idx="403">
                  <c:v>1030</c:v>
                </c:pt>
                <c:pt idx="404">
                  <c:v>1031</c:v>
                </c:pt>
                <c:pt idx="405">
                  <c:v>1031</c:v>
                </c:pt>
                <c:pt idx="406">
                  <c:v>1031</c:v>
                </c:pt>
                <c:pt idx="407">
                  <c:v>1032</c:v>
                </c:pt>
                <c:pt idx="408">
                  <c:v>1032</c:v>
                </c:pt>
                <c:pt idx="409">
                  <c:v>1032</c:v>
                </c:pt>
                <c:pt idx="410">
                  <c:v>1033</c:v>
                </c:pt>
                <c:pt idx="411">
                  <c:v>1033</c:v>
                </c:pt>
                <c:pt idx="412">
                  <c:v>1033</c:v>
                </c:pt>
                <c:pt idx="413">
                  <c:v>1033</c:v>
                </c:pt>
                <c:pt idx="414">
                  <c:v>1034</c:v>
                </c:pt>
                <c:pt idx="415">
                  <c:v>1034</c:v>
                </c:pt>
                <c:pt idx="416">
                  <c:v>1034</c:v>
                </c:pt>
                <c:pt idx="417">
                  <c:v>1034</c:v>
                </c:pt>
                <c:pt idx="418">
                  <c:v>1035</c:v>
                </c:pt>
                <c:pt idx="419">
                  <c:v>1035</c:v>
                </c:pt>
                <c:pt idx="420">
                  <c:v>1035</c:v>
                </c:pt>
                <c:pt idx="421">
                  <c:v>1036</c:v>
                </c:pt>
                <c:pt idx="422">
                  <c:v>1036</c:v>
                </c:pt>
                <c:pt idx="423">
                  <c:v>1038</c:v>
                </c:pt>
                <c:pt idx="424">
                  <c:v>1038</c:v>
                </c:pt>
                <c:pt idx="425">
                  <c:v>1038</c:v>
                </c:pt>
                <c:pt idx="426">
                  <c:v>1039</c:v>
                </c:pt>
                <c:pt idx="427">
                  <c:v>1039</c:v>
                </c:pt>
                <c:pt idx="428">
                  <c:v>1040</c:v>
                </c:pt>
                <c:pt idx="429">
                  <c:v>1042</c:v>
                </c:pt>
                <c:pt idx="430">
                  <c:v>1043</c:v>
                </c:pt>
                <c:pt idx="431">
                  <c:v>1043</c:v>
                </c:pt>
                <c:pt idx="432">
                  <c:v>1044</c:v>
                </c:pt>
                <c:pt idx="433">
                  <c:v>1045</c:v>
                </c:pt>
                <c:pt idx="434">
                  <c:v>1046</c:v>
                </c:pt>
                <c:pt idx="435">
                  <c:v>1046</c:v>
                </c:pt>
                <c:pt idx="436">
                  <c:v>1046</c:v>
                </c:pt>
                <c:pt idx="437">
                  <c:v>1049</c:v>
                </c:pt>
                <c:pt idx="438">
                  <c:v>1051</c:v>
                </c:pt>
                <c:pt idx="439">
                  <c:v>1051</c:v>
                </c:pt>
                <c:pt idx="440">
                  <c:v>1051</c:v>
                </c:pt>
                <c:pt idx="441">
                  <c:v>1051</c:v>
                </c:pt>
                <c:pt idx="442">
                  <c:v>1051</c:v>
                </c:pt>
                <c:pt idx="443">
                  <c:v>1052</c:v>
                </c:pt>
                <c:pt idx="444">
                  <c:v>1054</c:v>
                </c:pt>
                <c:pt idx="445">
                  <c:v>1055</c:v>
                </c:pt>
                <c:pt idx="446">
                  <c:v>1055</c:v>
                </c:pt>
                <c:pt idx="447">
                  <c:v>1055</c:v>
                </c:pt>
                <c:pt idx="448">
                  <c:v>1055</c:v>
                </c:pt>
                <c:pt idx="449">
                  <c:v>1055</c:v>
                </c:pt>
                <c:pt idx="450">
                  <c:v>1055</c:v>
                </c:pt>
                <c:pt idx="451">
                  <c:v>1055</c:v>
                </c:pt>
                <c:pt idx="452">
                  <c:v>1056</c:v>
                </c:pt>
                <c:pt idx="453">
                  <c:v>1056</c:v>
                </c:pt>
                <c:pt idx="454">
                  <c:v>1056</c:v>
                </c:pt>
                <c:pt idx="455">
                  <c:v>1056</c:v>
                </c:pt>
                <c:pt idx="456">
                  <c:v>1056</c:v>
                </c:pt>
                <c:pt idx="457">
                  <c:v>1057</c:v>
                </c:pt>
                <c:pt idx="458">
                  <c:v>1057</c:v>
                </c:pt>
                <c:pt idx="459">
                  <c:v>1059</c:v>
                </c:pt>
                <c:pt idx="460">
                  <c:v>1059</c:v>
                </c:pt>
                <c:pt idx="461">
                  <c:v>1059</c:v>
                </c:pt>
                <c:pt idx="462">
                  <c:v>1060</c:v>
                </c:pt>
                <c:pt idx="463">
                  <c:v>1062</c:v>
                </c:pt>
                <c:pt idx="464">
                  <c:v>1062</c:v>
                </c:pt>
                <c:pt idx="465">
                  <c:v>1063</c:v>
                </c:pt>
                <c:pt idx="466">
                  <c:v>1063</c:v>
                </c:pt>
                <c:pt idx="467">
                  <c:v>1063</c:v>
                </c:pt>
                <c:pt idx="468">
                  <c:v>1063</c:v>
                </c:pt>
                <c:pt idx="469">
                  <c:v>1063</c:v>
                </c:pt>
                <c:pt idx="470">
                  <c:v>1063</c:v>
                </c:pt>
                <c:pt idx="471">
                  <c:v>1063</c:v>
                </c:pt>
                <c:pt idx="472">
                  <c:v>1063</c:v>
                </c:pt>
                <c:pt idx="473">
                  <c:v>1065</c:v>
                </c:pt>
                <c:pt idx="474">
                  <c:v>1065</c:v>
                </c:pt>
                <c:pt idx="475">
                  <c:v>1066</c:v>
                </c:pt>
                <c:pt idx="476">
                  <c:v>1067</c:v>
                </c:pt>
                <c:pt idx="477">
                  <c:v>1068</c:v>
                </c:pt>
                <c:pt idx="478">
                  <c:v>1069</c:v>
                </c:pt>
                <c:pt idx="479">
                  <c:v>1069</c:v>
                </c:pt>
                <c:pt idx="480">
                  <c:v>1069</c:v>
                </c:pt>
                <c:pt idx="481">
                  <c:v>1070</c:v>
                </c:pt>
                <c:pt idx="482">
                  <c:v>1072</c:v>
                </c:pt>
                <c:pt idx="483">
                  <c:v>1073</c:v>
                </c:pt>
                <c:pt idx="484">
                  <c:v>1073</c:v>
                </c:pt>
                <c:pt idx="485">
                  <c:v>1073</c:v>
                </c:pt>
                <c:pt idx="486">
                  <c:v>1073</c:v>
                </c:pt>
                <c:pt idx="487">
                  <c:v>1074</c:v>
                </c:pt>
                <c:pt idx="488">
                  <c:v>1074</c:v>
                </c:pt>
                <c:pt idx="489">
                  <c:v>1076</c:v>
                </c:pt>
                <c:pt idx="490">
                  <c:v>1077</c:v>
                </c:pt>
                <c:pt idx="491">
                  <c:v>1077</c:v>
                </c:pt>
                <c:pt idx="492">
                  <c:v>1077</c:v>
                </c:pt>
                <c:pt idx="493">
                  <c:v>1077</c:v>
                </c:pt>
                <c:pt idx="494">
                  <c:v>1078</c:v>
                </c:pt>
                <c:pt idx="495">
                  <c:v>1080</c:v>
                </c:pt>
                <c:pt idx="496">
                  <c:v>1081</c:v>
                </c:pt>
                <c:pt idx="497">
                  <c:v>1081</c:v>
                </c:pt>
                <c:pt idx="498">
                  <c:v>1081</c:v>
                </c:pt>
                <c:pt idx="499">
                  <c:v>1082</c:v>
                </c:pt>
                <c:pt idx="500">
                  <c:v>1082</c:v>
                </c:pt>
                <c:pt idx="501">
                  <c:v>1083</c:v>
                </c:pt>
                <c:pt idx="502">
                  <c:v>1084</c:v>
                </c:pt>
                <c:pt idx="503">
                  <c:v>1085</c:v>
                </c:pt>
                <c:pt idx="504">
                  <c:v>1086</c:v>
                </c:pt>
                <c:pt idx="505">
                  <c:v>1088</c:v>
                </c:pt>
                <c:pt idx="506">
                  <c:v>1089</c:v>
                </c:pt>
                <c:pt idx="507">
                  <c:v>1090</c:v>
                </c:pt>
                <c:pt idx="508">
                  <c:v>1092</c:v>
                </c:pt>
                <c:pt idx="509">
                  <c:v>1093</c:v>
                </c:pt>
                <c:pt idx="510">
                  <c:v>1096</c:v>
                </c:pt>
                <c:pt idx="511">
                  <c:v>1096</c:v>
                </c:pt>
                <c:pt idx="512">
                  <c:v>1097</c:v>
                </c:pt>
                <c:pt idx="513">
                  <c:v>1097</c:v>
                </c:pt>
                <c:pt idx="514">
                  <c:v>1097</c:v>
                </c:pt>
                <c:pt idx="515">
                  <c:v>1097</c:v>
                </c:pt>
                <c:pt idx="516">
                  <c:v>1097</c:v>
                </c:pt>
                <c:pt idx="517">
                  <c:v>1099</c:v>
                </c:pt>
                <c:pt idx="518">
                  <c:v>1100</c:v>
                </c:pt>
                <c:pt idx="519">
                  <c:v>1100</c:v>
                </c:pt>
                <c:pt idx="520">
                  <c:v>1100</c:v>
                </c:pt>
                <c:pt idx="521">
                  <c:v>1101</c:v>
                </c:pt>
                <c:pt idx="522">
                  <c:v>1102</c:v>
                </c:pt>
                <c:pt idx="523">
                  <c:v>1104</c:v>
                </c:pt>
                <c:pt idx="524">
                  <c:v>1104</c:v>
                </c:pt>
                <c:pt idx="525">
                  <c:v>1104</c:v>
                </c:pt>
                <c:pt idx="526">
                  <c:v>1105</c:v>
                </c:pt>
                <c:pt idx="527">
                  <c:v>1105</c:v>
                </c:pt>
                <c:pt idx="528">
                  <c:v>1109</c:v>
                </c:pt>
                <c:pt idx="529">
                  <c:v>1110</c:v>
                </c:pt>
                <c:pt idx="530">
                  <c:v>1112</c:v>
                </c:pt>
                <c:pt idx="531">
                  <c:v>1112</c:v>
                </c:pt>
                <c:pt idx="532">
                  <c:v>1113</c:v>
                </c:pt>
                <c:pt idx="533">
                  <c:v>1113</c:v>
                </c:pt>
                <c:pt idx="534">
                  <c:v>1114</c:v>
                </c:pt>
                <c:pt idx="535">
                  <c:v>1115</c:v>
                </c:pt>
                <c:pt idx="536">
                  <c:v>1115</c:v>
                </c:pt>
                <c:pt idx="537">
                  <c:v>1115</c:v>
                </c:pt>
                <c:pt idx="538">
                  <c:v>1116</c:v>
                </c:pt>
                <c:pt idx="539">
                  <c:v>1116</c:v>
                </c:pt>
                <c:pt idx="540">
                  <c:v>1116</c:v>
                </c:pt>
                <c:pt idx="541">
                  <c:v>1116</c:v>
                </c:pt>
                <c:pt idx="542">
                  <c:v>1116</c:v>
                </c:pt>
                <c:pt idx="543">
                  <c:v>1116</c:v>
                </c:pt>
                <c:pt idx="544">
                  <c:v>1116</c:v>
                </c:pt>
                <c:pt idx="545">
                  <c:v>1116</c:v>
                </c:pt>
                <c:pt idx="546">
                  <c:v>1117</c:v>
                </c:pt>
                <c:pt idx="547">
                  <c:v>1119</c:v>
                </c:pt>
                <c:pt idx="548">
                  <c:v>1119</c:v>
                </c:pt>
                <c:pt idx="549">
                  <c:v>1119</c:v>
                </c:pt>
                <c:pt idx="550">
                  <c:v>1119</c:v>
                </c:pt>
                <c:pt idx="551">
                  <c:v>1121</c:v>
                </c:pt>
                <c:pt idx="552">
                  <c:v>1121</c:v>
                </c:pt>
                <c:pt idx="553">
                  <c:v>1121</c:v>
                </c:pt>
                <c:pt idx="554">
                  <c:v>1121</c:v>
                </c:pt>
                <c:pt idx="555">
                  <c:v>1121</c:v>
                </c:pt>
                <c:pt idx="556">
                  <c:v>1121</c:v>
                </c:pt>
                <c:pt idx="557">
                  <c:v>1121</c:v>
                </c:pt>
                <c:pt idx="558">
                  <c:v>1121</c:v>
                </c:pt>
                <c:pt idx="559">
                  <c:v>1121</c:v>
                </c:pt>
                <c:pt idx="560">
                  <c:v>1122</c:v>
                </c:pt>
                <c:pt idx="561">
                  <c:v>1122</c:v>
                </c:pt>
                <c:pt idx="562">
                  <c:v>1124</c:v>
                </c:pt>
                <c:pt idx="563">
                  <c:v>1124</c:v>
                </c:pt>
                <c:pt idx="564">
                  <c:v>1125</c:v>
                </c:pt>
                <c:pt idx="565">
                  <c:v>1126</c:v>
                </c:pt>
                <c:pt idx="566">
                  <c:v>1126</c:v>
                </c:pt>
                <c:pt idx="567">
                  <c:v>1127</c:v>
                </c:pt>
                <c:pt idx="568">
                  <c:v>1127</c:v>
                </c:pt>
                <c:pt idx="569">
                  <c:v>1127</c:v>
                </c:pt>
                <c:pt idx="570">
                  <c:v>1129</c:v>
                </c:pt>
                <c:pt idx="571">
                  <c:v>1130</c:v>
                </c:pt>
                <c:pt idx="572">
                  <c:v>1131</c:v>
                </c:pt>
                <c:pt idx="573">
                  <c:v>1131</c:v>
                </c:pt>
                <c:pt idx="574">
                  <c:v>1131</c:v>
                </c:pt>
                <c:pt idx="575">
                  <c:v>1131</c:v>
                </c:pt>
                <c:pt idx="576">
                  <c:v>1131</c:v>
                </c:pt>
                <c:pt idx="577">
                  <c:v>1131</c:v>
                </c:pt>
                <c:pt idx="578">
                  <c:v>1131</c:v>
                </c:pt>
                <c:pt idx="579">
                  <c:v>1131</c:v>
                </c:pt>
                <c:pt idx="580">
                  <c:v>1132</c:v>
                </c:pt>
                <c:pt idx="581">
                  <c:v>1132</c:v>
                </c:pt>
                <c:pt idx="582">
                  <c:v>1133</c:v>
                </c:pt>
                <c:pt idx="583">
                  <c:v>1133</c:v>
                </c:pt>
                <c:pt idx="584">
                  <c:v>1134</c:v>
                </c:pt>
                <c:pt idx="585">
                  <c:v>1134</c:v>
                </c:pt>
                <c:pt idx="586">
                  <c:v>1134</c:v>
                </c:pt>
                <c:pt idx="587">
                  <c:v>1137</c:v>
                </c:pt>
                <c:pt idx="588">
                  <c:v>1138</c:v>
                </c:pt>
                <c:pt idx="589">
                  <c:v>1139</c:v>
                </c:pt>
                <c:pt idx="590">
                  <c:v>1140</c:v>
                </c:pt>
                <c:pt idx="591">
                  <c:v>1142</c:v>
                </c:pt>
                <c:pt idx="592">
                  <c:v>1142</c:v>
                </c:pt>
                <c:pt idx="593">
                  <c:v>1142</c:v>
                </c:pt>
                <c:pt idx="594">
                  <c:v>1142</c:v>
                </c:pt>
                <c:pt idx="595">
                  <c:v>1142</c:v>
                </c:pt>
                <c:pt idx="596">
                  <c:v>1142</c:v>
                </c:pt>
                <c:pt idx="597">
                  <c:v>1142</c:v>
                </c:pt>
                <c:pt idx="598">
                  <c:v>1143</c:v>
                </c:pt>
                <c:pt idx="599">
                  <c:v>1143</c:v>
                </c:pt>
                <c:pt idx="600">
                  <c:v>1145</c:v>
                </c:pt>
                <c:pt idx="601">
                  <c:v>1146</c:v>
                </c:pt>
                <c:pt idx="602">
                  <c:v>1146</c:v>
                </c:pt>
                <c:pt idx="603">
                  <c:v>1146</c:v>
                </c:pt>
                <c:pt idx="604">
                  <c:v>1146</c:v>
                </c:pt>
                <c:pt idx="605">
                  <c:v>1146</c:v>
                </c:pt>
                <c:pt idx="606">
                  <c:v>1146</c:v>
                </c:pt>
                <c:pt idx="607">
                  <c:v>1146</c:v>
                </c:pt>
                <c:pt idx="608">
                  <c:v>1146</c:v>
                </c:pt>
                <c:pt idx="609">
                  <c:v>1148</c:v>
                </c:pt>
                <c:pt idx="610">
                  <c:v>1149</c:v>
                </c:pt>
                <c:pt idx="611">
                  <c:v>1150</c:v>
                </c:pt>
                <c:pt idx="612">
                  <c:v>1151</c:v>
                </c:pt>
                <c:pt idx="613">
                  <c:v>1151</c:v>
                </c:pt>
                <c:pt idx="614">
                  <c:v>1151</c:v>
                </c:pt>
                <c:pt idx="615">
                  <c:v>1151</c:v>
                </c:pt>
                <c:pt idx="616">
                  <c:v>1151</c:v>
                </c:pt>
                <c:pt idx="617">
                  <c:v>1152</c:v>
                </c:pt>
                <c:pt idx="618">
                  <c:v>1153</c:v>
                </c:pt>
                <c:pt idx="619">
                  <c:v>1154</c:v>
                </c:pt>
                <c:pt idx="620">
                  <c:v>1154</c:v>
                </c:pt>
                <c:pt idx="621">
                  <c:v>1156</c:v>
                </c:pt>
                <c:pt idx="622">
                  <c:v>1159</c:v>
                </c:pt>
                <c:pt idx="623">
                  <c:v>1160</c:v>
                </c:pt>
                <c:pt idx="624">
                  <c:v>1160</c:v>
                </c:pt>
                <c:pt idx="625">
                  <c:v>1161</c:v>
                </c:pt>
                <c:pt idx="626">
                  <c:v>1162</c:v>
                </c:pt>
                <c:pt idx="627">
                  <c:v>1162</c:v>
                </c:pt>
                <c:pt idx="628">
                  <c:v>1162</c:v>
                </c:pt>
                <c:pt idx="629">
                  <c:v>1162</c:v>
                </c:pt>
                <c:pt idx="630">
                  <c:v>1162</c:v>
                </c:pt>
                <c:pt idx="631">
                  <c:v>1162</c:v>
                </c:pt>
                <c:pt idx="632">
                  <c:v>1162</c:v>
                </c:pt>
                <c:pt idx="633">
                  <c:v>1162</c:v>
                </c:pt>
                <c:pt idx="634">
                  <c:v>1165</c:v>
                </c:pt>
                <c:pt idx="635">
                  <c:v>1166</c:v>
                </c:pt>
                <c:pt idx="636">
                  <c:v>1166</c:v>
                </c:pt>
                <c:pt idx="637">
                  <c:v>1167</c:v>
                </c:pt>
                <c:pt idx="638">
                  <c:v>1167</c:v>
                </c:pt>
                <c:pt idx="639">
                  <c:v>1167</c:v>
                </c:pt>
                <c:pt idx="640">
                  <c:v>1169</c:v>
                </c:pt>
                <c:pt idx="641">
                  <c:v>1169</c:v>
                </c:pt>
                <c:pt idx="642">
                  <c:v>1169</c:v>
                </c:pt>
                <c:pt idx="643">
                  <c:v>1169</c:v>
                </c:pt>
                <c:pt idx="644">
                  <c:v>1169</c:v>
                </c:pt>
                <c:pt idx="645">
                  <c:v>1169</c:v>
                </c:pt>
                <c:pt idx="646">
                  <c:v>1169</c:v>
                </c:pt>
                <c:pt idx="647">
                  <c:v>1169</c:v>
                </c:pt>
                <c:pt idx="648">
                  <c:v>1169</c:v>
                </c:pt>
                <c:pt idx="649">
                  <c:v>1170</c:v>
                </c:pt>
                <c:pt idx="650">
                  <c:v>1170</c:v>
                </c:pt>
                <c:pt idx="651">
                  <c:v>1170</c:v>
                </c:pt>
                <c:pt idx="652">
                  <c:v>1170</c:v>
                </c:pt>
                <c:pt idx="653">
                  <c:v>1170</c:v>
                </c:pt>
                <c:pt idx="654">
                  <c:v>1170</c:v>
                </c:pt>
                <c:pt idx="655">
                  <c:v>1170</c:v>
                </c:pt>
                <c:pt idx="656">
                  <c:v>1171</c:v>
                </c:pt>
                <c:pt idx="657">
                  <c:v>1171</c:v>
                </c:pt>
                <c:pt idx="658">
                  <c:v>1172</c:v>
                </c:pt>
                <c:pt idx="659">
                  <c:v>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46-4C8D-9A99-263850E60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913087"/>
        <c:axId val="2059929727"/>
      </c:lineChart>
      <c:scatterChart>
        <c:scatterStyle val="lineMarker"/>
        <c:varyColors val="0"/>
        <c:ser>
          <c:idx val="1"/>
          <c:order val="0"/>
          <c:tx>
            <c:strRef>
              <c:f>corrections!$A$18</c:f>
              <c:strCache>
                <c:ptCount val="1"/>
                <c:pt idx="0">
                  <c:v>Corrections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>
                  <a:alpha val="70000"/>
                </a:srgbClr>
              </a:solidFill>
              <a:ln w="3175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28575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28"/>
            <c:dispRSqr val="0"/>
            <c:dispEq val="0"/>
          </c:trendline>
          <c:yVal>
            <c:numRef>
              <c:f>corrections!$A$19:$A$678</c:f>
              <c:numCache>
                <c:formatCode>General</c:formatCode>
                <c:ptCount val="660"/>
                <c:pt idx="0">
                  <c:v>14</c:v>
                </c:pt>
                <c:pt idx="1">
                  <c:v>20</c:v>
                </c:pt>
                <c:pt idx="2">
                  <c:v>22</c:v>
                </c:pt>
                <c:pt idx="3">
                  <c:v>15</c:v>
                </c:pt>
                <c:pt idx="4">
                  <c:v>16</c:v>
                </c:pt>
                <c:pt idx="5">
                  <c:v>13</c:v>
                </c:pt>
                <c:pt idx="6">
                  <c:v>11</c:v>
                </c:pt>
                <c:pt idx="7">
                  <c:v>15</c:v>
                </c:pt>
                <c:pt idx="8">
                  <c:v>12</c:v>
                </c:pt>
                <c:pt idx="9">
                  <c:v>16</c:v>
                </c:pt>
                <c:pt idx="10">
                  <c:v>11</c:v>
                </c:pt>
                <c:pt idx="11">
                  <c:v>18</c:v>
                </c:pt>
                <c:pt idx="12">
                  <c:v>4</c:v>
                </c:pt>
                <c:pt idx="13">
                  <c:v>14</c:v>
                </c:pt>
                <c:pt idx="14">
                  <c:v>10</c:v>
                </c:pt>
                <c:pt idx="15">
                  <c:v>17</c:v>
                </c:pt>
                <c:pt idx="16">
                  <c:v>9</c:v>
                </c:pt>
                <c:pt idx="17">
                  <c:v>14</c:v>
                </c:pt>
                <c:pt idx="18">
                  <c:v>6</c:v>
                </c:pt>
                <c:pt idx="19">
                  <c:v>1</c:v>
                </c:pt>
                <c:pt idx="20">
                  <c:v>13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8</c:v>
                </c:pt>
                <c:pt idx="26">
                  <c:v>10</c:v>
                </c:pt>
                <c:pt idx="27">
                  <c:v>4</c:v>
                </c:pt>
                <c:pt idx="28">
                  <c:v>2</c:v>
                </c:pt>
                <c:pt idx="29">
                  <c:v>6</c:v>
                </c:pt>
                <c:pt idx="30">
                  <c:v>4</c:v>
                </c:pt>
                <c:pt idx="31">
                  <c:v>13</c:v>
                </c:pt>
                <c:pt idx="32">
                  <c:v>4</c:v>
                </c:pt>
                <c:pt idx="33">
                  <c:v>8</c:v>
                </c:pt>
                <c:pt idx="34">
                  <c:v>9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3</c:v>
                </c:pt>
                <c:pt idx="39">
                  <c:v>9</c:v>
                </c:pt>
                <c:pt idx="40">
                  <c:v>10</c:v>
                </c:pt>
                <c:pt idx="41">
                  <c:v>7</c:v>
                </c:pt>
                <c:pt idx="42">
                  <c:v>3</c:v>
                </c:pt>
                <c:pt idx="43">
                  <c:v>7</c:v>
                </c:pt>
                <c:pt idx="44">
                  <c:v>1</c:v>
                </c:pt>
                <c:pt idx="45">
                  <c:v>5</c:v>
                </c:pt>
                <c:pt idx="46">
                  <c:v>2</c:v>
                </c:pt>
                <c:pt idx="47">
                  <c:v>6</c:v>
                </c:pt>
                <c:pt idx="48">
                  <c:v>7</c:v>
                </c:pt>
                <c:pt idx="49">
                  <c:v>12</c:v>
                </c:pt>
                <c:pt idx="50">
                  <c:v>1</c:v>
                </c:pt>
                <c:pt idx="51">
                  <c:v>10</c:v>
                </c:pt>
                <c:pt idx="52">
                  <c:v>5</c:v>
                </c:pt>
                <c:pt idx="53">
                  <c:v>5</c:v>
                </c:pt>
                <c:pt idx="54">
                  <c:v>11</c:v>
                </c:pt>
                <c:pt idx="55">
                  <c:v>7</c:v>
                </c:pt>
                <c:pt idx="56">
                  <c:v>9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9</c:v>
                </c:pt>
                <c:pt idx="61">
                  <c:v>6</c:v>
                </c:pt>
                <c:pt idx="62">
                  <c:v>7</c:v>
                </c:pt>
                <c:pt idx="63">
                  <c:v>9</c:v>
                </c:pt>
                <c:pt idx="64">
                  <c:v>4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5</c:v>
                </c:pt>
                <c:pt idx="69">
                  <c:v>4</c:v>
                </c:pt>
                <c:pt idx="70">
                  <c:v>5</c:v>
                </c:pt>
                <c:pt idx="71">
                  <c:v>3</c:v>
                </c:pt>
                <c:pt idx="72">
                  <c:v>6</c:v>
                </c:pt>
                <c:pt idx="73">
                  <c:v>3</c:v>
                </c:pt>
                <c:pt idx="74">
                  <c:v>5</c:v>
                </c:pt>
                <c:pt idx="75">
                  <c:v>2</c:v>
                </c:pt>
                <c:pt idx="76">
                  <c:v>5</c:v>
                </c:pt>
                <c:pt idx="77">
                  <c:v>4</c:v>
                </c:pt>
                <c:pt idx="78">
                  <c:v>2</c:v>
                </c:pt>
                <c:pt idx="79">
                  <c:v>7</c:v>
                </c:pt>
                <c:pt idx="80">
                  <c:v>6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3</c:v>
                </c:pt>
                <c:pt idx="88">
                  <c:v>6</c:v>
                </c:pt>
                <c:pt idx="89">
                  <c:v>8</c:v>
                </c:pt>
                <c:pt idx="90">
                  <c:v>6</c:v>
                </c:pt>
                <c:pt idx="91">
                  <c:v>1</c:v>
                </c:pt>
                <c:pt idx="92">
                  <c:v>4</c:v>
                </c:pt>
                <c:pt idx="93">
                  <c:v>4</c:v>
                </c:pt>
                <c:pt idx="94">
                  <c:v>1</c:v>
                </c:pt>
                <c:pt idx="95">
                  <c:v>4</c:v>
                </c:pt>
                <c:pt idx="96">
                  <c:v>5</c:v>
                </c:pt>
                <c:pt idx="97">
                  <c:v>1</c:v>
                </c:pt>
                <c:pt idx="98">
                  <c:v>5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4</c:v>
                </c:pt>
                <c:pt idx="107">
                  <c:v>2</c:v>
                </c:pt>
                <c:pt idx="108">
                  <c:v>2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5</c:v>
                </c:pt>
                <c:pt idx="118">
                  <c:v>2</c:v>
                </c:pt>
                <c:pt idx="119">
                  <c:v>5</c:v>
                </c:pt>
                <c:pt idx="120">
                  <c:v>2</c:v>
                </c:pt>
                <c:pt idx="121">
                  <c:v>0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4</c:v>
                </c:pt>
                <c:pt idx="130">
                  <c:v>5</c:v>
                </c:pt>
                <c:pt idx="131">
                  <c:v>3</c:v>
                </c:pt>
                <c:pt idx="132">
                  <c:v>1</c:v>
                </c:pt>
                <c:pt idx="133">
                  <c:v>1</c:v>
                </c:pt>
                <c:pt idx="134">
                  <c:v>3</c:v>
                </c:pt>
                <c:pt idx="135">
                  <c:v>0</c:v>
                </c:pt>
                <c:pt idx="136">
                  <c:v>0</c:v>
                </c:pt>
                <c:pt idx="137">
                  <c:v>2</c:v>
                </c:pt>
                <c:pt idx="138">
                  <c:v>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2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3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0</c:v>
                </c:pt>
                <c:pt idx="159">
                  <c:v>2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3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</c:v>
                </c:pt>
                <c:pt idx="177">
                  <c:v>2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2</c:v>
                </c:pt>
                <c:pt idx="185">
                  <c:v>2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0</c:v>
                </c:pt>
                <c:pt idx="196">
                  <c:v>2</c:v>
                </c:pt>
                <c:pt idx="197">
                  <c:v>0</c:v>
                </c:pt>
                <c:pt idx="198">
                  <c:v>0</c:v>
                </c:pt>
                <c:pt idx="199">
                  <c:v>3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2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3</c:v>
                </c:pt>
                <c:pt idx="208">
                  <c:v>3</c:v>
                </c:pt>
                <c:pt idx="209">
                  <c:v>1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3</c:v>
                </c:pt>
                <c:pt idx="218">
                  <c:v>4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2</c:v>
                </c:pt>
                <c:pt idx="225">
                  <c:v>0</c:v>
                </c:pt>
                <c:pt idx="226">
                  <c:v>1</c:v>
                </c:pt>
                <c:pt idx="227">
                  <c:v>2</c:v>
                </c:pt>
                <c:pt idx="228">
                  <c:v>0</c:v>
                </c:pt>
                <c:pt idx="229">
                  <c:v>0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3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4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2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3</c:v>
                </c:pt>
                <c:pt idx="255">
                  <c:v>0</c:v>
                </c:pt>
                <c:pt idx="256">
                  <c:v>0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3</c:v>
                </c:pt>
                <c:pt idx="267">
                  <c:v>1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</c:v>
                </c:pt>
                <c:pt idx="289">
                  <c:v>2</c:v>
                </c:pt>
                <c:pt idx="290">
                  <c:v>0</c:v>
                </c:pt>
                <c:pt idx="291">
                  <c:v>3</c:v>
                </c:pt>
                <c:pt idx="292">
                  <c:v>1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0</c:v>
                </c:pt>
                <c:pt idx="306">
                  <c:v>0</c:v>
                </c:pt>
                <c:pt idx="307">
                  <c:v>2</c:v>
                </c:pt>
                <c:pt idx="308">
                  <c:v>2</c:v>
                </c:pt>
                <c:pt idx="309">
                  <c:v>1</c:v>
                </c:pt>
                <c:pt idx="310">
                  <c:v>3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3</c:v>
                </c:pt>
                <c:pt idx="321">
                  <c:v>0</c:v>
                </c:pt>
                <c:pt idx="322">
                  <c:v>1</c:v>
                </c:pt>
                <c:pt idx="323">
                  <c:v>0</c:v>
                </c:pt>
                <c:pt idx="324">
                  <c:v>0</c:v>
                </c:pt>
                <c:pt idx="325">
                  <c:v>2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1</c:v>
                </c:pt>
                <c:pt idx="342">
                  <c:v>0</c:v>
                </c:pt>
                <c:pt idx="343">
                  <c:v>0</c:v>
                </c:pt>
                <c:pt idx="344">
                  <c:v>2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2</c:v>
                </c:pt>
                <c:pt idx="360">
                  <c:v>0</c:v>
                </c:pt>
                <c:pt idx="361">
                  <c:v>1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1</c:v>
                </c:pt>
                <c:pt idx="370">
                  <c:v>3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3</c:v>
                </c:pt>
                <c:pt idx="378">
                  <c:v>0</c:v>
                </c:pt>
                <c:pt idx="379">
                  <c:v>1</c:v>
                </c:pt>
                <c:pt idx="380">
                  <c:v>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</c:v>
                </c:pt>
                <c:pt idx="387">
                  <c:v>2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</c:v>
                </c:pt>
                <c:pt idx="394">
                  <c:v>1</c:v>
                </c:pt>
                <c:pt idx="395">
                  <c:v>0</c:v>
                </c:pt>
                <c:pt idx="396">
                  <c:v>2</c:v>
                </c:pt>
                <c:pt idx="397">
                  <c:v>0</c:v>
                </c:pt>
                <c:pt idx="398">
                  <c:v>0</c:v>
                </c:pt>
                <c:pt idx="399">
                  <c:v>1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</c:v>
                </c:pt>
                <c:pt idx="404">
                  <c:v>1</c:v>
                </c:pt>
                <c:pt idx="405">
                  <c:v>0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1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2</c:v>
                </c:pt>
                <c:pt idx="424">
                  <c:v>0</c:v>
                </c:pt>
                <c:pt idx="425">
                  <c:v>0</c:v>
                </c:pt>
                <c:pt idx="426">
                  <c:v>1</c:v>
                </c:pt>
                <c:pt idx="427">
                  <c:v>0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0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3</c:v>
                </c:pt>
                <c:pt idx="438">
                  <c:v>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</c:v>
                </c:pt>
                <c:pt idx="444">
                  <c:v>2</c:v>
                </c:pt>
                <c:pt idx="445">
                  <c:v>1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2</c:v>
                </c:pt>
                <c:pt idx="460">
                  <c:v>0</c:v>
                </c:pt>
                <c:pt idx="461">
                  <c:v>0</c:v>
                </c:pt>
                <c:pt idx="462">
                  <c:v>1</c:v>
                </c:pt>
                <c:pt idx="463">
                  <c:v>2</c:v>
                </c:pt>
                <c:pt idx="464">
                  <c:v>0</c:v>
                </c:pt>
                <c:pt idx="465">
                  <c:v>1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2</c:v>
                </c:pt>
                <c:pt idx="474">
                  <c:v>0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2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</c:v>
                </c:pt>
                <c:pt idx="488">
                  <c:v>0</c:v>
                </c:pt>
                <c:pt idx="489">
                  <c:v>2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</c:v>
                </c:pt>
                <c:pt idx="495">
                  <c:v>2</c:v>
                </c:pt>
                <c:pt idx="496">
                  <c:v>1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2</c:v>
                </c:pt>
                <c:pt idx="506">
                  <c:v>1</c:v>
                </c:pt>
                <c:pt idx="507">
                  <c:v>1</c:v>
                </c:pt>
                <c:pt idx="508">
                  <c:v>2</c:v>
                </c:pt>
                <c:pt idx="509">
                  <c:v>1</c:v>
                </c:pt>
                <c:pt idx="510">
                  <c:v>3</c:v>
                </c:pt>
                <c:pt idx="511">
                  <c:v>0</c:v>
                </c:pt>
                <c:pt idx="512">
                  <c:v>1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2</c:v>
                </c:pt>
                <c:pt idx="518">
                  <c:v>1</c:v>
                </c:pt>
                <c:pt idx="519">
                  <c:v>0</c:v>
                </c:pt>
                <c:pt idx="520">
                  <c:v>0</c:v>
                </c:pt>
                <c:pt idx="521">
                  <c:v>1</c:v>
                </c:pt>
                <c:pt idx="522">
                  <c:v>1</c:v>
                </c:pt>
                <c:pt idx="523">
                  <c:v>2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0</c:v>
                </c:pt>
                <c:pt idx="528">
                  <c:v>4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1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2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1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1</c:v>
                </c:pt>
                <c:pt idx="565">
                  <c:v>1</c:v>
                </c:pt>
                <c:pt idx="566">
                  <c:v>0</c:v>
                </c:pt>
                <c:pt idx="567">
                  <c:v>1</c:v>
                </c:pt>
                <c:pt idx="568">
                  <c:v>0</c:v>
                </c:pt>
                <c:pt idx="569">
                  <c:v>0</c:v>
                </c:pt>
                <c:pt idx="570">
                  <c:v>2</c:v>
                </c:pt>
                <c:pt idx="571">
                  <c:v>1</c:v>
                </c:pt>
                <c:pt idx="572">
                  <c:v>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1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3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2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1</c:v>
                </c:pt>
                <c:pt idx="599">
                  <c:v>0</c:v>
                </c:pt>
                <c:pt idx="600">
                  <c:v>2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2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2</c:v>
                </c:pt>
                <c:pt idx="622">
                  <c:v>3</c:v>
                </c:pt>
                <c:pt idx="623">
                  <c:v>1</c:v>
                </c:pt>
                <c:pt idx="624">
                  <c:v>0</c:v>
                </c:pt>
                <c:pt idx="625">
                  <c:v>1</c:v>
                </c:pt>
                <c:pt idx="626">
                  <c:v>1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3</c:v>
                </c:pt>
                <c:pt idx="635">
                  <c:v>1</c:v>
                </c:pt>
                <c:pt idx="636">
                  <c:v>0</c:v>
                </c:pt>
                <c:pt idx="637">
                  <c:v>1</c:v>
                </c:pt>
                <c:pt idx="638">
                  <c:v>0</c:v>
                </c:pt>
                <c:pt idx="639">
                  <c:v>0</c:v>
                </c:pt>
                <c:pt idx="640">
                  <c:v>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1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0</c:v>
                </c:pt>
                <c:pt idx="658">
                  <c:v>1</c:v>
                </c:pt>
                <c:pt idx="6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B3-420B-B931-189B810A6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728240"/>
        <c:axId val="764020448"/>
      </c:scatterChart>
      <c:catAx>
        <c:axId val="768728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64020448"/>
        <c:crosses val="autoZero"/>
        <c:auto val="1"/>
        <c:lblAlgn val="ctr"/>
        <c:lblOffset val="100"/>
        <c:noMultiLvlLbl val="0"/>
      </c:catAx>
      <c:valAx>
        <c:axId val="764020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68728240"/>
        <c:crosses val="autoZero"/>
        <c:crossBetween val="between"/>
      </c:valAx>
      <c:valAx>
        <c:axId val="205992972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059913087"/>
        <c:crosses val="max"/>
        <c:crossBetween val="between"/>
      </c:valAx>
      <c:catAx>
        <c:axId val="2059913087"/>
        <c:scaling>
          <c:orientation val="minMax"/>
        </c:scaling>
        <c:delete val="1"/>
        <c:axPos val="b"/>
        <c:majorTickMark val="out"/>
        <c:minorTickMark val="none"/>
        <c:tickLblPos val="nextTo"/>
        <c:crossAx val="20599297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[vocabulaire anglais.xlsm]version_GCD!Tableau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/>
              <a:t>Répartition du nombre de demandes</a:t>
            </a:r>
            <a:endParaRPr lang="fr-FR" sz="1200"/>
          </a:p>
        </c:rich>
      </c:tx>
      <c:layout>
        <c:manualLayout>
          <c:xMode val="edge"/>
          <c:yMode val="edge"/>
          <c:x val="0.20937277777777777"/>
          <c:y val="1.4111111111111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 w="317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D31">
              <a:alpha val="40000"/>
            </a:srgbClr>
          </a:solidFill>
          <a:ln w="317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73333333333333"/>
          <c:y val="7.9504444444444433E-2"/>
          <c:w val="0.85798888888888891"/>
          <c:h val="0.868801851851851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version_GCD!$H$3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>
                <a:alpha val="4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version_GCD!$G$4:$G$43</c:f>
              <c:strCach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38</c:v>
                </c:pt>
                <c:pt idx="38">
                  <c:v>42</c:v>
                </c:pt>
              </c:strCache>
            </c:strRef>
          </c:cat>
          <c:val>
            <c:numRef>
              <c:f>version_GCD!$H$4:$H$43</c:f>
              <c:numCache>
                <c:formatCode>General</c:formatCode>
                <c:ptCount val="39"/>
                <c:pt idx="0">
                  <c:v>29</c:v>
                </c:pt>
                <c:pt idx="1">
                  <c:v>24</c:v>
                </c:pt>
                <c:pt idx="2">
                  <c:v>39</c:v>
                </c:pt>
                <c:pt idx="3">
                  <c:v>23</c:v>
                </c:pt>
                <c:pt idx="4">
                  <c:v>41</c:v>
                </c:pt>
                <c:pt idx="5">
                  <c:v>35</c:v>
                </c:pt>
                <c:pt idx="6">
                  <c:v>37</c:v>
                </c:pt>
                <c:pt idx="7">
                  <c:v>38</c:v>
                </c:pt>
                <c:pt idx="8">
                  <c:v>51</c:v>
                </c:pt>
                <c:pt idx="9">
                  <c:v>47</c:v>
                </c:pt>
                <c:pt idx="10">
                  <c:v>53</c:v>
                </c:pt>
                <c:pt idx="11">
                  <c:v>51</c:v>
                </c:pt>
                <c:pt idx="12">
                  <c:v>63</c:v>
                </c:pt>
                <c:pt idx="13">
                  <c:v>83</c:v>
                </c:pt>
                <c:pt idx="14">
                  <c:v>86</c:v>
                </c:pt>
                <c:pt idx="15">
                  <c:v>92</c:v>
                </c:pt>
                <c:pt idx="16">
                  <c:v>124</c:v>
                </c:pt>
                <c:pt idx="17">
                  <c:v>162</c:v>
                </c:pt>
                <c:pt idx="18">
                  <c:v>153</c:v>
                </c:pt>
                <c:pt idx="19">
                  <c:v>172</c:v>
                </c:pt>
                <c:pt idx="20">
                  <c:v>164</c:v>
                </c:pt>
                <c:pt idx="21">
                  <c:v>203</c:v>
                </c:pt>
                <c:pt idx="22">
                  <c:v>200</c:v>
                </c:pt>
                <c:pt idx="23">
                  <c:v>161</c:v>
                </c:pt>
                <c:pt idx="24">
                  <c:v>119</c:v>
                </c:pt>
                <c:pt idx="25">
                  <c:v>110</c:v>
                </c:pt>
                <c:pt idx="26">
                  <c:v>103</c:v>
                </c:pt>
                <c:pt idx="27">
                  <c:v>93</c:v>
                </c:pt>
                <c:pt idx="28">
                  <c:v>71</c:v>
                </c:pt>
                <c:pt idx="29">
                  <c:v>54</c:v>
                </c:pt>
                <c:pt idx="30">
                  <c:v>25</c:v>
                </c:pt>
                <c:pt idx="31">
                  <c:v>25</c:v>
                </c:pt>
                <c:pt idx="32">
                  <c:v>18</c:v>
                </c:pt>
                <c:pt idx="33">
                  <c:v>9</c:v>
                </c:pt>
                <c:pt idx="34">
                  <c:v>13</c:v>
                </c:pt>
                <c:pt idx="35">
                  <c:v>9</c:v>
                </c:pt>
                <c:pt idx="36">
                  <c:v>5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7-4F62-9826-E00DD0E82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49692432"/>
        <c:axId val="446272008"/>
      </c:barChart>
      <c:catAx>
        <c:axId val="44969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46272008"/>
        <c:crosses val="autoZero"/>
        <c:auto val="1"/>
        <c:lblAlgn val="ctr"/>
        <c:lblOffset val="100"/>
        <c:noMultiLvlLbl val="0"/>
      </c:catAx>
      <c:valAx>
        <c:axId val="44627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4969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voc!$D$2:$D$2788</c:f>
              <c:numCache>
                <c:formatCode>General</c:formatCode>
                <c:ptCount val="2787"/>
                <c:pt idx="0">
                  <c:v>10</c:v>
                </c:pt>
                <c:pt idx="1">
                  <c:v>13</c:v>
                </c:pt>
                <c:pt idx="2">
                  <c:v>7</c:v>
                </c:pt>
                <c:pt idx="3">
                  <c:v>13</c:v>
                </c:pt>
                <c:pt idx="4">
                  <c:v>8</c:v>
                </c:pt>
                <c:pt idx="5">
                  <c:v>6</c:v>
                </c:pt>
                <c:pt idx="6">
                  <c:v>11</c:v>
                </c:pt>
                <c:pt idx="7">
                  <c:v>7</c:v>
                </c:pt>
                <c:pt idx="8">
                  <c:v>13</c:v>
                </c:pt>
                <c:pt idx="9">
                  <c:v>16</c:v>
                </c:pt>
                <c:pt idx="10">
                  <c:v>8</c:v>
                </c:pt>
                <c:pt idx="11">
                  <c:v>8</c:v>
                </c:pt>
                <c:pt idx="12">
                  <c:v>12</c:v>
                </c:pt>
                <c:pt idx="13">
                  <c:v>7</c:v>
                </c:pt>
                <c:pt idx="14">
                  <c:v>14</c:v>
                </c:pt>
                <c:pt idx="15">
                  <c:v>13</c:v>
                </c:pt>
                <c:pt idx="16">
                  <c:v>10</c:v>
                </c:pt>
                <c:pt idx="17">
                  <c:v>13</c:v>
                </c:pt>
                <c:pt idx="18">
                  <c:v>8</c:v>
                </c:pt>
                <c:pt idx="19">
                  <c:v>5</c:v>
                </c:pt>
                <c:pt idx="20">
                  <c:v>9</c:v>
                </c:pt>
                <c:pt idx="21">
                  <c:v>11</c:v>
                </c:pt>
                <c:pt idx="22">
                  <c:v>12</c:v>
                </c:pt>
                <c:pt idx="23">
                  <c:v>11</c:v>
                </c:pt>
                <c:pt idx="24">
                  <c:v>8</c:v>
                </c:pt>
                <c:pt idx="25">
                  <c:v>12</c:v>
                </c:pt>
                <c:pt idx="26">
                  <c:v>14</c:v>
                </c:pt>
                <c:pt idx="27">
                  <c:v>10</c:v>
                </c:pt>
                <c:pt idx="28">
                  <c:v>9</c:v>
                </c:pt>
                <c:pt idx="29">
                  <c:v>9</c:v>
                </c:pt>
                <c:pt idx="30">
                  <c:v>6</c:v>
                </c:pt>
                <c:pt idx="31">
                  <c:v>5</c:v>
                </c:pt>
                <c:pt idx="32">
                  <c:v>11</c:v>
                </c:pt>
                <c:pt idx="33">
                  <c:v>6</c:v>
                </c:pt>
                <c:pt idx="34">
                  <c:v>7</c:v>
                </c:pt>
                <c:pt idx="35">
                  <c:v>8</c:v>
                </c:pt>
                <c:pt idx="36">
                  <c:v>5</c:v>
                </c:pt>
                <c:pt idx="37">
                  <c:v>8</c:v>
                </c:pt>
                <c:pt idx="38">
                  <c:v>5</c:v>
                </c:pt>
                <c:pt idx="39">
                  <c:v>10</c:v>
                </c:pt>
                <c:pt idx="40">
                  <c:v>6</c:v>
                </c:pt>
                <c:pt idx="41">
                  <c:v>9</c:v>
                </c:pt>
                <c:pt idx="42">
                  <c:v>15</c:v>
                </c:pt>
                <c:pt idx="43">
                  <c:v>4</c:v>
                </c:pt>
                <c:pt idx="44">
                  <c:v>9</c:v>
                </c:pt>
                <c:pt idx="45">
                  <c:v>5</c:v>
                </c:pt>
                <c:pt idx="46">
                  <c:v>6</c:v>
                </c:pt>
                <c:pt idx="47">
                  <c:v>10</c:v>
                </c:pt>
                <c:pt idx="48">
                  <c:v>9</c:v>
                </c:pt>
                <c:pt idx="49">
                  <c:v>8</c:v>
                </c:pt>
                <c:pt idx="50">
                  <c:v>13</c:v>
                </c:pt>
                <c:pt idx="51">
                  <c:v>5</c:v>
                </c:pt>
                <c:pt idx="52">
                  <c:v>5</c:v>
                </c:pt>
                <c:pt idx="53">
                  <c:v>6</c:v>
                </c:pt>
                <c:pt idx="54">
                  <c:v>12</c:v>
                </c:pt>
                <c:pt idx="55">
                  <c:v>4</c:v>
                </c:pt>
                <c:pt idx="56">
                  <c:v>6</c:v>
                </c:pt>
                <c:pt idx="57">
                  <c:v>11</c:v>
                </c:pt>
                <c:pt idx="58">
                  <c:v>9</c:v>
                </c:pt>
                <c:pt idx="59">
                  <c:v>6</c:v>
                </c:pt>
                <c:pt idx="60">
                  <c:v>6</c:v>
                </c:pt>
                <c:pt idx="61">
                  <c:v>9</c:v>
                </c:pt>
                <c:pt idx="62">
                  <c:v>8</c:v>
                </c:pt>
                <c:pt idx="63">
                  <c:v>3</c:v>
                </c:pt>
                <c:pt idx="64">
                  <c:v>6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1</c:v>
                </c:pt>
                <c:pt idx="69">
                  <c:v>5</c:v>
                </c:pt>
                <c:pt idx="70">
                  <c:v>7</c:v>
                </c:pt>
                <c:pt idx="71">
                  <c:v>6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8</c:v>
                </c:pt>
                <c:pt idx="76">
                  <c:v>9</c:v>
                </c:pt>
                <c:pt idx="77">
                  <c:v>5</c:v>
                </c:pt>
                <c:pt idx="78">
                  <c:v>4</c:v>
                </c:pt>
                <c:pt idx="79">
                  <c:v>4</c:v>
                </c:pt>
                <c:pt idx="80">
                  <c:v>3</c:v>
                </c:pt>
                <c:pt idx="81">
                  <c:v>2</c:v>
                </c:pt>
                <c:pt idx="82">
                  <c:v>4</c:v>
                </c:pt>
                <c:pt idx="83">
                  <c:v>6</c:v>
                </c:pt>
                <c:pt idx="84">
                  <c:v>3</c:v>
                </c:pt>
                <c:pt idx="85">
                  <c:v>4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1</c:v>
                </c:pt>
                <c:pt idx="93">
                  <c:v>4</c:v>
                </c:pt>
                <c:pt idx="94">
                  <c:v>1</c:v>
                </c:pt>
                <c:pt idx="95">
                  <c:v>3</c:v>
                </c:pt>
                <c:pt idx="96">
                  <c:v>2</c:v>
                </c:pt>
                <c:pt idx="97">
                  <c:v>3</c:v>
                </c:pt>
                <c:pt idx="98">
                  <c:v>2</c:v>
                </c:pt>
                <c:pt idx="99">
                  <c:v>4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4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16</c:v>
                </c:pt>
                <c:pt idx="131">
                  <c:v>11</c:v>
                </c:pt>
                <c:pt idx="132">
                  <c:v>17</c:v>
                </c:pt>
                <c:pt idx="133">
                  <c:v>16</c:v>
                </c:pt>
                <c:pt idx="134">
                  <c:v>8</c:v>
                </c:pt>
                <c:pt idx="135">
                  <c:v>16</c:v>
                </c:pt>
                <c:pt idx="136">
                  <c:v>15</c:v>
                </c:pt>
                <c:pt idx="137">
                  <c:v>15</c:v>
                </c:pt>
                <c:pt idx="138">
                  <c:v>14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13</c:v>
                </c:pt>
                <c:pt idx="143">
                  <c:v>19</c:v>
                </c:pt>
                <c:pt idx="144">
                  <c:v>18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17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21</c:v>
                </c:pt>
                <c:pt idx="155">
                  <c:v>20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14</c:v>
                </c:pt>
                <c:pt idx="162">
                  <c:v>14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13</c:v>
                </c:pt>
                <c:pt idx="167">
                  <c:v>13</c:v>
                </c:pt>
                <c:pt idx="168">
                  <c:v>17</c:v>
                </c:pt>
                <c:pt idx="169">
                  <c:v>17</c:v>
                </c:pt>
                <c:pt idx="170">
                  <c:v>20</c:v>
                </c:pt>
                <c:pt idx="171">
                  <c:v>20</c:v>
                </c:pt>
                <c:pt idx="172">
                  <c:v>24</c:v>
                </c:pt>
                <c:pt idx="173">
                  <c:v>8</c:v>
                </c:pt>
                <c:pt idx="174">
                  <c:v>16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16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19</c:v>
                </c:pt>
                <c:pt idx="183">
                  <c:v>15</c:v>
                </c:pt>
                <c:pt idx="184">
                  <c:v>15</c:v>
                </c:pt>
                <c:pt idx="185">
                  <c:v>22</c:v>
                </c:pt>
                <c:pt idx="186">
                  <c:v>11</c:v>
                </c:pt>
                <c:pt idx="187">
                  <c:v>11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14</c:v>
                </c:pt>
                <c:pt idx="193">
                  <c:v>7</c:v>
                </c:pt>
                <c:pt idx="194">
                  <c:v>7</c:v>
                </c:pt>
                <c:pt idx="195">
                  <c:v>14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17</c:v>
                </c:pt>
                <c:pt idx="203">
                  <c:v>17</c:v>
                </c:pt>
                <c:pt idx="204">
                  <c:v>17</c:v>
                </c:pt>
                <c:pt idx="205">
                  <c:v>20</c:v>
                </c:pt>
                <c:pt idx="206">
                  <c:v>20</c:v>
                </c:pt>
                <c:pt idx="207">
                  <c:v>23</c:v>
                </c:pt>
                <c:pt idx="208">
                  <c:v>13</c:v>
                </c:pt>
                <c:pt idx="209">
                  <c:v>13</c:v>
                </c:pt>
                <c:pt idx="210">
                  <c:v>19</c:v>
                </c:pt>
                <c:pt idx="211">
                  <c:v>19</c:v>
                </c:pt>
                <c:pt idx="212">
                  <c:v>22</c:v>
                </c:pt>
                <c:pt idx="213">
                  <c:v>15</c:v>
                </c:pt>
                <c:pt idx="214">
                  <c:v>21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26</c:v>
                </c:pt>
                <c:pt idx="223">
                  <c:v>20</c:v>
                </c:pt>
                <c:pt idx="224">
                  <c:v>17</c:v>
                </c:pt>
                <c:pt idx="225">
                  <c:v>14</c:v>
                </c:pt>
                <c:pt idx="226">
                  <c:v>14</c:v>
                </c:pt>
                <c:pt idx="227">
                  <c:v>22</c:v>
                </c:pt>
                <c:pt idx="228">
                  <c:v>22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21</c:v>
                </c:pt>
                <c:pt idx="235">
                  <c:v>21</c:v>
                </c:pt>
                <c:pt idx="236">
                  <c:v>13</c:v>
                </c:pt>
                <c:pt idx="237">
                  <c:v>23</c:v>
                </c:pt>
                <c:pt idx="238">
                  <c:v>28</c:v>
                </c:pt>
                <c:pt idx="239">
                  <c:v>20</c:v>
                </c:pt>
                <c:pt idx="240">
                  <c:v>20</c:v>
                </c:pt>
                <c:pt idx="241">
                  <c:v>15</c:v>
                </c:pt>
                <c:pt idx="242">
                  <c:v>5</c:v>
                </c:pt>
                <c:pt idx="243">
                  <c:v>10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22</c:v>
                </c:pt>
                <c:pt idx="249">
                  <c:v>24</c:v>
                </c:pt>
                <c:pt idx="250">
                  <c:v>19</c:v>
                </c:pt>
                <c:pt idx="251">
                  <c:v>21</c:v>
                </c:pt>
                <c:pt idx="252">
                  <c:v>21</c:v>
                </c:pt>
                <c:pt idx="253">
                  <c:v>14</c:v>
                </c:pt>
                <c:pt idx="254">
                  <c:v>21</c:v>
                </c:pt>
                <c:pt idx="255">
                  <c:v>14</c:v>
                </c:pt>
                <c:pt idx="256">
                  <c:v>14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25</c:v>
                </c:pt>
                <c:pt idx="262">
                  <c:v>18</c:v>
                </c:pt>
                <c:pt idx="263">
                  <c:v>18</c:v>
                </c:pt>
                <c:pt idx="264">
                  <c:v>9</c:v>
                </c:pt>
                <c:pt idx="265">
                  <c:v>9</c:v>
                </c:pt>
                <c:pt idx="266">
                  <c:v>9</c:v>
                </c:pt>
                <c:pt idx="267">
                  <c:v>20</c:v>
                </c:pt>
                <c:pt idx="268">
                  <c:v>22</c:v>
                </c:pt>
                <c:pt idx="269">
                  <c:v>22</c:v>
                </c:pt>
                <c:pt idx="270">
                  <c:v>11</c:v>
                </c:pt>
                <c:pt idx="271">
                  <c:v>13</c:v>
                </c:pt>
                <c:pt idx="272">
                  <c:v>15</c:v>
                </c:pt>
                <c:pt idx="273">
                  <c:v>15</c:v>
                </c:pt>
                <c:pt idx="274">
                  <c:v>15</c:v>
                </c:pt>
                <c:pt idx="275">
                  <c:v>17</c:v>
                </c:pt>
                <c:pt idx="276">
                  <c:v>17</c:v>
                </c:pt>
                <c:pt idx="277">
                  <c:v>19</c:v>
                </c:pt>
                <c:pt idx="278">
                  <c:v>21</c:v>
                </c:pt>
                <c:pt idx="279">
                  <c:v>21</c:v>
                </c:pt>
                <c:pt idx="280">
                  <c:v>21</c:v>
                </c:pt>
                <c:pt idx="281">
                  <c:v>23</c:v>
                </c:pt>
                <c:pt idx="282">
                  <c:v>18</c:v>
                </c:pt>
                <c:pt idx="283">
                  <c:v>24</c:v>
                </c:pt>
                <c:pt idx="284">
                  <c:v>24</c:v>
                </c:pt>
                <c:pt idx="285">
                  <c:v>20</c:v>
                </c:pt>
                <c:pt idx="286">
                  <c:v>24</c:v>
                </c:pt>
                <c:pt idx="287">
                  <c:v>18</c:v>
                </c:pt>
                <c:pt idx="288">
                  <c:v>18</c:v>
                </c:pt>
                <c:pt idx="289">
                  <c:v>20</c:v>
                </c:pt>
                <c:pt idx="290">
                  <c:v>14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8</c:v>
                </c:pt>
                <c:pt idx="295">
                  <c:v>4</c:v>
                </c:pt>
                <c:pt idx="296">
                  <c:v>8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8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25</c:v>
                </c:pt>
                <c:pt idx="306">
                  <c:v>23</c:v>
                </c:pt>
                <c:pt idx="307">
                  <c:v>21</c:v>
                </c:pt>
                <c:pt idx="308">
                  <c:v>21</c:v>
                </c:pt>
                <c:pt idx="309">
                  <c:v>21</c:v>
                </c:pt>
                <c:pt idx="310">
                  <c:v>21</c:v>
                </c:pt>
                <c:pt idx="311">
                  <c:v>17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24</c:v>
                </c:pt>
                <c:pt idx="318">
                  <c:v>11</c:v>
                </c:pt>
                <c:pt idx="319">
                  <c:v>11</c:v>
                </c:pt>
                <c:pt idx="320">
                  <c:v>11</c:v>
                </c:pt>
                <c:pt idx="321">
                  <c:v>11</c:v>
                </c:pt>
                <c:pt idx="322">
                  <c:v>11</c:v>
                </c:pt>
                <c:pt idx="323">
                  <c:v>11</c:v>
                </c:pt>
                <c:pt idx="324">
                  <c:v>11</c:v>
                </c:pt>
                <c:pt idx="325">
                  <c:v>20</c:v>
                </c:pt>
                <c:pt idx="326">
                  <c:v>20</c:v>
                </c:pt>
                <c:pt idx="327">
                  <c:v>18</c:v>
                </c:pt>
                <c:pt idx="328">
                  <c:v>18</c:v>
                </c:pt>
                <c:pt idx="329">
                  <c:v>18</c:v>
                </c:pt>
                <c:pt idx="330">
                  <c:v>16</c:v>
                </c:pt>
                <c:pt idx="331">
                  <c:v>23</c:v>
                </c:pt>
                <c:pt idx="332">
                  <c:v>23</c:v>
                </c:pt>
                <c:pt idx="333">
                  <c:v>23</c:v>
                </c:pt>
                <c:pt idx="334">
                  <c:v>14</c:v>
                </c:pt>
                <c:pt idx="335">
                  <c:v>21</c:v>
                </c:pt>
                <c:pt idx="336">
                  <c:v>14</c:v>
                </c:pt>
                <c:pt idx="337">
                  <c:v>7</c:v>
                </c:pt>
                <c:pt idx="338">
                  <c:v>14</c:v>
                </c:pt>
                <c:pt idx="339">
                  <c:v>14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19</c:v>
                </c:pt>
                <c:pt idx="344">
                  <c:v>19</c:v>
                </c:pt>
                <c:pt idx="345">
                  <c:v>17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15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23</c:v>
                </c:pt>
                <c:pt idx="355">
                  <c:v>18</c:v>
                </c:pt>
                <c:pt idx="356">
                  <c:v>18</c:v>
                </c:pt>
                <c:pt idx="357">
                  <c:v>26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21</c:v>
                </c:pt>
                <c:pt idx="364">
                  <c:v>21</c:v>
                </c:pt>
                <c:pt idx="365">
                  <c:v>21</c:v>
                </c:pt>
                <c:pt idx="366">
                  <c:v>21</c:v>
                </c:pt>
                <c:pt idx="367">
                  <c:v>24</c:v>
                </c:pt>
                <c:pt idx="368">
                  <c:v>24</c:v>
                </c:pt>
                <c:pt idx="369">
                  <c:v>32</c:v>
                </c:pt>
                <c:pt idx="370">
                  <c:v>16</c:v>
                </c:pt>
                <c:pt idx="371">
                  <c:v>27</c:v>
                </c:pt>
                <c:pt idx="372">
                  <c:v>19</c:v>
                </c:pt>
                <c:pt idx="373">
                  <c:v>19</c:v>
                </c:pt>
                <c:pt idx="374">
                  <c:v>22</c:v>
                </c:pt>
                <c:pt idx="375">
                  <c:v>28</c:v>
                </c:pt>
                <c:pt idx="376">
                  <c:v>14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20</c:v>
                </c:pt>
                <c:pt idx="382">
                  <c:v>24</c:v>
                </c:pt>
                <c:pt idx="383">
                  <c:v>12</c:v>
                </c:pt>
                <c:pt idx="384">
                  <c:v>15</c:v>
                </c:pt>
                <c:pt idx="385">
                  <c:v>15</c:v>
                </c:pt>
                <c:pt idx="386">
                  <c:v>9</c:v>
                </c:pt>
                <c:pt idx="387">
                  <c:v>9</c:v>
                </c:pt>
                <c:pt idx="388">
                  <c:v>9</c:v>
                </c:pt>
                <c:pt idx="389">
                  <c:v>15</c:v>
                </c:pt>
                <c:pt idx="390">
                  <c:v>9</c:v>
                </c:pt>
                <c:pt idx="391">
                  <c:v>6</c:v>
                </c:pt>
                <c:pt idx="392">
                  <c:v>9</c:v>
                </c:pt>
                <c:pt idx="393">
                  <c:v>15</c:v>
                </c:pt>
                <c:pt idx="394">
                  <c:v>3</c:v>
                </c:pt>
                <c:pt idx="395">
                  <c:v>18</c:v>
                </c:pt>
                <c:pt idx="396">
                  <c:v>12</c:v>
                </c:pt>
                <c:pt idx="397">
                  <c:v>12</c:v>
                </c:pt>
                <c:pt idx="398">
                  <c:v>9</c:v>
                </c:pt>
                <c:pt idx="399">
                  <c:v>9</c:v>
                </c:pt>
                <c:pt idx="400">
                  <c:v>21</c:v>
                </c:pt>
                <c:pt idx="401">
                  <c:v>12</c:v>
                </c:pt>
                <c:pt idx="402">
                  <c:v>6</c:v>
                </c:pt>
                <c:pt idx="403">
                  <c:v>6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25</c:v>
                </c:pt>
                <c:pt idx="409">
                  <c:v>22</c:v>
                </c:pt>
                <c:pt idx="410">
                  <c:v>22</c:v>
                </c:pt>
                <c:pt idx="411">
                  <c:v>19</c:v>
                </c:pt>
                <c:pt idx="412">
                  <c:v>19</c:v>
                </c:pt>
                <c:pt idx="413">
                  <c:v>19</c:v>
                </c:pt>
                <c:pt idx="414">
                  <c:v>19</c:v>
                </c:pt>
                <c:pt idx="415">
                  <c:v>16</c:v>
                </c:pt>
                <c:pt idx="416">
                  <c:v>16</c:v>
                </c:pt>
                <c:pt idx="417">
                  <c:v>13</c:v>
                </c:pt>
                <c:pt idx="418">
                  <c:v>13</c:v>
                </c:pt>
                <c:pt idx="419">
                  <c:v>23</c:v>
                </c:pt>
                <c:pt idx="420">
                  <c:v>20</c:v>
                </c:pt>
                <c:pt idx="421">
                  <c:v>20</c:v>
                </c:pt>
                <c:pt idx="422">
                  <c:v>27</c:v>
                </c:pt>
                <c:pt idx="423">
                  <c:v>27</c:v>
                </c:pt>
                <c:pt idx="424">
                  <c:v>17</c:v>
                </c:pt>
                <c:pt idx="425">
                  <c:v>17</c:v>
                </c:pt>
                <c:pt idx="426">
                  <c:v>17</c:v>
                </c:pt>
                <c:pt idx="427">
                  <c:v>21</c:v>
                </c:pt>
                <c:pt idx="428">
                  <c:v>28</c:v>
                </c:pt>
                <c:pt idx="429">
                  <c:v>14</c:v>
                </c:pt>
                <c:pt idx="430">
                  <c:v>18</c:v>
                </c:pt>
                <c:pt idx="431">
                  <c:v>18</c:v>
                </c:pt>
                <c:pt idx="432">
                  <c:v>18</c:v>
                </c:pt>
                <c:pt idx="433">
                  <c:v>11</c:v>
                </c:pt>
                <c:pt idx="434">
                  <c:v>22</c:v>
                </c:pt>
                <c:pt idx="435">
                  <c:v>11</c:v>
                </c:pt>
                <c:pt idx="436">
                  <c:v>11</c:v>
                </c:pt>
                <c:pt idx="437">
                  <c:v>11</c:v>
                </c:pt>
                <c:pt idx="438">
                  <c:v>26</c:v>
                </c:pt>
                <c:pt idx="439">
                  <c:v>26</c:v>
                </c:pt>
                <c:pt idx="440">
                  <c:v>19</c:v>
                </c:pt>
                <c:pt idx="441">
                  <c:v>19</c:v>
                </c:pt>
                <c:pt idx="442">
                  <c:v>23</c:v>
                </c:pt>
                <c:pt idx="443">
                  <c:v>20</c:v>
                </c:pt>
                <c:pt idx="444">
                  <c:v>20</c:v>
                </c:pt>
                <c:pt idx="445">
                  <c:v>12</c:v>
                </c:pt>
                <c:pt idx="446">
                  <c:v>16</c:v>
                </c:pt>
                <c:pt idx="447">
                  <c:v>24</c:v>
                </c:pt>
                <c:pt idx="448">
                  <c:v>16</c:v>
                </c:pt>
                <c:pt idx="449">
                  <c:v>12</c:v>
                </c:pt>
                <c:pt idx="450">
                  <c:v>12</c:v>
                </c:pt>
                <c:pt idx="451">
                  <c:v>16</c:v>
                </c:pt>
                <c:pt idx="452">
                  <c:v>12</c:v>
                </c:pt>
                <c:pt idx="453">
                  <c:v>8</c:v>
                </c:pt>
                <c:pt idx="454">
                  <c:v>8</c:v>
                </c:pt>
                <c:pt idx="455">
                  <c:v>8</c:v>
                </c:pt>
                <c:pt idx="456">
                  <c:v>21</c:v>
                </c:pt>
                <c:pt idx="457">
                  <c:v>17</c:v>
                </c:pt>
                <c:pt idx="458">
                  <c:v>17</c:v>
                </c:pt>
                <c:pt idx="459">
                  <c:v>13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22</c:v>
                </c:pt>
                <c:pt idx="464">
                  <c:v>22</c:v>
                </c:pt>
                <c:pt idx="465">
                  <c:v>22</c:v>
                </c:pt>
                <c:pt idx="466">
                  <c:v>22</c:v>
                </c:pt>
                <c:pt idx="467">
                  <c:v>18</c:v>
                </c:pt>
                <c:pt idx="468">
                  <c:v>18</c:v>
                </c:pt>
                <c:pt idx="469">
                  <c:v>18</c:v>
                </c:pt>
                <c:pt idx="470">
                  <c:v>18</c:v>
                </c:pt>
                <c:pt idx="471">
                  <c:v>14</c:v>
                </c:pt>
                <c:pt idx="472">
                  <c:v>19</c:v>
                </c:pt>
                <c:pt idx="473">
                  <c:v>29</c:v>
                </c:pt>
                <c:pt idx="474">
                  <c:v>10</c:v>
                </c:pt>
                <c:pt idx="475">
                  <c:v>15</c:v>
                </c:pt>
                <c:pt idx="476">
                  <c:v>5</c:v>
                </c:pt>
                <c:pt idx="477">
                  <c:v>15</c:v>
                </c:pt>
                <c:pt idx="478">
                  <c:v>10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26</c:v>
                </c:pt>
                <c:pt idx="484">
                  <c:v>26</c:v>
                </c:pt>
                <c:pt idx="485">
                  <c:v>21</c:v>
                </c:pt>
                <c:pt idx="486">
                  <c:v>27</c:v>
                </c:pt>
                <c:pt idx="487">
                  <c:v>22</c:v>
                </c:pt>
                <c:pt idx="488">
                  <c:v>22</c:v>
                </c:pt>
                <c:pt idx="489">
                  <c:v>11</c:v>
                </c:pt>
                <c:pt idx="490">
                  <c:v>22</c:v>
                </c:pt>
                <c:pt idx="491">
                  <c:v>28</c:v>
                </c:pt>
                <c:pt idx="492">
                  <c:v>17</c:v>
                </c:pt>
                <c:pt idx="493">
                  <c:v>17</c:v>
                </c:pt>
                <c:pt idx="494">
                  <c:v>17</c:v>
                </c:pt>
                <c:pt idx="495">
                  <c:v>17</c:v>
                </c:pt>
                <c:pt idx="496">
                  <c:v>17</c:v>
                </c:pt>
                <c:pt idx="497">
                  <c:v>17</c:v>
                </c:pt>
                <c:pt idx="498">
                  <c:v>17</c:v>
                </c:pt>
                <c:pt idx="499">
                  <c:v>18</c:v>
                </c:pt>
                <c:pt idx="500">
                  <c:v>18</c:v>
                </c:pt>
                <c:pt idx="501">
                  <c:v>18</c:v>
                </c:pt>
                <c:pt idx="502">
                  <c:v>12</c:v>
                </c:pt>
                <c:pt idx="503">
                  <c:v>12</c:v>
                </c:pt>
                <c:pt idx="504">
                  <c:v>12</c:v>
                </c:pt>
                <c:pt idx="505">
                  <c:v>25</c:v>
                </c:pt>
                <c:pt idx="506">
                  <c:v>19</c:v>
                </c:pt>
                <c:pt idx="507">
                  <c:v>19</c:v>
                </c:pt>
                <c:pt idx="508">
                  <c:v>19</c:v>
                </c:pt>
                <c:pt idx="509">
                  <c:v>19</c:v>
                </c:pt>
                <c:pt idx="510">
                  <c:v>13</c:v>
                </c:pt>
                <c:pt idx="511">
                  <c:v>26</c:v>
                </c:pt>
                <c:pt idx="512">
                  <c:v>27</c:v>
                </c:pt>
                <c:pt idx="513">
                  <c:v>14</c:v>
                </c:pt>
                <c:pt idx="514">
                  <c:v>14</c:v>
                </c:pt>
                <c:pt idx="515">
                  <c:v>14</c:v>
                </c:pt>
                <c:pt idx="516">
                  <c:v>7</c:v>
                </c:pt>
                <c:pt idx="517">
                  <c:v>14</c:v>
                </c:pt>
                <c:pt idx="518">
                  <c:v>7</c:v>
                </c:pt>
                <c:pt idx="519">
                  <c:v>7</c:v>
                </c:pt>
                <c:pt idx="520">
                  <c:v>14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22</c:v>
                </c:pt>
                <c:pt idx="525">
                  <c:v>15</c:v>
                </c:pt>
                <c:pt idx="526">
                  <c:v>15</c:v>
                </c:pt>
                <c:pt idx="527">
                  <c:v>23</c:v>
                </c:pt>
                <c:pt idx="528">
                  <c:v>23</c:v>
                </c:pt>
                <c:pt idx="529">
                  <c:v>16</c:v>
                </c:pt>
                <c:pt idx="530">
                  <c:v>16</c:v>
                </c:pt>
                <c:pt idx="531">
                  <c:v>16</c:v>
                </c:pt>
                <c:pt idx="532">
                  <c:v>17</c:v>
                </c:pt>
                <c:pt idx="533">
                  <c:v>17</c:v>
                </c:pt>
                <c:pt idx="534">
                  <c:v>26</c:v>
                </c:pt>
                <c:pt idx="535">
                  <c:v>26</c:v>
                </c:pt>
                <c:pt idx="536">
                  <c:v>18</c:v>
                </c:pt>
                <c:pt idx="537">
                  <c:v>18</c:v>
                </c:pt>
                <c:pt idx="538">
                  <c:v>18</c:v>
                </c:pt>
                <c:pt idx="539">
                  <c:v>9</c:v>
                </c:pt>
                <c:pt idx="540">
                  <c:v>9</c:v>
                </c:pt>
                <c:pt idx="541">
                  <c:v>20</c:v>
                </c:pt>
                <c:pt idx="542">
                  <c:v>20</c:v>
                </c:pt>
                <c:pt idx="543">
                  <c:v>20</c:v>
                </c:pt>
                <c:pt idx="544">
                  <c:v>30</c:v>
                </c:pt>
                <c:pt idx="545">
                  <c:v>20</c:v>
                </c:pt>
                <c:pt idx="546">
                  <c:v>10</c:v>
                </c:pt>
                <c:pt idx="547">
                  <c:v>21</c:v>
                </c:pt>
                <c:pt idx="548">
                  <c:v>21</c:v>
                </c:pt>
                <c:pt idx="549">
                  <c:v>21</c:v>
                </c:pt>
                <c:pt idx="550">
                  <c:v>21</c:v>
                </c:pt>
                <c:pt idx="551">
                  <c:v>21</c:v>
                </c:pt>
                <c:pt idx="552">
                  <c:v>21</c:v>
                </c:pt>
                <c:pt idx="553">
                  <c:v>11</c:v>
                </c:pt>
                <c:pt idx="554">
                  <c:v>11</c:v>
                </c:pt>
                <c:pt idx="555">
                  <c:v>11</c:v>
                </c:pt>
                <c:pt idx="556">
                  <c:v>23</c:v>
                </c:pt>
                <c:pt idx="557">
                  <c:v>24</c:v>
                </c:pt>
                <c:pt idx="558">
                  <c:v>25</c:v>
                </c:pt>
                <c:pt idx="559">
                  <c:v>13</c:v>
                </c:pt>
                <c:pt idx="560">
                  <c:v>13</c:v>
                </c:pt>
                <c:pt idx="561">
                  <c:v>27</c:v>
                </c:pt>
                <c:pt idx="562">
                  <c:v>27</c:v>
                </c:pt>
                <c:pt idx="563">
                  <c:v>28</c:v>
                </c:pt>
                <c:pt idx="564">
                  <c:v>28</c:v>
                </c:pt>
                <c:pt idx="565">
                  <c:v>29</c:v>
                </c:pt>
                <c:pt idx="566">
                  <c:v>30</c:v>
                </c:pt>
                <c:pt idx="567">
                  <c:v>30</c:v>
                </c:pt>
                <c:pt idx="568">
                  <c:v>15</c:v>
                </c:pt>
                <c:pt idx="569">
                  <c:v>16</c:v>
                </c:pt>
                <c:pt idx="570">
                  <c:v>17</c:v>
                </c:pt>
                <c:pt idx="571">
                  <c:v>19</c:v>
                </c:pt>
                <c:pt idx="572">
                  <c:v>20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22</c:v>
                </c:pt>
                <c:pt idx="577">
                  <c:v>22</c:v>
                </c:pt>
                <c:pt idx="578">
                  <c:v>22</c:v>
                </c:pt>
                <c:pt idx="579">
                  <c:v>22</c:v>
                </c:pt>
                <c:pt idx="580">
                  <c:v>22</c:v>
                </c:pt>
                <c:pt idx="581">
                  <c:v>22</c:v>
                </c:pt>
                <c:pt idx="582">
                  <c:v>23</c:v>
                </c:pt>
                <c:pt idx="583">
                  <c:v>23</c:v>
                </c:pt>
                <c:pt idx="584">
                  <c:v>24</c:v>
                </c:pt>
                <c:pt idx="585">
                  <c:v>25</c:v>
                </c:pt>
                <c:pt idx="586">
                  <c:v>26</c:v>
                </c:pt>
                <c:pt idx="587">
                  <c:v>27</c:v>
                </c:pt>
                <c:pt idx="588">
                  <c:v>12</c:v>
                </c:pt>
                <c:pt idx="589">
                  <c:v>16</c:v>
                </c:pt>
                <c:pt idx="590">
                  <c:v>20</c:v>
                </c:pt>
                <c:pt idx="591">
                  <c:v>21</c:v>
                </c:pt>
                <c:pt idx="592">
                  <c:v>33</c:v>
                </c:pt>
                <c:pt idx="593">
                  <c:v>20</c:v>
                </c:pt>
                <c:pt idx="594">
                  <c:v>14</c:v>
                </c:pt>
                <c:pt idx="595">
                  <c:v>23</c:v>
                </c:pt>
                <c:pt idx="596">
                  <c:v>19</c:v>
                </c:pt>
                <c:pt idx="597">
                  <c:v>17</c:v>
                </c:pt>
                <c:pt idx="598">
                  <c:v>26</c:v>
                </c:pt>
                <c:pt idx="599">
                  <c:v>19</c:v>
                </c:pt>
                <c:pt idx="600">
                  <c:v>19</c:v>
                </c:pt>
                <c:pt idx="601">
                  <c:v>14</c:v>
                </c:pt>
                <c:pt idx="602">
                  <c:v>17</c:v>
                </c:pt>
                <c:pt idx="603">
                  <c:v>22</c:v>
                </c:pt>
                <c:pt idx="604">
                  <c:v>17</c:v>
                </c:pt>
                <c:pt idx="605">
                  <c:v>23</c:v>
                </c:pt>
                <c:pt idx="606">
                  <c:v>19</c:v>
                </c:pt>
                <c:pt idx="607">
                  <c:v>11</c:v>
                </c:pt>
                <c:pt idx="608">
                  <c:v>21</c:v>
                </c:pt>
                <c:pt idx="609">
                  <c:v>21</c:v>
                </c:pt>
                <c:pt idx="610">
                  <c:v>23</c:v>
                </c:pt>
                <c:pt idx="611">
                  <c:v>22</c:v>
                </c:pt>
                <c:pt idx="612">
                  <c:v>20</c:v>
                </c:pt>
                <c:pt idx="613">
                  <c:v>21</c:v>
                </c:pt>
                <c:pt idx="614">
                  <c:v>23</c:v>
                </c:pt>
                <c:pt idx="615">
                  <c:v>13</c:v>
                </c:pt>
                <c:pt idx="616">
                  <c:v>26</c:v>
                </c:pt>
                <c:pt idx="617">
                  <c:v>21</c:v>
                </c:pt>
                <c:pt idx="618">
                  <c:v>14</c:v>
                </c:pt>
                <c:pt idx="619">
                  <c:v>20</c:v>
                </c:pt>
                <c:pt idx="620">
                  <c:v>35</c:v>
                </c:pt>
                <c:pt idx="621">
                  <c:v>19</c:v>
                </c:pt>
                <c:pt idx="622">
                  <c:v>18</c:v>
                </c:pt>
                <c:pt idx="623">
                  <c:v>16</c:v>
                </c:pt>
                <c:pt idx="624">
                  <c:v>10</c:v>
                </c:pt>
                <c:pt idx="625">
                  <c:v>14</c:v>
                </c:pt>
                <c:pt idx="626">
                  <c:v>10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10</c:v>
                </c:pt>
                <c:pt idx="631">
                  <c:v>10</c:v>
                </c:pt>
                <c:pt idx="632">
                  <c:v>8</c:v>
                </c:pt>
                <c:pt idx="633">
                  <c:v>4</c:v>
                </c:pt>
                <c:pt idx="634">
                  <c:v>10</c:v>
                </c:pt>
                <c:pt idx="635">
                  <c:v>8</c:v>
                </c:pt>
                <c:pt idx="636">
                  <c:v>10</c:v>
                </c:pt>
                <c:pt idx="637">
                  <c:v>2</c:v>
                </c:pt>
                <c:pt idx="638">
                  <c:v>4</c:v>
                </c:pt>
                <c:pt idx="639">
                  <c:v>4</c:v>
                </c:pt>
                <c:pt idx="640">
                  <c:v>10</c:v>
                </c:pt>
                <c:pt idx="641">
                  <c:v>2</c:v>
                </c:pt>
                <c:pt idx="642">
                  <c:v>2</c:v>
                </c:pt>
                <c:pt idx="643">
                  <c:v>4</c:v>
                </c:pt>
                <c:pt idx="644">
                  <c:v>0</c:v>
                </c:pt>
                <c:pt idx="645">
                  <c:v>4</c:v>
                </c:pt>
                <c:pt idx="646">
                  <c:v>4</c:v>
                </c:pt>
                <c:pt idx="647">
                  <c:v>8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2</c:v>
                </c:pt>
                <c:pt idx="659">
                  <c:v>4</c:v>
                </c:pt>
                <c:pt idx="660">
                  <c:v>0</c:v>
                </c:pt>
                <c:pt idx="661">
                  <c:v>2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29</c:v>
                </c:pt>
                <c:pt idx="685">
                  <c:v>28</c:v>
                </c:pt>
                <c:pt idx="686">
                  <c:v>24</c:v>
                </c:pt>
                <c:pt idx="687">
                  <c:v>24</c:v>
                </c:pt>
                <c:pt idx="688">
                  <c:v>23</c:v>
                </c:pt>
                <c:pt idx="689">
                  <c:v>22</c:v>
                </c:pt>
                <c:pt idx="690">
                  <c:v>22</c:v>
                </c:pt>
                <c:pt idx="691">
                  <c:v>22</c:v>
                </c:pt>
                <c:pt idx="692">
                  <c:v>20</c:v>
                </c:pt>
                <c:pt idx="693">
                  <c:v>20</c:v>
                </c:pt>
                <c:pt idx="694">
                  <c:v>20</c:v>
                </c:pt>
                <c:pt idx="695">
                  <c:v>20</c:v>
                </c:pt>
                <c:pt idx="696">
                  <c:v>20</c:v>
                </c:pt>
                <c:pt idx="697">
                  <c:v>19</c:v>
                </c:pt>
                <c:pt idx="698">
                  <c:v>19</c:v>
                </c:pt>
                <c:pt idx="699">
                  <c:v>19</c:v>
                </c:pt>
                <c:pt idx="700">
                  <c:v>19</c:v>
                </c:pt>
                <c:pt idx="701">
                  <c:v>19</c:v>
                </c:pt>
                <c:pt idx="702">
                  <c:v>19</c:v>
                </c:pt>
                <c:pt idx="703">
                  <c:v>18</c:v>
                </c:pt>
                <c:pt idx="704">
                  <c:v>18</c:v>
                </c:pt>
                <c:pt idx="705">
                  <c:v>18</c:v>
                </c:pt>
                <c:pt idx="706">
                  <c:v>17</c:v>
                </c:pt>
                <c:pt idx="707">
                  <c:v>17</c:v>
                </c:pt>
                <c:pt idx="708">
                  <c:v>17</c:v>
                </c:pt>
                <c:pt idx="709">
                  <c:v>17</c:v>
                </c:pt>
                <c:pt idx="710">
                  <c:v>17</c:v>
                </c:pt>
                <c:pt idx="711">
                  <c:v>17</c:v>
                </c:pt>
                <c:pt idx="712">
                  <c:v>16</c:v>
                </c:pt>
                <c:pt idx="713">
                  <c:v>16</c:v>
                </c:pt>
                <c:pt idx="714">
                  <c:v>16</c:v>
                </c:pt>
                <c:pt idx="715">
                  <c:v>16</c:v>
                </c:pt>
                <c:pt idx="716">
                  <c:v>16</c:v>
                </c:pt>
                <c:pt idx="717">
                  <c:v>15</c:v>
                </c:pt>
                <c:pt idx="718">
                  <c:v>15</c:v>
                </c:pt>
                <c:pt idx="719">
                  <c:v>29</c:v>
                </c:pt>
                <c:pt idx="720">
                  <c:v>14</c:v>
                </c:pt>
                <c:pt idx="721">
                  <c:v>14</c:v>
                </c:pt>
                <c:pt idx="722">
                  <c:v>26</c:v>
                </c:pt>
                <c:pt idx="723">
                  <c:v>13</c:v>
                </c:pt>
                <c:pt idx="724">
                  <c:v>26</c:v>
                </c:pt>
                <c:pt idx="725">
                  <c:v>13</c:v>
                </c:pt>
                <c:pt idx="726">
                  <c:v>26</c:v>
                </c:pt>
                <c:pt idx="727">
                  <c:v>13</c:v>
                </c:pt>
                <c:pt idx="728">
                  <c:v>13</c:v>
                </c:pt>
                <c:pt idx="729">
                  <c:v>13</c:v>
                </c:pt>
                <c:pt idx="730">
                  <c:v>13</c:v>
                </c:pt>
                <c:pt idx="731">
                  <c:v>24</c:v>
                </c:pt>
                <c:pt idx="732">
                  <c:v>12</c:v>
                </c:pt>
                <c:pt idx="733">
                  <c:v>23</c:v>
                </c:pt>
                <c:pt idx="734">
                  <c:v>23</c:v>
                </c:pt>
                <c:pt idx="735">
                  <c:v>23</c:v>
                </c:pt>
                <c:pt idx="736">
                  <c:v>22</c:v>
                </c:pt>
                <c:pt idx="737">
                  <c:v>33</c:v>
                </c:pt>
                <c:pt idx="738">
                  <c:v>22</c:v>
                </c:pt>
                <c:pt idx="739">
                  <c:v>22</c:v>
                </c:pt>
                <c:pt idx="740">
                  <c:v>22</c:v>
                </c:pt>
                <c:pt idx="741">
                  <c:v>11</c:v>
                </c:pt>
                <c:pt idx="742">
                  <c:v>11</c:v>
                </c:pt>
                <c:pt idx="743">
                  <c:v>21</c:v>
                </c:pt>
                <c:pt idx="744">
                  <c:v>21</c:v>
                </c:pt>
                <c:pt idx="745">
                  <c:v>21</c:v>
                </c:pt>
                <c:pt idx="746">
                  <c:v>21</c:v>
                </c:pt>
                <c:pt idx="747">
                  <c:v>21</c:v>
                </c:pt>
                <c:pt idx="748">
                  <c:v>21</c:v>
                </c:pt>
                <c:pt idx="749">
                  <c:v>21</c:v>
                </c:pt>
                <c:pt idx="750">
                  <c:v>21</c:v>
                </c:pt>
                <c:pt idx="751">
                  <c:v>20</c:v>
                </c:pt>
                <c:pt idx="752">
                  <c:v>20</c:v>
                </c:pt>
                <c:pt idx="753">
                  <c:v>20</c:v>
                </c:pt>
                <c:pt idx="754">
                  <c:v>30</c:v>
                </c:pt>
                <c:pt idx="755">
                  <c:v>20</c:v>
                </c:pt>
                <c:pt idx="756">
                  <c:v>19</c:v>
                </c:pt>
                <c:pt idx="757">
                  <c:v>19</c:v>
                </c:pt>
                <c:pt idx="758">
                  <c:v>19</c:v>
                </c:pt>
                <c:pt idx="759">
                  <c:v>19</c:v>
                </c:pt>
                <c:pt idx="760">
                  <c:v>28</c:v>
                </c:pt>
                <c:pt idx="761">
                  <c:v>27</c:v>
                </c:pt>
                <c:pt idx="762">
                  <c:v>18</c:v>
                </c:pt>
                <c:pt idx="763">
                  <c:v>18</c:v>
                </c:pt>
                <c:pt idx="764">
                  <c:v>18</c:v>
                </c:pt>
                <c:pt idx="765">
                  <c:v>18</c:v>
                </c:pt>
                <c:pt idx="766">
                  <c:v>9</c:v>
                </c:pt>
                <c:pt idx="767">
                  <c:v>9</c:v>
                </c:pt>
                <c:pt idx="768">
                  <c:v>9</c:v>
                </c:pt>
                <c:pt idx="769">
                  <c:v>26</c:v>
                </c:pt>
                <c:pt idx="770">
                  <c:v>17</c:v>
                </c:pt>
                <c:pt idx="771">
                  <c:v>25</c:v>
                </c:pt>
                <c:pt idx="772">
                  <c:v>24</c:v>
                </c:pt>
                <c:pt idx="773">
                  <c:v>16</c:v>
                </c:pt>
                <c:pt idx="774">
                  <c:v>24</c:v>
                </c:pt>
                <c:pt idx="775">
                  <c:v>16</c:v>
                </c:pt>
                <c:pt idx="776">
                  <c:v>24</c:v>
                </c:pt>
                <c:pt idx="777">
                  <c:v>16</c:v>
                </c:pt>
                <c:pt idx="778">
                  <c:v>15</c:v>
                </c:pt>
                <c:pt idx="779">
                  <c:v>15</c:v>
                </c:pt>
                <c:pt idx="780">
                  <c:v>22</c:v>
                </c:pt>
                <c:pt idx="781">
                  <c:v>22</c:v>
                </c:pt>
                <c:pt idx="782">
                  <c:v>22</c:v>
                </c:pt>
                <c:pt idx="783">
                  <c:v>36</c:v>
                </c:pt>
                <c:pt idx="784">
                  <c:v>21</c:v>
                </c:pt>
                <c:pt idx="785">
                  <c:v>21</c:v>
                </c:pt>
                <c:pt idx="786">
                  <c:v>21</c:v>
                </c:pt>
                <c:pt idx="787">
                  <c:v>14</c:v>
                </c:pt>
                <c:pt idx="788">
                  <c:v>14</c:v>
                </c:pt>
                <c:pt idx="789">
                  <c:v>14</c:v>
                </c:pt>
                <c:pt idx="790">
                  <c:v>7</c:v>
                </c:pt>
                <c:pt idx="791">
                  <c:v>21</c:v>
                </c:pt>
                <c:pt idx="792">
                  <c:v>7</c:v>
                </c:pt>
                <c:pt idx="793">
                  <c:v>7</c:v>
                </c:pt>
                <c:pt idx="794">
                  <c:v>26</c:v>
                </c:pt>
                <c:pt idx="795">
                  <c:v>26</c:v>
                </c:pt>
                <c:pt idx="796">
                  <c:v>13</c:v>
                </c:pt>
                <c:pt idx="797">
                  <c:v>19</c:v>
                </c:pt>
                <c:pt idx="798">
                  <c:v>19</c:v>
                </c:pt>
                <c:pt idx="799">
                  <c:v>19</c:v>
                </c:pt>
                <c:pt idx="800">
                  <c:v>25</c:v>
                </c:pt>
                <c:pt idx="801">
                  <c:v>31</c:v>
                </c:pt>
                <c:pt idx="802">
                  <c:v>31</c:v>
                </c:pt>
                <c:pt idx="803">
                  <c:v>24</c:v>
                </c:pt>
                <c:pt idx="804">
                  <c:v>24</c:v>
                </c:pt>
                <c:pt idx="805">
                  <c:v>12</c:v>
                </c:pt>
                <c:pt idx="806">
                  <c:v>36</c:v>
                </c:pt>
                <c:pt idx="807">
                  <c:v>24</c:v>
                </c:pt>
                <c:pt idx="808">
                  <c:v>18</c:v>
                </c:pt>
                <c:pt idx="809">
                  <c:v>12</c:v>
                </c:pt>
                <c:pt idx="810">
                  <c:v>18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12</c:v>
                </c:pt>
                <c:pt idx="815">
                  <c:v>12</c:v>
                </c:pt>
                <c:pt idx="816">
                  <c:v>29</c:v>
                </c:pt>
                <c:pt idx="817">
                  <c:v>23</c:v>
                </c:pt>
                <c:pt idx="818">
                  <c:v>23</c:v>
                </c:pt>
                <c:pt idx="819">
                  <c:v>23</c:v>
                </c:pt>
                <c:pt idx="820">
                  <c:v>23</c:v>
                </c:pt>
                <c:pt idx="821">
                  <c:v>34</c:v>
                </c:pt>
                <c:pt idx="822">
                  <c:v>17</c:v>
                </c:pt>
                <c:pt idx="823">
                  <c:v>17</c:v>
                </c:pt>
                <c:pt idx="824">
                  <c:v>34</c:v>
                </c:pt>
                <c:pt idx="825">
                  <c:v>17</c:v>
                </c:pt>
                <c:pt idx="826">
                  <c:v>17</c:v>
                </c:pt>
                <c:pt idx="827">
                  <c:v>17</c:v>
                </c:pt>
                <c:pt idx="828">
                  <c:v>17</c:v>
                </c:pt>
                <c:pt idx="829">
                  <c:v>17</c:v>
                </c:pt>
                <c:pt idx="830">
                  <c:v>17</c:v>
                </c:pt>
                <c:pt idx="831">
                  <c:v>28</c:v>
                </c:pt>
                <c:pt idx="832">
                  <c:v>28</c:v>
                </c:pt>
                <c:pt idx="833">
                  <c:v>28</c:v>
                </c:pt>
                <c:pt idx="834">
                  <c:v>33</c:v>
                </c:pt>
                <c:pt idx="835">
                  <c:v>16</c:v>
                </c:pt>
                <c:pt idx="836">
                  <c:v>16</c:v>
                </c:pt>
                <c:pt idx="837">
                  <c:v>16</c:v>
                </c:pt>
                <c:pt idx="838">
                  <c:v>16</c:v>
                </c:pt>
                <c:pt idx="839">
                  <c:v>16</c:v>
                </c:pt>
                <c:pt idx="840">
                  <c:v>21</c:v>
                </c:pt>
                <c:pt idx="841">
                  <c:v>21</c:v>
                </c:pt>
                <c:pt idx="842">
                  <c:v>21</c:v>
                </c:pt>
                <c:pt idx="843">
                  <c:v>31</c:v>
                </c:pt>
                <c:pt idx="844">
                  <c:v>31</c:v>
                </c:pt>
                <c:pt idx="845">
                  <c:v>25</c:v>
                </c:pt>
                <c:pt idx="846">
                  <c:v>20</c:v>
                </c:pt>
                <c:pt idx="847">
                  <c:v>25</c:v>
                </c:pt>
                <c:pt idx="848">
                  <c:v>20</c:v>
                </c:pt>
                <c:pt idx="849">
                  <c:v>20</c:v>
                </c:pt>
                <c:pt idx="850">
                  <c:v>25</c:v>
                </c:pt>
                <c:pt idx="851">
                  <c:v>20</c:v>
                </c:pt>
                <c:pt idx="852">
                  <c:v>25</c:v>
                </c:pt>
                <c:pt idx="853">
                  <c:v>15</c:v>
                </c:pt>
                <c:pt idx="854">
                  <c:v>10</c:v>
                </c:pt>
                <c:pt idx="855">
                  <c:v>10</c:v>
                </c:pt>
                <c:pt idx="856">
                  <c:v>15</c:v>
                </c:pt>
                <c:pt idx="857">
                  <c:v>10</c:v>
                </c:pt>
                <c:pt idx="858">
                  <c:v>15</c:v>
                </c:pt>
                <c:pt idx="859">
                  <c:v>5</c:v>
                </c:pt>
                <c:pt idx="860">
                  <c:v>10</c:v>
                </c:pt>
                <c:pt idx="861">
                  <c:v>10</c:v>
                </c:pt>
                <c:pt idx="862">
                  <c:v>10</c:v>
                </c:pt>
                <c:pt idx="863">
                  <c:v>10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24</c:v>
                </c:pt>
                <c:pt idx="868">
                  <c:v>24</c:v>
                </c:pt>
                <c:pt idx="869">
                  <c:v>19</c:v>
                </c:pt>
                <c:pt idx="870">
                  <c:v>19</c:v>
                </c:pt>
                <c:pt idx="871">
                  <c:v>23</c:v>
                </c:pt>
                <c:pt idx="872">
                  <c:v>23</c:v>
                </c:pt>
                <c:pt idx="873">
                  <c:v>27</c:v>
                </c:pt>
                <c:pt idx="874">
                  <c:v>27</c:v>
                </c:pt>
                <c:pt idx="875">
                  <c:v>18</c:v>
                </c:pt>
                <c:pt idx="876">
                  <c:v>18</c:v>
                </c:pt>
                <c:pt idx="877">
                  <c:v>27</c:v>
                </c:pt>
                <c:pt idx="878">
                  <c:v>27</c:v>
                </c:pt>
                <c:pt idx="879">
                  <c:v>27</c:v>
                </c:pt>
                <c:pt idx="880">
                  <c:v>27</c:v>
                </c:pt>
                <c:pt idx="881">
                  <c:v>18</c:v>
                </c:pt>
                <c:pt idx="882">
                  <c:v>18</c:v>
                </c:pt>
                <c:pt idx="883">
                  <c:v>22</c:v>
                </c:pt>
                <c:pt idx="884">
                  <c:v>22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22</c:v>
                </c:pt>
                <c:pt idx="889">
                  <c:v>13</c:v>
                </c:pt>
                <c:pt idx="890">
                  <c:v>13</c:v>
                </c:pt>
                <c:pt idx="891">
                  <c:v>13</c:v>
                </c:pt>
                <c:pt idx="892">
                  <c:v>13</c:v>
                </c:pt>
                <c:pt idx="893">
                  <c:v>13</c:v>
                </c:pt>
                <c:pt idx="894">
                  <c:v>13</c:v>
                </c:pt>
                <c:pt idx="895">
                  <c:v>17</c:v>
                </c:pt>
                <c:pt idx="896">
                  <c:v>17</c:v>
                </c:pt>
                <c:pt idx="897">
                  <c:v>17</c:v>
                </c:pt>
                <c:pt idx="898">
                  <c:v>21</c:v>
                </c:pt>
                <c:pt idx="899">
                  <c:v>21</c:v>
                </c:pt>
                <c:pt idx="900">
                  <c:v>25</c:v>
                </c:pt>
                <c:pt idx="901">
                  <c:v>29</c:v>
                </c:pt>
                <c:pt idx="902">
                  <c:v>29</c:v>
                </c:pt>
                <c:pt idx="903">
                  <c:v>16</c:v>
                </c:pt>
                <c:pt idx="904">
                  <c:v>20</c:v>
                </c:pt>
                <c:pt idx="905">
                  <c:v>16</c:v>
                </c:pt>
                <c:pt idx="906">
                  <c:v>24</c:v>
                </c:pt>
                <c:pt idx="907">
                  <c:v>16</c:v>
                </c:pt>
                <c:pt idx="908">
                  <c:v>20</c:v>
                </c:pt>
                <c:pt idx="909">
                  <c:v>20</c:v>
                </c:pt>
                <c:pt idx="910">
                  <c:v>8</c:v>
                </c:pt>
                <c:pt idx="911">
                  <c:v>8</c:v>
                </c:pt>
                <c:pt idx="912">
                  <c:v>27</c:v>
                </c:pt>
                <c:pt idx="913">
                  <c:v>19</c:v>
                </c:pt>
                <c:pt idx="914">
                  <c:v>19</c:v>
                </c:pt>
                <c:pt idx="915">
                  <c:v>19</c:v>
                </c:pt>
                <c:pt idx="916">
                  <c:v>19</c:v>
                </c:pt>
                <c:pt idx="917">
                  <c:v>19</c:v>
                </c:pt>
                <c:pt idx="918">
                  <c:v>19</c:v>
                </c:pt>
                <c:pt idx="919">
                  <c:v>15</c:v>
                </c:pt>
                <c:pt idx="920">
                  <c:v>15</c:v>
                </c:pt>
                <c:pt idx="921">
                  <c:v>15</c:v>
                </c:pt>
                <c:pt idx="922">
                  <c:v>30</c:v>
                </c:pt>
                <c:pt idx="923">
                  <c:v>15</c:v>
                </c:pt>
                <c:pt idx="924">
                  <c:v>15</c:v>
                </c:pt>
                <c:pt idx="925">
                  <c:v>26</c:v>
                </c:pt>
                <c:pt idx="926">
                  <c:v>26</c:v>
                </c:pt>
                <c:pt idx="927">
                  <c:v>22</c:v>
                </c:pt>
                <c:pt idx="928">
                  <c:v>22</c:v>
                </c:pt>
                <c:pt idx="929">
                  <c:v>22</c:v>
                </c:pt>
                <c:pt idx="930">
                  <c:v>22</c:v>
                </c:pt>
                <c:pt idx="931">
                  <c:v>22</c:v>
                </c:pt>
                <c:pt idx="932">
                  <c:v>22</c:v>
                </c:pt>
                <c:pt idx="933">
                  <c:v>22</c:v>
                </c:pt>
                <c:pt idx="934">
                  <c:v>22</c:v>
                </c:pt>
                <c:pt idx="935">
                  <c:v>18</c:v>
                </c:pt>
                <c:pt idx="936">
                  <c:v>18</c:v>
                </c:pt>
                <c:pt idx="937">
                  <c:v>25</c:v>
                </c:pt>
                <c:pt idx="938">
                  <c:v>25</c:v>
                </c:pt>
                <c:pt idx="939">
                  <c:v>21</c:v>
                </c:pt>
                <c:pt idx="940">
                  <c:v>28</c:v>
                </c:pt>
                <c:pt idx="941">
                  <c:v>28</c:v>
                </c:pt>
                <c:pt idx="942">
                  <c:v>21</c:v>
                </c:pt>
                <c:pt idx="943">
                  <c:v>21</c:v>
                </c:pt>
                <c:pt idx="944">
                  <c:v>28</c:v>
                </c:pt>
                <c:pt idx="945">
                  <c:v>28</c:v>
                </c:pt>
                <c:pt idx="946">
                  <c:v>14</c:v>
                </c:pt>
                <c:pt idx="947">
                  <c:v>21</c:v>
                </c:pt>
                <c:pt idx="948">
                  <c:v>21</c:v>
                </c:pt>
                <c:pt idx="949">
                  <c:v>14</c:v>
                </c:pt>
                <c:pt idx="950">
                  <c:v>14</c:v>
                </c:pt>
                <c:pt idx="951">
                  <c:v>14</c:v>
                </c:pt>
                <c:pt idx="952">
                  <c:v>24</c:v>
                </c:pt>
                <c:pt idx="953">
                  <c:v>24</c:v>
                </c:pt>
                <c:pt idx="954">
                  <c:v>24</c:v>
                </c:pt>
                <c:pt idx="955">
                  <c:v>17</c:v>
                </c:pt>
                <c:pt idx="956">
                  <c:v>17</c:v>
                </c:pt>
                <c:pt idx="957">
                  <c:v>27</c:v>
                </c:pt>
                <c:pt idx="958">
                  <c:v>27</c:v>
                </c:pt>
                <c:pt idx="959">
                  <c:v>20</c:v>
                </c:pt>
                <c:pt idx="960">
                  <c:v>20</c:v>
                </c:pt>
                <c:pt idx="961">
                  <c:v>20</c:v>
                </c:pt>
                <c:pt idx="962">
                  <c:v>23</c:v>
                </c:pt>
                <c:pt idx="963">
                  <c:v>23</c:v>
                </c:pt>
                <c:pt idx="964">
                  <c:v>23</c:v>
                </c:pt>
                <c:pt idx="965">
                  <c:v>23</c:v>
                </c:pt>
                <c:pt idx="966">
                  <c:v>23</c:v>
                </c:pt>
                <c:pt idx="967">
                  <c:v>13</c:v>
                </c:pt>
                <c:pt idx="968">
                  <c:v>16</c:v>
                </c:pt>
                <c:pt idx="969">
                  <c:v>16</c:v>
                </c:pt>
                <c:pt idx="970">
                  <c:v>32</c:v>
                </c:pt>
                <c:pt idx="971">
                  <c:v>35</c:v>
                </c:pt>
                <c:pt idx="972">
                  <c:v>19</c:v>
                </c:pt>
                <c:pt idx="973">
                  <c:v>22</c:v>
                </c:pt>
                <c:pt idx="974">
                  <c:v>22</c:v>
                </c:pt>
                <c:pt idx="975">
                  <c:v>22</c:v>
                </c:pt>
                <c:pt idx="976">
                  <c:v>22</c:v>
                </c:pt>
                <c:pt idx="977">
                  <c:v>22</c:v>
                </c:pt>
                <c:pt idx="978">
                  <c:v>22</c:v>
                </c:pt>
                <c:pt idx="979">
                  <c:v>28</c:v>
                </c:pt>
                <c:pt idx="980">
                  <c:v>28</c:v>
                </c:pt>
                <c:pt idx="981">
                  <c:v>18</c:v>
                </c:pt>
                <c:pt idx="982">
                  <c:v>18</c:v>
                </c:pt>
                <c:pt idx="983">
                  <c:v>21</c:v>
                </c:pt>
                <c:pt idx="984">
                  <c:v>21</c:v>
                </c:pt>
                <c:pt idx="985">
                  <c:v>12</c:v>
                </c:pt>
                <c:pt idx="986">
                  <c:v>21</c:v>
                </c:pt>
                <c:pt idx="987">
                  <c:v>24</c:v>
                </c:pt>
                <c:pt idx="988">
                  <c:v>18</c:v>
                </c:pt>
                <c:pt idx="989">
                  <c:v>12</c:v>
                </c:pt>
                <c:pt idx="990">
                  <c:v>18</c:v>
                </c:pt>
                <c:pt idx="991">
                  <c:v>18</c:v>
                </c:pt>
                <c:pt idx="992">
                  <c:v>21</c:v>
                </c:pt>
                <c:pt idx="993">
                  <c:v>15</c:v>
                </c:pt>
                <c:pt idx="994">
                  <c:v>12</c:v>
                </c:pt>
                <c:pt idx="995">
                  <c:v>24</c:v>
                </c:pt>
                <c:pt idx="996">
                  <c:v>9</c:v>
                </c:pt>
                <c:pt idx="997">
                  <c:v>15</c:v>
                </c:pt>
                <c:pt idx="998">
                  <c:v>12</c:v>
                </c:pt>
                <c:pt idx="999">
                  <c:v>15</c:v>
                </c:pt>
                <c:pt idx="1000">
                  <c:v>12</c:v>
                </c:pt>
                <c:pt idx="1001">
                  <c:v>9</c:v>
                </c:pt>
                <c:pt idx="1002">
                  <c:v>12</c:v>
                </c:pt>
                <c:pt idx="1003">
                  <c:v>12</c:v>
                </c:pt>
                <c:pt idx="1004">
                  <c:v>12</c:v>
                </c:pt>
                <c:pt idx="1005">
                  <c:v>9</c:v>
                </c:pt>
                <c:pt idx="1006">
                  <c:v>15</c:v>
                </c:pt>
                <c:pt idx="1007">
                  <c:v>3</c:v>
                </c:pt>
                <c:pt idx="1008">
                  <c:v>6</c:v>
                </c:pt>
                <c:pt idx="1009">
                  <c:v>3</c:v>
                </c:pt>
                <c:pt idx="1010">
                  <c:v>6</c:v>
                </c:pt>
                <c:pt idx="1011">
                  <c:v>3</c:v>
                </c:pt>
                <c:pt idx="1012">
                  <c:v>6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29</c:v>
                </c:pt>
                <c:pt idx="1017">
                  <c:v>26</c:v>
                </c:pt>
                <c:pt idx="1018">
                  <c:v>26</c:v>
                </c:pt>
                <c:pt idx="1019">
                  <c:v>26</c:v>
                </c:pt>
                <c:pt idx="1020">
                  <c:v>23</c:v>
                </c:pt>
                <c:pt idx="1021">
                  <c:v>23</c:v>
                </c:pt>
                <c:pt idx="1022">
                  <c:v>23</c:v>
                </c:pt>
                <c:pt idx="1023">
                  <c:v>23</c:v>
                </c:pt>
                <c:pt idx="1024">
                  <c:v>23</c:v>
                </c:pt>
                <c:pt idx="1025">
                  <c:v>23</c:v>
                </c:pt>
                <c:pt idx="1026">
                  <c:v>20</c:v>
                </c:pt>
                <c:pt idx="1027">
                  <c:v>20</c:v>
                </c:pt>
                <c:pt idx="1028">
                  <c:v>20</c:v>
                </c:pt>
                <c:pt idx="1029">
                  <c:v>20</c:v>
                </c:pt>
                <c:pt idx="1030">
                  <c:v>17</c:v>
                </c:pt>
                <c:pt idx="1031">
                  <c:v>17</c:v>
                </c:pt>
                <c:pt idx="1032">
                  <c:v>17</c:v>
                </c:pt>
                <c:pt idx="1033">
                  <c:v>17</c:v>
                </c:pt>
                <c:pt idx="1034">
                  <c:v>14</c:v>
                </c:pt>
                <c:pt idx="1035">
                  <c:v>28</c:v>
                </c:pt>
                <c:pt idx="1036">
                  <c:v>25</c:v>
                </c:pt>
                <c:pt idx="1037">
                  <c:v>25</c:v>
                </c:pt>
                <c:pt idx="1038">
                  <c:v>22</c:v>
                </c:pt>
                <c:pt idx="1039">
                  <c:v>11</c:v>
                </c:pt>
                <c:pt idx="1040">
                  <c:v>22</c:v>
                </c:pt>
                <c:pt idx="1041">
                  <c:v>11</c:v>
                </c:pt>
                <c:pt idx="1042">
                  <c:v>19</c:v>
                </c:pt>
                <c:pt idx="1043">
                  <c:v>19</c:v>
                </c:pt>
                <c:pt idx="1044">
                  <c:v>19</c:v>
                </c:pt>
                <c:pt idx="1045">
                  <c:v>19</c:v>
                </c:pt>
                <c:pt idx="1046">
                  <c:v>27</c:v>
                </c:pt>
                <c:pt idx="1047">
                  <c:v>16</c:v>
                </c:pt>
                <c:pt idx="1048">
                  <c:v>16</c:v>
                </c:pt>
                <c:pt idx="1049">
                  <c:v>24</c:v>
                </c:pt>
                <c:pt idx="1050">
                  <c:v>24</c:v>
                </c:pt>
                <c:pt idx="1051">
                  <c:v>16</c:v>
                </c:pt>
                <c:pt idx="1052">
                  <c:v>24</c:v>
                </c:pt>
                <c:pt idx="1053">
                  <c:v>24</c:v>
                </c:pt>
                <c:pt idx="1054">
                  <c:v>16</c:v>
                </c:pt>
                <c:pt idx="1055">
                  <c:v>16</c:v>
                </c:pt>
                <c:pt idx="1056">
                  <c:v>29</c:v>
                </c:pt>
                <c:pt idx="1057">
                  <c:v>29</c:v>
                </c:pt>
                <c:pt idx="1058">
                  <c:v>29</c:v>
                </c:pt>
                <c:pt idx="1059">
                  <c:v>21</c:v>
                </c:pt>
                <c:pt idx="1060">
                  <c:v>21</c:v>
                </c:pt>
                <c:pt idx="1061">
                  <c:v>13</c:v>
                </c:pt>
                <c:pt idx="1062">
                  <c:v>13</c:v>
                </c:pt>
                <c:pt idx="1063">
                  <c:v>26</c:v>
                </c:pt>
                <c:pt idx="1064">
                  <c:v>13</c:v>
                </c:pt>
                <c:pt idx="1065">
                  <c:v>13</c:v>
                </c:pt>
                <c:pt idx="1066">
                  <c:v>13</c:v>
                </c:pt>
                <c:pt idx="1067">
                  <c:v>13</c:v>
                </c:pt>
                <c:pt idx="1068">
                  <c:v>13</c:v>
                </c:pt>
                <c:pt idx="1069">
                  <c:v>31</c:v>
                </c:pt>
                <c:pt idx="1070">
                  <c:v>18</c:v>
                </c:pt>
                <c:pt idx="1071">
                  <c:v>18</c:v>
                </c:pt>
                <c:pt idx="1072">
                  <c:v>23</c:v>
                </c:pt>
                <c:pt idx="1073">
                  <c:v>23</c:v>
                </c:pt>
                <c:pt idx="1074">
                  <c:v>23</c:v>
                </c:pt>
                <c:pt idx="1075">
                  <c:v>23</c:v>
                </c:pt>
                <c:pt idx="1076">
                  <c:v>23</c:v>
                </c:pt>
                <c:pt idx="1077">
                  <c:v>23</c:v>
                </c:pt>
                <c:pt idx="1078">
                  <c:v>23</c:v>
                </c:pt>
                <c:pt idx="1079">
                  <c:v>28</c:v>
                </c:pt>
                <c:pt idx="1080">
                  <c:v>10</c:v>
                </c:pt>
                <c:pt idx="1081">
                  <c:v>25</c:v>
                </c:pt>
                <c:pt idx="1082">
                  <c:v>20</c:v>
                </c:pt>
                <c:pt idx="1083">
                  <c:v>10</c:v>
                </c:pt>
                <c:pt idx="1084">
                  <c:v>20</c:v>
                </c:pt>
                <c:pt idx="1085">
                  <c:v>20</c:v>
                </c:pt>
                <c:pt idx="1086">
                  <c:v>15</c:v>
                </c:pt>
                <c:pt idx="1087">
                  <c:v>20</c:v>
                </c:pt>
                <c:pt idx="1088">
                  <c:v>20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27</c:v>
                </c:pt>
                <c:pt idx="1096">
                  <c:v>22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22</c:v>
                </c:pt>
                <c:pt idx="1101">
                  <c:v>22</c:v>
                </c:pt>
                <c:pt idx="1102">
                  <c:v>22</c:v>
                </c:pt>
                <c:pt idx="1103">
                  <c:v>22</c:v>
                </c:pt>
                <c:pt idx="1104">
                  <c:v>17</c:v>
                </c:pt>
                <c:pt idx="1105">
                  <c:v>17</c:v>
                </c:pt>
                <c:pt idx="1106">
                  <c:v>17</c:v>
                </c:pt>
                <c:pt idx="1107">
                  <c:v>17</c:v>
                </c:pt>
                <c:pt idx="1108">
                  <c:v>29</c:v>
                </c:pt>
                <c:pt idx="1109">
                  <c:v>29</c:v>
                </c:pt>
                <c:pt idx="1110">
                  <c:v>29</c:v>
                </c:pt>
                <c:pt idx="1111">
                  <c:v>24</c:v>
                </c:pt>
                <c:pt idx="1112">
                  <c:v>24</c:v>
                </c:pt>
                <c:pt idx="1113">
                  <c:v>24</c:v>
                </c:pt>
                <c:pt idx="1114">
                  <c:v>12</c:v>
                </c:pt>
                <c:pt idx="1115">
                  <c:v>24</c:v>
                </c:pt>
                <c:pt idx="1116">
                  <c:v>24</c:v>
                </c:pt>
                <c:pt idx="1117">
                  <c:v>24</c:v>
                </c:pt>
                <c:pt idx="1118">
                  <c:v>38</c:v>
                </c:pt>
                <c:pt idx="1119">
                  <c:v>19</c:v>
                </c:pt>
                <c:pt idx="1120">
                  <c:v>19</c:v>
                </c:pt>
                <c:pt idx="1121">
                  <c:v>19</c:v>
                </c:pt>
                <c:pt idx="1122">
                  <c:v>19</c:v>
                </c:pt>
                <c:pt idx="1123">
                  <c:v>19</c:v>
                </c:pt>
                <c:pt idx="1124">
                  <c:v>19</c:v>
                </c:pt>
                <c:pt idx="1125">
                  <c:v>19</c:v>
                </c:pt>
                <c:pt idx="1126">
                  <c:v>19</c:v>
                </c:pt>
                <c:pt idx="1127">
                  <c:v>19</c:v>
                </c:pt>
                <c:pt idx="1128">
                  <c:v>14</c:v>
                </c:pt>
                <c:pt idx="1129">
                  <c:v>14</c:v>
                </c:pt>
                <c:pt idx="1130">
                  <c:v>35</c:v>
                </c:pt>
                <c:pt idx="1131">
                  <c:v>21</c:v>
                </c:pt>
                <c:pt idx="1132">
                  <c:v>21</c:v>
                </c:pt>
                <c:pt idx="1133">
                  <c:v>21</c:v>
                </c:pt>
                <c:pt idx="1134">
                  <c:v>21</c:v>
                </c:pt>
                <c:pt idx="1135">
                  <c:v>21</c:v>
                </c:pt>
                <c:pt idx="1136">
                  <c:v>21</c:v>
                </c:pt>
                <c:pt idx="1137">
                  <c:v>21</c:v>
                </c:pt>
                <c:pt idx="1138">
                  <c:v>21</c:v>
                </c:pt>
                <c:pt idx="1139">
                  <c:v>21</c:v>
                </c:pt>
                <c:pt idx="1140">
                  <c:v>42</c:v>
                </c:pt>
                <c:pt idx="1141">
                  <c:v>21</c:v>
                </c:pt>
                <c:pt idx="1142">
                  <c:v>21</c:v>
                </c:pt>
                <c:pt idx="1143">
                  <c:v>21</c:v>
                </c:pt>
                <c:pt idx="1144">
                  <c:v>14</c:v>
                </c:pt>
                <c:pt idx="1145">
                  <c:v>28</c:v>
                </c:pt>
                <c:pt idx="1146">
                  <c:v>14</c:v>
                </c:pt>
                <c:pt idx="1147">
                  <c:v>7</c:v>
                </c:pt>
                <c:pt idx="1148">
                  <c:v>14</c:v>
                </c:pt>
                <c:pt idx="1149">
                  <c:v>7</c:v>
                </c:pt>
                <c:pt idx="1150">
                  <c:v>7</c:v>
                </c:pt>
                <c:pt idx="1151">
                  <c:v>7</c:v>
                </c:pt>
                <c:pt idx="1152">
                  <c:v>30</c:v>
                </c:pt>
                <c:pt idx="1153">
                  <c:v>23</c:v>
                </c:pt>
                <c:pt idx="1154">
                  <c:v>23</c:v>
                </c:pt>
                <c:pt idx="1155">
                  <c:v>23</c:v>
                </c:pt>
                <c:pt idx="1156">
                  <c:v>23</c:v>
                </c:pt>
                <c:pt idx="1157">
                  <c:v>23</c:v>
                </c:pt>
                <c:pt idx="1158">
                  <c:v>23</c:v>
                </c:pt>
                <c:pt idx="1159">
                  <c:v>23</c:v>
                </c:pt>
                <c:pt idx="1160">
                  <c:v>23</c:v>
                </c:pt>
                <c:pt idx="1161">
                  <c:v>23</c:v>
                </c:pt>
                <c:pt idx="1162">
                  <c:v>32</c:v>
                </c:pt>
                <c:pt idx="1163">
                  <c:v>16</c:v>
                </c:pt>
                <c:pt idx="1164">
                  <c:v>16</c:v>
                </c:pt>
                <c:pt idx="1165">
                  <c:v>25</c:v>
                </c:pt>
                <c:pt idx="1166">
                  <c:v>25</c:v>
                </c:pt>
                <c:pt idx="1167">
                  <c:v>25</c:v>
                </c:pt>
                <c:pt idx="1168">
                  <c:v>25</c:v>
                </c:pt>
                <c:pt idx="1169">
                  <c:v>25</c:v>
                </c:pt>
                <c:pt idx="1170">
                  <c:v>34</c:v>
                </c:pt>
                <c:pt idx="1171">
                  <c:v>18</c:v>
                </c:pt>
                <c:pt idx="1172">
                  <c:v>18</c:v>
                </c:pt>
                <c:pt idx="1173">
                  <c:v>18</c:v>
                </c:pt>
                <c:pt idx="1174">
                  <c:v>27</c:v>
                </c:pt>
                <c:pt idx="1175">
                  <c:v>27</c:v>
                </c:pt>
                <c:pt idx="1176">
                  <c:v>36</c:v>
                </c:pt>
                <c:pt idx="1177">
                  <c:v>27</c:v>
                </c:pt>
                <c:pt idx="1178">
                  <c:v>27</c:v>
                </c:pt>
                <c:pt idx="1179">
                  <c:v>18</c:v>
                </c:pt>
                <c:pt idx="1180">
                  <c:v>20</c:v>
                </c:pt>
                <c:pt idx="1181">
                  <c:v>20</c:v>
                </c:pt>
                <c:pt idx="1182">
                  <c:v>20</c:v>
                </c:pt>
                <c:pt idx="1183">
                  <c:v>22</c:v>
                </c:pt>
                <c:pt idx="1184">
                  <c:v>11</c:v>
                </c:pt>
                <c:pt idx="1185">
                  <c:v>22</c:v>
                </c:pt>
                <c:pt idx="1186">
                  <c:v>22</c:v>
                </c:pt>
                <c:pt idx="1187">
                  <c:v>11</c:v>
                </c:pt>
                <c:pt idx="1188">
                  <c:v>11</c:v>
                </c:pt>
                <c:pt idx="1189">
                  <c:v>11</c:v>
                </c:pt>
                <c:pt idx="1190">
                  <c:v>24</c:v>
                </c:pt>
                <c:pt idx="1191">
                  <c:v>24</c:v>
                </c:pt>
                <c:pt idx="1192">
                  <c:v>24</c:v>
                </c:pt>
                <c:pt idx="1193">
                  <c:v>13</c:v>
                </c:pt>
                <c:pt idx="1194">
                  <c:v>26</c:v>
                </c:pt>
                <c:pt idx="1195">
                  <c:v>13</c:v>
                </c:pt>
                <c:pt idx="1196">
                  <c:v>26</c:v>
                </c:pt>
                <c:pt idx="1197">
                  <c:v>13</c:v>
                </c:pt>
                <c:pt idx="1198">
                  <c:v>26</c:v>
                </c:pt>
                <c:pt idx="1199">
                  <c:v>28</c:v>
                </c:pt>
                <c:pt idx="1200">
                  <c:v>28</c:v>
                </c:pt>
                <c:pt idx="1201">
                  <c:v>28</c:v>
                </c:pt>
                <c:pt idx="1202">
                  <c:v>30</c:v>
                </c:pt>
                <c:pt idx="1203">
                  <c:v>15</c:v>
                </c:pt>
                <c:pt idx="1204">
                  <c:v>15</c:v>
                </c:pt>
                <c:pt idx="1205">
                  <c:v>15</c:v>
                </c:pt>
                <c:pt idx="1206">
                  <c:v>15</c:v>
                </c:pt>
                <c:pt idx="1207">
                  <c:v>17</c:v>
                </c:pt>
                <c:pt idx="1208">
                  <c:v>17</c:v>
                </c:pt>
                <c:pt idx="1209">
                  <c:v>17</c:v>
                </c:pt>
                <c:pt idx="1210">
                  <c:v>17</c:v>
                </c:pt>
                <c:pt idx="1211">
                  <c:v>17</c:v>
                </c:pt>
                <c:pt idx="1212">
                  <c:v>17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21</c:v>
                </c:pt>
                <c:pt idx="1222">
                  <c:v>21</c:v>
                </c:pt>
                <c:pt idx="1223">
                  <c:v>21</c:v>
                </c:pt>
                <c:pt idx="1224">
                  <c:v>21</c:v>
                </c:pt>
                <c:pt idx="1225">
                  <c:v>21</c:v>
                </c:pt>
                <c:pt idx="1226">
                  <c:v>21</c:v>
                </c:pt>
                <c:pt idx="1227">
                  <c:v>21</c:v>
                </c:pt>
                <c:pt idx="1228">
                  <c:v>23</c:v>
                </c:pt>
                <c:pt idx="1229">
                  <c:v>23</c:v>
                </c:pt>
                <c:pt idx="1230">
                  <c:v>23</c:v>
                </c:pt>
                <c:pt idx="1231">
                  <c:v>23</c:v>
                </c:pt>
                <c:pt idx="1232">
                  <c:v>23</c:v>
                </c:pt>
                <c:pt idx="1233">
                  <c:v>23</c:v>
                </c:pt>
                <c:pt idx="1234">
                  <c:v>23</c:v>
                </c:pt>
                <c:pt idx="1235">
                  <c:v>25</c:v>
                </c:pt>
                <c:pt idx="1236">
                  <c:v>25</c:v>
                </c:pt>
                <c:pt idx="1237">
                  <c:v>25</c:v>
                </c:pt>
                <c:pt idx="1238">
                  <c:v>25</c:v>
                </c:pt>
                <c:pt idx="1239">
                  <c:v>25</c:v>
                </c:pt>
                <c:pt idx="1240">
                  <c:v>25</c:v>
                </c:pt>
                <c:pt idx="1241">
                  <c:v>25</c:v>
                </c:pt>
                <c:pt idx="1242">
                  <c:v>25</c:v>
                </c:pt>
                <c:pt idx="1243">
                  <c:v>25</c:v>
                </c:pt>
                <c:pt idx="1244">
                  <c:v>27</c:v>
                </c:pt>
                <c:pt idx="1245">
                  <c:v>27</c:v>
                </c:pt>
                <c:pt idx="1246">
                  <c:v>27</c:v>
                </c:pt>
                <c:pt idx="1247">
                  <c:v>27</c:v>
                </c:pt>
                <c:pt idx="1248">
                  <c:v>29</c:v>
                </c:pt>
                <c:pt idx="1249">
                  <c:v>29</c:v>
                </c:pt>
                <c:pt idx="1250">
                  <c:v>29</c:v>
                </c:pt>
                <c:pt idx="1251">
                  <c:v>29</c:v>
                </c:pt>
                <c:pt idx="1252">
                  <c:v>35</c:v>
                </c:pt>
                <c:pt idx="1253">
                  <c:v>14</c:v>
                </c:pt>
                <c:pt idx="1254">
                  <c:v>36</c:v>
                </c:pt>
                <c:pt idx="1255">
                  <c:v>18</c:v>
                </c:pt>
                <c:pt idx="1256">
                  <c:v>18</c:v>
                </c:pt>
                <c:pt idx="1257">
                  <c:v>22</c:v>
                </c:pt>
                <c:pt idx="1258">
                  <c:v>14</c:v>
                </c:pt>
                <c:pt idx="1259">
                  <c:v>16</c:v>
                </c:pt>
                <c:pt idx="1260">
                  <c:v>20</c:v>
                </c:pt>
                <c:pt idx="1261">
                  <c:v>24</c:v>
                </c:pt>
                <c:pt idx="1262">
                  <c:v>26</c:v>
                </c:pt>
                <c:pt idx="1263">
                  <c:v>22</c:v>
                </c:pt>
                <c:pt idx="1264">
                  <c:v>14</c:v>
                </c:pt>
                <c:pt idx="1265">
                  <c:v>22</c:v>
                </c:pt>
                <c:pt idx="1266">
                  <c:v>16</c:v>
                </c:pt>
                <c:pt idx="1267">
                  <c:v>20</c:v>
                </c:pt>
                <c:pt idx="1268">
                  <c:v>16</c:v>
                </c:pt>
                <c:pt idx="1269">
                  <c:v>22</c:v>
                </c:pt>
                <c:pt idx="1270">
                  <c:v>20</c:v>
                </c:pt>
                <c:pt idx="1271">
                  <c:v>28</c:v>
                </c:pt>
                <c:pt idx="1272">
                  <c:v>10</c:v>
                </c:pt>
                <c:pt idx="1273">
                  <c:v>18</c:v>
                </c:pt>
                <c:pt idx="1274">
                  <c:v>14</c:v>
                </c:pt>
                <c:pt idx="1275">
                  <c:v>22</c:v>
                </c:pt>
                <c:pt idx="1276">
                  <c:v>16</c:v>
                </c:pt>
                <c:pt idx="1277">
                  <c:v>18</c:v>
                </c:pt>
                <c:pt idx="1278">
                  <c:v>22</c:v>
                </c:pt>
                <c:pt idx="1279">
                  <c:v>20</c:v>
                </c:pt>
                <c:pt idx="1280">
                  <c:v>24</c:v>
                </c:pt>
                <c:pt idx="1281">
                  <c:v>18</c:v>
                </c:pt>
                <c:pt idx="1282">
                  <c:v>28</c:v>
                </c:pt>
                <c:pt idx="1283">
                  <c:v>18</c:v>
                </c:pt>
                <c:pt idx="1284">
                  <c:v>18</c:v>
                </c:pt>
                <c:pt idx="1285">
                  <c:v>22</c:v>
                </c:pt>
                <c:pt idx="1286">
                  <c:v>16</c:v>
                </c:pt>
                <c:pt idx="1287">
                  <c:v>16</c:v>
                </c:pt>
                <c:pt idx="1288">
                  <c:v>16</c:v>
                </c:pt>
                <c:pt idx="1289">
                  <c:v>30</c:v>
                </c:pt>
                <c:pt idx="1290">
                  <c:v>20</c:v>
                </c:pt>
                <c:pt idx="1291">
                  <c:v>18</c:v>
                </c:pt>
                <c:pt idx="1292">
                  <c:v>20</c:v>
                </c:pt>
                <c:pt idx="1293">
                  <c:v>26</c:v>
                </c:pt>
                <c:pt idx="1294">
                  <c:v>24</c:v>
                </c:pt>
                <c:pt idx="1295">
                  <c:v>18</c:v>
                </c:pt>
                <c:pt idx="1296">
                  <c:v>20</c:v>
                </c:pt>
                <c:pt idx="1297">
                  <c:v>24</c:v>
                </c:pt>
                <c:pt idx="1298">
                  <c:v>12</c:v>
                </c:pt>
                <c:pt idx="1299">
                  <c:v>24</c:v>
                </c:pt>
                <c:pt idx="1300">
                  <c:v>16</c:v>
                </c:pt>
                <c:pt idx="1301">
                  <c:v>16</c:v>
                </c:pt>
                <c:pt idx="1302">
                  <c:v>18</c:v>
                </c:pt>
                <c:pt idx="1303">
                  <c:v>20</c:v>
                </c:pt>
                <c:pt idx="1304">
                  <c:v>14</c:v>
                </c:pt>
                <c:pt idx="1305">
                  <c:v>18</c:v>
                </c:pt>
                <c:pt idx="1306">
                  <c:v>16</c:v>
                </c:pt>
                <c:pt idx="1307">
                  <c:v>20</c:v>
                </c:pt>
                <c:pt idx="1308">
                  <c:v>16</c:v>
                </c:pt>
                <c:pt idx="1309">
                  <c:v>8</c:v>
                </c:pt>
                <c:pt idx="1310">
                  <c:v>12</c:v>
                </c:pt>
                <c:pt idx="1311">
                  <c:v>12</c:v>
                </c:pt>
                <c:pt idx="1312">
                  <c:v>4</c:v>
                </c:pt>
                <c:pt idx="1313">
                  <c:v>4</c:v>
                </c:pt>
                <c:pt idx="1314">
                  <c:v>4</c:v>
                </c:pt>
                <c:pt idx="1315">
                  <c:v>8</c:v>
                </c:pt>
                <c:pt idx="1316">
                  <c:v>12</c:v>
                </c:pt>
                <c:pt idx="1317">
                  <c:v>4</c:v>
                </c:pt>
                <c:pt idx="1318">
                  <c:v>4</c:v>
                </c:pt>
                <c:pt idx="1319">
                  <c:v>4</c:v>
                </c:pt>
                <c:pt idx="1320">
                  <c:v>4</c:v>
                </c:pt>
                <c:pt idx="1321">
                  <c:v>4</c:v>
                </c:pt>
                <c:pt idx="1322">
                  <c:v>4</c:v>
                </c:pt>
                <c:pt idx="1323">
                  <c:v>33</c:v>
                </c:pt>
                <c:pt idx="1324">
                  <c:v>31</c:v>
                </c:pt>
                <c:pt idx="1325">
                  <c:v>31</c:v>
                </c:pt>
                <c:pt idx="1326">
                  <c:v>27</c:v>
                </c:pt>
                <c:pt idx="1327">
                  <c:v>27</c:v>
                </c:pt>
                <c:pt idx="1328">
                  <c:v>27</c:v>
                </c:pt>
                <c:pt idx="1329">
                  <c:v>25</c:v>
                </c:pt>
                <c:pt idx="1330">
                  <c:v>25</c:v>
                </c:pt>
                <c:pt idx="1331">
                  <c:v>25</c:v>
                </c:pt>
                <c:pt idx="1332">
                  <c:v>25</c:v>
                </c:pt>
                <c:pt idx="1333">
                  <c:v>25</c:v>
                </c:pt>
                <c:pt idx="1334">
                  <c:v>25</c:v>
                </c:pt>
                <c:pt idx="1335">
                  <c:v>25</c:v>
                </c:pt>
                <c:pt idx="1336">
                  <c:v>23</c:v>
                </c:pt>
                <c:pt idx="1337">
                  <c:v>23</c:v>
                </c:pt>
                <c:pt idx="1338">
                  <c:v>23</c:v>
                </c:pt>
                <c:pt idx="1339">
                  <c:v>21</c:v>
                </c:pt>
                <c:pt idx="1340">
                  <c:v>21</c:v>
                </c:pt>
                <c:pt idx="1341">
                  <c:v>21</c:v>
                </c:pt>
                <c:pt idx="1342">
                  <c:v>21</c:v>
                </c:pt>
                <c:pt idx="1343">
                  <c:v>21</c:v>
                </c:pt>
                <c:pt idx="1344">
                  <c:v>21</c:v>
                </c:pt>
                <c:pt idx="1345">
                  <c:v>21</c:v>
                </c:pt>
                <c:pt idx="1346">
                  <c:v>21</c:v>
                </c:pt>
                <c:pt idx="1347">
                  <c:v>21</c:v>
                </c:pt>
                <c:pt idx="1348">
                  <c:v>21</c:v>
                </c:pt>
                <c:pt idx="1349">
                  <c:v>21</c:v>
                </c:pt>
                <c:pt idx="1350">
                  <c:v>21</c:v>
                </c:pt>
                <c:pt idx="1351">
                  <c:v>21</c:v>
                </c:pt>
                <c:pt idx="1352">
                  <c:v>21</c:v>
                </c:pt>
                <c:pt idx="1353">
                  <c:v>21</c:v>
                </c:pt>
                <c:pt idx="1354">
                  <c:v>19</c:v>
                </c:pt>
                <c:pt idx="1355">
                  <c:v>19</c:v>
                </c:pt>
                <c:pt idx="1356">
                  <c:v>19</c:v>
                </c:pt>
                <c:pt idx="1357">
                  <c:v>19</c:v>
                </c:pt>
                <c:pt idx="1358">
                  <c:v>19</c:v>
                </c:pt>
                <c:pt idx="1359">
                  <c:v>19</c:v>
                </c:pt>
                <c:pt idx="1360">
                  <c:v>19</c:v>
                </c:pt>
                <c:pt idx="1361">
                  <c:v>19</c:v>
                </c:pt>
                <c:pt idx="1362">
                  <c:v>19</c:v>
                </c:pt>
                <c:pt idx="1363">
                  <c:v>19</c:v>
                </c:pt>
                <c:pt idx="1364">
                  <c:v>19</c:v>
                </c:pt>
                <c:pt idx="1365">
                  <c:v>17</c:v>
                </c:pt>
                <c:pt idx="1366">
                  <c:v>17</c:v>
                </c:pt>
                <c:pt idx="1367">
                  <c:v>34</c:v>
                </c:pt>
                <c:pt idx="1368">
                  <c:v>17</c:v>
                </c:pt>
                <c:pt idx="1369">
                  <c:v>17</c:v>
                </c:pt>
                <c:pt idx="1370">
                  <c:v>17</c:v>
                </c:pt>
                <c:pt idx="1371">
                  <c:v>17</c:v>
                </c:pt>
                <c:pt idx="1372">
                  <c:v>17</c:v>
                </c:pt>
                <c:pt idx="1373">
                  <c:v>17</c:v>
                </c:pt>
                <c:pt idx="1374">
                  <c:v>17</c:v>
                </c:pt>
                <c:pt idx="1375">
                  <c:v>17</c:v>
                </c:pt>
                <c:pt idx="1376">
                  <c:v>17</c:v>
                </c:pt>
                <c:pt idx="1377">
                  <c:v>17</c:v>
                </c:pt>
                <c:pt idx="1378">
                  <c:v>17</c:v>
                </c:pt>
                <c:pt idx="1379">
                  <c:v>17</c:v>
                </c:pt>
                <c:pt idx="1380">
                  <c:v>17</c:v>
                </c:pt>
                <c:pt idx="1381">
                  <c:v>15</c:v>
                </c:pt>
                <c:pt idx="1382">
                  <c:v>30</c:v>
                </c:pt>
                <c:pt idx="1383">
                  <c:v>15</c:v>
                </c:pt>
                <c:pt idx="1384">
                  <c:v>15</c:v>
                </c:pt>
                <c:pt idx="1385">
                  <c:v>30</c:v>
                </c:pt>
                <c:pt idx="1386">
                  <c:v>15</c:v>
                </c:pt>
                <c:pt idx="1387">
                  <c:v>28</c:v>
                </c:pt>
                <c:pt idx="1388">
                  <c:v>28</c:v>
                </c:pt>
                <c:pt idx="1389">
                  <c:v>13</c:v>
                </c:pt>
                <c:pt idx="1390">
                  <c:v>26</c:v>
                </c:pt>
                <c:pt idx="1391">
                  <c:v>26</c:v>
                </c:pt>
                <c:pt idx="1392">
                  <c:v>13</c:v>
                </c:pt>
                <c:pt idx="1393">
                  <c:v>26</c:v>
                </c:pt>
                <c:pt idx="1394">
                  <c:v>26</c:v>
                </c:pt>
                <c:pt idx="1395">
                  <c:v>13</c:v>
                </c:pt>
                <c:pt idx="1396">
                  <c:v>13</c:v>
                </c:pt>
                <c:pt idx="1397">
                  <c:v>26</c:v>
                </c:pt>
                <c:pt idx="1398">
                  <c:v>13</c:v>
                </c:pt>
                <c:pt idx="1399">
                  <c:v>13</c:v>
                </c:pt>
                <c:pt idx="1400">
                  <c:v>26</c:v>
                </c:pt>
                <c:pt idx="1401">
                  <c:v>13</c:v>
                </c:pt>
                <c:pt idx="1402">
                  <c:v>13</c:v>
                </c:pt>
                <c:pt idx="1403">
                  <c:v>13</c:v>
                </c:pt>
                <c:pt idx="1404">
                  <c:v>24</c:v>
                </c:pt>
                <c:pt idx="1405">
                  <c:v>24</c:v>
                </c:pt>
                <c:pt idx="1406">
                  <c:v>24</c:v>
                </c:pt>
                <c:pt idx="1407">
                  <c:v>24</c:v>
                </c:pt>
                <c:pt idx="1408">
                  <c:v>11</c:v>
                </c:pt>
                <c:pt idx="1409">
                  <c:v>22</c:v>
                </c:pt>
                <c:pt idx="1410">
                  <c:v>22</c:v>
                </c:pt>
                <c:pt idx="1411">
                  <c:v>22</c:v>
                </c:pt>
                <c:pt idx="1412">
                  <c:v>22</c:v>
                </c:pt>
                <c:pt idx="1413">
                  <c:v>22</c:v>
                </c:pt>
                <c:pt idx="1414">
                  <c:v>33</c:v>
                </c:pt>
                <c:pt idx="1415">
                  <c:v>22</c:v>
                </c:pt>
                <c:pt idx="1416">
                  <c:v>20</c:v>
                </c:pt>
                <c:pt idx="1417">
                  <c:v>20</c:v>
                </c:pt>
                <c:pt idx="1418">
                  <c:v>20</c:v>
                </c:pt>
                <c:pt idx="1419">
                  <c:v>20</c:v>
                </c:pt>
                <c:pt idx="1420">
                  <c:v>20</c:v>
                </c:pt>
                <c:pt idx="1421">
                  <c:v>20</c:v>
                </c:pt>
                <c:pt idx="1422">
                  <c:v>20</c:v>
                </c:pt>
                <c:pt idx="1423">
                  <c:v>20</c:v>
                </c:pt>
                <c:pt idx="1424">
                  <c:v>20</c:v>
                </c:pt>
                <c:pt idx="1425">
                  <c:v>20</c:v>
                </c:pt>
                <c:pt idx="1426">
                  <c:v>20</c:v>
                </c:pt>
                <c:pt idx="1427">
                  <c:v>29</c:v>
                </c:pt>
                <c:pt idx="1428">
                  <c:v>29</c:v>
                </c:pt>
                <c:pt idx="1429">
                  <c:v>18</c:v>
                </c:pt>
                <c:pt idx="1430">
                  <c:v>18</c:v>
                </c:pt>
                <c:pt idx="1431">
                  <c:v>18</c:v>
                </c:pt>
                <c:pt idx="1432">
                  <c:v>18</c:v>
                </c:pt>
                <c:pt idx="1433">
                  <c:v>18</c:v>
                </c:pt>
                <c:pt idx="1434">
                  <c:v>27</c:v>
                </c:pt>
                <c:pt idx="1435">
                  <c:v>18</c:v>
                </c:pt>
                <c:pt idx="1436">
                  <c:v>18</c:v>
                </c:pt>
                <c:pt idx="1437">
                  <c:v>18</c:v>
                </c:pt>
                <c:pt idx="1438">
                  <c:v>27</c:v>
                </c:pt>
                <c:pt idx="1439">
                  <c:v>18</c:v>
                </c:pt>
                <c:pt idx="1440">
                  <c:v>18</c:v>
                </c:pt>
                <c:pt idx="1441">
                  <c:v>18</c:v>
                </c:pt>
                <c:pt idx="1442">
                  <c:v>18</c:v>
                </c:pt>
                <c:pt idx="1443">
                  <c:v>18</c:v>
                </c:pt>
                <c:pt idx="1444">
                  <c:v>18</c:v>
                </c:pt>
                <c:pt idx="1445">
                  <c:v>9</c:v>
                </c:pt>
                <c:pt idx="1446">
                  <c:v>18</c:v>
                </c:pt>
                <c:pt idx="1447">
                  <c:v>18</c:v>
                </c:pt>
                <c:pt idx="1448">
                  <c:v>18</c:v>
                </c:pt>
                <c:pt idx="1449">
                  <c:v>18</c:v>
                </c:pt>
                <c:pt idx="1450">
                  <c:v>27</c:v>
                </c:pt>
                <c:pt idx="1451">
                  <c:v>27</c:v>
                </c:pt>
                <c:pt idx="1452">
                  <c:v>18</c:v>
                </c:pt>
                <c:pt idx="1453">
                  <c:v>18</c:v>
                </c:pt>
                <c:pt idx="1454">
                  <c:v>18</c:v>
                </c:pt>
                <c:pt idx="1455">
                  <c:v>9</c:v>
                </c:pt>
                <c:pt idx="1456">
                  <c:v>9</c:v>
                </c:pt>
                <c:pt idx="1457">
                  <c:v>25</c:v>
                </c:pt>
                <c:pt idx="1458">
                  <c:v>25</c:v>
                </c:pt>
                <c:pt idx="1459">
                  <c:v>25</c:v>
                </c:pt>
                <c:pt idx="1460">
                  <c:v>25</c:v>
                </c:pt>
                <c:pt idx="1461">
                  <c:v>25</c:v>
                </c:pt>
                <c:pt idx="1462">
                  <c:v>25</c:v>
                </c:pt>
                <c:pt idx="1463">
                  <c:v>16</c:v>
                </c:pt>
                <c:pt idx="1464">
                  <c:v>16</c:v>
                </c:pt>
                <c:pt idx="1465">
                  <c:v>16</c:v>
                </c:pt>
                <c:pt idx="1466">
                  <c:v>16</c:v>
                </c:pt>
                <c:pt idx="1467">
                  <c:v>16</c:v>
                </c:pt>
                <c:pt idx="1468">
                  <c:v>32</c:v>
                </c:pt>
                <c:pt idx="1469">
                  <c:v>16</c:v>
                </c:pt>
                <c:pt idx="1470">
                  <c:v>32</c:v>
                </c:pt>
                <c:pt idx="1471">
                  <c:v>16</c:v>
                </c:pt>
                <c:pt idx="1472">
                  <c:v>16</c:v>
                </c:pt>
                <c:pt idx="1473">
                  <c:v>16</c:v>
                </c:pt>
                <c:pt idx="1474">
                  <c:v>16</c:v>
                </c:pt>
                <c:pt idx="1475">
                  <c:v>23</c:v>
                </c:pt>
                <c:pt idx="1476">
                  <c:v>23</c:v>
                </c:pt>
                <c:pt idx="1477">
                  <c:v>23</c:v>
                </c:pt>
                <c:pt idx="1478">
                  <c:v>23</c:v>
                </c:pt>
                <c:pt idx="1479">
                  <c:v>23</c:v>
                </c:pt>
                <c:pt idx="1480">
                  <c:v>23</c:v>
                </c:pt>
                <c:pt idx="1481">
                  <c:v>23</c:v>
                </c:pt>
                <c:pt idx="1482">
                  <c:v>30</c:v>
                </c:pt>
                <c:pt idx="1483">
                  <c:v>28</c:v>
                </c:pt>
                <c:pt idx="1484">
                  <c:v>21</c:v>
                </c:pt>
                <c:pt idx="1485">
                  <c:v>14</c:v>
                </c:pt>
                <c:pt idx="1486">
                  <c:v>21</c:v>
                </c:pt>
                <c:pt idx="1487">
                  <c:v>21</c:v>
                </c:pt>
                <c:pt idx="1488">
                  <c:v>14</c:v>
                </c:pt>
                <c:pt idx="1489">
                  <c:v>21</c:v>
                </c:pt>
                <c:pt idx="1490">
                  <c:v>21</c:v>
                </c:pt>
                <c:pt idx="1491">
                  <c:v>21</c:v>
                </c:pt>
                <c:pt idx="1492">
                  <c:v>14</c:v>
                </c:pt>
                <c:pt idx="1493">
                  <c:v>21</c:v>
                </c:pt>
                <c:pt idx="1494">
                  <c:v>21</c:v>
                </c:pt>
                <c:pt idx="1495">
                  <c:v>28</c:v>
                </c:pt>
                <c:pt idx="1496">
                  <c:v>28</c:v>
                </c:pt>
                <c:pt idx="1497">
                  <c:v>14</c:v>
                </c:pt>
                <c:pt idx="1498">
                  <c:v>14</c:v>
                </c:pt>
                <c:pt idx="1499">
                  <c:v>21</c:v>
                </c:pt>
                <c:pt idx="1500">
                  <c:v>21</c:v>
                </c:pt>
                <c:pt idx="1501">
                  <c:v>28</c:v>
                </c:pt>
                <c:pt idx="1502">
                  <c:v>14</c:v>
                </c:pt>
                <c:pt idx="1503">
                  <c:v>21</c:v>
                </c:pt>
                <c:pt idx="1504">
                  <c:v>28</c:v>
                </c:pt>
                <c:pt idx="1505">
                  <c:v>21</c:v>
                </c:pt>
                <c:pt idx="1506">
                  <c:v>14</c:v>
                </c:pt>
                <c:pt idx="1507">
                  <c:v>21</c:v>
                </c:pt>
                <c:pt idx="1508">
                  <c:v>21</c:v>
                </c:pt>
                <c:pt idx="1509">
                  <c:v>21</c:v>
                </c:pt>
                <c:pt idx="1510">
                  <c:v>21</c:v>
                </c:pt>
                <c:pt idx="1511">
                  <c:v>21</c:v>
                </c:pt>
                <c:pt idx="1512">
                  <c:v>21</c:v>
                </c:pt>
                <c:pt idx="1513">
                  <c:v>28</c:v>
                </c:pt>
                <c:pt idx="1514">
                  <c:v>14</c:v>
                </c:pt>
                <c:pt idx="1515">
                  <c:v>14</c:v>
                </c:pt>
                <c:pt idx="1516">
                  <c:v>14</c:v>
                </c:pt>
                <c:pt idx="1517">
                  <c:v>14</c:v>
                </c:pt>
                <c:pt idx="1518">
                  <c:v>33</c:v>
                </c:pt>
                <c:pt idx="1519">
                  <c:v>26</c:v>
                </c:pt>
                <c:pt idx="1520">
                  <c:v>26</c:v>
                </c:pt>
                <c:pt idx="1521">
                  <c:v>26</c:v>
                </c:pt>
                <c:pt idx="1522">
                  <c:v>26</c:v>
                </c:pt>
                <c:pt idx="1523">
                  <c:v>26</c:v>
                </c:pt>
                <c:pt idx="1524">
                  <c:v>19</c:v>
                </c:pt>
                <c:pt idx="1525">
                  <c:v>19</c:v>
                </c:pt>
                <c:pt idx="1526">
                  <c:v>19</c:v>
                </c:pt>
                <c:pt idx="1527">
                  <c:v>19</c:v>
                </c:pt>
                <c:pt idx="1528">
                  <c:v>19</c:v>
                </c:pt>
                <c:pt idx="1529">
                  <c:v>19</c:v>
                </c:pt>
                <c:pt idx="1530">
                  <c:v>19</c:v>
                </c:pt>
                <c:pt idx="1531">
                  <c:v>19</c:v>
                </c:pt>
                <c:pt idx="1532">
                  <c:v>19</c:v>
                </c:pt>
                <c:pt idx="1533">
                  <c:v>19</c:v>
                </c:pt>
                <c:pt idx="1534">
                  <c:v>19</c:v>
                </c:pt>
                <c:pt idx="1535">
                  <c:v>19</c:v>
                </c:pt>
                <c:pt idx="1536">
                  <c:v>31</c:v>
                </c:pt>
                <c:pt idx="1537">
                  <c:v>31</c:v>
                </c:pt>
                <c:pt idx="1538">
                  <c:v>24</c:v>
                </c:pt>
                <c:pt idx="1539">
                  <c:v>24</c:v>
                </c:pt>
                <c:pt idx="1540">
                  <c:v>24</c:v>
                </c:pt>
                <c:pt idx="1541">
                  <c:v>24</c:v>
                </c:pt>
                <c:pt idx="1542">
                  <c:v>24</c:v>
                </c:pt>
                <c:pt idx="1543">
                  <c:v>24</c:v>
                </c:pt>
                <c:pt idx="1544">
                  <c:v>24</c:v>
                </c:pt>
                <c:pt idx="1545">
                  <c:v>24</c:v>
                </c:pt>
                <c:pt idx="1546">
                  <c:v>29</c:v>
                </c:pt>
                <c:pt idx="1547">
                  <c:v>29</c:v>
                </c:pt>
                <c:pt idx="1548">
                  <c:v>29</c:v>
                </c:pt>
                <c:pt idx="1549">
                  <c:v>29</c:v>
                </c:pt>
                <c:pt idx="1550">
                  <c:v>29</c:v>
                </c:pt>
                <c:pt idx="1551">
                  <c:v>29</c:v>
                </c:pt>
                <c:pt idx="1552">
                  <c:v>17</c:v>
                </c:pt>
                <c:pt idx="1553">
                  <c:v>17</c:v>
                </c:pt>
                <c:pt idx="1554">
                  <c:v>34</c:v>
                </c:pt>
                <c:pt idx="1555">
                  <c:v>17</c:v>
                </c:pt>
                <c:pt idx="1556">
                  <c:v>17</c:v>
                </c:pt>
                <c:pt idx="1557">
                  <c:v>17</c:v>
                </c:pt>
                <c:pt idx="1558">
                  <c:v>17</c:v>
                </c:pt>
                <c:pt idx="1559">
                  <c:v>17</c:v>
                </c:pt>
                <c:pt idx="1560">
                  <c:v>17</c:v>
                </c:pt>
                <c:pt idx="1561">
                  <c:v>17</c:v>
                </c:pt>
                <c:pt idx="1562">
                  <c:v>17</c:v>
                </c:pt>
                <c:pt idx="1563">
                  <c:v>22</c:v>
                </c:pt>
                <c:pt idx="1564">
                  <c:v>22</c:v>
                </c:pt>
                <c:pt idx="1565">
                  <c:v>22</c:v>
                </c:pt>
                <c:pt idx="1566">
                  <c:v>22</c:v>
                </c:pt>
                <c:pt idx="1567">
                  <c:v>22</c:v>
                </c:pt>
                <c:pt idx="1568">
                  <c:v>22</c:v>
                </c:pt>
                <c:pt idx="1569">
                  <c:v>22</c:v>
                </c:pt>
                <c:pt idx="1570">
                  <c:v>22</c:v>
                </c:pt>
                <c:pt idx="1571">
                  <c:v>22</c:v>
                </c:pt>
                <c:pt idx="1572">
                  <c:v>22</c:v>
                </c:pt>
                <c:pt idx="1573">
                  <c:v>22</c:v>
                </c:pt>
                <c:pt idx="1574">
                  <c:v>22</c:v>
                </c:pt>
                <c:pt idx="1575">
                  <c:v>22</c:v>
                </c:pt>
                <c:pt idx="1576">
                  <c:v>22</c:v>
                </c:pt>
                <c:pt idx="1577">
                  <c:v>22</c:v>
                </c:pt>
                <c:pt idx="1578">
                  <c:v>22</c:v>
                </c:pt>
                <c:pt idx="1579">
                  <c:v>22</c:v>
                </c:pt>
                <c:pt idx="1580">
                  <c:v>27</c:v>
                </c:pt>
                <c:pt idx="1581">
                  <c:v>27</c:v>
                </c:pt>
                <c:pt idx="1582">
                  <c:v>27</c:v>
                </c:pt>
                <c:pt idx="1583">
                  <c:v>27</c:v>
                </c:pt>
                <c:pt idx="1584">
                  <c:v>27</c:v>
                </c:pt>
                <c:pt idx="1585">
                  <c:v>27</c:v>
                </c:pt>
                <c:pt idx="1586">
                  <c:v>27</c:v>
                </c:pt>
                <c:pt idx="1587">
                  <c:v>27</c:v>
                </c:pt>
                <c:pt idx="1588">
                  <c:v>27</c:v>
                </c:pt>
                <c:pt idx="1589">
                  <c:v>32</c:v>
                </c:pt>
                <c:pt idx="1590">
                  <c:v>32</c:v>
                </c:pt>
                <c:pt idx="1591">
                  <c:v>32</c:v>
                </c:pt>
                <c:pt idx="1592">
                  <c:v>32</c:v>
                </c:pt>
                <c:pt idx="1593">
                  <c:v>25</c:v>
                </c:pt>
                <c:pt idx="1594">
                  <c:v>15</c:v>
                </c:pt>
                <c:pt idx="1595">
                  <c:v>15</c:v>
                </c:pt>
                <c:pt idx="1596">
                  <c:v>15</c:v>
                </c:pt>
                <c:pt idx="1597">
                  <c:v>10</c:v>
                </c:pt>
                <c:pt idx="1598">
                  <c:v>20</c:v>
                </c:pt>
                <c:pt idx="1599">
                  <c:v>20</c:v>
                </c:pt>
                <c:pt idx="1600">
                  <c:v>25</c:v>
                </c:pt>
                <c:pt idx="1601">
                  <c:v>15</c:v>
                </c:pt>
                <c:pt idx="1602">
                  <c:v>20</c:v>
                </c:pt>
                <c:pt idx="1603">
                  <c:v>20</c:v>
                </c:pt>
                <c:pt idx="1604">
                  <c:v>30</c:v>
                </c:pt>
                <c:pt idx="1605">
                  <c:v>20</c:v>
                </c:pt>
                <c:pt idx="1606">
                  <c:v>25</c:v>
                </c:pt>
                <c:pt idx="1607">
                  <c:v>15</c:v>
                </c:pt>
                <c:pt idx="1608">
                  <c:v>20</c:v>
                </c:pt>
                <c:pt idx="1609">
                  <c:v>20</c:v>
                </c:pt>
                <c:pt idx="1610">
                  <c:v>35</c:v>
                </c:pt>
                <c:pt idx="1611">
                  <c:v>25</c:v>
                </c:pt>
                <c:pt idx="1612">
                  <c:v>25</c:v>
                </c:pt>
                <c:pt idx="1613">
                  <c:v>15</c:v>
                </c:pt>
                <c:pt idx="1614">
                  <c:v>20</c:v>
                </c:pt>
                <c:pt idx="1615">
                  <c:v>15</c:v>
                </c:pt>
                <c:pt idx="1616">
                  <c:v>15</c:v>
                </c:pt>
                <c:pt idx="1617">
                  <c:v>15</c:v>
                </c:pt>
                <c:pt idx="1618">
                  <c:v>20</c:v>
                </c:pt>
                <c:pt idx="1619">
                  <c:v>25</c:v>
                </c:pt>
                <c:pt idx="1620">
                  <c:v>25</c:v>
                </c:pt>
                <c:pt idx="1621">
                  <c:v>15</c:v>
                </c:pt>
                <c:pt idx="1622">
                  <c:v>25</c:v>
                </c:pt>
                <c:pt idx="1623">
                  <c:v>20</c:v>
                </c:pt>
                <c:pt idx="1624">
                  <c:v>25</c:v>
                </c:pt>
                <c:pt idx="1625">
                  <c:v>20</c:v>
                </c:pt>
                <c:pt idx="1626">
                  <c:v>20</c:v>
                </c:pt>
                <c:pt idx="1627">
                  <c:v>25</c:v>
                </c:pt>
                <c:pt idx="1628">
                  <c:v>15</c:v>
                </c:pt>
                <c:pt idx="1629">
                  <c:v>20</c:v>
                </c:pt>
                <c:pt idx="1630">
                  <c:v>15</c:v>
                </c:pt>
                <c:pt idx="1631">
                  <c:v>15</c:v>
                </c:pt>
                <c:pt idx="1632">
                  <c:v>10</c:v>
                </c:pt>
                <c:pt idx="1633">
                  <c:v>15</c:v>
                </c:pt>
                <c:pt idx="1634">
                  <c:v>10</c:v>
                </c:pt>
                <c:pt idx="1635">
                  <c:v>10</c:v>
                </c:pt>
                <c:pt idx="1636">
                  <c:v>10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33</c:v>
                </c:pt>
                <c:pt idx="1642">
                  <c:v>33</c:v>
                </c:pt>
                <c:pt idx="1643">
                  <c:v>28</c:v>
                </c:pt>
                <c:pt idx="1644">
                  <c:v>28</c:v>
                </c:pt>
                <c:pt idx="1645">
                  <c:v>28</c:v>
                </c:pt>
                <c:pt idx="1646">
                  <c:v>28</c:v>
                </c:pt>
                <c:pt idx="1647">
                  <c:v>28</c:v>
                </c:pt>
                <c:pt idx="1648">
                  <c:v>28</c:v>
                </c:pt>
                <c:pt idx="1649">
                  <c:v>28</c:v>
                </c:pt>
                <c:pt idx="1650">
                  <c:v>28</c:v>
                </c:pt>
                <c:pt idx="1651">
                  <c:v>28</c:v>
                </c:pt>
                <c:pt idx="1652">
                  <c:v>28</c:v>
                </c:pt>
                <c:pt idx="1653">
                  <c:v>23</c:v>
                </c:pt>
                <c:pt idx="1654">
                  <c:v>23</c:v>
                </c:pt>
                <c:pt idx="1655">
                  <c:v>23</c:v>
                </c:pt>
                <c:pt idx="1656">
                  <c:v>23</c:v>
                </c:pt>
                <c:pt idx="1657">
                  <c:v>23</c:v>
                </c:pt>
                <c:pt idx="1658">
                  <c:v>23</c:v>
                </c:pt>
                <c:pt idx="1659">
                  <c:v>23</c:v>
                </c:pt>
                <c:pt idx="1660">
                  <c:v>23</c:v>
                </c:pt>
                <c:pt idx="1661">
                  <c:v>23</c:v>
                </c:pt>
                <c:pt idx="1662">
                  <c:v>23</c:v>
                </c:pt>
                <c:pt idx="1663">
                  <c:v>23</c:v>
                </c:pt>
                <c:pt idx="1664">
                  <c:v>23</c:v>
                </c:pt>
                <c:pt idx="1665">
                  <c:v>23</c:v>
                </c:pt>
                <c:pt idx="1666">
                  <c:v>23</c:v>
                </c:pt>
                <c:pt idx="1667">
                  <c:v>23</c:v>
                </c:pt>
                <c:pt idx="1668">
                  <c:v>18</c:v>
                </c:pt>
                <c:pt idx="1669">
                  <c:v>18</c:v>
                </c:pt>
                <c:pt idx="1670">
                  <c:v>18</c:v>
                </c:pt>
                <c:pt idx="1671">
                  <c:v>18</c:v>
                </c:pt>
                <c:pt idx="1672">
                  <c:v>18</c:v>
                </c:pt>
                <c:pt idx="1673">
                  <c:v>18</c:v>
                </c:pt>
                <c:pt idx="1674">
                  <c:v>18</c:v>
                </c:pt>
                <c:pt idx="1675">
                  <c:v>18</c:v>
                </c:pt>
                <c:pt idx="1676">
                  <c:v>18</c:v>
                </c:pt>
                <c:pt idx="1677">
                  <c:v>18</c:v>
                </c:pt>
                <c:pt idx="1678">
                  <c:v>18</c:v>
                </c:pt>
                <c:pt idx="1679">
                  <c:v>18</c:v>
                </c:pt>
                <c:pt idx="1680">
                  <c:v>18</c:v>
                </c:pt>
                <c:pt idx="1681">
                  <c:v>18</c:v>
                </c:pt>
                <c:pt idx="1682">
                  <c:v>18</c:v>
                </c:pt>
                <c:pt idx="1683">
                  <c:v>18</c:v>
                </c:pt>
                <c:pt idx="1684">
                  <c:v>31</c:v>
                </c:pt>
                <c:pt idx="1685">
                  <c:v>31</c:v>
                </c:pt>
                <c:pt idx="1686">
                  <c:v>31</c:v>
                </c:pt>
                <c:pt idx="1687">
                  <c:v>31</c:v>
                </c:pt>
                <c:pt idx="1688">
                  <c:v>31</c:v>
                </c:pt>
                <c:pt idx="1689">
                  <c:v>31</c:v>
                </c:pt>
                <c:pt idx="1690">
                  <c:v>26</c:v>
                </c:pt>
                <c:pt idx="1691">
                  <c:v>26</c:v>
                </c:pt>
                <c:pt idx="1692">
                  <c:v>26</c:v>
                </c:pt>
                <c:pt idx="1693">
                  <c:v>26</c:v>
                </c:pt>
                <c:pt idx="1694">
                  <c:v>26</c:v>
                </c:pt>
                <c:pt idx="1695">
                  <c:v>13</c:v>
                </c:pt>
                <c:pt idx="1696">
                  <c:v>26</c:v>
                </c:pt>
                <c:pt idx="1697">
                  <c:v>13</c:v>
                </c:pt>
                <c:pt idx="1698">
                  <c:v>26</c:v>
                </c:pt>
                <c:pt idx="1699">
                  <c:v>26</c:v>
                </c:pt>
                <c:pt idx="1700">
                  <c:v>26</c:v>
                </c:pt>
                <c:pt idx="1701">
                  <c:v>13</c:v>
                </c:pt>
                <c:pt idx="1702">
                  <c:v>26</c:v>
                </c:pt>
                <c:pt idx="1703">
                  <c:v>26</c:v>
                </c:pt>
                <c:pt idx="1704">
                  <c:v>26</c:v>
                </c:pt>
                <c:pt idx="1705">
                  <c:v>34</c:v>
                </c:pt>
                <c:pt idx="1706">
                  <c:v>21</c:v>
                </c:pt>
                <c:pt idx="1707">
                  <c:v>21</c:v>
                </c:pt>
                <c:pt idx="1708">
                  <c:v>21</c:v>
                </c:pt>
                <c:pt idx="1709">
                  <c:v>21</c:v>
                </c:pt>
                <c:pt idx="1710">
                  <c:v>21</c:v>
                </c:pt>
                <c:pt idx="1711">
                  <c:v>21</c:v>
                </c:pt>
                <c:pt idx="1712">
                  <c:v>21</c:v>
                </c:pt>
                <c:pt idx="1713">
                  <c:v>21</c:v>
                </c:pt>
                <c:pt idx="1714">
                  <c:v>21</c:v>
                </c:pt>
                <c:pt idx="1715">
                  <c:v>21</c:v>
                </c:pt>
                <c:pt idx="1716">
                  <c:v>21</c:v>
                </c:pt>
                <c:pt idx="1717">
                  <c:v>21</c:v>
                </c:pt>
                <c:pt idx="1718">
                  <c:v>21</c:v>
                </c:pt>
                <c:pt idx="1719">
                  <c:v>21</c:v>
                </c:pt>
                <c:pt idx="1720">
                  <c:v>21</c:v>
                </c:pt>
                <c:pt idx="1721">
                  <c:v>21</c:v>
                </c:pt>
                <c:pt idx="1722">
                  <c:v>29</c:v>
                </c:pt>
                <c:pt idx="1723">
                  <c:v>29</c:v>
                </c:pt>
                <c:pt idx="1724">
                  <c:v>29</c:v>
                </c:pt>
                <c:pt idx="1725">
                  <c:v>29</c:v>
                </c:pt>
                <c:pt idx="1726">
                  <c:v>16</c:v>
                </c:pt>
                <c:pt idx="1727">
                  <c:v>16</c:v>
                </c:pt>
                <c:pt idx="1728">
                  <c:v>16</c:v>
                </c:pt>
                <c:pt idx="1729">
                  <c:v>24</c:v>
                </c:pt>
                <c:pt idx="1730">
                  <c:v>16</c:v>
                </c:pt>
                <c:pt idx="1731">
                  <c:v>16</c:v>
                </c:pt>
                <c:pt idx="1732">
                  <c:v>24</c:v>
                </c:pt>
                <c:pt idx="1733">
                  <c:v>24</c:v>
                </c:pt>
                <c:pt idx="1734">
                  <c:v>16</c:v>
                </c:pt>
                <c:pt idx="1735">
                  <c:v>24</c:v>
                </c:pt>
                <c:pt idx="1736">
                  <c:v>24</c:v>
                </c:pt>
                <c:pt idx="1737">
                  <c:v>24</c:v>
                </c:pt>
                <c:pt idx="1738">
                  <c:v>24</c:v>
                </c:pt>
                <c:pt idx="1739">
                  <c:v>16</c:v>
                </c:pt>
                <c:pt idx="1740">
                  <c:v>16</c:v>
                </c:pt>
                <c:pt idx="1741">
                  <c:v>16</c:v>
                </c:pt>
                <c:pt idx="1742">
                  <c:v>16</c:v>
                </c:pt>
                <c:pt idx="1743">
                  <c:v>24</c:v>
                </c:pt>
                <c:pt idx="1744">
                  <c:v>32</c:v>
                </c:pt>
                <c:pt idx="1745">
                  <c:v>8</c:v>
                </c:pt>
                <c:pt idx="1746">
                  <c:v>16</c:v>
                </c:pt>
                <c:pt idx="1747">
                  <c:v>16</c:v>
                </c:pt>
                <c:pt idx="1748">
                  <c:v>16</c:v>
                </c:pt>
                <c:pt idx="1749">
                  <c:v>24</c:v>
                </c:pt>
                <c:pt idx="1750">
                  <c:v>35</c:v>
                </c:pt>
                <c:pt idx="1751">
                  <c:v>35</c:v>
                </c:pt>
                <c:pt idx="1752">
                  <c:v>27</c:v>
                </c:pt>
                <c:pt idx="1753">
                  <c:v>27</c:v>
                </c:pt>
                <c:pt idx="1754">
                  <c:v>27</c:v>
                </c:pt>
                <c:pt idx="1755">
                  <c:v>27</c:v>
                </c:pt>
                <c:pt idx="1756">
                  <c:v>27</c:v>
                </c:pt>
                <c:pt idx="1757">
                  <c:v>27</c:v>
                </c:pt>
                <c:pt idx="1758">
                  <c:v>27</c:v>
                </c:pt>
                <c:pt idx="1759">
                  <c:v>27</c:v>
                </c:pt>
                <c:pt idx="1760">
                  <c:v>27</c:v>
                </c:pt>
                <c:pt idx="1761">
                  <c:v>27</c:v>
                </c:pt>
                <c:pt idx="1762">
                  <c:v>27</c:v>
                </c:pt>
                <c:pt idx="1763">
                  <c:v>19</c:v>
                </c:pt>
                <c:pt idx="1764">
                  <c:v>19</c:v>
                </c:pt>
                <c:pt idx="1765">
                  <c:v>19</c:v>
                </c:pt>
                <c:pt idx="1766">
                  <c:v>19</c:v>
                </c:pt>
                <c:pt idx="1767">
                  <c:v>19</c:v>
                </c:pt>
                <c:pt idx="1768">
                  <c:v>19</c:v>
                </c:pt>
                <c:pt idx="1769">
                  <c:v>19</c:v>
                </c:pt>
                <c:pt idx="1770">
                  <c:v>19</c:v>
                </c:pt>
                <c:pt idx="1771">
                  <c:v>19</c:v>
                </c:pt>
                <c:pt idx="1772">
                  <c:v>19</c:v>
                </c:pt>
                <c:pt idx="1773">
                  <c:v>19</c:v>
                </c:pt>
                <c:pt idx="1774">
                  <c:v>19</c:v>
                </c:pt>
                <c:pt idx="1775">
                  <c:v>19</c:v>
                </c:pt>
                <c:pt idx="1776">
                  <c:v>19</c:v>
                </c:pt>
                <c:pt idx="1777">
                  <c:v>19</c:v>
                </c:pt>
                <c:pt idx="1778">
                  <c:v>19</c:v>
                </c:pt>
                <c:pt idx="1779">
                  <c:v>19</c:v>
                </c:pt>
                <c:pt idx="1780">
                  <c:v>30</c:v>
                </c:pt>
                <c:pt idx="1781">
                  <c:v>30</c:v>
                </c:pt>
                <c:pt idx="1782">
                  <c:v>30</c:v>
                </c:pt>
                <c:pt idx="1783">
                  <c:v>33</c:v>
                </c:pt>
                <c:pt idx="1784">
                  <c:v>11</c:v>
                </c:pt>
                <c:pt idx="1785">
                  <c:v>22</c:v>
                </c:pt>
                <c:pt idx="1786">
                  <c:v>22</c:v>
                </c:pt>
                <c:pt idx="1787">
                  <c:v>22</c:v>
                </c:pt>
                <c:pt idx="1788">
                  <c:v>22</c:v>
                </c:pt>
                <c:pt idx="1789">
                  <c:v>22</c:v>
                </c:pt>
                <c:pt idx="1790">
                  <c:v>22</c:v>
                </c:pt>
                <c:pt idx="1791">
                  <c:v>22</c:v>
                </c:pt>
                <c:pt idx="1792">
                  <c:v>22</c:v>
                </c:pt>
                <c:pt idx="1793">
                  <c:v>22</c:v>
                </c:pt>
                <c:pt idx="1794">
                  <c:v>22</c:v>
                </c:pt>
                <c:pt idx="1795">
                  <c:v>22</c:v>
                </c:pt>
                <c:pt idx="1796">
                  <c:v>22</c:v>
                </c:pt>
                <c:pt idx="1797">
                  <c:v>22</c:v>
                </c:pt>
                <c:pt idx="1798">
                  <c:v>22</c:v>
                </c:pt>
                <c:pt idx="1799">
                  <c:v>22</c:v>
                </c:pt>
                <c:pt idx="1800">
                  <c:v>22</c:v>
                </c:pt>
                <c:pt idx="1801">
                  <c:v>22</c:v>
                </c:pt>
                <c:pt idx="1802">
                  <c:v>22</c:v>
                </c:pt>
                <c:pt idx="1803">
                  <c:v>22</c:v>
                </c:pt>
                <c:pt idx="1804">
                  <c:v>22</c:v>
                </c:pt>
                <c:pt idx="1805">
                  <c:v>22</c:v>
                </c:pt>
                <c:pt idx="1806">
                  <c:v>11</c:v>
                </c:pt>
                <c:pt idx="1807">
                  <c:v>22</c:v>
                </c:pt>
                <c:pt idx="1808">
                  <c:v>11</c:v>
                </c:pt>
                <c:pt idx="1809">
                  <c:v>22</c:v>
                </c:pt>
                <c:pt idx="1810">
                  <c:v>22</c:v>
                </c:pt>
                <c:pt idx="1811">
                  <c:v>11</c:v>
                </c:pt>
                <c:pt idx="1812">
                  <c:v>25</c:v>
                </c:pt>
                <c:pt idx="1813">
                  <c:v>25</c:v>
                </c:pt>
                <c:pt idx="1814">
                  <c:v>25</c:v>
                </c:pt>
                <c:pt idx="1815">
                  <c:v>25</c:v>
                </c:pt>
                <c:pt idx="1816">
                  <c:v>25</c:v>
                </c:pt>
                <c:pt idx="1817">
                  <c:v>25</c:v>
                </c:pt>
                <c:pt idx="1818">
                  <c:v>25</c:v>
                </c:pt>
                <c:pt idx="1819">
                  <c:v>25</c:v>
                </c:pt>
                <c:pt idx="1820">
                  <c:v>25</c:v>
                </c:pt>
                <c:pt idx="1821">
                  <c:v>25</c:v>
                </c:pt>
                <c:pt idx="1822">
                  <c:v>25</c:v>
                </c:pt>
                <c:pt idx="1823">
                  <c:v>25</c:v>
                </c:pt>
                <c:pt idx="1824">
                  <c:v>25</c:v>
                </c:pt>
                <c:pt idx="1825">
                  <c:v>28</c:v>
                </c:pt>
                <c:pt idx="1826">
                  <c:v>14</c:v>
                </c:pt>
                <c:pt idx="1827">
                  <c:v>28</c:v>
                </c:pt>
                <c:pt idx="1828">
                  <c:v>28</c:v>
                </c:pt>
                <c:pt idx="1829">
                  <c:v>28</c:v>
                </c:pt>
                <c:pt idx="1830">
                  <c:v>14</c:v>
                </c:pt>
                <c:pt idx="1831">
                  <c:v>14</c:v>
                </c:pt>
                <c:pt idx="1832">
                  <c:v>31</c:v>
                </c:pt>
                <c:pt idx="1833">
                  <c:v>31</c:v>
                </c:pt>
                <c:pt idx="1834">
                  <c:v>31</c:v>
                </c:pt>
                <c:pt idx="1835">
                  <c:v>31</c:v>
                </c:pt>
                <c:pt idx="1836">
                  <c:v>17</c:v>
                </c:pt>
                <c:pt idx="1837">
                  <c:v>17</c:v>
                </c:pt>
                <c:pt idx="1838">
                  <c:v>17</c:v>
                </c:pt>
                <c:pt idx="1839">
                  <c:v>17</c:v>
                </c:pt>
                <c:pt idx="1840">
                  <c:v>17</c:v>
                </c:pt>
                <c:pt idx="1841">
                  <c:v>34</c:v>
                </c:pt>
                <c:pt idx="1842">
                  <c:v>17</c:v>
                </c:pt>
                <c:pt idx="1843">
                  <c:v>17</c:v>
                </c:pt>
                <c:pt idx="1844">
                  <c:v>17</c:v>
                </c:pt>
                <c:pt idx="1845">
                  <c:v>17</c:v>
                </c:pt>
                <c:pt idx="1846">
                  <c:v>34</c:v>
                </c:pt>
                <c:pt idx="1847">
                  <c:v>17</c:v>
                </c:pt>
                <c:pt idx="1848">
                  <c:v>17</c:v>
                </c:pt>
                <c:pt idx="1849">
                  <c:v>17</c:v>
                </c:pt>
                <c:pt idx="1850">
                  <c:v>17</c:v>
                </c:pt>
                <c:pt idx="1851">
                  <c:v>17</c:v>
                </c:pt>
                <c:pt idx="1852">
                  <c:v>17</c:v>
                </c:pt>
                <c:pt idx="1853">
                  <c:v>17</c:v>
                </c:pt>
                <c:pt idx="1854">
                  <c:v>17</c:v>
                </c:pt>
                <c:pt idx="1855">
                  <c:v>17</c:v>
                </c:pt>
                <c:pt idx="1856">
                  <c:v>17</c:v>
                </c:pt>
                <c:pt idx="1857">
                  <c:v>17</c:v>
                </c:pt>
                <c:pt idx="1858">
                  <c:v>17</c:v>
                </c:pt>
                <c:pt idx="1859">
                  <c:v>17</c:v>
                </c:pt>
                <c:pt idx="1860">
                  <c:v>17</c:v>
                </c:pt>
                <c:pt idx="1861">
                  <c:v>17</c:v>
                </c:pt>
                <c:pt idx="1862">
                  <c:v>17</c:v>
                </c:pt>
                <c:pt idx="1863">
                  <c:v>20</c:v>
                </c:pt>
                <c:pt idx="1864">
                  <c:v>20</c:v>
                </c:pt>
                <c:pt idx="1865">
                  <c:v>20</c:v>
                </c:pt>
                <c:pt idx="1866">
                  <c:v>20</c:v>
                </c:pt>
                <c:pt idx="1867">
                  <c:v>20</c:v>
                </c:pt>
                <c:pt idx="1868">
                  <c:v>20</c:v>
                </c:pt>
                <c:pt idx="1869">
                  <c:v>20</c:v>
                </c:pt>
                <c:pt idx="1870">
                  <c:v>20</c:v>
                </c:pt>
                <c:pt idx="1871">
                  <c:v>20</c:v>
                </c:pt>
                <c:pt idx="1872">
                  <c:v>20</c:v>
                </c:pt>
                <c:pt idx="1873">
                  <c:v>20</c:v>
                </c:pt>
                <c:pt idx="1874">
                  <c:v>20</c:v>
                </c:pt>
                <c:pt idx="1875">
                  <c:v>20</c:v>
                </c:pt>
                <c:pt idx="1876">
                  <c:v>20</c:v>
                </c:pt>
                <c:pt idx="1877">
                  <c:v>20</c:v>
                </c:pt>
                <c:pt idx="1878">
                  <c:v>23</c:v>
                </c:pt>
                <c:pt idx="1879">
                  <c:v>23</c:v>
                </c:pt>
                <c:pt idx="1880">
                  <c:v>23</c:v>
                </c:pt>
                <c:pt idx="1881">
                  <c:v>23</c:v>
                </c:pt>
                <c:pt idx="1882">
                  <c:v>23</c:v>
                </c:pt>
                <c:pt idx="1883">
                  <c:v>23</c:v>
                </c:pt>
                <c:pt idx="1884">
                  <c:v>23</c:v>
                </c:pt>
                <c:pt idx="1885">
                  <c:v>23</c:v>
                </c:pt>
                <c:pt idx="1886">
                  <c:v>23</c:v>
                </c:pt>
                <c:pt idx="1887">
                  <c:v>23</c:v>
                </c:pt>
                <c:pt idx="1888">
                  <c:v>23</c:v>
                </c:pt>
                <c:pt idx="1889">
                  <c:v>23</c:v>
                </c:pt>
                <c:pt idx="1890">
                  <c:v>23</c:v>
                </c:pt>
                <c:pt idx="1891">
                  <c:v>23</c:v>
                </c:pt>
                <c:pt idx="1892">
                  <c:v>23</c:v>
                </c:pt>
                <c:pt idx="1893">
                  <c:v>23</c:v>
                </c:pt>
                <c:pt idx="1894">
                  <c:v>26</c:v>
                </c:pt>
                <c:pt idx="1895">
                  <c:v>26</c:v>
                </c:pt>
                <c:pt idx="1896">
                  <c:v>26</c:v>
                </c:pt>
                <c:pt idx="1897">
                  <c:v>26</c:v>
                </c:pt>
                <c:pt idx="1898">
                  <c:v>26</c:v>
                </c:pt>
                <c:pt idx="1899">
                  <c:v>26</c:v>
                </c:pt>
                <c:pt idx="1900">
                  <c:v>26</c:v>
                </c:pt>
                <c:pt idx="1901">
                  <c:v>26</c:v>
                </c:pt>
                <c:pt idx="1902">
                  <c:v>26</c:v>
                </c:pt>
                <c:pt idx="1903">
                  <c:v>26</c:v>
                </c:pt>
                <c:pt idx="1904">
                  <c:v>26</c:v>
                </c:pt>
                <c:pt idx="1905">
                  <c:v>29</c:v>
                </c:pt>
                <c:pt idx="1906">
                  <c:v>29</c:v>
                </c:pt>
                <c:pt idx="1907">
                  <c:v>29</c:v>
                </c:pt>
                <c:pt idx="1908">
                  <c:v>29</c:v>
                </c:pt>
                <c:pt idx="1909">
                  <c:v>29</c:v>
                </c:pt>
                <c:pt idx="1910">
                  <c:v>29</c:v>
                </c:pt>
                <c:pt idx="1911">
                  <c:v>29</c:v>
                </c:pt>
                <c:pt idx="1912">
                  <c:v>32</c:v>
                </c:pt>
                <c:pt idx="1913">
                  <c:v>32</c:v>
                </c:pt>
                <c:pt idx="1914">
                  <c:v>32</c:v>
                </c:pt>
                <c:pt idx="1915">
                  <c:v>35</c:v>
                </c:pt>
                <c:pt idx="1916">
                  <c:v>24</c:v>
                </c:pt>
                <c:pt idx="1917">
                  <c:v>21</c:v>
                </c:pt>
                <c:pt idx="1918">
                  <c:v>30</c:v>
                </c:pt>
                <c:pt idx="1919">
                  <c:v>27</c:v>
                </c:pt>
                <c:pt idx="1920">
                  <c:v>24</c:v>
                </c:pt>
                <c:pt idx="1921">
                  <c:v>18</c:v>
                </c:pt>
                <c:pt idx="1922">
                  <c:v>21</c:v>
                </c:pt>
                <c:pt idx="1923">
                  <c:v>21</c:v>
                </c:pt>
                <c:pt idx="1924">
                  <c:v>21</c:v>
                </c:pt>
                <c:pt idx="1925">
                  <c:v>21</c:v>
                </c:pt>
                <c:pt idx="1926">
                  <c:v>21</c:v>
                </c:pt>
                <c:pt idx="1927">
                  <c:v>24</c:v>
                </c:pt>
                <c:pt idx="1928">
                  <c:v>21</c:v>
                </c:pt>
                <c:pt idx="1929">
                  <c:v>18</c:v>
                </c:pt>
                <c:pt idx="1930">
                  <c:v>27</c:v>
                </c:pt>
                <c:pt idx="1931">
                  <c:v>24</c:v>
                </c:pt>
                <c:pt idx="1932">
                  <c:v>24</c:v>
                </c:pt>
                <c:pt idx="1933">
                  <c:v>15</c:v>
                </c:pt>
                <c:pt idx="1934">
                  <c:v>21</c:v>
                </c:pt>
                <c:pt idx="1935">
                  <c:v>24</c:v>
                </c:pt>
                <c:pt idx="1936">
                  <c:v>24</c:v>
                </c:pt>
                <c:pt idx="1937">
                  <c:v>21</c:v>
                </c:pt>
                <c:pt idx="1938">
                  <c:v>18</c:v>
                </c:pt>
                <c:pt idx="1939">
                  <c:v>18</c:v>
                </c:pt>
                <c:pt idx="1940">
                  <c:v>36</c:v>
                </c:pt>
                <c:pt idx="1941">
                  <c:v>15</c:v>
                </c:pt>
                <c:pt idx="1942">
                  <c:v>15</c:v>
                </c:pt>
                <c:pt idx="1943">
                  <c:v>15</c:v>
                </c:pt>
                <c:pt idx="1944">
                  <c:v>21</c:v>
                </c:pt>
                <c:pt idx="1945">
                  <c:v>24</c:v>
                </c:pt>
                <c:pt idx="1946">
                  <c:v>15</c:v>
                </c:pt>
                <c:pt idx="1947">
                  <c:v>18</c:v>
                </c:pt>
                <c:pt idx="1948">
                  <c:v>24</c:v>
                </c:pt>
                <c:pt idx="1949">
                  <c:v>21</c:v>
                </c:pt>
                <c:pt idx="1950">
                  <c:v>24</c:v>
                </c:pt>
                <c:pt idx="1951">
                  <c:v>30</c:v>
                </c:pt>
                <c:pt idx="1952">
                  <c:v>27</c:v>
                </c:pt>
                <c:pt idx="1953">
                  <c:v>27</c:v>
                </c:pt>
                <c:pt idx="1954">
                  <c:v>24</c:v>
                </c:pt>
                <c:pt idx="1955">
                  <c:v>30</c:v>
                </c:pt>
                <c:pt idx="1956">
                  <c:v>24</c:v>
                </c:pt>
                <c:pt idx="1957">
                  <c:v>27</c:v>
                </c:pt>
                <c:pt idx="1958">
                  <c:v>12</c:v>
                </c:pt>
                <c:pt idx="1959">
                  <c:v>24</c:v>
                </c:pt>
                <c:pt idx="1960">
                  <c:v>15</c:v>
                </c:pt>
                <c:pt idx="1961">
                  <c:v>21</c:v>
                </c:pt>
                <c:pt idx="1962">
                  <c:v>21</c:v>
                </c:pt>
                <c:pt idx="1963">
                  <c:v>21</c:v>
                </c:pt>
                <c:pt idx="1964">
                  <c:v>27</c:v>
                </c:pt>
                <c:pt idx="1965">
                  <c:v>27</c:v>
                </c:pt>
                <c:pt idx="1966">
                  <c:v>18</c:v>
                </c:pt>
                <c:pt idx="1967">
                  <c:v>24</c:v>
                </c:pt>
                <c:pt idx="1968">
                  <c:v>27</c:v>
                </c:pt>
                <c:pt idx="1969">
                  <c:v>18</c:v>
                </c:pt>
                <c:pt idx="1970">
                  <c:v>21</c:v>
                </c:pt>
                <c:pt idx="1971">
                  <c:v>24</c:v>
                </c:pt>
                <c:pt idx="1972">
                  <c:v>21</c:v>
                </c:pt>
                <c:pt idx="1973">
                  <c:v>18</c:v>
                </c:pt>
                <c:pt idx="1974">
                  <c:v>15</c:v>
                </c:pt>
                <c:pt idx="1975">
                  <c:v>15</c:v>
                </c:pt>
                <c:pt idx="1976">
                  <c:v>12</c:v>
                </c:pt>
                <c:pt idx="1977">
                  <c:v>12</c:v>
                </c:pt>
                <c:pt idx="1978">
                  <c:v>18</c:v>
                </c:pt>
                <c:pt idx="1979">
                  <c:v>12</c:v>
                </c:pt>
                <c:pt idx="1980">
                  <c:v>6</c:v>
                </c:pt>
                <c:pt idx="1981">
                  <c:v>6</c:v>
                </c:pt>
                <c:pt idx="1982">
                  <c:v>6</c:v>
                </c:pt>
                <c:pt idx="1983">
                  <c:v>12</c:v>
                </c:pt>
                <c:pt idx="1984">
                  <c:v>12</c:v>
                </c:pt>
                <c:pt idx="1985">
                  <c:v>12</c:v>
                </c:pt>
                <c:pt idx="1986">
                  <c:v>6</c:v>
                </c:pt>
                <c:pt idx="1987">
                  <c:v>12</c:v>
                </c:pt>
                <c:pt idx="1988">
                  <c:v>6</c:v>
                </c:pt>
                <c:pt idx="1989">
                  <c:v>6</c:v>
                </c:pt>
                <c:pt idx="1990">
                  <c:v>34</c:v>
                </c:pt>
                <c:pt idx="1991">
                  <c:v>34</c:v>
                </c:pt>
                <c:pt idx="1992">
                  <c:v>34</c:v>
                </c:pt>
                <c:pt idx="1993">
                  <c:v>31</c:v>
                </c:pt>
                <c:pt idx="1994">
                  <c:v>31</c:v>
                </c:pt>
                <c:pt idx="1995">
                  <c:v>28</c:v>
                </c:pt>
                <c:pt idx="1996">
                  <c:v>28</c:v>
                </c:pt>
                <c:pt idx="1997">
                  <c:v>28</c:v>
                </c:pt>
                <c:pt idx="1998">
                  <c:v>28</c:v>
                </c:pt>
                <c:pt idx="1999">
                  <c:v>28</c:v>
                </c:pt>
                <c:pt idx="2000">
                  <c:v>28</c:v>
                </c:pt>
                <c:pt idx="2001">
                  <c:v>28</c:v>
                </c:pt>
                <c:pt idx="2002">
                  <c:v>28</c:v>
                </c:pt>
                <c:pt idx="2003">
                  <c:v>28</c:v>
                </c:pt>
                <c:pt idx="2004">
                  <c:v>25</c:v>
                </c:pt>
                <c:pt idx="2005">
                  <c:v>25</c:v>
                </c:pt>
                <c:pt idx="2006">
                  <c:v>25</c:v>
                </c:pt>
                <c:pt idx="2007">
                  <c:v>25</c:v>
                </c:pt>
                <c:pt idx="2008">
                  <c:v>25</c:v>
                </c:pt>
                <c:pt idx="2009">
                  <c:v>25</c:v>
                </c:pt>
                <c:pt idx="2010">
                  <c:v>25</c:v>
                </c:pt>
                <c:pt idx="2011">
                  <c:v>25</c:v>
                </c:pt>
                <c:pt idx="2012">
                  <c:v>25</c:v>
                </c:pt>
                <c:pt idx="2013">
                  <c:v>25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22</c:v>
                </c:pt>
                <c:pt idx="2019">
                  <c:v>22</c:v>
                </c:pt>
                <c:pt idx="2020">
                  <c:v>22</c:v>
                </c:pt>
                <c:pt idx="2021">
                  <c:v>22</c:v>
                </c:pt>
                <c:pt idx="2022">
                  <c:v>22</c:v>
                </c:pt>
                <c:pt idx="2023">
                  <c:v>22</c:v>
                </c:pt>
                <c:pt idx="2024">
                  <c:v>22</c:v>
                </c:pt>
                <c:pt idx="2025">
                  <c:v>22</c:v>
                </c:pt>
                <c:pt idx="2026">
                  <c:v>22</c:v>
                </c:pt>
                <c:pt idx="2027">
                  <c:v>22</c:v>
                </c:pt>
                <c:pt idx="2028">
                  <c:v>22</c:v>
                </c:pt>
                <c:pt idx="2029">
                  <c:v>22</c:v>
                </c:pt>
                <c:pt idx="2030">
                  <c:v>22</c:v>
                </c:pt>
                <c:pt idx="2031">
                  <c:v>22</c:v>
                </c:pt>
                <c:pt idx="2032">
                  <c:v>22</c:v>
                </c:pt>
                <c:pt idx="2033">
                  <c:v>22</c:v>
                </c:pt>
                <c:pt idx="2034">
                  <c:v>22</c:v>
                </c:pt>
                <c:pt idx="2035">
                  <c:v>22</c:v>
                </c:pt>
                <c:pt idx="2036">
                  <c:v>22</c:v>
                </c:pt>
                <c:pt idx="2037">
                  <c:v>22</c:v>
                </c:pt>
                <c:pt idx="2038">
                  <c:v>19</c:v>
                </c:pt>
                <c:pt idx="2039">
                  <c:v>19</c:v>
                </c:pt>
                <c:pt idx="2040">
                  <c:v>19</c:v>
                </c:pt>
                <c:pt idx="2041">
                  <c:v>19</c:v>
                </c:pt>
                <c:pt idx="2042">
                  <c:v>19</c:v>
                </c:pt>
                <c:pt idx="2043">
                  <c:v>19</c:v>
                </c:pt>
                <c:pt idx="2044">
                  <c:v>19</c:v>
                </c:pt>
                <c:pt idx="2045">
                  <c:v>19</c:v>
                </c:pt>
                <c:pt idx="2046">
                  <c:v>19</c:v>
                </c:pt>
                <c:pt idx="2047">
                  <c:v>19</c:v>
                </c:pt>
                <c:pt idx="2048">
                  <c:v>19</c:v>
                </c:pt>
                <c:pt idx="2049">
                  <c:v>19</c:v>
                </c:pt>
                <c:pt idx="2050">
                  <c:v>19</c:v>
                </c:pt>
                <c:pt idx="2051">
                  <c:v>19</c:v>
                </c:pt>
                <c:pt idx="2052">
                  <c:v>19</c:v>
                </c:pt>
                <c:pt idx="2053">
                  <c:v>19</c:v>
                </c:pt>
                <c:pt idx="2054">
                  <c:v>19</c:v>
                </c:pt>
                <c:pt idx="2055">
                  <c:v>19</c:v>
                </c:pt>
                <c:pt idx="2056">
                  <c:v>19</c:v>
                </c:pt>
                <c:pt idx="2057">
                  <c:v>19</c:v>
                </c:pt>
                <c:pt idx="2058">
                  <c:v>35</c:v>
                </c:pt>
                <c:pt idx="2059">
                  <c:v>16</c:v>
                </c:pt>
                <c:pt idx="2060">
                  <c:v>16</c:v>
                </c:pt>
                <c:pt idx="2061">
                  <c:v>16</c:v>
                </c:pt>
                <c:pt idx="2062">
                  <c:v>16</c:v>
                </c:pt>
                <c:pt idx="2063">
                  <c:v>16</c:v>
                </c:pt>
                <c:pt idx="2064">
                  <c:v>16</c:v>
                </c:pt>
                <c:pt idx="2065">
                  <c:v>16</c:v>
                </c:pt>
                <c:pt idx="2066">
                  <c:v>32</c:v>
                </c:pt>
                <c:pt idx="2067">
                  <c:v>16</c:v>
                </c:pt>
                <c:pt idx="2068">
                  <c:v>16</c:v>
                </c:pt>
                <c:pt idx="2069">
                  <c:v>16</c:v>
                </c:pt>
                <c:pt idx="2070">
                  <c:v>29</c:v>
                </c:pt>
                <c:pt idx="2071">
                  <c:v>29</c:v>
                </c:pt>
                <c:pt idx="2072">
                  <c:v>29</c:v>
                </c:pt>
                <c:pt idx="2073">
                  <c:v>29</c:v>
                </c:pt>
                <c:pt idx="2074">
                  <c:v>29</c:v>
                </c:pt>
                <c:pt idx="2075">
                  <c:v>29</c:v>
                </c:pt>
                <c:pt idx="2076">
                  <c:v>13</c:v>
                </c:pt>
                <c:pt idx="2077">
                  <c:v>26</c:v>
                </c:pt>
                <c:pt idx="2078">
                  <c:v>13</c:v>
                </c:pt>
                <c:pt idx="2079">
                  <c:v>26</c:v>
                </c:pt>
                <c:pt idx="2080">
                  <c:v>26</c:v>
                </c:pt>
                <c:pt idx="2081">
                  <c:v>26</c:v>
                </c:pt>
                <c:pt idx="2082">
                  <c:v>26</c:v>
                </c:pt>
                <c:pt idx="2083">
                  <c:v>13</c:v>
                </c:pt>
                <c:pt idx="2084">
                  <c:v>13</c:v>
                </c:pt>
                <c:pt idx="2085">
                  <c:v>26</c:v>
                </c:pt>
                <c:pt idx="2086">
                  <c:v>26</c:v>
                </c:pt>
                <c:pt idx="2087">
                  <c:v>13</c:v>
                </c:pt>
                <c:pt idx="2088">
                  <c:v>26</c:v>
                </c:pt>
                <c:pt idx="2089">
                  <c:v>26</c:v>
                </c:pt>
                <c:pt idx="2090">
                  <c:v>26</c:v>
                </c:pt>
                <c:pt idx="2091">
                  <c:v>26</c:v>
                </c:pt>
                <c:pt idx="2092">
                  <c:v>13</c:v>
                </c:pt>
                <c:pt idx="2093">
                  <c:v>13</c:v>
                </c:pt>
                <c:pt idx="2094">
                  <c:v>13</c:v>
                </c:pt>
                <c:pt idx="2095">
                  <c:v>13</c:v>
                </c:pt>
                <c:pt idx="2096">
                  <c:v>13</c:v>
                </c:pt>
                <c:pt idx="2097">
                  <c:v>13</c:v>
                </c:pt>
                <c:pt idx="2098">
                  <c:v>13</c:v>
                </c:pt>
                <c:pt idx="2099">
                  <c:v>23</c:v>
                </c:pt>
                <c:pt idx="2100">
                  <c:v>23</c:v>
                </c:pt>
                <c:pt idx="2101">
                  <c:v>23</c:v>
                </c:pt>
                <c:pt idx="2102">
                  <c:v>23</c:v>
                </c:pt>
                <c:pt idx="2103">
                  <c:v>23</c:v>
                </c:pt>
                <c:pt idx="2104">
                  <c:v>23</c:v>
                </c:pt>
                <c:pt idx="2105">
                  <c:v>23</c:v>
                </c:pt>
                <c:pt idx="2106">
                  <c:v>23</c:v>
                </c:pt>
                <c:pt idx="2107">
                  <c:v>23</c:v>
                </c:pt>
                <c:pt idx="2108">
                  <c:v>23</c:v>
                </c:pt>
                <c:pt idx="2109">
                  <c:v>23</c:v>
                </c:pt>
                <c:pt idx="2110">
                  <c:v>23</c:v>
                </c:pt>
                <c:pt idx="2111">
                  <c:v>23</c:v>
                </c:pt>
                <c:pt idx="2112">
                  <c:v>23</c:v>
                </c:pt>
                <c:pt idx="2113">
                  <c:v>23</c:v>
                </c:pt>
                <c:pt idx="2114">
                  <c:v>23</c:v>
                </c:pt>
                <c:pt idx="2115">
                  <c:v>23</c:v>
                </c:pt>
                <c:pt idx="2116">
                  <c:v>23</c:v>
                </c:pt>
                <c:pt idx="2117">
                  <c:v>23</c:v>
                </c:pt>
                <c:pt idx="2118">
                  <c:v>23</c:v>
                </c:pt>
                <c:pt idx="2119">
                  <c:v>23</c:v>
                </c:pt>
                <c:pt idx="2120">
                  <c:v>23</c:v>
                </c:pt>
                <c:pt idx="2121">
                  <c:v>23</c:v>
                </c:pt>
                <c:pt idx="2122">
                  <c:v>23</c:v>
                </c:pt>
                <c:pt idx="2123">
                  <c:v>23</c:v>
                </c:pt>
                <c:pt idx="2124">
                  <c:v>30</c:v>
                </c:pt>
                <c:pt idx="2125">
                  <c:v>20</c:v>
                </c:pt>
                <c:pt idx="2126">
                  <c:v>20</c:v>
                </c:pt>
                <c:pt idx="2127">
                  <c:v>20</c:v>
                </c:pt>
                <c:pt idx="2128">
                  <c:v>20</c:v>
                </c:pt>
                <c:pt idx="2129">
                  <c:v>20</c:v>
                </c:pt>
                <c:pt idx="2130">
                  <c:v>20</c:v>
                </c:pt>
                <c:pt idx="2131">
                  <c:v>20</c:v>
                </c:pt>
                <c:pt idx="2132">
                  <c:v>20</c:v>
                </c:pt>
                <c:pt idx="2133">
                  <c:v>20</c:v>
                </c:pt>
                <c:pt idx="2134">
                  <c:v>20</c:v>
                </c:pt>
                <c:pt idx="2135">
                  <c:v>30</c:v>
                </c:pt>
                <c:pt idx="2136">
                  <c:v>20</c:v>
                </c:pt>
                <c:pt idx="2137">
                  <c:v>20</c:v>
                </c:pt>
                <c:pt idx="2138">
                  <c:v>20</c:v>
                </c:pt>
                <c:pt idx="2139">
                  <c:v>20</c:v>
                </c:pt>
                <c:pt idx="2140">
                  <c:v>20</c:v>
                </c:pt>
                <c:pt idx="2141">
                  <c:v>20</c:v>
                </c:pt>
                <c:pt idx="2142">
                  <c:v>20</c:v>
                </c:pt>
                <c:pt idx="2143">
                  <c:v>20</c:v>
                </c:pt>
                <c:pt idx="2144">
                  <c:v>20</c:v>
                </c:pt>
                <c:pt idx="2145">
                  <c:v>20</c:v>
                </c:pt>
                <c:pt idx="2146">
                  <c:v>20</c:v>
                </c:pt>
                <c:pt idx="2147">
                  <c:v>20</c:v>
                </c:pt>
                <c:pt idx="2148">
                  <c:v>27</c:v>
                </c:pt>
                <c:pt idx="2149">
                  <c:v>27</c:v>
                </c:pt>
                <c:pt idx="2150">
                  <c:v>27</c:v>
                </c:pt>
                <c:pt idx="2151">
                  <c:v>27</c:v>
                </c:pt>
                <c:pt idx="2152">
                  <c:v>27</c:v>
                </c:pt>
                <c:pt idx="2153">
                  <c:v>27</c:v>
                </c:pt>
                <c:pt idx="2154">
                  <c:v>27</c:v>
                </c:pt>
                <c:pt idx="2155">
                  <c:v>27</c:v>
                </c:pt>
                <c:pt idx="2156">
                  <c:v>27</c:v>
                </c:pt>
                <c:pt idx="2157">
                  <c:v>27</c:v>
                </c:pt>
                <c:pt idx="2158">
                  <c:v>27</c:v>
                </c:pt>
                <c:pt idx="2159">
                  <c:v>27</c:v>
                </c:pt>
                <c:pt idx="2160">
                  <c:v>17</c:v>
                </c:pt>
                <c:pt idx="2161">
                  <c:v>17</c:v>
                </c:pt>
                <c:pt idx="2162">
                  <c:v>34</c:v>
                </c:pt>
                <c:pt idx="2163">
                  <c:v>17</c:v>
                </c:pt>
                <c:pt idx="2164">
                  <c:v>17</c:v>
                </c:pt>
                <c:pt idx="2165">
                  <c:v>17</c:v>
                </c:pt>
                <c:pt idx="2166">
                  <c:v>17</c:v>
                </c:pt>
                <c:pt idx="2167">
                  <c:v>17</c:v>
                </c:pt>
                <c:pt idx="2168">
                  <c:v>17</c:v>
                </c:pt>
                <c:pt idx="2169">
                  <c:v>17</c:v>
                </c:pt>
                <c:pt idx="2170">
                  <c:v>17</c:v>
                </c:pt>
                <c:pt idx="2171">
                  <c:v>17</c:v>
                </c:pt>
                <c:pt idx="2172">
                  <c:v>17</c:v>
                </c:pt>
                <c:pt idx="2173">
                  <c:v>17</c:v>
                </c:pt>
                <c:pt idx="2174">
                  <c:v>34</c:v>
                </c:pt>
                <c:pt idx="2175">
                  <c:v>17</c:v>
                </c:pt>
                <c:pt idx="2176">
                  <c:v>17</c:v>
                </c:pt>
                <c:pt idx="2177">
                  <c:v>17</c:v>
                </c:pt>
                <c:pt idx="2178">
                  <c:v>17</c:v>
                </c:pt>
                <c:pt idx="2179">
                  <c:v>17</c:v>
                </c:pt>
                <c:pt idx="2180">
                  <c:v>24</c:v>
                </c:pt>
                <c:pt idx="2181">
                  <c:v>24</c:v>
                </c:pt>
                <c:pt idx="2182">
                  <c:v>24</c:v>
                </c:pt>
                <c:pt idx="2183">
                  <c:v>24</c:v>
                </c:pt>
                <c:pt idx="2184">
                  <c:v>24</c:v>
                </c:pt>
                <c:pt idx="2185">
                  <c:v>24</c:v>
                </c:pt>
                <c:pt idx="2186">
                  <c:v>24</c:v>
                </c:pt>
                <c:pt idx="2187">
                  <c:v>24</c:v>
                </c:pt>
                <c:pt idx="2188">
                  <c:v>24</c:v>
                </c:pt>
                <c:pt idx="2189">
                  <c:v>24</c:v>
                </c:pt>
                <c:pt idx="2190">
                  <c:v>24</c:v>
                </c:pt>
                <c:pt idx="2191">
                  <c:v>24</c:v>
                </c:pt>
                <c:pt idx="2192">
                  <c:v>31</c:v>
                </c:pt>
                <c:pt idx="2193">
                  <c:v>21</c:v>
                </c:pt>
                <c:pt idx="2194">
                  <c:v>21</c:v>
                </c:pt>
                <c:pt idx="2195">
                  <c:v>21</c:v>
                </c:pt>
                <c:pt idx="2196">
                  <c:v>14</c:v>
                </c:pt>
                <c:pt idx="2197">
                  <c:v>21</c:v>
                </c:pt>
                <c:pt idx="2198">
                  <c:v>21</c:v>
                </c:pt>
                <c:pt idx="2199">
                  <c:v>21</c:v>
                </c:pt>
                <c:pt idx="2200">
                  <c:v>28</c:v>
                </c:pt>
                <c:pt idx="2201">
                  <c:v>21</c:v>
                </c:pt>
                <c:pt idx="2202">
                  <c:v>21</c:v>
                </c:pt>
                <c:pt idx="2203">
                  <c:v>14</c:v>
                </c:pt>
                <c:pt idx="2204">
                  <c:v>21</c:v>
                </c:pt>
                <c:pt idx="2205">
                  <c:v>21</c:v>
                </c:pt>
                <c:pt idx="2206">
                  <c:v>21</c:v>
                </c:pt>
                <c:pt idx="2207">
                  <c:v>21</c:v>
                </c:pt>
                <c:pt idx="2208">
                  <c:v>28</c:v>
                </c:pt>
                <c:pt idx="2209">
                  <c:v>21</c:v>
                </c:pt>
                <c:pt idx="2210">
                  <c:v>21</c:v>
                </c:pt>
                <c:pt idx="2211">
                  <c:v>21</c:v>
                </c:pt>
                <c:pt idx="2212">
                  <c:v>21</c:v>
                </c:pt>
                <c:pt idx="2213">
                  <c:v>14</c:v>
                </c:pt>
                <c:pt idx="2214">
                  <c:v>28</c:v>
                </c:pt>
                <c:pt idx="2215">
                  <c:v>21</c:v>
                </c:pt>
                <c:pt idx="2216">
                  <c:v>21</c:v>
                </c:pt>
                <c:pt idx="2217">
                  <c:v>21</c:v>
                </c:pt>
                <c:pt idx="2218">
                  <c:v>21</c:v>
                </c:pt>
                <c:pt idx="2219">
                  <c:v>21</c:v>
                </c:pt>
                <c:pt idx="2220">
                  <c:v>28</c:v>
                </c:pt>
                <c:pt idx="2221">
                  <c:v>14</c:v>
                </c:pt>
                <c:pt idx="2222">
                  <c:v>21</c:v>
                </c:pt>
                <c:pt idx="2223">
                  <c:v>21</c:v>
                </c:pt>
                <c:pt idx="2224">
                  <c:v>14</c:v>
                </c:pt>
                <c:pt idx="2225">
                  <c:v>14</c:v>
                </c:pt>
                <c:pt idx="2226">
                  <c:v>21</c:v>
                </c:pt>
                <c:pt idx="2227">
                  <c:v>14</c:v>
                </c:pt>
                <c:pt idx="2228">
                  <c:v>14</c:v>
                </c:pt>
                <c:pt idx="2229">
                  <c:v>7</c:v>
                </c:pt>
                <c:pt idx="2230">
                  <c:v>7</c:v>
                </c:pt>
                <c:pt idx="2231">
                  <c:v>14</c:v>
                </c:pt>
                <c:pt idx="2232">
                  <c:v>7</c:v>
                </c:pt>
                <c:pt idx="2233">
                  <c:v>32</c:v>
                </c:pt>
                <c:pt idx="2234">
                  <c:v>32</c:v>
                </c:pt>
                <c:pt idx="2235">
                  <c:v>32</c:v>
                </c:pt>
                <c:pt idx="2236">
                  <c:v>32</c:v>
                </c:pt>
                <c:pt idx="2237">
                  <c:v>25</c:v>
                </c:pt>
                <c:pt idx="2238">
                  <c:v>25</c:v>
                </c:pt>
                <c:pt idx="2239">
                  <c:v>25</c:v>
                </c:pt>
                <c:pt idx="2240">
                  <c:v>25</c:v>
                </c:pt>
                <c:pt idx="2241">
                  <c:v>25</c:v>
                </c:pt>
                <c:pt idx="2242">
                  <c:v>25</c:v>
                </c:pt>
                <c:pt idx="2243">
                  <c:v>25</c:v>
                </c:pt>
                <c:pt idx="2244">
                  <c:v>25</c:v>
                </c:pt>
                <c:pt idx="2245">
                  <c:v>25</c:v>
                </c:pt>
                <c:pt idx="2246">
                  <c:v>25</c:v>
                </c:pt>
                <c:pt idx="2247">
                  <c:v>25</c:v>
                </c:pt>
                <c:pt idx="2248">
                  <c:v>18</c:v>
                </c:pt>
                <c:pt idx="2249">
                  <c:v>18</c:v>
                </c:pt>
                <c:pt idx="2250">
                  <c:v>18</c:v>
                </c:pt>
                <c:pt idx="2251">
                  <c:v>18</c:v>
                </c:pt>
                <c:pt idx="2252">
                  <c:v>18</c:v>
                </c:pt>
                <c:pt idx="2253">
                  <c:v>18</c:v>
                </c:pt>
                <c:pt idx="2254">
                  <c:v>18</c:v>
                </c:pt>
                <c:pt idx="2255">
                  <c:v>18</c:v>
                </c:pt>
                <c:pt idx="2256">
                  <c:v>18</c:v>
                </c:pt>
                <c:pt idx="2257">
                  <c:v>18</c:v>
                </c:pt>
                <c:pt idx="2258">
                  <c:v>18</c:v>
                </c:pt>
                <c:pt idx="2259">
                  <c:v>18</c:v>
                </c:pt>
                <c:pt idx="2260">
                  <c:v>29</c:v>
                </c:pt>
                <c:pt idx="2261">
                  <c:v>29</c:v>
                </c:pt>
                <c:pt idx="2262">
                  <c:v>29</c:v>
                </c:pt>
                <c:pt idx="2263">
                  <c:v>29</c:v>
                </c:pt>
                <c:pt idx="2264">
                  <c:v>29</c:v>
                </c:pt>
                <c:pt idx="2265">
                  <c:v>29</c:v>
                </c:pt>
                <c:pt idx="2266">
                  <c:v>29</c:v>
                </c:pt>
                <c:pt idx="2267">
                  <c:v>29</c:v>
                </c:pt>
                <c:pt idx="2268">
                  <c:v>29</c:v>
                </c:pt>
                <c:pt idx="2269">
                  <c:v>22</c:v>
                </c:pt>
                <c:pt idx="2270">
                  <c:v>22</c:v>
                </c:pt>
                <c:pt idx="2271">
                  <c:v>22</c:v>
                </c:pt>
                <c:pt idx="2272">
                  <c:v>22</c:v>
                </c:pt>
                <c:pt idx="2273">
                  <c:v>22</c:v>
                </c:pt>
                <c:pt idx="2274">
                  <c:v>22</c:v>
                </c:pt>
                <c:pt idx="2275">
                  <c:v>22</c:v>
                </c:pt>
                <c:pt idx="2276">
                  <c:v>22</c:v>
                </c:pt>
                <c:pt idx="2277">
                  <c:v>22</c:v>
                </c:pt>
                <c:pt idx="2278">
                  <c:v>22</c:v>
                </c:pt>
                <c:pt idx="2279">
                  <c:v>22</c:v>
                </c:pt>
                <c:pt idx="2280">
                  <c:v>22</c:v>
                </c:pt>
                <c:pt idx="2281">
                  <c:v>22</c:v>
                </c:pt>
                <c:pt idx="2282">
                  <c:v>22</c:v>
                </c:pt>
                <c:pt idx="2283">
                  <c:v>22</c:v>
                </c:pt>
                <c:pt idx="2284">
                  <c:v>22</c:v>
                </c:pt>
                <c:pt idx="2285">
                  <c:v>22</c:v>
                </c:pt>
                <c:pt idx="2286">
                  <c:v>22</c:v>
                </c:pt>
                <c:pt idx="2287">
                  <c:v>22</c:v>
                </c:pt>
                <c:pt idx="2288">
                  <c:v>22</c:v>
                </c:pt>
                <c:pt idx="2289">
                  <c:v>22</c:v>
                </c:pt>
                <c:pt idx="2290">
                  <c:v>22</c:v>
                </c:pt>
                <c:pt idx="2291">
                  <c:v>22</c:v>
                </c:pt>
                <c:pt idx="2292">
                  <c:v>22</c:v>
                </c:pt>
                <c:pt idx="2293">
                  <c:v>22</c:v>
                </c:pt>
                <c:pt idx="2294">
                  <c:v>22</c:v>
                </c:pt>
                <c:pt idx="2295">
                  <c:v>22</c:v>
                </c:pt>
                <c:pt idx="2296">
                  <c:v>11</c:v>
                </c:pt>
                <c:pt idx="2297">
                  <c:v>11</c:v>
                </c:pt>
                <c:pt idx="2298">
                  <c:v>26</c:v>
                </c:pt>
                <c:pt idx="2299">
                  <c:v>26</c:v>
                </c:pt>
                <c:pt idx="2300">
                  <c:v>26</c:v>
                </c:pt>
                <c:pt idx="2301">
                  <c:v>26</c:v>
                </c:pt>
                <c:pt idx="2302">
                  <c:v>26</c:v>
                </c:pt>
                <c:pt idx="2303">
                  <c:v>26</c:v>
                </c:pt>
                <c:pt idx="2304">
                  <c:v>26</c:v>
                </c:pt>
                <c:pt idx="2305">
                  <c:v>26</c:v>
                </c:pt>
                <c:pt idx="2306">
                  <c:v>26</c:v>
                </c:pt>
                <c:pt idx="2307">
                  <c:v>26</c:v>
                </c:pt>
                <c:pt idx="2308">
                  <c:v>26</c:v>
                </c:pt>
                <c:pt idx="2309">
                  <c:v>26</c:v>
                </c:pt>
                <c:pt idx="2310">
                  <c:v>26</c:v>
                </c:pt>
                <c:pt idx="2311">
                  <c:v>26</c:v>
                </c:pt>
                <c:pt idx="2312">
                  <c:v>30</c:v>
                </c:pt>
                <c:pt idx="2313">
                  <c:v>15</c:v>
                </c:pt>
                <c:pt idx="2314">
                  <c:v>30</c:v>
                </c:pt>
                <c:pt idx="2315">
                  <c:v>30</c:v>
                </c:pt>
                <c:pt idx="2316">
                  <c:v>30</c:v>
                </c:pt>
                <c:pt idx="2317">
                  <c:v>30</c:v>
                </c:pt>
                <c:pt idx="2318">
                  <c:v>15</c:v>
                </c:pt>
                <c:pt idx="2319">
                  <c:v>15</c:v>
                </c:pt>
                <c:pt idx="2320">
                  <c:v>15</c:v>
                </c:pt>
                <c:pt idx="2321">
                  <c:v>15</c:v>
                </c:pt>
                <c:pt idx="2322">
                  <c:v>19</c:v>
                </c:pt>
                <c:pt idx="2323">
                  <c:v>19</c:v>
                </c:pt>
                <c:pt idx="2324">
                  <c:v>19</c:v>
                </c:pt>
                <c:pt idx="2325">
                  <c:v>19</c:v>
                </c:pt>
                <c:pt idx="2326">
                  <c:v>19</c:v>
                </c:pt>
                <c:pt idx="2327">
                  <c:v>19</c:v>
                </c:pt>
                <c:pt idx="2328">
                  <c:v>19</c:v>
                </c:pt>
                <c:pt idx="2329">
                  <c:v>19</c:v>
                </c:pt>
                <c:pt idx="2330">
                  <c:v>19</c:v>
                </c:pt>
                <c:pt idx="2331">
                  <c:v>19</c:v>
                </c:pt>
                <c:pt idx="2332">
                  <c:v>19</c:v>
                </c:pt>
                <c:pt idx="2333">
                  <c:v>19</c:v>
                </c:pt>
                <c:pt idx="2334">
                  <c:v>19</c:v>
                </c:pt>
                <c:pt idx="2335">
                  <c:v>19</c:v>
                </c:pt>
                <c:pt idx="2336">
                  <c:v>23</c:v>
                </c:pt>
                <c:pt idx="2337">
                  <c:v>23</c:v>
                </c:pt>
                <c:pt idx="2338">
                  <c:v>23</c:v>
                </c:pt>
                <c:pt idx="2339">
                  <c:v>23</c:v>
                </c:pt>
                <c:pt idx="2340">
                  <c:v>23</c:v>
                </c:pt>
                <c:pt idx="2341">
                  <c:v>23</c:v>
                </c:pt>
                <c:pt idx="2342">
                  <c:v>23</c:v>
                </c:pt>
                <c:pt idx="2343">
                  <c:v>27</c:v>
                </c:pt>
                <c:pt idx="2344">
                  <c:v>27</c:v>
                </c:pt>
                <c:pt idx="2345">
                  <c:v>27</c:v>
                </c:pt>
                <c:pt idx="2346">
                  <c:v>27</c:v>
                </c:pt>
                <c:pt idx="2347">
                  <c:v>27</c:v>
                </c:pt>
                <c:pt idx="2348">
                  <c:v>27</c:v>
                </c:pt>
                <c:pt idx="2349">
                  <c:v>27</c:v>
                </c:pt>
                <c:pt idx="2350">
                  <c:v>27</c:v>
                </c:pt>
                <c:pt idx="2351">
                  <c:v>31</c:v>
                </c:pt>
                <c:pt idx="2352">
                  <c:v>31</c:v>
                </c:pt>
                <c:pt idx="2353">
                  <c:v>31</c:v>
                </c:pt>
                <c:pt idx="2354">
                  <c:v>16</c:v>
                </c:pt>
                <c:pt idx="2355">
                  <c:v>24</c:v>
                </c:pt>
                <c:pt idx="2356">
                  <c:v>28</c:v>
                </c:pt>
                <c:pt idx="2357">
                  <c:v>20</c:v>
                </c:pt>
                <c:pt idx="2358">
                  <c:v>28</c:v>
                </c:pt>
                <c:pt idx="2359">
                  <c:v>24</c:v>
                </c:pt>
                <c:pt idx="2360">
                  <c:v>24</c:v>
                </c:pt>
                <c:pt idx="2361">
                  <c:v>16</c:v>
                </c:pt>
                <c:pt idx="2362">
                  <c:v>24</c:v>
                </c:pt>
                <c:pt idx="2363">
                  <c:v>24</c:v>
                </c:pt>
                <c:pt idx="2364">
                  <c:v>16</c:v>
                </c:pt>
                <c:pt idx="2365">
                  <c:v>16</c:v>
                </c:pt>
                <c:pt idx="2366">
                  <c:v>16</c:v>
                </c:pt>
                <c:pt idx="2367">
                  <c:v>20</c:v>
                </c:pt>
                <c:pt idx="2368">
                  <c:v>28</c:v>
                </c:pt>
                <c:pt idx="2369">
                  <c:v>28</c:v>
                </c:pt>
                <c:pt idx="2370">
                  <c:v>24</c:v>
                </c:pt>
                <c:pt idx="2371">
                  <c:v>20</c:v>
                </c:pt>
                <c:pt idx="2372">
                  <c:v>20</c:v>
                </c:pt>
                <c:pt idx="2373">
                  <c:v>24</c:v>
                </c:pt>
                <c:pt idx="2374">
                  <c:v>24</c:v>
                </c:pt>
                <c:pt idx="2375">
                  <c:v>28</c:v>
                </c:pt>
                <c:pt idx="2376">
                  <c:v>20</c:v>
                </c:pt>
                <c:pt idx="2377">
                  <c:v>24</c:v>
                </c:pt>
                <c:pt idx="2378">
                  <c:v>12</c:v>
                </c:pt>
                <c:pt idx="2379">
                  <c:v>16</c:v>
                </c:pt>
                <c:pt idx="2380">
                  <c:v>20</c:v>
                </c:pt>
                <c:pt idx="2381">
                  <c:v>28</c:v>
                </c:pt>
                <c:pt idx="2382">
                  <c:v>24</c:v>
                </c:pt>
                <c:pt idx="2383">
                  <c:v>16</c:v>
                </c:pt>
                <c:pt idx="2384">
                  <c:v>28</c:v>
                </c:pt>
                <c:pt idx="2385">
                  <c:v>16</c:v>
                </c:pt>
                <c:pt idx="2386">
                  <c:v>24</c:v>
                </c:pt>
                <c:pt idx="2387">
                  <c:v>24</c:v>
                </c:pt>
                <c:pt idx="2388">
                  <c:v>20</c:v>
                </c:pt>
                <c:pt idx="2389">
                  <c:v>28</c:v>
                </c:pt>
                <c:pt idx="2390">
                  <c:v>20</c:v>
                </c:pt>
                <c:pt idx="2391">
                  <c:v>28</c:v>
                </c:pt>
                <c:pt idx="2392">
                  <c:v>16</c:v>
                </c:pt>
                <c:pt idx="2393">
                  <c:v>24</c:v>
                </c:pt>
                <c:pt idx="2394">
                  <c:v>20</c:v>
                </c:pt>
                <c:pt idx="2395">
                  <c:v>12</c:v>
                </c:pt>
                <c:pt idx="2396">
                  <c:v>16</c:v>
                </c:pt>
                <c:pt idx="2397">
                  <c:v>28</c:v>
                </c:pt>
                <c:pt idx="2398">
                  <c:v>28</c:v>
                </c:pt>
                <c:pt idx="2399">
                  <c:v>16</c:v>
                </c:pt>
                <c:pt idx="2400">
                  <c:v>16</c:v>
                </c:pt>
                <c:pt idx="2401">
                  <c:v>24</c:v>
                </c:pt>
                <c:pt idx="2402">
                  <c:v>16</c:v>
                </c:pt>
                <c:pt idx="2403">
                  <c:v>16</c:v>
                </c:pt>
                <c:pt idx="2404">
                  <c:v>8</c:v>
                </c:pt>
                <c:pt idx="2405">
                  <c:v>8</c:v>
                </c:pt>
                <c:pt idx="2406">
                  <c:v>8</c:v>
                </c:pt>
                <c:pt idx="2407">
                  <c:v>8</c:v>
                </c:pt>
                <c:pt idx="2408">
                  <c:v>8</c:v>
                </c:pt>
                <c:pt idx="2409">
                  <c:v>8</c:v>
                </c:pt>
                <c:pt idx="2410">
                  <c:v>8</c:v>
                </c:pt>
                <c:pt idx="2411">
                  <c:v>29</c:v>
                </c:pt>
                <c:pt idx="2412">
                  <c:v>29</c:v>
                </c:pt>
                <c:pt idx="2413">
                  <c:v>25</c:v>
                </c:pt>
                <c:pt idx="2414">
                  <c:v>25</c:v>
                </c:pt>
                <c:pt idx="2415">
                  <c:v>25</c:v>
                </c:pt>
                <c:pt idx="2416">
                  <c:v>25</c:v>
                </c:pt>
                <c:pt idx="2417">
                  <c:v>25</c:v>
                </c:pt>
                <c:pt idx="2418">
                  <c:v>25</c:v>
                </c:pt>
                <c:pt idx="2419">
                  <c:v>25</c:v>
                </c:pt>
                <c:pt idx="2420">
                  <c:v>25</c:v>
                </c:pt>
                <c:pt idx="2421">
                  <c:v>25</c:v>
                </c:pt>
                <c:pt idx="2422">
                  <c:v>25</c:v>
                </c:pt>
                <c:pt idx="2423">
                  <c:v>25</c:v>
                </c:pt>
                <c:pt idx="2424">
                  <c:v>25</c:v>
                </c:pt>
                <c:pt idx="2425">
                  <c:v>21</c:v>
                </c:pt>
                <c:pt idx="2426">
                  <c:v>21</c:v>
                </c:pt>
                <c:pt idx="2427">
                  <c:v>21</c:v>
                </c:pt>
                <c:pt idx="2428">
                  <c:v>21</c:v>
                </c:pt>
                <c:pt idx="2429">
                  <c:v>21</c:v>
                </c:pt>
                <c:pt idx="2430">
                  <c:v>21</c:v>
                </c:pt>
                <c:pt idx="2431">
                  <c:v>21</c:v>
                </c:pt>
                <c:pt idx="2432">
                  <c:v>21</c:v>
                </c:pt>
                <c:pt idx="2433">
                  <c:v>21</c:v>
                </c:pt>
                <c:pt idx="2434">
                  <c:v>21</c:v>
                </c:pt>
                <c:pt idx="2435">
                  <c:v>21</c:v>
                </c:pt>
                <c:pt idx="2436">
                  <c:v>21</c:v>
                </c:pt>
                <c:pt idx="2437">
                  <c:v>21</c:v>
                </c:pt>
                <c:pt idx="2438">
                  <c:v>21</c:v>
                </c:pt>
                <c:pt idx="2439">
                  <c:v>21</c:v>
                </c:pt>
                <c:pt idx="2440">
                  <c:v>21</c:v>
                </c:pt>
                <c:pt idx="2441">
                  <c:v>21</c:v>
                </c:pt>
                <c:pt idx="2442">
                  <c:v>21</c:v>
                </c:pt>
                <c:pt idx="2443">
                  <c:v>21</c:v>
                </c:pt>
                <c:pt idx="2444">
                  <c:v>21</c:v>
                </c:pt>
                <c:pt idx="2445">
                  <c:v>17</c:v>
                </c:pt>
                <c:pt idx="2446">
                  <c:v>17</c:v>
                </c:pt>
                <c:pt idx="2447">
                  <c:v>17</c:v>
                </c:pt>
                <c:pt idx="2448">
                  <c:v>17</c:v>
                </c:pt>
                <c:pt idx="2449">
                  <c:v>17</c:v>
                </c:pt>
                <c:pt idx="2450">
                  <c:v>17</c:v>
                </c:pt>
                <c:pt idx="2451">
                  <c:v>17</c:v>
                </c:pt>
                <c:pt idx="2452">
                  <c:v>17</c:v>
                </c:pt>
                <c:pt idx="2453">
                  <c:v>17</c:v>
                </c:pt>
                <c:pt idx="2454">
                  <c:v>17</c:v>
                </c:pt>
                <c:pt idx="2455">
                  <c:v>26</c:v>
                </c:pt>
                <c:pt idx="2456">
                  <c:v>13</c:v>
                </c:pt>
                <c:pt idx="2457">
                  <c:v>26</c:v>
                </c:pt>
                <c:pt idx="2458">
                  <c:v>26</c:v>
                </c:pt>
                <c:pt idx="2459">
                  <c:v>26</c:v>
                </c:pt>
                <c:pt idx="2460">
                  <c:v>26</c:v>
                </c:pt>
                <c:pt idx="2461">
                  <c:v>26</c:v>
                </c:pt>
                <c:pt idx="2462">
                  <c:v>13</c:v>
                </c:pt>
                <c:pt idx="2463">
                  <c:v>13</c:v>
                </c:pt>
                <c:pt idx="2464">
                  <c:v>26</c:v>
                </c:pt>
                <c:pt idx="2465">
                  <c:v>26</c:v>
                </c:pt>
                <c:pt idx="2466">
                  <c:v>26</c:v>
                </c:pt>
                <c:pt idx="2467">
                  <c:v>26</c:v>
                </c:pt>
                <c:pt idx="2468">
                  <c:v>26</c:v>
                </c:pt>
                <c:pt idx="2469">
                  <c:v>26</c:v>
                </c:pt>
                <c:pt idx="2470">
                  <c:v>26</c:v>
                </c:pt>
                <c:pt idx="2471">
                  <c:v>26</c:v>
                </c:pt>
                <c:pt idx="2472">
                  <c:v>13</c:v>
                </c:pt>
                <c:pt idx="2473">
                  <c:v>22</c:v>
                </c:pt>
                <c:pt idx="2474">
                  <c:v>22</c:v>
                </c:pt>
                <c:pt idx="2475">
                  <c:v>22</c:v>
                </c:pt>
                <c:pt idx="2476">
                  <c:v>22</c:v>
                </c:pt>
                <c:pt idx="2477">
                  <c:v>22</c:v>
                </c:pt>
                <c:pt idx="2478">
                  <c:v>22</c:v>
                </c:pt>
                <c:pt idx="2479">
                  <c:v>22</c:v>
                </c:pt>
                <c:pt idx="2480">
                  <c:v>22</c:v>
                </c:pt>
                <c:pt idx="2481">
                  <c:v>22</c:v>
                </c:pt>
                <c:pt idx="2482">
                  <c:v>22</c:v>
                </c:pt>
                <c:pt idx="2483">
                  <c:v>22</c:v>
                </c:pt>
                <c:pt idx="2484">
                  <c:v>22</c:v>
                </c:pt>
                <c:pt idx="2485">
                  <c:v>22</c:v>
                </c:pt>
                <c:pt idx="2486">
                  <c:v>22</c:v>
                </c:pt>
                <c:pt idx="2487">
                  <c:v>22</c:v>
                </c:pt>
                <c:pt idx="2488">
                  <c:v>22</c:v>
                </c:pt>
                <c:pt idx="2489">
                  <c:v>22</c:v>
                </c:pt>
                <c:pt idx="2490">
                  <c:v>22</c:v>
                </c:pt>
                <c:pt idx="2491">
                  <c:v>22</c:v>
                </c:pt>
                <c:pt idx="2492">
                  <c:v>22</c:v>
                </c:pt>
                <c:pt idx="2493">
                  <c:v>27</c:v>
                </c:pt>
                <c:pt idx="2494">
                  <c:v>18</c:v>
                </c:pt>
                <c:pt idx="2495">
                  <c:v>18</c:v>
                </c:pt>
                <c:pt idx="2496">
                  <c:v>18</c:v>
                </c:pt>
                <c:pt idx="2497">
                  <c:v>18</c:v>
                </c:pt>
                <c:pt idx="2498">
                  <c:v>18</c:v>
                </c:pt>
                <c:pt idx="2499">
                  <c:v>18</c:v>
                </c:pt>
                <c:pt idx="2500">
                  <c:v>27</c:v>
                </c:pt>
                <c:pt idx="2501">
                  <c:v>18</c:v>
                </c:pt>
                <c:pt idx="2502">
                  <c:v>27</c:v>
                </c:pt>
                <c:pt idx="2503">
                  <c:v>27</c:v>
                </c:pt>
                <c:pt idx="2504">
                  <c:v>27</c:v>
                </c:pt>
                <c:pt idx="2505">
                  <c:v>18</c:v>
                </c:pt>
                <c:pt idx="2506">
                  <c:v>27</c:v>
                </c:pt>
                <c:pt idx="2507">
                  <c:v>18</c:v>
                </c:pt>
                <c:pt idx="2508">
                  <c:v>18</c:v>
                </c:pt>
                <c:pt idx="2509">
                  <c:v>27</c:v>
                </c:pt>
                <c:pt idx="2510">
                  <c:v>27</c:v>
                </c:pt>
                <c:pt idx="2511">
                  <c:v>27</c:v>
                </c:pt>
                <c:pt idx="2512">
                  <c:v>18</c:v>
                </c:pt>
                <c:pt idx="2513">
                  <c:v>18</c:v>
                </c:pt>
                <c:pt idx="2514">
                  <c:v>27</c:v>
                </c:pt>
                <c:pt idx="2515">
                  <c:v>18</c:v>
                </c:pt>
                <c:pt idx="2516">
                  <c:v>18</c:v>
                </c:pt>
                <c:pt idx="2517">
                  <c:v>18</c:v>
                </c:pt>
                <c:pt idx="2518">
                  <c:v>18</c:v>
                </c:pt>
                <c:pt idx="2519">
                  <c:v>9</c:v>
                </c:pt>
                <c:pt idx="2520">
                  <c:v>9</c:v>
                </c:pt>
                <c:pt idx="2521">
                  <c:v>9</c:v>
                </c:pt>
                <c:pt idx="2522">
                  <c:v>9</c:v>
                </c:pt>
                <c:pt idx="2523">
                  <c:v>23</c:v>
                </c:pt>
                <c:pt idx="2524">
                  <c:v>23</c:v>
                </c:pt>
                <c:pt idx="2525">
                  <c:v>23</c:v>
                </c:pt>
                <c:pt idx="2526">
                  <c:v>23</c:v>
                </c:pt>
                <c:pt idx="2527">
                  <c:v>23</c:v>
                </c:pt>
                <c:pt idx="2528">
                  <c:v>23</c:v>
                </c:pt>
                <c:pt idx="2529">
                  <c:v>23</c:v>
                </c:pt>
                <c:pt idx="2530">
                  <c:v>23</c:v>
                </c:pt>
                <c:pt idx="2531">
                  <c:v>23</c:v>
                </c:pt>
                <c:pt idx="2532">
                  <c:v>23</c:v>
                </c:pt>
                <c:pt idx="2533">
                  <c:v>23</c:v>
                </c:pt>
                <c:pt idx="2534">
                  <c:v>23</c:v>
                </c:pt>
                <c:pt idx="2535">
                  <c:v>23</c:v>
                </c:pt>
                <c:pt idx="2536">
                  <c:v>23</c:v>
                </c:pt>
                <c:pt idx="2537">
                  <c:v>23</c:v>
                </c:pt>
                <c:pt idx="2538">
                  <c:v>14</c:v>
                </c:pt>
                <c:pt idx="2539">
                  <c:v>14</c:v>
                </c:pt>
                <c:pt idx="2540">
                  <c:v>14</c:v>
                </c:pt>
                <c:pt idx="2541">
                  <c:v>14</c:v>
                </c:pt>
                <c:pt idx="2542">
                  <c:v>14</c:v>
                </c:pt>
                <c:pt idx="2543">
                  <c:v>19</c:v>
                </c:pt>
                <c:pt idx="2544">
                  <c:v>19</c:v>
                </c:pt>
                <c:pt idx="2545">
                  <c:v>19</c:v>
                </c:pt>
                <c:pt idx="2546">
                  <c:v>19</c:v>
                </c:pt>
                <c:pt idx="2547">
                  <c:v>19</c:v>
                </c:pt>
                <c:pt idx="2548">
                  <c:v>19</c:v>
                </c:pt>
                <c:pt idx="2549">
                  <c:v>19</c:v>
                </c:pt>
                <c:pt idx="2550">
                  <c:v>19</c:v>
                </c:pt>
                <c:pt idx="2551">
                  <c:v>19</c:v>
                </c:pt>
                <c:pt idx="2552">
                  <c:v>19</c:v>
                </c:pt>
                <c:pt idx="2553">
                  <c:v>19</c:v>
                </c:pt>
                <c:pt idx="2554">
                  <c:v>19</c:v>
                </c:pt>
                <c:pt idx="2555">
                  <c:v>19</c:v>
                </c:pt>
                <c:pt idx="2556">
                  <c:v>19</c:v>
                </c:pt>
                <c:pt idx="2557">
                  <c:v>19</c:v>
                </c:pt>
                <c:pt idx="2558">
                  <c:v>19</c:v>
                </c:pt>
                <c:pt idx="2559">
                  <c:v>19</c:v>
                </c:pt>
                <c:pt idx="2560">
                  <c:v>19</c:v>
                </c:pt>
                <c:pt idx="2561">
                  <c:v>19</c:v>
                </c:pt>
                <c:pt idx="2562">
                  <c:v>19</c:v>
                </c:pt>
                <c:pt idx="2563">
                  <c:v>19</c:v>
                </c:pt>
                <c:pt idx="2564">
                  <c:v>24</c:v>
                </c:pt>
                <c:pt idx="2565">
                  <c:v>24</c:v>
                </c:pt>
                <c:pt idx="2566">
                  <c:v>24</c:v>
                </c:pt>
                <c:pt idx="2567">
                  <c:v>24</c:v>
                </c:pt>
                <c:pt idx="2568">
                  <c:v>24</c:v>
                </c:pt>
                <c:pt idx="2569">
                  <c:v>24</c:v>
                </c:pt>
                <c:pt idx="2570">
                  <c:v>24</c:v>
                </c:pt>
                <c:pt idx="2571">
                  <c:v>24</c:v>
                </c:pt>
                <c:pt idx="2572">
                  <c:v>24</c:v>
                </c:pt>
                <c:pt idx="2573">
                  <c:v>24</c:v>
                </c:pt>
                <c:pt idx="2574">
                  <c:v>25</c:v>
                </c:pt>
                <c:pt idx="2575">
                  <c:v>20</c:v>
                </c:pt>
                <c:pt idx="2576">
                  <c:v>20</c:v>
                </c:pt>
                <c:pt idx="2577">
                  <c:v>25</c:v>
                </c:pt>
                <c:pt idx="2578">
                  <c:v>15</c:v>
                </c:pt>
                <c:pt idx="2579">
                  <c:v>20</c:v>
                </c:pt>
                <c:pt idx="2580">
                  <c:v>20</c:v>
                </c:pt>
                <c:pt idx="2581">
                  <c:v>20</c:v>
                </c:pt>
                <c:pt idx="2582">
                  <c:v>25</c:v>
                </c:pt>
                <c:pt idx="2583">
                  <c:v>20</c:v>
                </c:pt>
                <c:pt idx="2584">
                  <c:v>15</c:v>
                </c:pt>
                <c:pt idx="2585">
                  <c:v>20</c:v>
                </c:pt>
                <c:pt idx="2586">
                  <c:v>25</c:v>
                </c:pt>
                <c:pt idx="2587">
                  <c:v>20</c:v>
                </c:pt>
                <c:pt idx="2588">
                  <c:v>25</c:v>
                </c:pt>
                <c:pt idx="2589">
                  <c:v>25</c:v>
                </c:pt>
                <c:pt idx="2590">
                  <c:v>15</c:v>
                </c:pt>
                <c:pt idx="2591">
                  <c:v>25</c:v>
                </c:pt>
                <c:pt idx="2592">
                  <c:v>20</c:v>
                </c:pt>
                <c:pt idx="2593">
                  <c:v>25</c:v>
                </c:pt>
                <c:pt idx="2594">
                  <c:v>15</c:v>
                </c:pt>
                <c:pt idx="2595">
                  <c:v>20</c:v>
                </c:pt>
                <c:pt idx="2596">
                  <c:v>25</c:v>
                </c:pt>
                <c:pt idx="2597">
                  <c:v>20</c:v>
                </c:pt>
                <c:pt idx="2598">
                  <c:v>20</c:v>
                </c:pt>
                <c:pt idx="2599">
                  <c:v>15</c:v>
                </c:pt>
                <c:pt idx="2600">
                  <c:v>20</c:v>
                </c:pt>
                <c:pt idx="2601">
                  <c:v>15</c:v>
                </c:pt>
                <c:pt idx="2602">
                  <c:v>10</c:v>
                </c:pt>
                <c:pt idx="2603">
                  <c:v>10</c:v>
                </c:pt>
                <c:pt idx="2604">
                  <c:v>10</c:v>
                </c:pt>
                <c:pt idx="2605">
                  <c:v>10</c:v>
                </c:pt>
                <c:pt idx="2606">
                  <c:v>10</c:v>
                </c:pt>
                <c:pt idx="2607">
                  <c:v>10</c:v>
                </c:pt>
                <c:pt idx="2608">
                  <c:v>26</c:v>
                </c:pt>
                <c:pt idx="2609">
                  <c:v>21</c:v>
                </c:pt>
                <c:pt idx="2610">
                  <c:v>21</c:v>
                </c:pt>
                <c:pt idx="2611">
                  <c:v>21</c:v>
                </c:pt>
                <c:pt idx="2612">
                  <c:v>21</c:v>
                </c:pt>
                <c:pt idx="2613">
                  <c:v>21</c:v>
                </c:pt>
                <c:pt idx="2614">
                  <c:v>21</c:v>
                </c:pt>
                <c:pt idx="2615">
                  <c:v>21</c:v>
                </c:pt>
                <c:pt idx="2616">
                  <c:v>21</c:v>
                </c:pt>
                <c:pt idx="2617">
                  <c:v>21</c:v>
                </c:pt>
                <c:pt idx="2618">
                  <c:v>21</c:v>
                </c:pt>
                <c:pt idx="2619">
                  <c:v>16</c:v>
                </c:pt>
                <c:pt idx="2620">
                  <c:v>16</c:v>
                </c:pt>
                <c:pt idx="2621">
                  <c:v>16</c:v>
                </c:pt>
                <c:pt idx="2622">
                  <c:v>16</c:v>
                </c:pt>
                <c:pt idx="2623">
                  <c:v>16</c:v>
                </c:pt>
                <c:pt idx="2624">
                  <c:v>16</c:v>
                </c:pt>
                <c:pt idx="2625">
                  <c:v>16</c:v>
                </c:pt>
                <c:pt idx="2626">
                  <c:v>16</c:v>
                </c:pt>
                <c:pt idx="2627">
                  <c:v>16</c:v>
                </c:pt>
                <c:pt idx="2628">
                  <c:v>16</c:v>
                </c:pt>
                <c:pt idx="2629">
                  <c:v>16</c:v>
                </c:pt>
                <c:pt idx="2630">
                  <c:v>16</c:v>
                </c:pt>
                <c:pt idx="2631">
                  <c:v>22</c:v>
                </c:pt>
                <c:pt idx="2632">
                  <c:v>22</c:v>
                </c:pt>
                <c:pt idx="2633">
                  <c:v>22</c:v>
                </c:pt>
                <c:pt idx="2634">
                  <c:v>22</c:v>
                </c:pt>
                <c:pt idx="2635">
                  <c:v>22</c:v>
                </c:pt>
                <c:pt idx="2636">
                  <c:v>11</c:v>
                </c:pt>
                <c:pt idx="2637">
                  <c:v>11</c:v>
                </c:pt>
                <c:pt idx="2638">
                  <c:v>17</c:v>
                </c:pt>
                <c:pt idx="2639">
                  <c:v>17</c:v>
                </c:pt>
                <c:pt idx="2640">
                  <c:v>17</c:v>
                </c:pt>
                <c:pt idx="2641">
                  <c:v>17</c:v>
                </c:pt>
                <c:pt idx="2642">
                  <c:v>17</c:v>
                </c:pt>
                <c:pt idx="2643">
                  <c:v>17</c:v>
                </c:pt>
                <c:pt idx="2644">
                  <c:v>17</c:v>
                </c:pt>
                <c:pt idx="2645">
                  <c:v>17</c:v>
                </c:pt>
                <c:pt idx="2646">
                  <c:v>17</c:v>
                </c:pt>
                <c:pt idx="2647">
                  <c:v>17</c:v>
                </c:pt>
                <c:pt idx="2648">
                  <c:v>23</c:v>
                </c:pt>
                <c:pt idx="2649">
                  <c:v>23</c:v>
                </c:pt>
                <c:pt idx="2650">
                  <c:v>23</c:v>
                </c:pt>
                <c:pt idx="2651">
                  <c:v>23</c:v>
                </c:pt>
                <c:pt idx="2652">
                  <c:v>23</c:v>
                </c:pt>
                <c:pt idx="2653">
                  <c:v>23</c:v>
                </c:pt>
                <c:pt idx="2654">
                  <c:v>23</c:v>
                </c:pt>
                <c:pt idx="2655">
                  <c:v>23</c:v>
                </c:pt>
                <c:pt idx="2656">
                  <c:v>23</c:v>
                </c:pt>
                <c:pt idx="2657">
                  <c:v>23</c:v>
                </c:pt>
                <c:pt idx="2658">
                  <c:v>18</c:v>
                </c:pt>
                <c:pt idx="2659">
                  <c:v>18</c:v>
                </c:pt>
                <c:pt idx="2660">
                  <c:v>18</c:v>
                </c:pt>
                <c:pt idx="2661">
                  <c:v>18</c:v>
                </c:pt>
                <c:pt idx="2662">
                  <c:v>18</c:v>
                </c:pt>
                <c:pt idx="2663">
                  <c:v>18</c:v>
                </c:pt>
                <c:pt idx="2664">
                  <c:v>12</c:v>
                </c:pt>
                <c:pt idx="2665">
                  <c:v>18</c:v>
                </c:pt>
                <c:pt idx="2666">
                  <c:v>18</c:v>
                </c:pt>
                <c:pt idx="2667">
                  <c:v>18</c:v>
                </c:pt>
                <c:pt idx="2668">
                  <c:v>18</c:v>
                </c:pt>
                <c:pt idx="2669">
                  <c:v>18</c:v>
                </c:pt>
                <c:pt idx="2670">
                  <c:v>12</c:v>
                </c:pt>
                <c:pt idx="2671">
                  <c:v>18</c:v>
                </c:pt>
                <c:pt idx="2672">
                  <c:v>12</c:v>
                </c:pt>
                <c:pt idx="2673">
                  <c:v>12</c:v>
                </c:pt>
                <c:pt idx="2674">
                  <c:v>19</c:v>
                </c:pt>
                <c:pt idx="2675">
                  <c:v>19</c:v>
                </c:pt>
                <c:pt idx="2676">
                  <c:v>19</c:v>
                </c:pt>
                <c:pt idx="2677">
                  <c:v>19</c:v>
                </c:pt>
                <c:pt idx="2678">
                  <c:v>19</c:v>
                </c:pt>
                <c:pt idx="2679">
                  <c:v>19</c:v>
                </c:pt>
                <c:pt idx="2680">
                  <c:v>19</c:v>
                </c:pt>
                <c:pt idx="2681">
                  <c:v>13</c:v>
                </c:pt>
                <c:pt idx="2682">
                  <c:v>13</c:v>
                </c:pt>
                <c:pt idx="2683">
                  <c:v>13</c:v>
                </c:pt>
                <c:pt idx="2684">
                  <c:v>20</c:v>
                </c:pt>
                <c:pt idx="2685">
                  <c:v>20</c:v>
                </c:pt>
                <c:pt idx="2686">
                  <c:v>20</c:v>
                </c:pt>
                <c:pt idx="2687">
                  <c:v>20</c:v>
                </c:pt>
                <c:pt idx="2688">
                  <c:v>20</c:v>
                </c:pt>
                <c:pt idx="2689">
                  <c:v>20</c:v>
                </c:pt>
                <c:pt idx="2690">
                  <c:v>20</c:v>
                </c:pt>
                <c:pt idx="2691">
                  <c:v>20</c:v>
                </c:pt>
                <c:pt idx="2692">
                  <c:v>21</c:v>
                </c:pt>
                <c:pt idx="2693">
                  <c:v>14</c:v>
                </c:pt>
                <c:pt idx="2694">
                  <c:v>21</c:v>
                </c:pt>
                <c:pt idx="2695">
                  <c:v>21</c:v>
                </c:pt>
                <c:pt idx="2696">
                  <c:v>14</c:v>
                </c:pt>
                <c:pt idx="2697">
                  <c:v>14</c:v>
                </c:pt>
                <c:pt idx="2698">
                  <c:v>14</c:v>
                </c:pt>
                <c:pt idx="2699">
                  <c:v>14</c:v>
                </c:pt>
                <c:pt idx="2700">
                  <c:v>14</c:v>
                </c:pt>
                <c:pt idx="2701">
                  <c:v>15</c:v>
                </c:pt>
                <c:pt idx="2702">
                  <c:v>15</c:v>
                </c:pt>
                <c:pt idx="2703">
                  <c:v>15</c:v>
                </c:pt>
                <c:pt idx="2704">
                  <c:v>15</c:v>
                </c:pt>
                <c:pt idx="2705">
                  <c:v>15</c:v>
                </c:pt>
                <c:pt idx="2706">
                  <c:v>15</c:v>
                </c:pt>
                <c:pt idx="2707">
                  <c:v>15</c:v>
                </c:pt>
                <c:pt idx="2708">
                  <c:v>15</c:v>
                </c:pt>
                <c:pt idx="2709">
                  <c:v>15</c:v>
                </c:pt>
                <c:pt idx="2710">
                  <c:v>16</c:v>
                </c:pt>
                <c:pt idx="2711">
                  <c:v>16</c:v>
                </c:pt>
                <c:pt idx="2712">
                  <c:v>8</c:v>
                </c:pt>
                <c:pt idx="2713">
                  <c:v>16</c:v>
                </c:pt>
                <c:pt idx="2714">
                  <c:v>16</c:v>
                </c:pt>
                <c:pt idx="2715">
                  <c:v>16</c:v>
                </c:pt>
                <c:pt idx="2716">
                  <c:v>16</c:v>
                </c:pt>
                <c:pt idx="2717">
                  <c:v>17</c:v>
                </c:pt>
                <c:pt idx="2718">
                  <c:v>17</c:v>
                </c:pt>
                <c:pt idx="2719">
                  <c:v>17</c:v>
                </c:pt>
                <c:pt idx="2720">
                  <c:v>17</c:v>
                </c:pt>
                <c:pt idx="2721">
                  <c:v>17</c:v>
                </c:pt>
                <c:pt idx="2722">
                  <c:v>17</c:v>
                </c:pt>
                <c:pt idx="2723">
                  <c:v>10</c:v>
                </c:pt>
                <c:pt idx="2724">
                  <c:v>11</c:v>
                </c:pt>
                <c:pt idx="2725">
                  <c:v>12</c:v>
                </c:pt>
                <c:pt idx="2726">
                  <c:v>8</c:v>
                </c:pt>
                <c:pt idx="2727">
                  <c:v>8</c:v>
                </c:pt>
                <c:pt idx="2728">
                  <c:v>9</c:v>
                </c:pt>
                <c:pt idx="2729">
                  <c:v>7</c:v>
                </c:pt>
                <c:pt idx="2730">
                  <c:v>9</c:v>
                </c:pt>
                <c:pt idx="2731">
                  <c:v>9</c:v>
                </c:pt>
                <c:pt idx="2732">
                  <c:v>9</c:v>
                </c:pt>
                <c:pt idx="2733">
                  <c:v>8</c:v>
                </c:pt>
                <c:pt idx="2734">
                  <c:v>7</c:v>
                </c:pt>
                <c:pt idx="2735">
                  <c:v>7</c:v>
                </c:pt>
                <c:pt idx="2736">
                  <c:v>8</c:v>
                </c:pt>
                <c:pt idx="2737">
                  <c:v>9</c:v>
                </c:pt>
                <c:pt idx="2738">
                  <c:v>8</c:v>
                </c:pt>
                <c:pt idx="2739">
                  <c:v>6</c:v>
                </c:pt>
                <c:pt idx="2740">
                  <c:v>5</c:v>
                </c:pt>
                <c:pt idx="2741">
                  <c:v>9</c:v>
                </c:pt>
                <c:pt idx="2742">
                  <c:v>9</c:v>
                </c:pt>
                <c:pt idx="2743">
                  <c:v>5</c:v>
                </c:pt>
                <c:pt idx="2744">
                  <c:v>5</c:v>
                </c:pt>
                <c:pt idx="2745">
                  <c:v>4</c:v>
                </c:pt>
                <c:pt idx="2746">
                  <c:v>8</c:v>
                </c:pt>
                <c:pt idx="2747">
                  <c:v>7</c:v>
                </c:pt>
                <c:pt idx="2748">
                  <c:v>8</c:v>
                </c:pt>
                <c:pt idx="2749">
                  <c:v>2</c:v>
                </c:pt>
                <c:pt idx="2750">
                  <c:v>6</c:v>
                </c:pt>
                <c:pt idx="2751">
                  <c:v>9</c:v>
                </c:pt>
                <c:pt idx="2752">
                  <c:v>3</c:v>
                </c:pt>
                <c:pt idx="2753">
                  <c:v>8</c:v>
                </c:pt>
                <c:pt idx="2754">
                  <c:v>9</c:v>
                </c:pt>
                <c:pt idx="2755">
                  <c:v>6</c:v>
                </c:pt>
                <c:pt idx="2756">
                  <c:v>6</c:v>
                </c:pt>
                <c:pt idx="2757">
                  <c:v>4</c:v>
                </c:pt>
                <c:pt idx="2758">
                  <c:v>3</c:v>
                </c:pt>
                <c:pt idx="2759">
                  <c:v>4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6</c:v>
                </c:pt>
                <c:pt idx="2764">
                  <c:v>9</c:v>
                </c:pt>
                <c:pt idx="2765">
                  <c:v>5</c:v>
                </c:pt>
                <c:pt idx="2766">
                  <c:v>3</c:v>
                </c:pt>
                <c:pt idx="2767">
                  <c:v>2</c:v>
                </c:pt>
                <c:pt idx="2768">
                  <c:v>3</c:v>
                </c:pt>
                <c:pt idx="2769">
                  <c:v>4</c:v>
                </c:pt>
                <c:pt idx="2770">
                  <c:v>2</c:v>
                </c:pt>
                <c:pt idx="2771">
                  <c:v>6</c:v>
                </c:pt>
                <c:pt idx="2772">
                  <c:v>5</c:v>
                </c:pt>
                <c:pt idx="2773">
                  <c:v>6</c:v>
                </c:pt>
                <c:pt idx="2774">
                  <c:v>2</c:v>
                </c:pt>
                <c:pt idx="2775">
                  <c:v>2</c:v>
                </c:pt>
                <c:pt idx="2776">
                  <c:v>3</c:v>
                </c:pt>
                <c:pt idx="2777">
                  <c:v>2</c:v>
                </c:pt>
                <c:pt idx="2778">
                  <c:v>1</c:v>
                </c:pt>
                <c:pt idx="2779">
                  <c:v>2</c:v>
                </c:pt>
                <c:pt idx="2780">
                  <c:v>1</c:v>
                </c:pt>
                <c:pt idx="2781">
                  <c:v>2</c:v>
                </c:pt>
                <c:pt idx="2782">
                  <c:v>2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2</c:v>
                </c:pt>
              </c:numCache>
            </c:numRef>
          </c:xVal>
          <c:yVal>
            <c:numRef>
              <c:f>voc!$F$2:$F$2788</c:f>
              <c:numCache>
                <c:formatCode>0.00</c:formatCode>
                <c:ptCount val="278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-1</c:v>
                </c:pt>
                <c:pt idx="99">
                  <c:v>-1</c:v>
                </c:pt>
                <c:pt idx="100">
                  <c:v>-1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-1</c:v>
                </c:pt>
                <c:pt idx="105">
                  <c:v>-1</c:v>
                </c:pt>
                <c:pt idx="106">
                  <c:v>-1</c:v>
                </c:pt>
                <c:pt idx="107">
                  <c:v>-1</c:v>
                </c:pt>
                <c:pt idx="108">
                  <c:v>-1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-0.9375</c:v>
                </c:pt>
                <c:pt idx="131">
                  <c:v>-0.90909090909090906</c:v>
                </c:pt>
                <c:pt idx="132">
                  <c:v>-0.88235294117647056</c:v>
                </c:pt>
                <c:pt idx="133">
                  <c:v>-0.875</c:v>
                </c:pt>
                <c:pt idx="134">
                  <c:v>-0.875</c:v>
                </c:pt>
                <c:pt idx="135">
                  <c:v>-0.875</c:v>
                </c:pt>
                <c:pt idx="136">
                  <c:v>-0.8666666666666667</c:v>
                </c:pt>
                <c:pt idx="137">
                  <c:v>-0.8666666666666667</c:v>
                </c:pt>
                <c:pt idx="138">
                  <c:v>-0.8571428571428571</c:v>
                </c:pt>
                <c:pt idx="139">
                  <c:v>-0.8571428571428571</c:v>
                </c:pt>
                <c:pt idx="140">
                  <c:v>-0.8571428571428571</c:v>
                </c:pt>
                <c:pt idx="141">
                  <c:v>-0.8571428571428571</c:v>
                </c:pt>
                <c:pt idx="142">
                  <c:v>-0.84615384615384615</c:v>
                </c:pt>
                <c:pt idx="143">
                  <c:v>-0.84210526315789469</c:v>
                </c:pt>
                <c:pt idx="144">
                  <c:v>-0.83333333333333337</c:v>
                </c:pt>
                <c:pt idx="145">
                  <c:v>-0.83333333333333337</c:v>
                </c:pt>
                <c:pt idx="146">
                  <c:v>-0.83333333333333337</c:v>
                </c:pt>
                <c:pt idx="147">
                  <c:v>-0.83333333333333337</c:v>
                </c:pt>
                <c:pt idx="148">
                  <c:v>-0.83333333333333337</c:v>
                </c:pt>
                <c:pt idx="149">
                  <c:v>-0.83333333333333337</c:v>
                </c:pt>
                <c:pt idx="150">
                  <c:v>-0.82352941176470584</c:v>
                </c:pt>
                <c:pt idx="151">
                  <c:v>-0.81818181818181823</c:v>
                </c:pt>
                <c:pt idx="152">
                  <c:v>-0.81818181818181823</c:v>
                </c:pt>
                <c:pt idx="153">
                  <c:v>-0.81818181818181823</c:v>
                </c:pt>
                <c:pt idx="154">
                  <c:v>-0.80952380952380953</c:v>
                </c:pt>
                <c:pt idx="155">
                  <c:v>-0.8</c:v>
                </c:pt>
                <c:pt idx="156">
                  <c:v>-0.8</c:v>
                </c:pt>
                <c:pt idx="157">
                  <c:v>-0.8</c:v>
                </c:pt>
                <c:pt idx="158">
                  <c:v>-0.8</c:v>
                </c:pt>
                <c:pt idx="159">
                  <c:v>-0.8</c:v>
                </c:pt>
                <c:pt idx="160">
                  <c:v>-0.8</c:v>
                </c:pt>
                <c:pt idx="161">
                  <c:v>-0.7857142857142857</c:v>
                </c:pt>
                <c:pt idx="162">
                  <c:v>-0.7857142857142857</c:v>
                </c:pt>
                <c:pt idx="163">
                  <c:v>-0.77777777777777779</c:v>
                </c:pt>
                <c:pt idx="164">
                  <c:v>-0.77777777777777779</c:v>
                </c:pt>
                <c:pt idx="165">
                  <c:v>-0.77777777777777779</c:v>
                </c:pt>
                <c:pt idx="166">
                  <c:v>-0.76923076923076927</c:v>
                </c:pt>
                <c:pt idx="167">
                  <c:v>-0.76923076923076927</c:v>
                </c:pt>
                <c:pt idx="168">
                  <c:v>-0.76470588235294112</c:v>
                </c:pt>
                <c:pt idx="169">
                  <c:v>-0.76470588235294112</c:v>
                </c:pt>
                <c:pt idx="170">
                  <c:v>-0.75</c:v>
                </c:pt>
                <c:pt idx="171">
                  <c:v>-0.75</c:v>
                </c:pt>
                <c:pt idx="172">
                  <c:v>-0.75</c:v>
                </c:pt>
                <c:pt idx="173">
                  <c:v>-0.75</c:v>
                </c:pt>
                <c:pt idx="174">
                  <c:v>-0.75</c:v>
                </c:pt>
                <c:pt idx="175">
                  <c:v>-0.75</c:v>
                </c:pt>
                <c:pt idx="176">
                  <c:v>-0.75</c:v>
                </c:pt>
                <c:pt idx="177">
                  <c:v>-0.75</c:v>
                </c:pt>
                <c:pt idx="178">
                  <c:v>-0.75</c:v>
                </c:pt>
                <c:pt idx="179">
                  <c:v>-0.75</c:v>
                </c:pt>
                <c:pt idx="180">
                  <c:v>-0.75</c:v>
                </c:pt>
                <c:pt idx="181">
                  <c:v>-0.75</c:v>
                </c:pt>
                <c:pt idx="182">
                  <c:v>-0.73684210526315785</c:v>
                </c:pt>
                <c:pt idx="183">
                  <c:v>-0.73333333333333328</c:v>
                </c:pt>
                <c:pt idx="184">
                  <c:v>-0.73333333333333328</c:v>
                </c:pt>
                <c:pt idx="185">
                  <c:v>-0.72727272727272729</c:v>
                </c:pt>
                <c:pt idx="186">
                  <c:v>-0.72727272727272729</c:v>
                </c:pt>
                <c:pt idx="187">
                  <c:v>-0.72727272727272729</c:v>
                </c:pt>
                <c:pt idx="188">
                  <c:v>-0.72222222222222221</c:v>
                </c:pt>
                <c:pt idx="189">
                  <c:v>-0.72222222222222221</c:v>
                </c:pt>
                <c:pt idx="190">
                  <c:v>-0.72222222222222221</c:v>
                </c:pt>
                <c:pt idx="191">
                  <c:v>-0.72222222222222221</c:v>
                </c:pt>
                <c:pt idx="192">
                  <c:v>-0.7142857142857143</c:v>
                </c:pt>
                <c:pt idx="193">
                  <c:v>-0.7142857142857143</c:v>
                </c:pt>
                <c:pt idx="194">
                  <c:v>-0.7142857142857143</c:v>
                </c:pt>
                <c:pt idx="195">
                  <c:v>-0.7142857142857143</c:v>
                </c:pt>
                <c:pt idx="196">
                  <c:v>-0.7142857142857143</c:v>
                </c:pt>
                <c:pt idx="197">
                  <c:v>-0.7142857142857143</c:v>
                </c:pt>
                <c:pt idx="198">
                  <c:v>-0.7142857142857143</c:v>
                </c:pt>
                <c:pt idx="199">
                  <c:v>-0.7142857142857143</c:v>
                </c:pt>
                <c:pt idx="200">
                  <c:v>-0.7142857142857143</c:v>
                </c:pt>
                <c:pt idx="201">
                  <c:v>-0.7142857142857143</c:v>
                </c:pt>
                <c:pt idx="202">
                  <c:v>-0.70588235294117652</c:v>
                </c:pt>
                <c:pt idx="203">
                  <c:v>-0.70588235294117652</c:v>
                </c:pt>
                <c:pt idx="204">
                  <c:v>-0.70588235294117652</c:v>
                </c:pt>
                <c:pt idx="205">
                  <c:v>-0.7</c:v>
                </c:pt>
                <c:pt idx="206">
                  <c:v>-0.7</c:v>
                </c:pt>
                <c:pt idx="207">
                  <c:v>-0.69565217391304346</c:v>
                </c:pt>
                <c:pt idx="208">
                  <c:v>-0.69230769230769229</c:v>
                </c:pt>
                <c:pt idx="209">
                  <c:v>-0.69230769230769229</c:v>
                </c:pt>
                <c:pt idx="210">
                  <c:v>-0.68421052631578949</c:v>
                </c:pt>
                <c:pt idx="211">
                  <c:v>-0.68421052631578949</c:v>
                </c:pt>
                <c:pt idx="212">
                  <c:v>-0.68181818181818177</c:v>
                </c:pt>
                <c:pt idx="213">
                  <c:v>-0.66666666666666663</c:v>
                </c:pt>
                <c:pt idx="214">
                  <c:v>-0.66666666666666663</c:v>
                </c:pt>
                <c:pt idx="215">
                  <c:v>-0.66666666666666663</c:v>
                </c:pt>
                <c:pt idx="216">
                  <c:v>-0.66666666666666663</c:v>
                </c:pt>
                <c:pt idx="217">
                  <c:v>-0.66666666666666663</c:v>
                </c:pt>
                <c:pt idx="218">
                  <c:v>-0.66666666666666663</c:v>
                </c:pt>
                <c:pt idx="219">
                  <c:v>-0.66666666666666663</c:v>
                </c:pt>
                <c:pt idx="220">
                  <c:v>-0.66666666666666663</c:v>
                </c:pt>
                <c:pt idx="221">
                  <c:v>-0.66666666666666663</c:v>
                </c:pt>
                <c:pt idx="222">
                  <c:v>-0.65384615384615385</c:v>
                </c:pt>
                <c:pt idx="223">
                  <c:v>-0.65</c:v>
                </c:pt>
                <c:pt idx="224">
                  <c:v>-0.6470588235294118</c:v>
                </c:pt>
                <c:pt idx="225">
                  <c:v>-0.6428571428571429</c:v>
                </c:pt>
                <c:pt idx="226">
                  <c:v>-0.6428571428571429</c:v>
                </c:pt>
                <c:pt idx="227">
                  <c:v>-0.63636363636363635</c:v>
                </c:pt>
                <c:pt idx="228">
                  <c:v>-0.63636363636363635</c:v>
                </c:pt>
                <c:pt idx="229">
                  <c:v>-0.63636363636363635</c:v>
                </c:pt>
                <c:pt idx="230">
                  <c:v>-0.63636363636363635</c:v>
                </c:pt>
                <c:pt idx="231">
                  <c:v>-0.63636363636363635</c:v>
                </c:pt>
                <c:pt idx="232">
                  <c:v>-0.63636363636363635</c:v>
                </c:pt>
                <c:pt idx="233">
                  <c:v>-0.63636363636363635</c:v>
                </c:pt>
                <c:pt idx="234">
                  <c:v>-0.61904761904761907</c:v>
                </c:pt>
                <c:pt idx="235">
                  <c:v>-0.61904761904761907</c:v>
                </c:pt>
                <c:pt idx="236">
                  <c:v>-0.61538461538461542</c:v>
                </c:pt>
                <c:pt idx="237">
                  <c:v>-0.60869565217391308</c:v>
                </c:pt>
                <c:pt idx="238">
                  <c:v>-0.6071428571428571</c:v>
                </c:pt>
                <c:pt idx="239">
                  <c:v>-0.6</c:v>
                </c:pt>
                <c:pt idx="240">
                  <c:v>-0.6</c:v>
                </c:pt>
                <c:pt idx="241">
                  <c:v>-0.6</c:v>
                </c:pt>
                <c:pt idx="242">
                  <c:v>-0.6</c:v>
                </c:pt>
                <c:pt idx="243">
                  <c:v>-0.6</c:v>
                </c:pt>
                <c:pt idx="244">
                  <c:v>-0.6</c:v>
                </c:pt>
                <c:pt idx="245">
                  <c:v>-0.6</c:v>
                </c:pt>
                <c:pt idx="246">
                  <c:v>-0.6</c:v>
                </c:pt>
                <c:pt idx="247">
                  <c:v>-0.6</c:v>
                </c:pt>
                <c:pt idx="248">
                  <c:v>-0.59090909090909094</c:v>
                </c:pt>
                <c:pt idx="249">
                  <c:v>-0.58333333333333337</c:v>
                </c:pt>
                <c:pt idx="250">
                  <c:v>-0.57894736842105265</c:v>
                </c:pt>
                <c:pt idx="251">
                  <c:v>-0.5714285714285714</c:v>
                </c:pt>
                <c:pt idx="252">
                  <c:v>-0.5714285714285714</c:v>
                </c:pt>
                <c:pt idx="253">
                  <c:v>-0.5714285714285714</c:v>
                </c:pt>
                <c:pt idx="254">
                  <c:v>-0.5714285714285714</c:v>
                </c:pt>
                <c:pt idx="255">
                  <c:v>-0.5714285714285714</c:v>
                </c:pt>
                <c:pt idx="256">
                  <c:v>-0.5714285714285714</c:v>
                </c:pt>
                <c:pt idx="257">
                  <c:v>-0.5625</c:v>
                </c:pt>
                <c:pt idx="258">
                  <c:v>-0.5625</c:v>
                </c:pt>
                <c:pt idx="259">
                  <c:v>-0.5625</c:v>
                </c:pt>
                <c:pt idx="260">
                  <c:v>-0.5625</c:v>
                </c:pt>
                <c:pt idx="261">
                  <c:v>-0.56000000000000005</c:v>
                </c:pt>
                <c:pt idx="262">
                  <c:v>-0.55555555555555558</c:v>
                </c:pt>
                <c:pt idx="263">
                  <c:v>-0.55555555555555558</c:v>
                </c:pt>
                <c:pt idx="264">
                  <c:v>-0.55555555555555558</c:v>
                </c:pt>
                <c:pt idx="265">
                  <c:v>-0.55555555555555558</c:v>
                </c:pt>
                <c:pt idx="266">
                  <c:v>-0.55555555555555558</c:v>
                </c:pt>
                <c:pt idx="267">
                  <c:v>-0.55000000000000004</c:v>
                </c:pt>
                <c:pt idx="268">
                  <c:v>-0.54545454545454541</c:v>
                </c:pt>
                <c:pt idx="269">
                  <c:v>-0.54545454545454541</c:v>
                </c:pt>
                <c:pt idx="270">
                  <c:v>-0.54545454545454541</c:v>
                </c:pt>
                <c:pt idx="271">
                  <c:v>-0.53846153846153844</c:v>
                </c:pt>
                <c:pt idx="272">
                  <c:v>-0.53333333333333333</c:v>
                </c:pt>
                <c:pt idx="273">
                  <c:v>-0.53333333333333333</c:v>
                </c:pt>
                <c:pt idx="274">
                  <c:v>-0.53333333333333333</c:v>
                </c:pt>
                <c:pt idx="275">
                  <c:v>-0.52941176470588236</c:v>
                </c:pt>
                <c:pt idx="276">
                  <c:v>-0.52941176470588236</c:v>
                </c:pt>
                <c:pt idx="277">
                  <c:v>-0.52631578947368418</c:v>
                </c:pt>
                <c:pt idx="278">
                  <c:v>-0.52380952380952384</c:v>
                </c:pt>
                <c:pt idx="279">
                  <c:v>-0.52380952380952384</c:v>
                </c:pt>
                <c:pt idx="280">
                  <c:v>-0.52380952380952384</c:v>
                </c:pt>
                <c:pt idx="281">
                  <c:v>-0.52173913043478259</c:v>
                </c:pt>
                <c:pt idx="282">
                  <c:v>-0.5</c:v>
                </c:pt>
                <c:pt idx="283">
                  <c:v>-0.5</c:v>
                </c:pt>
                <c:pt idx="284">
                  <c:v>-0.5</c:v>
                </c:pt>
                <c:pt idx="285">
                  <c:v>-0.5</c:v>
                </c:pt>
                <c:pt idx="286">
                  <c:v>-0.5</c:v>
                </c:pt>
                <c:pt idx="287">
                  <c:v>-0.5</c:v>
                </c:pt>
                <c:pt idx="288">
                  <c:v>-0.5</c:v>
                </c:pt>
                <c:pt idx="289">
                  <c:v>-0.5</c:v>
                </c:pt>
                <c:pt idx="290">
                  <c:v>-0.5</c:v>
                </c:pt>
                <c:pt idx="291">
                  <c:v>-0.5</c:v>
                </c:pt>
                <c:pt idx="292">
                  <c:v>-0.5</c:v>
                </c:pt>
                <c:pt idx="293">
                  <c:v>-0.5</c:v>
                </c:pt>
                <c:pt idx="294">
                  <c:v>-0.5</c:v>
                </c:pt>
                <c:pt idx="295">
                  <c:v>-0.5</c:v>
                </c:pt>
                <c:pt idx="296">
                  <c:v>-0.5</c:v>
                </c:pt>
                <c:pt idx="297">
                  <c:v>-0.5</c:v>
                </c:pt>
                <c:pt idx="298">
                  <c:v>-0.5</c:v>
                </c:pt>
                <c:pt idx="299">
                  <c:v>-0.5</c:v>
                </c:pt>
                <c:pt idx="300">
                  <c:v>-0.5</c:v>
                </c:pt>
                <c:pt idx="301">
                  <c:v>-0.5</c:v>
                </c:pt>
                <c:pt idx="302">
                  <c:v>-0.5</c:v>
                </c:pt>
                <c:pt idx="303">
                  <c:v>-0.5</c:v>
                </c:pt>
                <c:pt idx="304">
                  <c:v>-0.5</c:v>
                </c:pt>
                <c:pt idx="305">
                  <c:v>-0.48</c:v>
                </c:pt>
                <c:pt idx="306">
                  <c:v>-0.47826086956521741</c:v>
                </c:pt>
                <c:pt idx="307">
                  <c:v>-0.47619047619047616</c:v>
                </c:pt>
                <c:pt idx="308">
                  <c:v>-0.47619047619047616</c:v>
                </c:pt>
                <c:pt idx="309">
                  <c:v>-0.47619047619047616</c:v>
                </c:pt>
                <c:pt idx="310">
                  <c:v>-0.47619047619047616</c:v>
                </c:pt>
                <c:pt idx="311">
                  <c:v>-0.47058823529411764</c:v>
                </c:pt>
                <c:pt idx="312">
                  <c:v>-0.46666666666666667</c:v>
                </c:pt>
                <c:pt idx="313">
                  <c:v>-0.46666666666666667</c:v>
                </c:pt>
                <c:pt idx="314">
                  <c:v>-0.46666666666666667</c:v>
                </c:pt>
                <c:pt idx="315">
                  <c:v>-0.46666666666666667</c:v>
                </c:pt>
                <c:pt idx="316">
                  <c:v>-0.46666666666666667</c:v>
                </c:pt>
                <c:pt idx="317">
                  <c:v>-0.45833333333333331</c:v>
                </c:pt>
                <c:pt idx="318">
                  <c:v>-0.45454545454545453</c:v>
                </c:pt>
                <c:pt idx="319">
                  <c:v>-0.45454545454545453</c:v>
                </c:pt>
                <c:pt idx="320">
                  <c:v>-0.45454545454545453</c:v>
                </c:pt>
                <c:pt idx="321">
                  <c:v>-0.45454545454545453</c:v>
                </c:pt>
                <c:pt idx="322">
                  <c:v>-0.45454545454545453</c:v>
                </c:pt>
                <c:pt idx="323">
                  <c:v>-0.45454545454545453</c:v>
                </c:pt>
                <c:pt idx="324">
                  <c:v>-0.45454545454545453</c:v>
                </c:pt>
                <c:pt idx="325">
                  <c:v>-0.45</c:v>
                </c:pt>
                <c:pt idx="326">
                  <c:v>-0.45</c:v>
                </c:pt>
                <c:pt idx="327">
                  <c:v>-0.44444444444444442</c:v>
                </c:pt>
                <c:pt idx="328">
                  <c:v>-0.44444444444444442</c:v>
                </c:pt>
                <c:pt idx="329">
                  <c:v>-0.44444444444444442</c:v>
                </c:pt>
                <c:pt idx="330">
                  <c:v>-0.4375</c:v>
                </c:pt>
                <c:pt idx="331">
                  <c:v>-0.43478260869565216</c:v>
                </c:pt>
                <c:pt idx="332">
                  <c:v>-0.43478260869565216</c:v>
                </c:pt>
                <c:pt idx="333">
                  <c:v>-0.43478260869565216</c:v>
                </c:pt>
                <c:pt idx="334">
                  <c:v>-0.42857142857142855</c:v>
                </c:pt>
                <c:pt idx="335">
                  <c:v>-0.42857142857142855</c:v>
                </c:pt>
                <c:pt idx="336">
                  <c:v>-0.42857142857142855</c:v>
                </c:pt>
                <c:pt idx="337">
                  <c:v>-0.42857142857142855</c:v>
                </c:pt>
                <c:pt idx="338">
                  <c:v>-0.42857142857142855</c:v>
                </c:pt>
                <c:pt idx="339">
                  <c:v>-0.42857142857142855</c:v>
                </c:pt>
                <c:pt idx="340">
                  <c:v>-0.42857142857142855</c:v>
                </c:pt>
                <c:pt idx="341">
                  <c:v>-0.42857142857142855</c:v>
                </c:pt>
                <c:pt idx="342">
                  <c:v>-0.42857142857142855</c:v>
                </c:pt>
                <c:pt idx="343">
                  <c:v>-0.42105263157894735</c:v>
                </c:pt>
                <c:pt idx="344">
                  <c:v>-0.42105263157894735</c:v>
                </c:pt>
                <c:pt idx="345">
                  <c:v>-0.41176470588235292</c:v>
                </c:pt>
                <c:pt idx="346">
                  <c:v>-0.4</c:v>
                </c:pt>
                <c:pt idx="347">
                  <c:v>-0.4</c:v>
                </c:pt>
                <c:pt idx="348">
                  <c:v>-0.4</c:v>
                </c:pt>
                <c:pt idx="349">
                  <c:v>-0.4</c:v>
                </c:pt>
                <c:pt idx="350">
                  <c:v>-0.4</c:v>
                </c:pt>
                <c:pt idx="351">
                  <c:v>-0.4</c:v>
                </c:pt>
                <c:pt idx="352">
                  <c:v>-0.4</c:v>
                </c:pt>
                <c:pt idx="353">
                  <c:v>-0.4</c:v>
                </c:pt>
                <c:pt idx="354">
                  <c:v>-0.39130434782608697</c:v>
                </c:pt>
                <c:pt idx="355">
                  <c:v>-0.3888888888888889</c:v>
                </c:pt>
                <c:pt idx="356">
                  <c:v>-0.3888888888888889</c:v>
                </c:pt>
                <c:pt idx="357">
                  <c:v>-0.38461538461538464</c:v>
                </c:pt>
                <c:pt idx="358">
                  <c:v>-0.38461538461538464</c:v>
                </c:pt>
                <c:pt idx="359">
                  <c:v>-0.38461538461538464</c:v>
                </c:pt>
                <c:pt idx="360">
                  <c:v>-0.38461538461538464</c:v>
                </c:pt>
                <c:pt idx="361">
                  <c:v>-0.38461538461538464</c:v>
                </c:pt>
                <c:pt idx="362">
                  <c:v>-0.38461538461538464</c:v>
                </c:pt>
                <c:pt idx="363">
                  <c:v>-0.38095238095238093</c:v>
                </c:pt>
                <c:pt idx="364">
                  <c:v>-0.38095238095238093</c:v>
                </c:pt>
                <c:pt idx="365">
                  <c:v>-0.38095238095238093</c:v>
                </c:pt>
                <c:pt idx="366">
                  <c:v>-0.38095238095238093</c:v>
                </c:pt>
                <c:pt idx="367">
                  <c:v>-0.375</c:v>
                </c:pt>
                <c:pt idx="368">
                  <c:v>-0.375</c:v>
                </c:pt>
                <c:pt idx="369">
                  <c:v>-0.375</c:v>
                </c:pt>
                <c:pt idx="370">
                  <c:v>-0.375</c:v>
                </c:pt>
                <c:pt idx="371">
                  <c:v>-0.37037037037037035</c:v>
                </c:pt>
                <c:pt idx="372">
                  <c:v>-0.36842105263157893</c:v>
                </c:pt>
                <c:pt idx="373">
                  <c:v>-0.36842105263157893</c:v>
                </c:pt>
                <c:pt idx="374">
                  <c:v>-0.36363636363636365</c:v>
                </c:pt>
                <c:pt idx="375">
                  <c:v>-0.35714285714285715</c:v>
                </c:pt>
                <c:pt idx="376">
                  <c:v>-0.35714285714285715</c:v>
                </c:pt>
                <c:pt idx="377">
                  <c:v>-0.35294117647058826</c:v>
                </c:pt>
                <c:pt idx="378">
                  <c:v>-0.35294117647058826</c:v>
                </c:pt>
                <c:pt idx="379">
                  <c:v>-0.35294117647058826</c:v>
                </c:pt>
                <c:pt idx="380">
                  <c:v>-0.35294117647058826</c:v>
                </c:pt>
                <c:pt idx="381">
                  <c:v>-0.35</c:v>
                </c:pt>
                <c:pt idx="382">
                  <c:v>-0.33333333333333331</c:v>
                </c:pt>
                <c:pt idx="383">
                  <c:v>-0.33333333333333331</c:v>
                </c:pt>
                <c:pt idx="384">
                  <c:v>-0.33333333333333331</c:v>
                </c:pt>
                <c:pt idx="385">
                  <c:v>-0.33333333333333331</c:v>
                </c:pt>
                <c:pt idx="386">
                  <c:v>-0.33333333333333331</c:v>
                </c:pt>
                <c:pt idx="387">
                  <c:v>-0.33333333333333331</c:v>
                </c:pt>
                <c:pt idx="388">
                  <c:v>-0.33333333333333331</c:v>
                </c:pt>
                <c:pt idx="389">
                  <c:v>-0.33333333333333331</c:v>
                </c:pt>
                <c:pt idx="390">
                  <c:v>-0.33333333333333331</c:v>
                </c:pt>
                <c:pt idx="391">
                  <c:v>-0.33333333333333331</c:v>
                </c:pt>
                <c:pt idx="392">
                  <c:v>-0.33333333333333331</c:v>
                </c:pt>
                <c:pt idx="393">
                  <c:v>-0.33333333333333331</c:v>
                </c:pt>
                <c:pt idx="394">
                  <c:v>-0.33333333333333331</c:v>
                </c:pt>
                <c:pt idx="395">
                  <c:v>-0.33333333333333331</c:v>
                </c:pt>
                <c:pt idx="396">
                  <c:v>-0.33333333333333331</c:v>
                </c:pt>
                <c:pt idx="397">
                  <c:v>-0.33333333333333331</c:v>
                </c:pt>
                <c:pt idx="398">
                  <c:v>-0.33333333333333331</c:v>
                </c:pt>
                <c:pt idx="399">
                  <c:v>-0.33333333333333331</c:v>
                </c:pt>
                <c:pt idx="400">
                  <c:v>-0.33333333333333331</c:v>
                </c:pt>
                <c:pt idx="401">
                  <c:v>-0.33333333333333331</c:v>
                </c:pt>
                <c:pt idx="402">
                  <c:v>-0.33333333333333331</c:v>
                </c:pt>
                <c:pt idx="403">
                  <c:v>-0.33333333333333331</c:v>
                </c:pt>
                <c:pt idx="404">
                  <c:v>-0.33333333333333331</c:v>
                </c:pt>
                <c:pt idx="405">
                  <c:v>-0.33333333333333331</c:v>
                </c:pt>
                <c:pt idx="406">
                  <c:v>-0.33333333333333331</c:v>
                </c:pt>
                <c:pt idx="407">
                  <c:v>-0.33333333333333331</c:v>
                </c:pt>
                <c:pt idx="408">
                  <c:v>-0.32</c:v>
                </c:pt>
                <c:pt idx="409">
                  <c:v>-0.31818181818181818</c:v>
                </c:pt>
                <c:pt idx="410">
                  <c:v>-0.31818181818181818</c:v>
                </c:pt>
                <c:pt idx="411">
                  <c:v>-0.31578947368421051</c:v>
                </c:pt>
                <c:pt idx="412">
                  <c:v>-0.31578947368421051</c:v>
                </c:pt>
                <c:pt idx="413">
                  <c:v>-0.31578947368421051</c:v>
                </c:pt>
                <c:pt idx="414">
                  <c:v>-0.31578947368421051</c:v>
                </c:pt>
                <c:pt idx="415">
                  <c:v>-0.3125</c:v>
                </c:pt>
                <c:pt idx="416">
                  <c:v>-0.3125</c:v>
                </c:pt>
                <c:pt idx="417">
                  <c:v>-0.30769230769230771</c:v>
                </c:pt>
                <c:pt idx="418">
                  <c:v>-0.30769230769230771</c:v>
                </c:pt>
                <c:pt idx="419">
                  <c:v>-0.30434782608695654</c:v>
                </c:pt>
                <c:pt idx="420">
                  <c:v>-0.3</c:v>
                </c:pt>
                <c:pt idx="421">
                  <c:v>-0.3</c:v>
                </c:pt>
                <c:pt idx="422">
                  <c:v>-0.29629629629629628</c:v>
                </c:pt>
                <c:pt idx="423">
                  <c:v>-0.29629629629629628</c:v>
                </c:pt>
                <c:pt idx="424">
                  <c:v>-0.29411764705882354</c:v>
                </c:pt>
                <c:pt idx="425">
                  <c:v>-0.29411764705882354</c:v>
                </c:pt>
                <c:pt idx="426">
                  <c:v>-0.29411764705882354</c:v>
                </c:pt>
                <c:pt idx="427">
                  <c:v>-0.2857142857142857</c:v>
                </c:pt>
                <c:pt idx="428">
                  <c:v>-0.2857142857142857</c:v>
                </c:pt>
                <c:pt idx="429">
                  <c:v>-0.2857142857142857</c:v>
                </c:pt>
                <c:pt idx="430">
                  <c:v>-0.27777777777777779</c:v>
                </c:pt>
                <c:pt idx="431">
                  <c:v>-0.27777777777777779</c:v>
                </c:pt>
                <c:pt idx="432">
                  <c:v>-0.27777777777777779</c:v>
                </c:pt>
                <c:pt idx="433">
                  <c:v>-0.27272727272727271</c:v>
                </c:pt>
                <c:pt idx="434">
                  <c:v>-0.27272727272727271</c:v>
                </c:pt>
                <c:pt idx="435">
                  <c:v>-0.27272727272727271</c:v>
                </c:pt>
                <c:pt idx="436">
                  <c:v>-0.27272727272727271</c:v>
                </c:pt>
                <c:pt idx="437">
                  <c:v>-0.27272727272727271</c:v>
                </c:pt>
                <c:pt idx="438">
                  <c:v>-0.26923076923076922</c:v>
                </c:pt>
                <c:pt idx="439">
                  <c:v>-0.26923076923076922</c:v>
                </c:pt>
                <c:pt idx="440">
                  <c:v>-0.26315789473684209</c:v>
                </c:pt>
                <c:pt idx="441">
                  <c:v>-0.26315789473684209</c:v>
                </c:pt>
                <c:pt idx="442">
                  <c:v>-0.2608695652173913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-0.23809523809523808</c:v>
                </c:pt>
                <c:pt idx="457">
                  <c:v>-0.23529411764705882</c:v>
                </c:pt>
                <c:pt idx="458">
                  <c:v>-0.23529411764705882</c:v>
                </c:pt>
                <c:pt idx="459">
                  <c:v>-0.23076923076923078</c:v>
                </c:pt>
                <c:pt idx="460">
                  <c:v>-0.23076923076923078</c:v>
                </c:pt>
                <c:pt idx="461">
                  <c:v>-0.23076923076923078</c:v>
                </c:pt>
                <c:pt idx="462">
                  <c:v>-0.23076923076923078</c:v>
                </c:pt>
                <c:pt idx="463">
                  <c:v>-0.22727272727272727</c:v>
                </c:pt>
                <c:pt idx="464">
                  <c:v>-0.22727272727272727</c:v>
                </c:pt>
                <c:pt idx="465">
                  <c:v>-0.22727272727272727</c:v>
                </c:pt>
                <c:pt idx="466">
                  <c:v>-0.22727272727272727</c:v>
                </c:pt>
                <c:pt idx="467">
                  <c:v>-0.22222222222222221</c:v>
                </c:pt>
                <c:pt idx="468">
                  <c:v>-0.22222222222222221</c:v>
                </c:pt>
                <c:pt idx="469">
                  <c:v>-0.22222222222222221</c:v>
                </c:pt>
                <c:pt idx="470">
                  <c:v>-0.22222222222222221</c:v>
                </c:pt>
                <c:pt idx="471">
                  <c:v>-0.21428571428571427</c:v>
                </c:pt>
                <c:pt idx="472">
                  <c:v>-0.21052631578947367</c:v>
                </c:pt>
                <c:pt idx="473">
                  <c:v>-0.20689655172413793</c:v>
                </c:pt>
                <c:pt idx="474">
                  <c:v>-0.2</c:v>
                </c:pt>
                <c:pt idx="475">
                  <c:v>-0.2</c:v>
                </c:pt>
                <c:pt idx="476">
                  <c:v>-0.2</c:v>
                </c:pt>
                <c:pt idx="477">
                  <c:v>-0.2</c:v>
                </c:pt>
                <c:pt idx="478">
                  <c:v>-0.2</c:v>
                </c:pt>
                <c:pt idx="479">
                  <c:v>-0.2</c:v>
                </c:pt>
                <c:pt idx="480">
                  <c:v>-0.2</c:v>
                </c:pt>
                <c:pt idx="481">
                  <c:v>-0.2</c:v>
                </c:pt>
                <c:pt idx="482">
                  <c:v>-0.2</c:v>
                </c:pt>
                <c:pt idx="483">
                  <c:v>-0.19230769230769232</c:v>
                </c:pt>
                <c:pt idx="484">
                  <c:v>-0.19230769230769232</c:v>
                </c:pt>
                <c:pt idx="485">
                  <c:v>-0.19047619047619047</c:v>
                </c:pt>
                <c:pt idx="486">
                  <c:v>-0.18518518518518517</c:v>
                </c:pt>
                <c:pt idx="487">
                  <c:v>-0.18181818181818182</c:v>
                </c:pt>
                <c:pt idx="488">
                  <c:v>-0.18181818181818182</c:v>
                </c:pt>
                <c:pt idx="489">
                  <c:v>-0.18181818181818182</c:v>
                </c:pt>
                <c:pt idx="490">
                  <c:v>-0.18181818181818182</c:v>
                </c:pt>
                <c:pt idx="491">
                  <c:v>-0.17857142857142858</c:v>
                </c:pt>
                <c:pt idx="492">
                  <c:v>-0.17647058823529413</c:v>
                </c:pt>
                <c:pt idx="493">
                  <c:v>-0.17647058823529413</c:v>
                </c:pt>
                <c:pt idx="494">
                  <c:v>-0.17647058823529413</c:v>
                </c:pt>
                <c:pt idx="495">
                  <c:v>-0.17647058823529413</c:v>
                </c:pt>
                <c:pt idx="496">
                  <c:v>-0.17647058823529413</c:v>
                </c:pt>
                <c:pt idx="497">
                  <c:v>-0.17647058823529413</c:v>
                </c:pt>
                <c:pt idx="498">
                  <c:v>-0.17647058823529413</c:v>
                </c:pt>
                <c:pt idx="499">
                  <c:v>-0.16666666666666666</c:v>
                </c:pt>
                <c:pt idx="500">
                  <c:v>-0.16666666666666666</c:v>
                </c:pt>
                <c:pt idx="501">
                  <c:v>-0.16666666666666666</c:v>
                </c:pt>
                <c:pt idx="502">
                  <c:v>-0.16666666666666666</c:v>
                </c:pt>
                <c:pt idx="503">
                  <c:v>-0.16666666666666666</c:v>
                </c:pt>
                <c:pt idx="504">
                  <c:v>-0.16666666666666666</c:v>
                </c:pt>
                <c:pt idx="505">
                  <c:v>-0.16</c:v>
                </c:pt>
                <c:pt idx="506">
                  <c:v>-0.15789473684210525</c:v>
                </c:pt>
                <c:pt idx="507">
                  <c:v>-0.15789473684210525</c:v>
                </c:pt>
                <c:pt idx="508">
                  <c:v>-0.15789473684210525</c:v>
                </c:pt>
                <c:pt idx="509">
                  <c:v>-0.15789473684210525</c:v>
                </c:pt>
                <c:pt idx="510">
                  <c:v>-0.15384615384615385</c:v>
                </c:pt>
                <c:pt idx="511">
                  <c:v>-0.15384615384615385</c:v>
                </c:pt>
                <c:pt idx="512">
                  <c:v>-0.14814814814814814</c:v>
                </c:pt>
                <c:pt idx="513">
                  <c:v>-0.14285714285714285</c:v>
                </c:pt>
                <c:pt idx="514">
                  <c:v>-0.14285714285714285</c:v>
                </c:pt>
                <c:pt idx="515">
                  <c:v>-0.14285714285714285</c:v>
                </c:pt>
                <c:pt idx="516">
                  <c:v>-0.14285714285714285</c:v>
                </c:pt>
                <c:pt idx="517">
                  <c:v>-0.14285714285714285</c:v>
                </c:pt>
                <c:pt idx="518">
                  <c:v>-0.14285714285714285</c:v>
                </c:pt>
                <c:pt idx="519">
                  <c:v>-0.14285714285714285</c:v>
                </c:pt>
                <c:pt idx="520">
                  <c:v>-0.14285714285714285</c:v>
                </c:pt>
                <c:pt idx="521">
                  <c:v>-0.14285714285714285</c:v>
                </c:pt>
                <c:pt idx="522">
                  <c:v>-0.14285714285714285</c:v>
                </c:pt>
                <c:pt idx="523">
                  <c:v>-0.14285714285714285</c:v>
                </c:pt>
                <c:pt idx="524">
                  <c:v>-0.13636363636363635</c:v>
                </c:pt>
                <c:pt idx="525">
                  <c:v>-0.13333333333333333</c:v>
                </c:pt>
                <c:pt idx="526">
                  <c:v>-0.13333333333333333</c:v>
                </c:pt>
                <c:pt idx="527">
                  <c:v>-0.13043478260869565</c:v>
                </c:pt>
                <c:pt idx="528">
                  <c:v>-0.13043478260869565</c:v>
                </c:pt>
                <c:pt idx="529">
                  <c:v>-0.125</c:v>
                </c:pt>
                <c:pt idx="530">
                  <c:v>-0.125</c:v>
                </c:pt>
                <c:pt idx="531">
                  <c:v>-0.125</c:v>
                </c:pt>
                <c:pt idx="532">
                  <c:v>-0.11764705882352941</c:v>
                </c:pt>
                <c:pt idx="533">
                  <c:v>-0.11764705882352941</c:v>
                </c:pt>
                <c:pt idx="534">
                  <c:v>-0.11538461538461539</c:v>
                </c:pt>
                <c:pt idx="535">
                  <c:v>-0.11538461538461539</c:v>
                </c:pt>
                <c:pt idx="536">
                  <c:v>-0.1111111111111111</c:v>
                </c:pt>
                <c:pt idx="537">
                  <c:v>-0.1111111111111111</c:v>
                </c:pt>
                <c:pt idx="538">
                  <c:v>-0.1111111111111111</c:v>
                </c:pt>
                <c:pt idx="539">
                  <c:v>-0.1111111111111111</c:v>
                </c:pt>
                <c:pt idx="540">
                  <c:v>-0.1111111111111111</c:v>
                </c:pt>
                <c:pt idx="541">
                  <c:v>-0.1</c:v>
                </c:pt>
                <c:pt idx="542">
                  <c:v>-0.1</c:v>
                </c:pt>
                <c:pt idx="543">
                  <c:v>-0.1</c:v>
                </c:pt>
                <c:pt idx="544">
                  <c:v>-0.1</c:v>
                </c:pt>
                <c:pt idx="545">
                  <c:v>-0.1</c:v>
                </c:pt>
                <c:pt idx="546">
                  <c:v>-0.1</c:v>
                </c:pt>
                <c:pt idx="547">
                  <c:v>-9.5238095238095233E-2</c:v>
                </c:pt>
                <c:pt idx="548">
                  <c:v>-9.5238095238095233E-2</c:v>
                </c:pt>
                <c:pt idx="549">
                  <c:v>-9.5238095238095233E-2</c:v>
                </c:pt>
                <c:pt idx="550">
                  <c:v>-9.5238095238095233E-2</c:v>
                </c:pt>
                <c:pt idx="551">
                  <c:v>-9.5238095238095233E-2</c:v>
                </c:pt>
                <c:pt idx="552">
                  <c:v>-9.5238095238095233E-2</c:v>
                </c:pt>
                <c:pt idx="553">
                  <c:v>-9.0909090909090912E-2</c:v>
                </c:pt>
                <c:pt idx="554">
                  <c:v>-9.0909090909090912E-2</c:v>
                </c:pt>
                <c:pt idx="555">
                  <c:v>-9.0909090909090912E-2</c:v>
                </c:pt>
                <c:pt idx="556">
                  <c:v>-8.6956521739130432E-2</c:v>
                </c:pt>
                <c:pt idx="557">
                  <c:v>-8.3333333333333329E-2</c:v>
                </c:pt>
                <c:pt idx="558">
                  <c:v>-0.08</c:v>
                </c:pt>
                <c:pt idx="559">
                  <c:v>-7.6923076923076927E-2</c:v>
                </c:pt>
                <c:pt idx="560">
                  <c:v>-7.6923076923076927E-2</c:v>
                </c:pt>
                <c:pt idx="561">
                  <c:v>-7.407407407407407E-2</c:v>
                </c:pt>
                <c:pt idx="562">
                  <c:v>-7.407407407407407E-2</c:v>
                </c:pt>
                <c:pt idx="563">
                  <c:v>-7.1428571428571425E-2</c:v>
                </c:pt>
                <c:pt idx="564">
                  <c:v>-7.1428571428571425E-2</c:v>
                </c:pt>
                <c:pt idx="565">
                  <c:v>-6.8965517241379309E-2</c:v>
                </c:pt>
                <c:pt idx="566">
                  <c:v>-6.6666666666666666E-2</c:v>
                </c:pt>
                <c:pt idx="567">
                  <c:v>-6.6666666666666666E-2</c:v>
                </c:pt>
                <c:pt idx="568">
                  <c:v>-6.6666666666666666E-2</c:v>
                </c:pt>
                <c:pt idx="569">
                  <c:v>-6.25E-2</c:v>
                </c:pt>
                <c:pt idx="570">
                  <c:v>-5.8823529411764705E-2</c:v>
                </c:pt>
                <c:pt idx="571">
                  <c:v>-5.2631578947368418E-2</c:v>
                </c:pt>
                <c:pt idx="572">
                  <c:v>-0.05</c:v>
                </c:pt>
                <c:pt idx="573">
                  <c:v>-0.05</c:v>
                </c:pt>
                <c:pt idx="574">
                  <c:v>-0.05</c:v>
                </c:pt>
                <c:pt idx="575">
                  <c:v>-0.05</c:v>
                </c:pt>
                <c:pt idx="576">
                  <c:v>-4.5454545454545456E-2</c:v>
                </c:pt>
                <c:pt idx="577">
                  <c:v>-4.5454545454545456E-2</c:v>
                </c:pt>
                <c:pt idx="578">
                  <c:v>-4.5454545454545456E-2</c:v>
                </c:pt>
                <c:pt idx="579">
                  <c:v>-4.5454545454545456E-2</c:v>
                </c:pt>
                <c:pt idx="580">
                  <c:v>-4.5454545454545456E-2</c:v>
                </c:pt>
                <c:pt idx="581">
                  <c:v>-4.5454545454545456E-2</c:v>
                </c:pt>
                <c:pt idx="582">
                  <c:v>-4.3478260869565216E-2</c:v>
                </c:pt>
                <c:pt idx="583">
                  <c:v>-4.3478260869565216E-2</c:v>
                </c:pt>
                <c:pt idx="584">
                  <c:v>-4.1666666666666664E-2</c:v>
                </c:pt>
                <c:pt idx="585">
                  <c:v>-0.04</c:v>
                </c:pt>
                <c:pt idx="586">
                  <c:v>-3.8461538461538464E-2</c:v>
                </c:pt>
                <c:pt idx="587">
                  <c:v>-3.7037037037037035E-2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3.4482758620689655E-2</c:v>
                </c:pt>
                <c:pt idx="685">
                  <c:v>3.5714285714285712E-2</c:v>
                </c:pt>
                <c:pt idx="686">
                  <c:v>4.1666666666666664E-2</c:v>
                </c:pt>
                <c:pt idx="687">
                  <c:v>4.1666666666666664E-2</c:v>
                </c:pt>
                <c:pt idx="688">
                  <c:v>4.3478260869565216E-2</c:v>
                </c:pt>
                <c:pt idx="689">
                  <c:v>4.5454545454545456E-2</c:v>
                </c:pt>
                <c:pt idx="690">
                  <c:v>4.5454545454545456E-2</c:v>
                </c:pt>
                <c:pt idx="691">
                  <c:v>4.5454545454545456E-2</c:v>
                </c:pt>
                <c:pt idx="692">
                  <c:v>0.05</c:v>
                </c:pt>
                <c:pt idx="693">
                  <c:v>0.05</c:v>
                </c:pt>
                <c:pt idx="694">
                  <c:v>0.05</c:v>
                </c:pt>
                <c:pt idx="695">
                  <c:v>0.05</c:v>
                </c:pt>
                <c:pt idx="696">
                  <c:v>0.05</c:v>
                </c:pt>
                <c:pt idx="697">
                  <c:v>5.2631578947368418E-2</c:v>
                </c:pt>
                <c:pt idx="698">
                  <c:v>5.2631578947368418E-2</c:v>
                </c:pt>
                <c:pt idx="699">
                  <c:v>5.2631578947368418E-2</c:v>
                </c:pt>
                <c:pt idx="700">
                  <c:v>5.2631578947368418E-2</c:v>
                </c:pt>
                <c:pt idx="701">
                  <c:v>5.2631578947368418E-2</c:v>
                </c:pt>
                <c:pt idx="702">
                  <c:v>5.2631578947368418E-2</c:v>
                </c:pt>
                <c:pt idx="703">
                  <c:v>5.5555555555555552E-2</c:v>
                </c:pt>
                <c:pt idx="704">
                  <c:v>5.5555555555555552E-2</c:v>
                </c:pt>
                <c:pt idx="705">
                  <c:v>5.5555555555555552E-2</c:v>
                </c:pt>
                <c:pt idx="706">
                  <c:v>5.8823529411764705E-2</c:v>
                </c:pt>
                <c:pt idx="707">
                  <c:v>5.8823529411764705E-2</c:v>
                </c:pt>
                <c:pt idx="708">
                  <c:v>5.8823529411764705E-2</c:v>
                </c:pt>
                <c:pt idx="709">
                  <c:v>5.8823529411764705E-2</c:v>
                </c:pt>
                <c:pt idx="710">
                  <c:v>5.8823529411764705E-2</c:v>
                </c:pt>
                <c:pt idx="711">
                  <c:v>5.8823529411764705E-2</c:v>
                </c:pt>
                <c:pt idx="712">
                  <c:v>6.25E-2</c:v>
                </c:pt>
                <c:pt idx="713">
                  <c:v>6.25E-2</c:v>
                </c:pt>
                <c:pt idx="714">
                  <c:v>6.25E-2</c:v>
                </c:pt>
                <c:pt idx="715">
                  <c:v>6.25E-2</c:v>
                </c:pt>
                <c:pt idx="716">
                  <c:v>6.25E-2</c:v>
                </c:pt>
                <c:pt idx="717">
                  <c:v>6.6666666666666666E-2</c:v>
                </c:pt>
                <c:pt idx="718">
                  <c:v>6.6666666666666666E-2</c:v>
                </c:pt>
                <c:pt idx="719">
                  <c:v>6.8965517241379309E-2</c:v>
                </c:pt>
                <c:pt idx="720">
                  <c:v>7.1428571428571425E-2</c:v>
                </c:pt>
                <c:pt idx="721">
                  <c:v>7.1428571428571425E-2</c:v>
                </c:pt>
                <c:pt idx="722">
                  <c:v>7.6923076923076927E-2</c:v>
                </c:pt>
                <c:pt idx="723">
                  <c:v>7.6923076923076927E-2</c:v>
                </c:pt>
                <c:pt idx="724">
                  <c:v>7.6923076923076927E-2</c:v>
                </c:pt>
                <c:pt idx="725">
                  <c:v>7.6923076923076927E-2</c:v>
                </c:pt>
                <c:pt idx="726">
                  <c:v>7.6923076923076927E-2</c:v>
                </c:pt>
                <c:pt idx="727">
                  <c:v>7.6923076923076927E-2</c:v>
                </c:pt>
                <c:pt idx="728">
                  <c:v>7.6923076923076927E-2</c:v>
                </c:pt>
                <c:pt idx="729">
                  <c:v>7.6923076923076927E-2</c:v>
                </c:pt>
                <c:pt idx="730">
                  <c:v>7.6923076923076927E-2</c:v>
                </c:pt>
                <c:pt idx="731">
                  <c:v>8.3333333333333329E-2</c:v>
                </c:pt>
                <c:pt idx="732">
                  <c:v>8.3333333333333329E-2</c:v>
                </c:pt>
                <c:pt idx="733">
                  <c:v>8.6956521739130432E-2</c:v>
                </c:pt>
                <c:pt idx="734">
                  <c:v>8.6956521739130432E-2</c:v>
                </c:pt>
                <c:pt idx="735">
                  <c:v>8.6956521739130432E-2</c:v>
                </c:pt>
                <c:pt idx="736">
                  <c:v>9.0909090909090912E-2</c:v>
                </c:pt>
                <c:pt idx="737">
                  <c:v>9.0909090909090912E-2</c:v>
                </c:pt>
                <c:pt idx="738">
                  <c:v>9.0909090909090912E-2</c:v>
                </c:pt>
                <c:pt idx="739">
                  <c:v>9.0909090909090912E-2</c:v>
                </c:pt>
                <c:pt idx="740">
                  <c:v>9.0909090909090912E-2</c:v>
                </c:pt>
                <c:pt idx="741">
                  <c:v>9.0909090909090912E-2</c:v>
                </c:pt>
                <c:pt idx="742">
                  <c:v>9.0909090909090912E-2</c:v>
                </c:pt>
                <c:pt idx="743">
                  <c:v>9.5238095238095233E-2</c:v>
                </c:pt>
                <c:pt idx="744">
                  <c:v>9.5238095238095233E-2</c:v>
                </c:pt>
                <c:pt idx="745">
                  <c:v>9.5238095238095233E-2</c:v>
                </c:pt>
                <c:pt idx="746">
                  <c:v>9.5238095238095233E-2</c:v>
                </c:pt>
                <c:pt idx="747">
                  <c:v>9.5238095238095233E-2</c:v>
                </c:pt>
                <c:pt idx="748">
                  <c:v>9.5238095238095233E-2</c:v>
                </c:pt>
                <c:pt idx="749">
                  <c:v>9.5238095238095233E-2</c:v>
                </c:pt>
                <c:pt idx="750">
                  <c:v>9.5238095238095233E-2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0.1</c:v>
                </c:pt>
                <c:pt idx="756">
                  <c:v>0.10526315789473684</c:v>
                </c:pt>
                <c:pt idx="757">
                  <c:v>0.10526315789473684</c:v>
                </c:pt>
                <c:pt idx="758">
                  <c:v>0.10526315789473684</c:v>
                </c:pt>
                <c:pt idx="759">
                  <c:v>0.10526315789473684</c:v>
                </c:pt>
                <c:pt idx="760">
                  <c:v>0.10714285714285714</c:v>
                </c:pt>
                <c:pt idx="761">
                  <c:v>0.1111111111111111</c:v>
                </c:pt>
                <c:pt idx="762">
                  <c:v>0.1111111111111111</c:v>
                </c:pt>
                <c:pt idx="763">
                  <c:v>0.1111111111111111</c:v>
                </c:pt>
                <c:pt idx="764">
                  <c:v>0.1111111111111111</c:v>
                </c:pt>
                <c:pt idx="765">
                  <c:v>0.1111111111111111</c:v>
                </c:pt>
                <c:pt idx="766">
                  <c:v>0.1111111111111111</c:v>
                </c:pt>
                <c:pt idx="767">
                  <c:v>0.1111111111111111</c:v>
                </c:pt>
                <c:pt idx="768">
                  <c:v>0.1111111111111111</c:v>
                </c:pt>
                <c:pt idx="769">
                  <c:v>0.11538461538461539</c:v>
                </c:pt>
                <c:pt idx="770">
                  <c:v>0.11764705882352941</c:v>
                </c:pt>
                <c:pt idx="771">
                  <c:v>0.12</c:v>
                </c:pt>
                <c:pt idx="772">
                  <c:v>0.125</c:v>
                </c:pt>
                <c:pt idx="773">
                  <c:v>0.125</c:v>
                </c:pt>
                <c:pt idx="774">
                  <c:v>0.125</c:v>
                </c:pt>
                <c:pt idx="775">
                  <c:v>0.125</c:v>
                </c:pt>
                <c:pt idx="776">
                  <c:v>0.125</c:v>
                </c:pt>
                <c:pt idx="777">
                  <c:v>0.125</c:v>
                </c:pt>
                <c:pt idx="778">
                  <c:v>0.13333333333333333</c:v>
                </c:pt>
                <c:pt idx="779">
                  <c:v>0.13333333333333333</c:v>
                </c:pt>
                <c:pt idx="780">
                  <c:v>0.13636363636363635</c:v>
                </c:pt>
                <c:pt idx="781">
                  <c:v>0.13636363636363635</c:v>
                </c:pt>
                <c:pt idx="782">
                  <c:v>0.13636363636363635</c:v>
                </c:pt>
                <c:pt idx="783">
                  <c:v>0.1388888888888889</c:v>
                </c:pt>
                <c:pt idx="784">
                  <c:v>0.14285714285714285</c:v>
                </c:pt>
                <c:pt idx="785">
                  <c:v>0.14285714285714285</c:v>
                </c:pt>
                <c:pt idx="786">
                  <c:v>0.14285714285714285</c:v>
                </c:pt>
                <c:pt idx="787">
                  <c:v>0.14285714285714285</c:v>
                </c:pt>
                <c:pt idx="788">
                  <c:v>0.14285714285714285</c:v>
                </c:pt>
                <c:pt idx="789">
                  <c:v>0.14285714285714285</c:v>
                </c:pt>
                <c:pt idx="790">
                  <c:v>0.14285714285714285</c:v>
                </c:pt>
                <c:pt idx="791">
                  <c:v>0.14285714285714285</c:v>
                </c:pt>
                <c:pt idx="792">
                  <c:v>0.14285714285714285</c:v>
                </c:pt>
                <c:pt idx="793">
                  <c:v>0.14285714285714285</c:v>
                </c:pt>
                <c:pt idx="794">
                  <c:v>0.15384615384615385</c:v>
                </c:pt>
                <c:pt idx="795">
                  <c:v>0.15384615384615385</c:v>
                </c:pt>
                <c:pt idx="796">
                  <c:v>0.15384615384615385</c:v>
                </c:pt>
                <c:pt idx="797">
                  <c:v>0.15789473684210525</c:v>
                </c:pt>
                <c:pt idx="798">
                  <c:v>0.15789473684210525</c:v>
                </c:pt>
                <c:pt idx="799">
                  <c:v>0.15789473684210525</c:v>
                </c:pt>
                <c:pt idx="800">
                  <c:v>0.16</c:v>
                </c:pt>
                <c:pt idx="801">
                  <c:v>0.16129032258064516</c:v>
                </c:pt>
                <c:pt idx="802">
                  <c:v>0.16129032258064516</c:v>
                </c:pt>
                <c:pt idx="803">
                  <c:v>0.16666666666666666</c:v>
                </c:pt>
                <c:pt idx="804">
                  <c:v>0.16666666666666666</c:v>
                </c:pt>
                <c:pt idx="805">
                  <c:v>0.16666666666666666</c:v>
                </c:pt>
                <c:pt idx="806">
                  <c:v>0.16666666666666666</c:v>
                </c:pt>
                <c:pt idx="807">
                  <c:v>0.16666666666666666</c:v>
                </c:pt>
                <c:pt idx="808">
                  <c:v>0.16666666666666666</c:v>
                </c:pt>
                <c:pt idx="809">
                  <c:v>0.16666666666666666</c:v>
                </c:pt>
                <c:pt idx="810">
                  <c:v>0.16666666666666666</c:v>
                </c:pt>
                <c:pt idx="811">
                  <c:v>0.16666666666666666</c:v>
                </c:pt>
                <c:pt idx="812">
                  <c:v>0.16666666666666666</c:v>
                </c:pt>
                <c:pt idx="813">
                  <c:v>0.16666666666666666</c:v>
                </c:pt>
                <c:pt idx="814">
                  <c:v>0.16666666666666666</c:v>
                </c:pt>
                <c:pt idx="815">
                  <c:v>0.16666666666666666</c:v>
                </c:pt>
                <c:pt idx="816">
                  <c:v>0.17241379310344829</c:v>
                </c:pt>
                <c:pt idx="817">
                  <c:v>0.17391304347826086</c:v>
                </c:pt>
                <c:pt idx="818">
                  <c:v>0.17391304347826086</c:v>
                </c:pt>
                <c:pt idx="819">
                  <c:v>0.17391304347826086</c:v>
                </c:pt>
                <c:pt idx="820">
                  <c:v>0.17391304347826086</c:v>
                </c:pt>
                <c:pt idx="821">
                  <c:v>0.17647058823529413</c:v>
                </c:pt>
                <c:pt idx="822">
                  <c:v>0.17647058823529413</c:v>
                </c:pt>
                <c:pt idx="823">
                  <c:v>0.17647058823529413</c:v>
                </c:pt>
                <c:pt idx="824">
                  <c:v>0.17647058823529413</c:v>
                </c:pt>
                <c:pt idx="825">
                  <c:v>0.17647058823529413</c:v>
                </c:pt>
                <c:pt idx="826">
                  <c:v>0.17647058823529413</c:v>
                </c:pt>
                <c:pt idx="827">
                  <c:v>0.17647058823529413</c:v>
                </c:pt>
                <c:pt idx="828">
                  <c:v>0.17647058823529413</c:v>
                </c:pt>
                <c:pt idx="829">
                  <c:v>0.17647058823529413</c:v>
                </c:pt>
                <c:pt idx="830">
                  <c:v>0.17647058823529413</c:v>
                </c:pt>
                <c:pt idx="831">
                  <c:v>0.17857142857142858</c:v>
                </c:pt>
                <c:pt idx="832">
                  <c:v>0.17857142857142858</c:v>
                </c:pt>
                <c:pt idx="833">
                  <c:v>0.17857142857142858</c:v>
                </c:pt>
                <c:pt idx="834">
                  <c:v>0.18181818181818182</c:v>
                </c:pt>
                <c:pt idx="835">
                  <c:v>0.1875</c:v>
                </c:pt>
                <c:pt idx="836">
                  <c:v>0.1875</c:v>
                </c:pt>
                <c:pt idx="837">
                  <c:v>0.1875</c:v>
                </c:pt>
                <c:pt idx="838">
                  <c:v>0.1875</c:v>
                </c:pt>
                <c:pt idx="839">
                  <c:v>0.1875</c:v>
                </c:pt>
                <c:pt idx="840">
                  <c:v>0.19047619047619047</c:v>
                </c:pt>
                <c:pt idx="841">
                  <c:v>0.19047619047619047</c:v>
                </c:pt>
                <c:pt idx="842">
                  <c:v>0.19047619047619047</c:v>
                </c:pt>
                <c:pt idx="843">
                  <c:v>0.19354838709677419</c:v>
                </c:pt>
                <c:pt idx="844">
                  <c:v>0.19354838709677419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0.2</c:v>
                </c:pt>
                <c:pt idx="856">
                  <c:v>0.2</c:v>
                </c:pt>
                <c:pt idx="857">
                  <c:v>0.2</c:v>
                </c:pt>
                <c:pt idx="858">
                  <c:v>0.2</c:v>
                </c:pt>
                <c:pt idx="859">
                  <c:v>0.2</c:v>
                </c:pt>
                <c:pt idx="860">
                  <c:v>0.2</c:v>
                </c:pt>
                <c:pt idx="861">
                  <c:v>0.2</c:v>
                </c:pt>
                <c:pt idx="862">
                  <c:v>0.2</c:v>
                </c:pt>
                <c:pt idx="863">
                  <c:v>0.2</c:v>
                </c:pt>
                <c:pt idx="864">
                  <c:v>0.2</c:v>
                </c:pt>
                <c:pt idx="865">
                  <c:v>0.2</c:v>
                </c:pt>
                <c:pt idx="866">
                  <c:v>0.2</c:v>
                </c:pt>
                <c:pt idx="867">
                  <c:v>0.20833333333333334</c:v>
                </c:pt>
                <c:pt idx="868">
                  <c:v>0.20833333333333334</c:v>
                </c:pt>
                <c:pt idx="869">
                  <c:v>0.21052631578947367</c:v>
                </c:pt>
                <c:pt idx="870">
                  <c:v>0.21052631578947367</c:v>
                </c:pt>
                <c:pt idx="871">
                  <c:v>0.21739130434782608</c:v>
                </c:pt>
                <c:pt idx="872">
                  <c:v>0.21739130434782608</c:v>
                </c:pt>
                <c:pt idx="873">
                  <c:v>0.22222222222222221</c:v>
                </c:pt>
                <c:pt idx="874">
                  <c:v>0.22222222222222221</c:v>
                </c:pt>
                <c:pt idx="875">
                  <c:v>0.22222222222222221</c:v>
                </c:pt>
                <c:pt idx="876">
                  <c:v>0.22222222222222221</c:v>
                </c:pt>
                <c:pt idx="877">
                  <c:v>0.22222222222222221</c:v>
                </c:pt>
                <c:pt idx="878">
                  <c:v>0.22222222222222221</c:v>
                </c:pt>
                <c:pt idx="879">
                  <c:v>0.22222222222222221</c:v>
                </c:pt>
                <c:pt idx="880">
                  <c:v>0.22222222222222221</c:v>
                </c:pt>
                <c:pt idx="881">
                  <c:v>0.22222222222222221</c:v>
                </c:pt>
                <c:pt idx="882">
                  <c:v>0.22222222222222221</c:v>
                </c:pt>
                <c:pt idx="883">
                  <c:v>0.22727272727272727</c:v>
                </c:pt>
                <c:pt idx="884">
                  <c:v>0.22727272727272727</c:v>
                </c:pt>
                <c:pt idx="885">
                  <c:v>0.22727272727272727</c:v>
                </c:pt>
                <c:pt idx="886">
                  <c:v>0.22727272727272727</c:v>
                </c:pt>
                <c:pt idx="887">
                  <c:v>0.22727272727272727</c:v>
                </c:pt>
                <c:pt idx="888">
                  <c:v>0.22727272727272727</c:v>
                </c:pt>
                <c:pt idx="889">
                  <c:v>0.23076923076923078</c:v>
                </c:pt>
                <c:pt idx="890">
                  <c:v>0.23076923076923078</c:v>
                </c:pt>
                <c:pt idx="891">
                  <c:v>0.23076923076923078</c:v>
                </c:pt>
                <c:pt idx="892">
                  <c:v>0.23076923076923078</c:v>
                </c:pt>
                <c:pt idx="893">
                  <c:v>0.23076923076923078</c:v>
                </c:pt>
                <c:pt idx="894">
                  <c:v>0.23076923076923078</c:v>
                </c:pt>
                <c:pt idx="895">
                  <c:v>0.23529411764705882</c:v>
                </c:pt>
                <c:pt idx="896">
                  <c:v>0.23529411764705882</c:v>
                </c:pt>
                <c:pt idx="897">
                  <c:v>0.23529411764705882</c:v>
                </c:pt>
                <c:pt idx="898">
                  <c:v>0.23809523809523808</c:v>
                </c:pt>
                <c:pt idx="899">
                  <c:v>0.23809523809523808</c:v>
                </c:pt>
                <c:pt idx="900">
                  <c:v>0.24</c:v>
                </c:pt>
                <c:pt idx="901">
                  <c:v>0.2413793103448276</c:v>
                </c:pt>
                <c:pt idx="902">
                  <c:v>0.2413793103448276</c:v>
                </c:pt>
                <c:pt idx="903">
                  <c:v>0.25</c:v>
                </c:pt>
                <c:pt idx="904">
                  <c:v>0.25</c:v>
                </c:pt>
                <c:pt idx="905">
                  <c:v>0.25</c:v>
                </c:pt>
                <c:pt idx="906">
                  <c:v>0.25</c:v>
                </c:pt>
                <c:pt idx="907">
                  <c:v>0.25</c:v>
                </c:pt>
                <c:pt idx="908">
                  <c:v>0.25</c:v>
                </c:pt>
                <c:pt idx="909">
                  <c:v>0.25</c:v>
                </c:pt>
                <c:pt idx="910">
                  <c:v>0.25</c:v>
                </c:pt>
                <c:pt idx="911">
                  <c:v>0.25</c:v>
                </c:pt>
                <c:pt idx="912">
                  <c:v>0.25925925925925924</c:v>
                </c:pt>
                <c:pt idx="913">
                  <c:v>0.26315789473684209</c:v>
                </c:pt>
                <c:pt idx="914">
                  <c:v>0.26315789473684209</c:v>
                </c:pt>
                <c:pt idx="915">
                  <c:v>0.26315789473684209</c:v>
                </c:pt>
                <c:pt idx="916">
                  <c:v>0.26315789473684209</c:v>
                </c:pt>
                <c:pt idx="917">
                  <c:v>0.26315789473684209</c:v>
                </c:pt>
                <c:pt idx="918">
                  <c:v>0.26315789473684209</c:v>
                </c:pt>
                <c:pt idx="919">
                  <c:v>0.26666666666666666</c:v>
                </c:pt>
                <c:pt idx="920">
                  <c:v>0.26666666666666666</c:v>
                </c:pt>
                <c:pt idx="921">
                  <c:v>0.26666666666666666</c:v>
                </c:pt>
                <c:pt idx="922">
                  <c:v>0.26666666666666666</c:v>
                </c:pt>
                <c:pt idx="923">
                  <c:v>0.26666666666666666</c:v>
                </c:pt>
                <c:pt idx="924">
                  <c:v>0.26666666666666666</c:v>
                </c:pt>
                <c:pt idx="925">
                  <c:v>0.26923076923076922</c:v>
                </c:pt>
                <c:pt idx="926">
                  <c:v>0.26923076923076922</c:v>
                </c:pt>
                <c:pt idx="927">
                  <c:v>0.27272727272727271</c:v>
                </c:pt>
                <c:pt idx="928">
                  <c:v>0.27272727272727271</c:v>
                </c:pt>
                <c:pt idx="929">
                  <c:v>0.27272727272727271</c:v>
                </c:pt>
                <c:pt idx="930">
                  <c:v>0.27272727272727271</c:v>
                </c:pt>
                <c:pt idx="931">
                  <c:v>0.27272727272727271</c:v>
                </c:pt>
                <c:pt idx="932">
                  <c:v>0.27272727272727271</c:v>
                </c:pt>
                <c:pt idx="933">
                  <c:v>0.27272727272727271</c:v>
                </c:pt>
                <c:pt idx="934">
                  <c:v>0.27272727272727271</c:v>
                </c:pt>
                <c:pt idx="935">
                  <c:v>0.27777777777777779</c:v>
                </c:pt>
                <c:pt idx="936">
                  <c:v>0.27777777777777779</c:v>
                </c:pt>
                <c:pt idx="937">
                  <c:v>0.28000000000000003</c:v>
                </c:pt>
                <c:pt idx="938">
                  <c:v>0.28000000000000003</c:v>
                </c:pt>
                <c:pt idx="939">
                  <c:v>0.2857142857142857</c:v>
                </c:pt>
                <c:pt idx="940">
                  <c:v>0.2857142857142857</c:v>
                </c:pt>
                <c:pt idx="941">
                  <c:v>0.2857142857142857</c:v>
                </c:pt>
                <c:pt idx="942">
                  <c:v>0.2857142857142857</c:v>
                </c:pt>
                <c:pt idx="943">
                  <c:v>0.2857142857142857</c:v>
                </c:pt>
                <c:pt idx="944">
                  <c:v>0.2857142857142857</c:v>
                </c:pt>
                <c:pt idx="945">
                  <c:v>0.2857142857142857</c:v>
                </c:pt>
                <c:pt idx="946">
                  <c:v>0.2857142857142857</c:v>
                </c:pt>
                <c:pt idx="947">
                  <c:v>0.2857142857142857</c:v>
                </c:pt>
                <c:pt idx="948">
                  <c:v>0.2857142857142857</c:v>
                </c:pt>
                <c:pt idx="949">
                  <c:v>0.2857142857142857</c:v>
                </c:pt>
                <c:pt idx="950">
                  <c:v>0.2857142857142857</c:v>
                </c:pt>
                <c:pt idx="951">
                  <c:v>0.2857142857142857</c:v>
                </c:pt>
                <c:pt idx="952">
                  <c:v>0.29166666666666669</c:v>
                </c:pt>
                <c:pt idx="953">
                  <c:v>0.29166666666666669</c:v>
                </c:pt>
                <c:pt idx="954">
                  <c:v>0.29166666666666669</c:v>
                </c:pt>
                <c:pt idx="955">
                  <c:v>0.29411764705882354</c:v>
                </c:pt>
                <c:pt idx="956">
                  <c:v>0.29411764705882354</c:v>
                </c:pt>
                <c:pt idx="957">
                  <c:v>0.29629629629629628</c:v>
                </c:pt>
                <c:pt idx="958">
                  <c:v>0.29629629629629628</c:v>
                </c:pt>
                <c:pt idx="959">
                  <c:v>0.3</c:v>
                </c:pt>
                <c:pt idx="960">
                  <c:v>0.3</c:v>
                </c:pt>
                <c:pt idx="961">
                  <c:v>0.3</c:v>
                </c:pt>
                <c:pt idx="962">
                  <c:v>0.30434782608695654</c:v>
                </c:pt>
                <c:pt idx="963">
                  <c:v>0.30434782608695654</c:v>
                </c:pt>
                <c:pt idx="964">
                  <c:v>0.30434782608695654</c:v>
                </c:pt>
                <c:pt idx="965">
                  <c:v>0.30434782608695654</c:v>
                </c:pt>
                <c:pt idx="966">
                  <c:v>0.30434782608695654</c:v>
                </c:pt>
                <c:pt idx="967">
                  <c:v>0.30769230769230771</c:v>
                </c:pt>
                <c:pt idx="968">
                  <c:v>0.3125</c:v>
                </c:pt>
                <c:pt idx="969">
                  <c:v>0.3125</c:v>
                </c:pt>
                <c:pt idx="970">
                  <c:v>0.3125</c:v>
                </c:pt>
                <c:pt idx="971">
                  <c:v>0.31428571428571428</c:v>
                </c:pt>
                <c:pt idx="972">
                  <c:v>0.31578947368421051</c:v>
                </c:pt>
                <c:pt idx="973">
                  <c:v>0.31818181818181818</c:v>
                </c:pt>
                <c:pt idx="974">
                  <c:v>0.31818181818181818</c:v>
                </c:pt>
                <c:pt idx="975">
                  <c:v>0.31818181818181818</c:v>
                </c:pt>
                <c:pt idx="976">
                  <c:v>0.31818181818181818</c:v>
                </c:pt>
                <c:pt idx="977">
                  <c:v>0.31818181818181818</c:v>
                </c:pt>
                <c:pt idx="978">
                  <c:v>0.31818181818181818</c:v>
                </c:pt>
                <c:pt idx="979">
                  <c:v>0.32142857142857145</c:v>
                </c:pt>
                <c:pt idx="980">
                  <c:v>0.32142857142857145</c:v>
                </c:pt>
                <c:pt idx="981">
                  <c:v>0.33333333333333331</c:v>
                </c:pt>
                <c:pt idx="982">
                  <c:v>0.33333333333333331</c:v>
                </c:pt>
                <c:pt idx="983">
                  <c:v>0.33333333333333331</c:v>
                </c:pt>
                <c:pt idx="984">
                  <c:v>0.33333333333333331</c:v>
                </c:pt>
                <c:pt idx="985">
                  <c:v>0.33333333333333331</c:v>
                </c:pt>
                <c:pt idx="986">
                  <c:v>0.33333333333333331</c:v>
                </c:pt>
                <c:pt idx="987">
                  <c:v>0.33333333333333331</c:v>
                </c:pt>
                <c:pt idx="988">
                  <c:v>0.33333333333333331</c:v>
                </c:pt>
                <c:pt idx="989">
                  <c:v>0.33333333333333331</c:v>
                </c:pt>
                <c:pt idx="990">
                  <c:v>0.33333333333333331</c:v>
                </c:pt>
                <c:pt idx="991">
                  <c:v>0.33333333333333331</c:v>
                </c:pt>
                <c:pt idx="992">
                  <c:v>0.33333333333333331</c:v>
                </c:pt>
                <c:pt idx="993">
                  <c:v>0.33333333333333331</c:v>
                </c:pt>
                <c:pt idx="994">
                  <c:v>0.33333333333333331</c:v>
                </c:pt>
                <c:pt idx="995">
                  <c:v>0.33333333333333331</c:v>
                </c:pt>
                <c:pt idx="996">
                  <c:v>0.33333333333333331</c:v>
                </c:pt>
                <c:pt idx="997">
                  <c:v>0.33333333333333331</c:v>
                </c:pt>
                <c:pt idx="998">
                  <c:v>0.33333333333333331</c:v>
                </c:pt>
                <c:pt idx="999">
                  <c:v>0.33333333333333331</c:v>
                </c:pt>
                <c:pt idx="1000">
                  <c:v>0.33333333333333331</c:v>
                </c:pt>
                <c:pt idx="1001">
                  <c:v>0.33333333333333331</c:v>
                </c:pt>
                <c:pt idx="1002">
                  <c:v>0.33333333333333331</c:v>
                </c:pt>
                <c:pt idx="1003">
                  <c:v>0.33333333333333331</c:v>
                </c:pt>
                <c:pt idx="1004">
                  <c:v>0.33333333333333331</c:v>
                </c:pt>
                <c:pt idx="1005">
                  <c:v>0.33333333333333331</c:v>
                </c:pt>
                <c:pt idx="1006">
                  <c:v>0.33333333333333331</c:v>
                </c:pt>
                <c:pt idx="1007">
                  <c:v>0.33333333333333331</c:v>
                </c:pt>
                <c:pt idx="1008">
                  <c:v>0.33333333333333331</c:v>
                </c:pt>
                <c:pt idx="1009">
                  <c:v>0.33333333333333331</c:v>
                </c:pt>
                <c:pt idx="1010">
                  <c:v>0.33333333333333331</c:v>
                </c:pt>
                <c:pt idx="1011">
                  <c:v>0.33333333333333331</c:v>
                </c:pt>
                <c:pt idx="1012">
                  <c:v>0.33333333333333331</c:v>
                </c:pt>
                <c:pt idx="1013">
                  <c:v>0.33333333333333331</c:v>
                </c:pt>
                <c:pt idx="1014">
                  <c:v>0.33333333333333331</c:v>
                </c:pt>
                <c:pt idx="1015">
                  <c:v>0.33333333333333331</c:v>
                </c:pt>
                <c:pt idx="1016">
                  <c:v>0.34482758620689657</c:v>
                </c:pt>
                <c:pt idx="1017">
                  <c:v>0.34615384615384615</c:v>
                </c:pt>
                <c:pt idx="1018">
                  <c:v>0.34615384615384615</c:v>
                </c:pt>
                <c:pt idx="1019">
                  <c:v>0.34615384615384615</c:v>
                </c:pt>
                <c:pt idx="1020">
                  <c:v>0.34782608695652173</c:v>
                </c:pt>
                <c:pt idx="1021">
                  <c:v>0.34782608695652173</c:v>
                </c:pt>
                <c:pt idx="1022">
                  <c:v>0.34782608695652173</c:v>
                </c:pt>
                <c:pt idx="1023">
                  <c:v>0.34782608695652173</c:v>
                </c:pt>
                <c:pt idx="1024">
                  <c:v>0.34782608695652173</c:v>
                </c:pt>
                <c:pt idx="1025">
                  <c:v>0.34782608695652173</c:v>
                </c:pt>
                <c:pt idx="1026">
                  <c:v>0.35</c:v>
                </c:pt>
                <c:pt idx="1027">
                  <c:v>0.35</c:v>
                </c:pt>
                <c:pt idx="1028">
                  <c:v>0.35</c:v>
                </c:pt>
                <c:pt idx="1029">
                  <c:v>0.35</c:v>
                </c:pt>
                <c:pt idx="1030">
                  <c:v>0.35294117647058826</c:v>
                </c:pt>
                <c:pt idx="1031">
                  <c:v>0.35294117647058826</c:v>
                </c:pt>
                <c:pt idx="1032">
                  <c:v>0.35294117647058826</c:v>
                </c:pt>
                <c:pt idx="1033">
                  <c:v>0.35294117647058826</c:v>
                </c:pt>
                <c:pt idx="1034">
                  <c:v>0.35714285714285715</c:v>
                </c:pt>
                <c:pt idx="1035">
                  <c:v>0.35714285714285715</c:v>
                </c:pt>
                <c:pt idx="1036">
                  <c:v>0.36</c:v>
                </c:pt>
                <c:pt idx="1037">
                  <c:v>0.36</c:v>
                </c:pt>
                <c:pt idx="1038">
                  <c:v>0.36363636363636365</c:v>
                </c:pt>
                <c:pt idx="1039">
                  <c:v>0.36363636363636365</c:v>
                </c:pt>
                <c:pt idx="1040">
                  <c:v>0.36363636363636365</c:v>
                </c:pt>
                <c:pt idx="1041">
                  <c:v>0.36363636363636365</c:v>
                </c:pt>
                <c:pt idx="1042">
                  <c:v>0.36842105263157893</c:v>
                </c:pt>
                <c:pt idx="1043">
                  <c:v>0.36842105263157893</c:v>
                </c:pt>
                <c:pt idx="1044">
                  <c:v>0.36842105263157893</c:v>
                </c:pt>
                <c:pt idx="1045">
                  <c:v>0.36842105263157893</c:v>
                </c:pt>
                <c:pt idx="1046">
                  <c:v>0.37037037037037035</c:v>
                </c:pt>
                <c:pt idx="1047">
                  <c:v>0.375</c:v>
                </c:pt>
                <c:pt idx="1048">
                  <c:v>0.375</c:v>
                </c:pt>
                <c:pt idx="1049">
                  <c:v>0.375</c:v>
                </c:pt>
                <c:pt idx="1050">
                  <c:v>0.375</c:v>
                </c:pt>
                <c:pt idx="1051">
                  <c:v>0.375</c:v>
                </c:pt>
                <c:pt idx="1052">
                  <c:v>0.375</c:v>
                </c:pt>
                <c:pt idx="1053">
                  <c:v>0.375</c:v>
                </c:pt>
                <c:pt idx="1054">
                  <c:v>0.375</c:v>
                </c:pt>
                <c:pt idx="1055">
                  <c:v>0.375</c:v>
                </c:pt>
                <c:pt idx="1056">
                  <c:v>0.37931034482758619</c:v>
                </c:pt>
                <c:pt idx="1057">
                  <c:v>0.37931034482758619</c:v>
                </c:pt>
                <c:pt idx="1058">
                  <c:v>0.37931034482758619</c:v>
                </c:pt>
                <c:pt idx="1059">
                  <c:v>0.38095238095238093</c:v>
                </c:pt>
                <c:pt idx="1060">
                  <c:v>0.38095238095238093</c:v>
                </c:pt>
                <c:pt idx="1061">
                  <c:v>0.38461538461538464</c:v>
                </c:pt>
                <c:pt idx="1062">
                  <c:v>0.38461538461538464</c:v>
                </c:pt>
                <c:pt idx="1063">
                  <c:v>0.38461538461538464</c:v>
                </c:pt>
                <c:pt idx="1064">
                  <c:v>0.38461538461538464</c:v>
                </c:pt>
                <c:pt idx="1065">
                  <c:v>0.38461538461538464</c:v>
                </c:pt>
                <c:pt idx="1066">
                  <c:v>0.38461538461538464</c:v>
                </c:pt>
                <c:pt idx="1067">
                  <c:v>0.38461538461538464</c:v>
                </c:pt>
                <c:pt idx="1068">
                  <c:v>0.38461538461538464</c:v>
                </c:pt>
                <c:pt idx="1069">
                  <c:v>0.38709677419354838</c:v>
                </c:pt>
                <c:pt idx="1070">
                  <c:v>0.3888888888888889</c:v>
                </c:pt>
                <c:pt idx="1071">
                  <c:v>0.3888888888888889</c:v>
                </c:pt>
                <c:pt idx="1072">
                  <c:v>0.39130434782608697</c:v>
                </c:pt>
                <c:pt idx="1073">
                  <c:v>0.39130434782608697</c:v>
                </c:pt>
                <c:pt idx="1074">
                  <c:v>0.39130434782608697</c:v>
                </c:pt>
                <c:pt idx="1075">
                  <c:v>0.39130434782608697</c:v>
                </c:pt>
                <c:pt idx="1076">
                  <c:v>0.39130434782608697</c:v>
                </c:pt>
                <c:pt idx="1077">
                  <c:v>0.39130434782608697</c:v>
                </c:pt>
                <c:pt idx="1078">
                  <c:v>0.39130434782608697</c:v>
                </c:pt>
                <c:pt idx="1079">
                  <c:v>0.39285714285714285</c:v>
                </c:pt>
                <c:pt idx="1080">
                  <c:v>0.4</c:v>
                </c:pt>
                <c:pt idx="1081">
                  <c:v>0.4</c:v>
                </c:pt>
                <c:pt idx="1082">
                  <c:v>0.4</c:v>
                </c:pt>
                <c:pt idx="1083">
                  <c:v>0.4</c:v>
                </c:pt>
                <c:pt idx="1084">
                  <c:v>0.4</c:v>
                </c:pt>
                <c:pt idx="1085">
                  <c:v>0.4</c:v>
                </c:pt>
                <c:pt idx="1086">
                  <c:v>0.4</c:v>
                </c:pt>
                <c:pt idx="1087">
                  <c:v>0.4</c:v>
                </c:pt>
                <c:pt idx="1088">
                  <c:v>0.4</c:v>
                </c:pt>
                <c:pt idx="1089">
                  <c:v>0.4</c:v>
                </c:pt>
                <c:pt idx="1090">
                  <c:v>0.4</c:v>
                </c:pt>
                <c:pt idx="1091">
                  <c:v>0.4</c:v>
                </c:pt>
                <c:pt idx="1092">
                  <c:v>0.4</c:v>
                </c:pt>
                <c:pt idx="1093">
                  <c:v>0.4</c:v>
                </c:pt>
                <c:pt idx="1094">
                  <c:v>0.4</c:v>
                </c:pt>
                <c:pt idx="1095">
                  <c:v>0.40740740740740738</c:v>
                </c:pt>
                <c:pt idx="1096">
                  <c:v>0.40909090909090912</c:v>
                </c:pt>
                <c:pt idx="1097">
                  <c:v>0.40909090909090912</c:v>
                </c:pt>
                <c:pt idx="1098">
                  <c:v>0.40909090909090912</c:v>
                </c:pt>
                <c:pt idx="1099">
                  <c:v>0.40909090909090912</c:v>
                </c:pt>
                <c:pt idx="1100">
                  <c:v>0.40909090909090912</c:v>
                </c:pt>
                <c:pt idx="1101">
                  <c:v>0.40909090909090912</c:v>
                </c:pt>
                <c:pt idx="1102">
                  <c:v>0.40909090909090912</c:v>
                </c:pt>
                <c:pt idx="1103">
                  <c:v>0.40909090909090912</c:v>
                </c:pt>
                <c:pt idx="1104">
                  <c:v>0.41176470588235292</c:v>
                </c:pt>
                <c:pt idx="1105">
                  <c:v>0.41176470588235292</c:v>
                </c:pt>
                <c:pt idx="1106">
                  <c:v>0.41176470588235292</c:v>
                </c:pt>
                <c:pt idx="1107">
                  <c:v>0.41176470588235292</c:v>
                </c:pt>
                <c:pt idx="1108">
                  <c:v>0.41379310344827586</c:v>
                </c:pt>
                <c:pt idx="1109">
                  <c:v>0.41379310344827586</c:v>
                </c:pt>
                <c:pt idx="1110">
                  <c:v>0.41379310344827586</c:v>
                </c:pt>
                <c:pt idx="1111">
                  <c:v>0.41666666666666669</c:v>
                </c:pt>
                <c:pt idx="1112">
                  <c:v>0.41666666666666669</c:v>
                </c:pt>
                <c:pt idx="1113">
                  <c:v>0.41666666666666669</c:v>
                </c:pt>
                <c:pt idx="1114">
                  <c:v>0.41666666666666669</c:v>
                </c:pt>
                <c:pt idx="1115">
                  <c:v>0.41666666666666669</c:v>
                </c:pt>
                <c:pt idx="1116">
                  <c:v>0.41666666666666669</c:v>
                </c:pt>
                <c:pt idx="1117">
                  <c:v>0.41666666666666669</c:v>
                </c:pt>
                <c:pt idx="1118">
                  <c:v>0.42105263157894735</c:v>
                </c:pt>
                <c:pt idx="1119">
                  <c:v>0.42105263157894735</c:v>
                </c:pt>
                <c:pt idx="1120">
                  <c:v>0.42105263157894735</c:v>
                </c:pt>
                <c:pt idx="1121">
                  <c:v>0.42105263157894735</c:v>
                </c:pt>
                <c:pt idx="1122">
                  <c:v>0.42105263157894735</c:v>
                </c:pt>
                <c:pt idx="1123">
                  <c:v>0.42105263157894735</c:v>
                </c:pt>
                <c:pt idx="1124">
                  <c:v>0.42105263157894735</c:v>
                </c:pt>
                <c:pt idx="1125">
                  <c:v>0.42105263157894735</c:v>
                </c:pt>
                <c:pt idx="1126">
                  <c:v>0.42105263157894735</c:v>
                </c:pt>
                <c:pt idx="1127">
                  <c:v>0.42105263157894735</c:v>
                </c:pt>
                <c:pt idx="1128">
                  <c:v>0.42857142857142855</c:v>
                </c:pt>
                <c:pt idx="1129">
                  <c:v>0.42857142857142855</c:v>
                </c:pt>
                <c:pt idx="1130">
                  <c:v>0.42857142857142855</c:v>
                </c:pt>
                <c:pt idx="1131">
                  <c:v>0.42857142857142855</c:v>
                </c:pt>
                <c:pt idx="1132">
                  <c:v>0.42857142857142855</c:v>
                </c:pt>
                <c:pt idx="1133">
                  <c:v>0.42857142857142855</c:v>
                </c:pt>
                <c:pt idx="1134">
                  <c:v>0.42857142857142855</c:v>
                </c:pt>
                <c:pt idx="1135">
                  <c:v>0.42857142857142855</c:v>
                </c:pt>
                <c:pt idx="1136">
                  <c:v>0.42857142857142855</c:v>
                </c:pt>
                <c:pt idx="1137">
                  <c:v>0.42857142857142855</c:v>
                </c:pt>
                <c:pt idx="1138">
                  <c:v>0.42857142857142855</c:v>
                </c:pt>
                <c:pt idx="1139">
                  <c:v>0.42857142857142855</c:v>
                </c:pt>
                <c:pt idx="1140">
                  <c:v>0.42857142857142855</c:v>
                </c:pt>
                <c:pt idx="1141">
                  <c:v>0.42857142857142855</c:v>
                </c:pt>
                <c:pt idx="1142">
                  <c:v>0.42857142857142855</c:v>
                </c:pt>
                <c:pt idx="1143">
                  <c:v>0.42857142857142855</c:v>
                </c:pt>
                <c:pt idx="1144">
                  <c:v>0.42857142857142855</c:v>
                </c:pt>
                <c:pt idx="1145">
                  <c:v>0.42857142857142855</c:v>
                </c:pt>
                <c:pt idx="1146">
                  <c:v>0.42857142857142855</c:v>
                </c:pt>
                <c:pt idx="1147">
                  <c:v>0.42857142857142855</c:v>
                </c:pt>
                <c:pt idx="1148">
                  <c:v>0.42857142857142855</c:v>
                </c:pt>
                <c:pt idx="1149">
                  <c:v>0.42857142857142855</c:v>
                </c:pt>
                <c:pt idx="1150">
                  <c:v>0.42857142857142855</c:v>
                </c:pt>
                <c:pt idx="1151">
                  <c:v>0.42857142857142855</c:v>
                </c:pt>
                <c:pt idx="1152">
                  <c:v>0.43333333333333335</c:v>
                </c:pt>
                <c:pt idx="1153">
                  <c:v>0.43478260869565216</c:v>
                </c:pt>
                <c:pt idx="1154">
                  <c:v>0.43478260869565216</c:v>
                </c:pt>
                <c:pt idx="1155">
                  <c:v>0.43478260869565216</c:v>
                </c:pt>
                <c:pt idx="1156">
                  <c:v>0.43478260869565216</c:v>
                </c:pt>
                <c:pt idx="1157">
                  <c:v>0.43478260869565216</c:v>
                </c:pt>
                <c:pt idx="1158">
                  <c:v>0.43478260869565216</c:v>
                </c:pt>
                <c:pt idx="1159">
                  <c:v>0.43478260869565216</c:v>
                </c:pt>
                <c:pt idx="1160">
                  <c:v>0.43478260869565216</c:v>
                </c:pt>
                <c:pt idx="1161">
                  <c:v>0.43478260869565216</c:v>
                </c:pt>
                <c:pt idx="1162">
                  <c:v>0.4375</c:v>
                </c:pt>
                <c:pt idx="1163">
                  <c:v>0.4375</c:v>
                </c:pt>
                <c:pt idx="1164">
                  <c:v>0.4375</c:v>
                </c:pt>
                <c:pt idx="1165">
                  <c:v>0.44</c:v>
                </c:pt>
                <c:pt idx="1166">
                  <c:v>0.44</c:v>
                </c:pt>
                <c:pt idx="1167">
                  <c:v>0.44</c:v>
                </c:pt>
                <c:pt idx="1168">
                  <c:v>0.44</c:v>
                </c:pt>
                <c:pt idx="1169">
                  <c:v>0.44</c:v>
                </c:pt>
                <c:pt idx="1170">
                  <c:v>0.44117647058823528</c:v>
                </c:pt>
                <c:pt idx="1171">
                  <c:v>0.44444444444444442</c:v>
                </c:pt>
                <c:pt idx="1172">
                  <c:v>0.44444444444444442</c:v>
                </c:pt>
                <c:pt idx="1173">
                  <c:v>0.44444444444444442</c:v>
                </c:pt>
                <c:pt idx="1174">
                  <c:v>0.44444444444444442</c:v>
                </c:pt>
                <c:pt idx="1175">
                  <c:v>0.44444444444444442</c:v>
                </c:pt>
                <c:pt idx="1176">
                  <c:v>0.44444444444444442</c:v>
                </c:pt>
                <c:pt idx="1177">
                  <c:v>0.44444444444444442</c:v>
                </c:pt>
                <c:pt idx="1178">
                  <c:v>0.44444444444444442</c:v>
                </c:pt>
                <c:pt idx="1179">
                  <c:v>0.44444444444444442</c:v>
                </c:pt>
                <c:pt idx="1180">
                  <c:v>0.45</c:v>
                </c:pt>
                <c:pt idx="1181">
                  <c:v>0.45</c:v>
                </c:pt>
                <c:pt idx="1182">
                  <c:v>0.45</c:v>
                </c:pt>
                <c:pt idx="1183">
                  <c:v>0.45454545454545453</c:v>
                </c:pt>
                <c:pt idx="1184">
                  <c:v>0.45454545454545453</c:v>
                </c:pt>
                <c:pt idx="1185">
                  <c:v>0.45454545454545453</c:v>
                </c:pt>
                <c:pt idx="1186">
                  <c:v>0.45454545454545453</c:v>
                </c:pt>
                <c:pt idx="1187">
                  <c:v>0.45454545454545453</c:v>
                </c:pt>
                <c:pt idx="1188">
                  <c:v>0.45454545454545453</c:v>
                </c:pt>
                <c:pt idx="1189">
                  <c:v>0.45454545454545453</c:v>
                </c:pt>
                <c:pt idx="1190">
                  <c:v>0.45833333333333331</c:v>
                </c:pt>
                <c:pt idx="1191">
                  <c:v>0.45833333333333331</c:v>
                </c:pt>
                <c:pt idx="1192">
                  <c:v>0.45833333333333331</c:v>
                </c:pt>
                <c:pt idx="1193">
                  <c:v>0.46153846153846156</c:v>
                </c:pt>
                <c:pt idx="1194">
                  <c:v>0.46153846153846156</c:v>
                </c:pt>
                <c:pt idx="1195">
                  <c:v>0.46153846153846156</c:v>
                </c:pt>
                <c:pt idx="1196">
                  <c:v>0.46153846153846156</c:v>
                </c:pt>
                <c:pt idx="1197">
                  <c:v>0.46153846153846156</c:v>
                </c:pt>
                <c:pt idx="1198">
                  <c:v>0.46153846153846156</c:v>
                </c:pt>
                <c:pt idx="1199">
                  <c:v>0.4642857142857143</c:v>
                </c:pt>
                <c:pt idx="1200">
                  <c:v>0.4642857142857143</c:v>
                </c:pt>
                <c:pt idx="1201">
                  <c:v>0.4642857142857143</c:v>
                </c:pt>
                <c:pt idx="1202">
                  <c:v>0.46666666666666667</c:v>
                </c:pt>
                <c:pt idx="1203">
                  <c:v>0.46666666666666667</c:v>
                </c:pt>
                <c:pt idx="1204">
                  <c:v>0.46666666666666667</c:v>
                </c:pt>
                <c:pt idx="1205">
                  <c:v>0.46666666666666667</c:v>
                </c:pt>
                <c:pt idx="1206">
                  <c:v>0.46666666666666667</c:v>
                </c:pt>
                <c:pt idx="1207">
                  <c:v>0.47058823529411764</c:v>
                </c:pt>
                <c:pt idx="1208">
                  <c:v>0.47058823529411764</c:v>
                </c:pt>
                <c:pt idx="1209">
                  <c:v>0.47058823529411764</c:v>
                </c:pt>
                <c:pt idx="1210">
                  <c:v>0.47058823529411764</c:v>
                </c:pt>
                <c:pt idx="1211">
                  <c:v>0.47058823529411764</c:v>
                </c:pt>
                <c:pt idx="1212">
                  <c:v>0.47058823529411764</c:v>
                </c:pt>
                <c:pt idx="1213">
                  <c:v>0.47368421052631576</c:v>
                </c:pt>
                <c:pt idx="1214">
                  <c:v>0.47368421052631576</c:v>
                </c:pt>
                <c:pt idx="1215">
                  <c:v>0.47368421052631576</c:v>
                </c:pt>
                <c:pt idx="1216">
                  <c:v>0.47368421052631576</c:v>
                </c:pt>
                <c:pt idx="1217">
                  <c:v>0.47368421052631576</c:v>
                </c:pt>
                <c:pt idx="1218">
                  <c:v>0.47368421052631576</c:v>
                </c:pt>
                <c:pt idx="1219">
                  <c:v>0.47368421052631576</c:v>
                </c:pt>
                <c:pt idx="1220">
                  <c:v>0.47368421052631576</c:v>
                </c:pt>
                <c:pt idx="1221">
                  <c:v>0.47619047619047616</c:v>
                </c:pt>
                <c:pt idx="1222">
                  <c:v>0.47619047619047616</c:v>
                </c:pt>
                <c:pt idx="1223">
                  <c:v>0.47619047619047616</c:v>
                </c:pt>
                <c:pt idx="1224">
                  <c:v>0.47619047619047616</c:v>
                </c:pt>
                <c:pt idx="1225">
                  <c:v>0.47619047619047616</c:v>
                </c:pt>
                <c:pt idx="1226">
                  <c:v>0.47619047619047616</c:v>
                </c:pt>
                <c:pt idx="1227">
                  <c:v>0.47619047619047616</c:v>
                </c:pt>
                <c:pt idx="1228">
                  <c:v>0.47826086956521741</c:v>
                </c:pt>
                <c:pt idx="1229">
                  <c:v>0.47826086956521741</c:v>
                </c:pt>
                <c:pt idx="1230">
                  <c:v>0.47826086956521741</c:v>
                </c:pt>
                <c:pt idx="1231">
                  <c:v>0.47826086956521741</c:v>
                </c:pt>
                <c:pt idx="1232">
                  <c:v>0.47826086956521741</c:v>
                </c:pt>
                <c:pt idx="1233">
                  <c:v>0.47826086956521741</c:v>
                </c:pt>
                <c:pt idx="1234">
                  <c:v>0.47826086956521741</c:v>
                </c:pt>
                <c:pt idx="1235">
                  <c:v>0.48</c:v>
                </c:pt>
                <c:pt idx="1236">
                  <c:v>0.48</c:v>
                </c:pt>
                <c:pt idx="1237">
                  <c:v>0.48</c:v>
                </c:pt>
                <c:pt idx="1238">
                  <c:v>0.48</c:v>
                </c:pt>
                <c:pt idx="1239">
                  <c:v>0.48</c:v>
                </c:pt>
                <c:pt idx="1240">
                  <c:v>0.48</c:v>
                </c:pt>
                <c:pt idx="1241">
                  <c:v>0.48</c:v>
                </c:pt>
                <c:pt idx="1242">
                  <c:v>0.48</c:v>
                </c:pt>
                <c:pt idx="1243">
                  <c:v>0.48</c:v>
                </c:pt>
                <c:pt idx="1244">
                  <c:v>0.48148148148148145</c:v>
                </c:pt>
                <c:pt idx="1245">
                  <c:v>0.48148148148148145</c:v>
                </c:pt>
                <c:pt idx="1246">
                  <c:v>0.48148148148148145</c:v>
                </c:pt>
                <c:pt idx="1247">
                  <c:v>0.48148148148148145</c:v>
                </c:pt>
                <c:pt idx="1248">
                  <c:v>0.48275862068965519</c:v>
                </c:pt>
                <c:pt idx="1249">
                  <c:v>0.48275862068965519</c:v>
                </c:pt>
                <c:pt idx="1250">
                  <c:v>0.48275862068965519</c:v>
                </c:pt>
                <c:pt idx="1251">
                  <c:v>0.48275862068965519</c:v>
                </c:pt>
                <c:pt idx="1252">
                  <c:v>0.48571428571428571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0.51515151515151514</c:v>
                </c:pt>
                <c:pt idx="1324">
                  <c:v>0.5161290322580645</c:v>
                </c:pt>
                <c:pt idx="1325">
                  <c:v>0.5161290322580645</c:v>
                </c:pt>
                <c:pt idx="1326">
                  <c:v>0.51851851851851849</c:v>
                </c:pt>
                <c:pt idx="1327">
                  <c:v>0.51851851851851849</c:v>
                </c:pt>
                <c:pt idx="1328">
                  <c:v>0.51851851851851849</c:v>
                </c:pt>
                <c:pt idx="1329">
                  <c:v>0.52</c:v>
                </c:pt>
                <c:pt idx="1330">
                  <c:v>0.52</c:v>
                </c:pt>
                <c:pt idx="1331">
                  <c:v>0.52</c:v>
                </c:pt>
                <c:pt idx="1332">
                  <c:v>0.52</c:v>
                </c:pt>
                <c:pt idx="1333">
                  <c:v>0.52</c:v>
                </c:pt>
                <c:pt idx="1334">
                  <c:v>0.52</c:v>
                </c:pt>
                <c:pt idx="1335">
                  <c:v>0.52</c:v>
                </c:pt>
                <c:pt idx="1336">
                  <c:v>0.52173913043478259</c:v>
                </c:pt>
                <c:pt idx="1337">
                  <c:v>0.52173913043478259</c:v>
                </c:pt>
                <c:pt idx="1338">
                  <c:v>0.52173913043478259</c:v>
                </c:pt>
                <c:pt idx="1339">
                  <c:v>0.52380952380952384</c:v>
                </c:pt>
                <c:pt idx="1340">
                  <c:v>0.52380952380952384</c:v>
                </c:pt>
                <c:pt idx="1341">
                  <c:v>0.52380952380952384</c:v>
                </c:pt>
                <c:pt idx="1342">
                  <c:v>0.52380952380952384</c:v>
                </c:pt>
                <c:pt idx="1343">
                  <c:v>0.52380952380952384</c:v>
                </c:pt>
                <c:pt idx="1344">
                  <c:v>0.52380952380952384</c:v>
                </c:pt>
                <c:pt idx="1345">
                  <c:v>0.52380952380952384</c:v>
                </c:pt>
                <c:pt idx="1346">
                  <c:v>0.52380952380952384</c:v>
                </c:pt>
                <c:pt idx="1347">
                  <c:v>0.52380952380952384</c:v>
                </c:pt>
                <c:pt idx="1348">
                  <c:v>0.52380952380952384</c:v>
                </c:pt>
                <c:pt idx="1349">
                  <c:v>0.52380952380952384</c:v>
                </c:pt>
                <c:pt idx="1350">
                  <c:v>0.52380952380952384</c:v>
                </c:pt>
                <c:pt idx="1351">
                  <c:v>0.52380952380952384</c:v>
                </c:pt>
                <c:pt idx="1352">
                  <c:v>0.52380952380952384</c:v>
                </c:pt>
                <c:pt idx="1353">
                  <c:v>0.52380952380952384</c:v>
                </c:pt>
                <c:pt idx="1354">
                  <c:v>0.52631578947368418</c:v>
                </c:pt>
                <c:pt idx="1355">
                  <c:v>0.52631578947368418</c:v>
                </c:pt>
                <c:pt idx="1356">
                  <c:v>0.52631578947368418</c:v>
                </c:pt>
                <c:pt idx="1357">
                  <c:v>0.52631578947368418</c:v>
                </c:pt>
                <c:pt idx="1358">
                  <c:v>0.52631578947368418</c:v>
                </c:pt>
                <c:pt idx="1359">
                  <c:v>0.52631578947368418</c:v>
                </c:pt>
                <c:pt idx="1360">
                  <c:v>0.52631578947368418</c:v>
                </c:pt>
                <c:pt idx="1361">
                  <c:v>0.52631578947368418</c:v>
                </c:pt>
                <c:pt idx="1362">
                  <c:v>0.52631578947368418</c:v>
                </c:pt>
                <c:pt idx="1363">
                  <c:v>0.52631578947368418</c:v>
                </c:pt>
                <c:pt idx="1364">
                  <c:v>0.52631578947368418</c:v>
                </c:pt>
                <c:pt idx="1365">
                  <c:v>0.52941176470588236</c:v>
                </c:pt>
                <c:pt idx="1366">
                  <c:v>0.52941176470588236</c:v>
                </c:pt>
                <c:pt idx="1367">
                  <c:v>0.52941176470588236</c:v>
                </c:pt>
                <c:pt idx="1368">
                  <c:v>0.52941176470588236</c:v>
                </c:pt>
                <c:pt idx="1369">
                  <c:v>0.52941176470588236</c:v>
                </c:pt>
                <c:pt idx="1370">
                  <c:v>0.52941176470588236</c:v>
                </c:pt>
                <c:pt idx="1371">
                  <c:v>0.52941176470588236</c:v>
                </c:pt>
                <c:pt idx="1372">
                  <c:v>0.52941176470588236</c:v>
                </c:pt>
                <c:pt idx="1373">
                  <c:v>0.52941176470588236</c:v>
                </c:pt>
                <c:pt idx="1374">
                  <c:v>0.52941176470588236</c:v>
                </c:pt>
                <c:pt idx="1375">
                  <c:v>0.52941176470588236</c:v>
                </c:pt>
                <c:pt idx="1376">
                  <c:v>0.52941176470588236</c:v>
                </c:pt>
                <c:pt idx="1377">
                  <c:v>0.52941176470588236</c:v>
                </c:pt>
                <c:pt idx="1378">
                  <c:v>0.52941176470588236</c:v>
                </c:pt>
                <c:pt idx="1379">
                  <c:v>0.52941176470588236</c:v>
                </c:pt>
                <c:pt idx="1380">
                  <c:v>0.52941176470588236</c:v>
                </c:pt>
                <c:pt idx="1381">
                  <c:v>0.53333333333333333</c:v>
                </c:pt>
                <c:pt idx="1382">
                  <c:v>0.53333333333333333</c:v>
                </c:pt>
                <c:pt idx="1383">
                  <c:v>0.53333333333333333</c:v>
                </c:pt>
                <c:pt idx="1384">
                  <c:v>0.53333333333333333</c:v>
                </c:pt>
                <c:pt idx="1385">
                  <c:v>0.53333333333333333</c:v>
                </c:pt>
                <c:pt idx="1386">
                  <c:v>0.53333333333333333</c:v>
                </c:pt>
                <c:pt idx="1387">
                  <c:v>0.5357142857142857</c:v>
                </c:pt>
                <c:pt idx="1388">
                  <c:v>0.5357142857142857</c:v>
                </c:pt>
                <c:pt idx="1389">
                  <c:v>0.53846153846153844</c:v>
                </c:pt>
                <c:pt idx="1390">
                  <c:v>0.53846153846153844</c:v>
                </c:pt>
                <c:pt idx="1391">
                  <c:v>0.53846153846153844</c:v>
                </c:pt>
                <c:pt idx="1392">
                  <c:v>0.53846153846153844</c:v>
                </c:pt>
                <c:pt idx="1393">
                  <c:v>0.53846153846153844</c:v>
                </c:pt>
                <c:pt idx="1394">
                  <c:v>0.53846153846153844</c:v>
                </c:pt>
                <c:pt idx="1395">
                  <c:v>0.53846153846153844</c:v>
                </c:pt>
                <c:pt idx="1396">
                  <c:v>0.53846153846153844</c:v>
                </c:pt>
                <c:pt idx="1397">
                  <c:v>0.53846153846153844</c:v>
                </c:pt>
                <c:pt idx="1398">
                  <c:v>0.53846153846153844</c:v>
                </c:pt>
                <c:pt idx="1399">
                  <c:v>0.53846153846153844</c:v>
                </c:pt>
                <c:pt idx="1400">
                  <c:v>0.53846153846153844</c:v>
                </c:pt>
                <c:pt idx="1401">
                  <c:v>0.53846153846153844</c:v>
                </c:pt>
                <c:pt idx="1402">
                  <c:v>0.53846153846153844</c:v>
                </c:pt>
                <c:pt idx="1403">
                  <c:v>0.53846153846153844</c:v>
                </c:pt>
                <c:pt idx="1404">
                  <c:v>0.54166666666666663</c:v>
                </c:pt>
                <c:pt idx="1405">
                  <c:v>0.54166666666666663</c:v>
                </c:pt>
                <c:pt idx="1406">
                  <c:v>0.54166666666666663</c:v>
                </c:pt>
                <c:pt idx="1407">
                  <c:v>0.54166666666666663</c:v>
                </c:pt>
                <c:pt idx="1408">
                  <c:v>0.54545454545454541</c:v>
                </c:pt>
                <c:pt idx="1409">
                  <c:v>0.54545454545454541</c:v>
                </c:pt>
                <c:pt idx="1410">
                  <c:v>0.54545454545454541</c:v>
                </c:pt>
                <c:pt idx="1411">
                  <c:v>0.54545454545454541</c:v>
                </c:pt>
                <c:pt idx="1412">
                  <c:v>0.54545454545454541</c:v>
                </c:pt>
                <c:pt idx="1413">
                  <c:v>0.54545454545454541</c:v>
                </c:pt>
                <c:pt idx="1414">
                  <c:v>0.54545454545454541</c:v>
                </c:pt>
                <c:pt idx="1415">
                  <c:v>0.54545454545454541</c:v>
                </c:pt>
                <c:pt idx="1416">
                  <c:v>0.55000000000000004</c:v>
                </c:pt>
                <c:pt idx="1417">
                  <c:v>0.55000000000000004</c:v>
                </c:pt>
                <c:pt idx="1418">
                  <c:v>0.55000000000000004</c:v>
                </c:pt>
                <c:pt idx="1419">
                  <c:v>0.55000000000000004</c:v>
                </c:pt>
                <c:pt idx="1420">
                  <c:v>0.55000000000000004</c:v>
                </c:pt>
                <c:pt idx="1421">
                  <c:v>0.55000000000000004</c:v>
                </c:pt>
                <c:pt idx="1422">
                  <c:v>0.55000000000000004</c:v>
                </c:pt>
                <c:pt idx="1423">
                  <c:v>0.55000000000000004</c:v>
                </c:pt>
                <c:pt idx="1424">
                  <c:v>0.55000000000000004</c:v>
                </c:pt>
                <c:pt idx="1425">
                  <c:v>0.55000000000000004</c:v>
                </c:pt>
                <c:pt idx="1426">
                  <c:v>0.55000000000000004</c:v>
                </c:pt>
                <c:pt idx="1427">
                  <c:v>0.55172413793103448</c:v>
                </c:pt>
                <c:pt idx="1428">
                  <c:v>0.55172413793103448</c:v>
                </c:pt>
                <c:pt idx="1429">
                  <c:v>0.55555555555555558</c:v>
                </c:pt>
                <c:pt idx="1430">
                  <c:v>0.55555555555555558</c:v>
                </c:pt>
                <c:pt idx="1431">
                  <c:v>0.55555555555555558</c:v>
                </c:pt>
                <c:pt idx="1432">
                  <c:v>0.55555555555555558</c:v>
                </c:pt>
                <c:pt idx="1433">
                  <c:v>0.55555555555555558</c:v>
                </c:pt>
                <c:pt idx="1434">
                  <c:v>0.55555555555555558</c:v>
                </c:pt>
                <c:pt idx="1435">
                  <c:v>0.55555555555555558</c:v>
                </c:pt>
                <c:pt idx="1436">
                  <c:v>0.55555555555555558</c:v>
                </c:pt>
                <c:pt idx="1437">
                  <c:v>0.55555555555555558</c:v>
                </c:pt>
                <c:pt idx="1438">
                  <c:v>0.55555555555555558</c:v>
                </c:pt>
                <c:pt idx="1439">
                  <c:v>0.55555555555555558</c:v>
                </c:pt>
                <c:pt idx="1440">
                  <c:v>0.55555555555555558</c:v>
                </c:pt>
                <c:pt idx="1441">
                  <c:v>0.55555555555555558</c:v>
                </c:pt>
                <c:pt idx="1442">
                  <c:v>0.55555555555555558</c:v>
                </c:pt>
                <c:pt idx="1443">
                  <c:v>0.55555555555555558</c:v>
                </c:pt>
                <c:pt idx="1444">
                  <c:v>0.55555555555555558</c:v>
                </c:pt>
                <c:pt idx="1445">
                  <c:v>0.55555555555555558</c:v>
                </c:pt>
                <c:pt idx="1446">
                  <c:v>0.55555555555555558</c:v>
                </c:pt>
                <c:pt idx="1447">
                  <c:v>0.55555555555555558</c:v>
                </c:pt>
                <c:pt idx="1448">
                  <c:v>0.55555555555555558</c:v>
                </c:pt>
                <c:pt idx="1449">
                  <c:v>0.55555555555555558</c:v>
                </c:pt>
                <c:pt idx="1450">
                  <c:v>0.55555555555555558</c:v>
                </c:pt>
                <c:pt idx="1451">
                  <c:v>0.55555555555555558</c:v>
                </c:pt>
                <c:pt idx="1452">
                  <c:v>0.55555555555555558</c:v>
                </c:pt>
                <c:pt idx="1453">
                  <c:v>0.55555555555555558</c:v>
                </c:pt>
                <c:pt idx="1454">
                  <c:v>0.55555555555555558</c:v>
                </c:pt>
                <c:pt idx="1455">
                  <c:v>0.55555555555555558</c:v>
                </c:pt>
                <c:pt idx="1456">
                  <c:v>0.55555555555555558</c:v>
                </c:pt>
                <c:pt idx="1457">
                  <c:v>0.56000000000000005</c:v>
                </c:pt>
                <c:pt idx="1458">
                  <c:v>0.56000000000000005</c:v>
                </c:pt>
                <c:pt idx="1459">
                  <c:v>0.56000000000000005</c:v>
                </c:pt>
                <c:pt idx="1460">
                  <c:v>0.56000000000000005</c:v>
                </c:pt>
                <c:pt idx="1461">
                  <c:v>0.56000000000000005</c:v>
                </c:pt>
                <c:pt idx="1462">
                  <c:v>0.56000000000000005</c:v>
                </c:pt>
                <c:pt idx="1463">
                  <c:v>0.5625</c:v>
                </c:pt>
                <c:pt idx="1464">
                  <c:v>0.5625</c:v>
                </c:pt>
                <c:pt idx="1465">
                  <c:v>0.5625</c:v>
                </c:pt>
                <c:pt idx="1466">
                  <c:v>0.5625</c:v>
                </c:pt>
                <c:pt idx="1467">
                  <c:v>0.5625</c:v>
                </c:pt>
                <c:pt idx="1468">
                  <c:v>0.5625</c:v>
                </c:pt>
                <c:pt idx="1469">
                  <c:v>0.5625</c:v>
                </c:pt>
                <c:pt idx="1470">
                  <c:v>0.5625</c:v>
                </c:pt>
                <c:pt idx="1471">
                  <c:v>0.5625</c:v>
                </c:pt>
                <c:pt idx="1472">
                  <c:v>0.5625</c:v>
                </c:pt>
                <c:pt idx="1473">
                  <c:v>0.5625</c:v>
                </c:pt>
                <c:pt idx="1474">
                  <c:v>0.5625</c:v>
                </c:pt>
                <c:pt idx="1475">
                  <c:v>0.56521739130434778</c:v>
                </c:pt>
                <c:pt idx="1476">
                  <c:v>0.56521739130434778</c:v>
                </c:pt>
                <c:pt idx="1477">
                  <c:v>0.56521739130434778</c:v>
                </c:pt>
                <c:pt idx="1478">
                  <c:v>0.56521739130434778</c:v>
                </c:pt>
                <c:pt idx="1479">
                  <c:v>0.56521739130434778</c:v>
                </c:pt>
                <c:pt idx="1480">
                  <c:v>0.56521739130434778</c:v>
                </c:pt>
                <c:pt idx="1481">
                  <c:v>0.56521739130434778</c:v>
                </c:pt>
                <c:pt idx="1482">
                  <c:v>0.56666666666666665</c:v>
                </c:pt>
                <c:pt idx="1483">
                  <c:v>0.5714285714285714</c:v>
                </c:pt>
                <c:pt idx="1484">
                  <c:v>0.5714285714285714</c:v>
                </c:pt>
                <c:pt idx="1485">
                  <c:v>0.5714285714285714</c:v>
                </c:pt>
                <c:pt idx="1486">
                  <c:v>0.5714285714285714</c:v>
                </c:pt>
                <c:pt idx="1487">
                  <c:v>0.5714285714285714</c:v>
                </c:pt>
                <c:pt idx="1488">
                  <c:v>0.5714285714285714</c:v>
                </c:pt>
                <c:pt idx="1489">
                  <c:v>0.5714285714285714</c:v>
                </c:pt>
                <c:pt idx="1490">
                  <c:v>0.5714285714285714</c:v>
                </c:pt>
                <c:pt idx="1491">
                  <c:v>0.5714285714285714</c:v>
                </c:pt>
                <c:pt idx="1492">
                  <c:v>0.5714285714285714</c:v>
                </c:pt>
                <c:pt idx="1493">
                  <c:v>0.5714285714285714</c:v>
                </c:pt>
                <c:pt idx="1494">
                  <c:v>0.5714285714285714</c:v>
                </c:pt>
                <c:pt idx="1495">
                  <c:v>0.5714285714285714</c:v>
                </c:pt>
                <c:pt idx="1496">
                  <c:v>0.5714285714285714</c:v>
                </c:pt>
                <c:pt idx="1497">
                  <c:v>0.5714285714285714</c:v>
                </c:pt>
                <c:pt idx="1498">
                  <c:v>0.5714285714285714</c:v>
                </c:pt>
                <c:pt idx="1499">
                  <c:v>0.5714285714285714</c:v>
                </c:pt>
                <c:pt idx="1500">
                  <c:v>0.5714285714285714</c:v>
                </c:pt>
                <c:pt idx="1501">
                  <c:v>0.5714285714285714</c:v>
                </c:pt>
                <c:pt idx="1502">
                  <c:v>0.5714285714285714</c:v>
                </c:pt>
                <c:pt idx="1503">
                  <c:v>0.5714285714285714</c:v>
                </c:pt>
                <c:pt idx="1504">
                  <c:v>0.5714285714285714</c:v>
                </c:pt>
                <c:pt idx="1505">
                  <c:v>0.5714285714285714</c:v>
                </c:pt>
                <c:pt idx="1506">
                  <c:v>0.5714285714285714</c:v>
                </c:pt>
                <c:pt idx="1507">
                  <c:v>0.5714285714285714</c:v>
                </c:pt>
                <c:pt idx="1508">
                  <c:v>0.5714285714285714</c:v>
                </c:pt>
                <c:pt idx="1509">
                  <c:v>0.5714285714285714</c:v>
                </c:pt>
                <c:pt idx="1510">
                  <c:v>0.5714285714285714</c:v>
                </c:pt>
                <c:pt idx="1511">
                  <c:v>0.5714285714285714</c:v>
                </c:pt>
                <c:pt idx="1512">
                  <c:v>0.5714285714285714</c:v>
                </c:pt>
                <c:pt idx="1513">
                  <c:v>0.5714285714285714</c:v>
                </c:pt>
                <c:pt idx="1514">
                  <c:v>0.5714285714285714</c:v>
                </c:pt>
                <c:pt idx="1515">
                  <c:v>0.5714285714285714</c:v>
                </c:pt>
                <c:pt idx="1516">
                  <c:v>0.5714285714285714</c:v>
                </c:pt>
                <c:pt idx="1517">
                  <c:v>0.5714285714285714</c:v>
                </c:pt>
                <c:pt idx="1518">
                  <c:v>0.5757575757575758</c:v>
                </c:pt>
                <c:pt idx="1519">
                  <c:v>0.57692307692307687</c:v>
                </c:pt>
                <c:pt idx="1520">
                  <c:v>0.57692307692307687</c:v>
                </c:pt>
                <c:pt idx="1521">
                  <c:v>0.57692307692307687</c:v>
                </c:pt>
                <c:pt idx="1522">
                  <c:v>0.57692307692307687</c:v>
                </c:pt>
                <c:pt idx="1523">
                  <c:v>0.57692307692307687</c:v>
                </c:pt>
                <c:pt idx="1524">
                  <c:v>0.57894736842105265</c:v>
                </c:pt>
                <c:pt idx="1525">
                  <c:v>0.57894736842105265</c:v>
                </c:pt>
                <c:pt idx="1526">
                  <c:v>0.57894736842105265</c:v>
                </c:pt>
                <c:pt idx="1527">
                  <c:v>0.57894736842105265</c:v>
                </c:pt>
                <c:pt idx="1528">
                  <c:v>0.57894736842105265</c:v>
                </c:pt>
                <c:pt idx="1529">
                  <c:v>0.57894736842105265</c:v>
                </c:pt>
                <c:pt idx="1530">
                  <c:v>0.57894736842105265</c:v>
                </c:pt>
                <c:pt idx="1531">
                  <c:v>0.57894736842105265</c:v>
                </c:pt>
                <c:pt idx="1532">
                  <c:v>0.57894736842105265</c:v>
                </c:pt>
                <c:pt idx="1533">
                  <c:v>0.57894736842105265</c:v>
                </c:pt>
                <c:pt idx="1534">
                  <c:v>0.57894736842105265</c:v>
                </c:pt>
                <c:pt idx="1535">
                  <c:v>0.57894736842105265</c:v>
                </c:pt>
                <c:pt idx="1536">
                  <c:v>0.58064516129032262</c:v>
                </c:pt>
                <c:pt idx="1537">
                  <c:v>0.58064516129032262</c:v>
                </c:pt>
                <c:pt idx="1538">
                  <c:v>0.58333333333333337</c:v>
                </c:pt>
                <c:pt idx="1539">
                  <c:v>0.58333333333333337</c:v>
                </c:pt>
                <c:pt idx="1540">
                  <c:v>0.58333333333333337</c:v>
                </c:pt>
                <c:pt idx="1541">
                  <c:v>0.58333333333333337</c:v>
                </c:pt>
                <c:pt idx="1542">
                  <c:v>0.58333333333333337</c:v>
                </c:pt>
                <c:pt idx="1543">
                  <c:v>0.58333333333333337</c:v>
                </c:pt>
                <c:pt idx="1544">
                  <c:v>0.58333333333333337</c:v>
                </c:pt>
                <c:pt idx="1545">
                  <c:v>0.58333333333333337</c:v>
                </c:pt>
                <c:pt idx="1546">
                  <c:v>0.58620689655172409</c:v>
                </c:pt>
                <c:pt idx="1547">
                  <c:v>0.58620689655172409</c:v>
                </c:pt>
                <c:pt idx="1548">
                  <c:v>0.58620689655172409</c:v>
                </c:pt>
                <c:pt idx="1549">
                  <c:v>0.58620689655172409</c:v>
                </c:pt>
                <c:pt idx="1550">
                  <c:v>0.58620689655172409</c:v>
                </c:pt>
                <c:pt idx="1551">
                  <c:v>0.58620689655172409</c:v>
                </c:pt>
                <c:pt idx="1552">
                  <c:v>0.58823529411764708</c:v>
                </c:pt>
                <c:pt idx="1553">
                  <c:v>0.58823529411764708</c:v>
                </c:pt>
                <c:pt idx="1554">
                  <c:v>0.58823529411764708</c:v>
                </c:pt>
                <c:pt idx="1555">
                  <c:v>0.58823529411764708</c:v>
                </c:pt>
                <c:pt idx="1556">
                  <c:v>0.58823529411764708</c:v>
                </c:pt>
                <c:pt idx="1557">
                  <c:v>0.58823529411764708</c:v>
                </c:pt>
                <c:pt idx="1558">
                  <c:v>0.58823529411764708</c:v>
                </c:pt>
                <c:pt idx="1559">
                  <c:v>0.58823529411764708</c:v>
                </c:pt>
                <c:pt idx="1560">
                  <c:v>0.58823529411764708</c:v>
                </c:pt>
                <c:pt idx="1561">
                  <c:v>0.58823529411764708</c:v>
                </c:pt>
                <c:pt idx="1562">
                  <c:v>0.58823529411764708</c:v>
                </c:pt>
                <c:pt idx="1563">
                  <c:v>0.59090909090909094</c:v>
                </c:pt>
                <c:pt idx="1564">
                  <c:v>0.59090909090909094</c:v>
                </c:pt>
                <c:pt idx="1565">
                  <c:v>0.59090909090909094</c:v>
                </c:pt>
                <c:pt idx="1566">
                  <c:v>0.59090909090909094</c:v>
                </c:pt>
                <c:pt idx="1567">
                  <c:v>0.59090909090909094</c:v>
                </c:pt>
                <c:pt idx="1568">
                  <c:v>0.59090909090909094</c:v>
                </c:pt>
                <c:pt idx="1569">
                  <c:v>0.59090909090909094</c:v>
                </c:pt>
                <c:pt idx="1570">
                  <c:v>0.59090909090909094</c:v>
                </c:pt>
                <c:pt idx="1571">
                  <c:v>0.59090909090909094</c:v>
                </c:pt>
                <c:pt idx="1572">
                  <c:v>0.59090909090909094</c:v>
                </c:pt>
                <c:pt idx="1573">
                  <c:v>0.59090909090909094</c:v>
                </c:pt>
                <c:pt idx="1574">
                  <c:v>0.59090909090909094</c:v>
                </c:pt>
                <c:pt idx="1575">
                  <c:v>0.59090909090909094</c:v>
                </c:pt>
                <c:pt idx="1576">
                  <c:v>0.59090909090909094</c:v>
                </c:pt>
                <c:pt idx="1577">
                  <c:v>0.59090909090909094</c:v>
                </c:pt>
                <c:pt idx="1578">
                  <c:v>0.59090909090909094</c:v>
                </c:pt>
                <c:pt idx="1579">
                  <c:v>0.59090909090909094</c:v>
                </c:pt>
                <c:pt idx="1580">
                  <c:v>0.59259259259259256</c:v>
                </c:pt>
                <c:pt idx="1581">
                  <c:v>0.59259259259259256</c:v>
                </c:pt>
                <c:pt idx="1582">
                  <c:v>0.59259259259259256</c:v>
                </c:pt>
                <c:pt idx="1583">
                  <c:v>0.59259259259259256</c:v>
                </c:pt>
                <c:pt idx="1584">
                  <c:v>0.59259259259259256</c:v>
                </c:pt>
                <c:pt idx="1585">
                  <c:v>0.59259259259259256</c:v>
                </c:pt>
                <c:pt idx="1586">
                  <c:v>0.59259259259259256</c:v>
                </c:pt>
                <c:pt idx="1587">
                  <c:v>0.59259259259259256</c:v>
                </c:pt>
                <c:pt idx="1588">
                  <c:v>0.59259259259259256</c:v>
                </c:pt>
                <c:pt idx="1589">
                  <c:v>0.59375</c:v>
                </c:pt>
                <c:pt idx="1590">
                  <c:v>0.59375</c:v>
                </c:pt>
                <c:pt idx="1591">
                  <c:v>0.59375</c:v>
                </c:pt>
                <c:pt idx="1592">
                  <c:v>0.59375</c:v>
                </c:pt>
                <c:pt idx="1593">
                  <c:v>0.6</c:v>
                </c:pt>
                <c:pt idx="1594">
                  <c:v>0.6</c:v>
                </c:pt>
                <c:pt idx="1595">
                  <c:v>0.6</c:v>
                </c:pt>
                <c:pt idx="1596">
                  <c:v>0.6</c:v>
                </c:pt>
                <c:pt idx="1597">
                  <c:v>0.6</c:v>
                </c:pt>
                <c:pt idx="1598">
                  <c:v>0.6</c:v>
                </c:pt>
                <c:pt idx="1599">
                  <c:v>0.6</c:v>
                </c:pt>
                <c:pt idx="1600">
                  <c:v>0.6</c:v>
                </c:pt>
                <c:pt idx="1601">
                  <c:v>0.6</c:v>
                </c:pt>
                <c:pt idx="1602">
                  <c:v>0.6</c:v>
                </c:pt>
                <c:pt idx="1603">
                  <c:v>0.6</c:v>
                </c:pt>
                <c:pt idx="1604">
                  <c:v>0.6</c:v>
                </c:pt>
                <c:pt idx="1605">
                  <c:v>0.6</c:v>
                </c:pt>
                <c:pt idx="1606">
                  <c:v>0.6</c:v>
                </c:pt>
                <c:pt idx="1607">
                  <c:v>0.6</c:v>
                </c:pt>
                <c:pt idx="1608">
                  <c:v>0.6</c:v>
                </c:pt>
                <c:pt idx="1609">
                  <c:v>0.6</c:v>
                </c:pt>
                <c:pt idx="1610">
                  <c:v>0.6</c:v>
                </c:pt>
                <c:pt idx="1611">
                  <c:v>0.6</c:v>
                </c:pt>
                <c:pt idx="1612">
                  <c:v>0.6</c:v>
                </c:pt>
                <c:pt idx="1613">
                  <c:v>0.6</c:v>
                </c:pt>
                <c:pt idx="1614">
                  <c:v>0.6</c:v>
                </c:pt>
                <c:pt idx="1615">
                  <c:v>0.6</c:v>
                </c:pt>
                <c:pt idx="1616">
                  <c:v>0.6</c:v>
                </c:pt>
                <c:pt idx="1617">
                  <c:v>0.6</c:v>
                </c:pt>
                <c:pt idx="1618">
                  <c:v>0.6</c:v>
                </c:pt>
                <c:pt idx="1619">
                  <c:v>0.6</c:v>
                </c:pt>
                <c:pt idx="1620">
                  <c:v>0.6</c:v>
                </c:pt>
                <c:pt idx="1621">
                  <c:v>0.6</c:v>
                </c:pt>
                <c:pt idx="1622">
                  <c:v>0.6</c:v>
                </c:pt>
                <c:pt idx="1623">
                  <c:v>0.6</c:v>
                </c:pt>
                <c:pt idx="1624">
                  <c:v>0.6</c:v>
                </c:pt>
                <c:pt idx="1625">
                  <c:v>0.6</c:v>
                </c:pt>
                <c:pt idx="1626">
                  <c:v>0.6</c:v>
                </c:pt>
                <c:pt idx="1627">
                  <c:v>0.6</c:v>
                </c:pt>
                <c:pt idx="1628">
                  <c:v>0.6</c:v>
                </c:pt>
                <c:pt idx="1629">
                  <c:v>0.6</c:v>
                </c:pt>
                <c:pt idx="1630">
                  <c:v>0.6</c:v>
                </c:pt>
                <c:pt idx="1631">
                  <c:v>0.6</c:v>
                </c:pt>
                <c:pt idx="1632">
                  <c:v>0.6</c:v>
                </c:pt>
                <c:pt idx="1633">
                  <c:v>0.6</c:v>
                </c:pt>
                <c:pt idx="1634">
                  <c:v>0.6</c:v>
                </c:pt>
                <c:pt idx="1635">
                  <c:v>0.6</c:v>
                </c:pt>
                <c:pt idx="1636">
                  <c:v>0.6</c:v>
                </c:pt>
                <c:pt idx="1637">
                  <c:v>0.6</c:v>
                </c:pt>
                <c:pt idx="1638">
                  <c:v>0.6</c:v>
                </c:pt>
                <c:pt idx="1639">
                  <c:v>0.6</c:v>
                </c:pt>
                <c:pt idx="1640">
                  <c:v>0.6</c:v>
                </c:pt>
                <c:pt idx="1641">
                  <c:v>0.60606060606060608</c:v>
                </c:pt>
                <c:pt idx="1642">
                  <c:v>0.60606060606060608</c:v>
                </c:pt>
                <c:pt idx="1643">
                  <c:v>0.6071428571428571</c:v>
                </c:pt>
                <c:pt idx="1644">
                  <c:v>0.6071428571428571</c:v>
                </c:pt>
                <c:pt idx="1645">
                  <c:v>0.6071428571428571</c:v>
                </c:pt>
                <c:pt idx="1646">
                  <c:v>0.6071428571428571</c:v>
                </c:pt>
                <c:pt idx="1647">
                  <c:v>0.6071428571428571</c:v>
                </c:pt>
                <c:pt idx="1648">
                  <c:v>0.6071428571428571</c:v>
                </c:pt>
                <c:pt idx="1649">
                  <c:v>0.6071428571428571</c:v>
                </c:pt>
                <c:pt idx="1650">
                  <c:v>0.6071428571428571</c:v>
                </c:pt>
                <c:pt idx="1651">
                  <c:v>0.6071428571428571</c:v>
                </c:pt>
                <c:pt idx="1652">
                  <c:v>0.6071428571428571</c:v>
                </c:pt>
                <c:pt idx="1653">
                  <c:v>0.60869565217391308</c:v>
                </c:pt>
                <c:pt idx="1654">
                  <c:v>0.60869565217391308</c:v>
                </c:pt>
                <c:pt idx="1655">
                  <c:v>0.60869565217391308</c:v>
                </c:pt>
                <c:pt idx="1656">
                  <c:v>0.60869565217391308</c:v>
                </c:pt>
                <c:pt idx="1657">
                  <c:v>0.60869565217391308</c:v>
                </c:pt>
                <c:pt idx="1658">
                  <c:v>0.60869565217391308</c:v>
                </c:pt>
                <c:pt idx="1659">
                  <c:v>0.60869565217391308</c:v>
                </c:pt>
                <c:pt idx="1660">
                  <c:v>0.60869565217391308</c:v>
                </c:pt>
                <c:pt idx="1661">
                  <c:v>0.60869565217391308</c:v>
                </c:pt>
                <c:pt idx="1662">
                  <c:v>0.60869565217391308</c:v>
                </c:pt>
                <c:pt idx="1663">
                  <c:v>0.60869565217391308</c:v>
                </c:pt>
                <c:pt idx="1664">
                  <c:v>0.60869565217391308</c:v>
                </c:pt>
                <c:pt idx="1665">
                  <c:v>0.60869565217391308</c:v>
                </c:pt>
                <c:pt idx="1666">
                  <c:v>0.60869565217391308</c:v>
                </c:pt>
                <c:pt idx="1667">
                  <c:v>0.60869565217391308</c:v>
                </c:pt>
                <c:pt idx="1668">
                  <c:v>0.61111111111111116</c:v>
                </c:pt>
                <c:pt idx="1669">
                  <c:v>0.61111111111111116</c:v>
                </c:pt>
                <c:pt idx="1670">
                  <c:v>0.61111111111111116</c:v>
                </c:pt>
                <c:pt idx="1671">
                  <c:v>0.61111111111111116</c:v>
                </c:pt>
                <c:pt idx="1672">
                  <c:v>0.61111111111111116</c:v>
                </c:pt>
                <c:pt idx="1673">
                  <c:v>0.61111111111111116</c:v>
                </c:pt>
                <c:pt idx="1674">
                  <c:v>0.61111111111111116</c:v>
                </c:pt>
                <c:pt idx="1675">
                  <c:v>0.61111111111111116</c:v>
                </c:pt>
                <c:pt idx="1676">
                  <c:v>0.61111111111111116</c:v>
                </c:pt>
                <c:pt idx="1677">
                  <c:v>0.61111111111111116</c:v>
                </c:pt>
                <c:pt idx="1678">
                  <c:v>0.61111111111111116</c:v>
                </c:pt>
                <c:pt idx="1679">
                  <c:v>0.61111111111111116</c:v>
                </c:pt>
                <c:pt idx="1680">
                  <c:v>0.61111111111111116</c:v>
                </c:pt>
                <c:pt idx="1681">
                  <c:v>0.61111111111111116</c:v>
                </c:pt>
                <c:pt idx="1682">
                  <c:v>0.61111111111111116</c:v>
                </c:pt>
                <c:pt idx="1683">
                  <c:v>0.61111111111111116</c:v>
                </c:pt>
                <c:pt idx="1684">
                  <c:v>0.61290322580645162</c:v>
                </c:pt>
                <c:pt idx="1685">
                  <c:v>0.61290322580645162</c:v>
                </c:pt>
                <c:pt idx="1686">
                  <c:v>0.61290322580645162</c:v>
                </c:pt>
                <c:pt idx="1687">
                  <c:v>0.61290322580645162</c:v>
                </c:pt>
                <c:pt idx="1688">
                  <c:v>0.61290322580645162</c:v>
                </c:pt>
                <c:pt idx="1689">
                  <c:v>0.61290322580645162</c:v>
                </c:pt>
                <c:pt idx="1690">
                  <c:v>0.61538461538461542</c:v>
                </c:pt>
                <c:pt idx="1691">
                  <c:v>0.61538461538461542</c:v>
                </c:pt>
                <c:pt idx="1692">
                  <c:v>0.61538461538461542</c:v>
                </c:pt>
                <c:pt idx="1693">
                  <c:v>0.61538461538461542</c:v>
                </c:pt>
                <c:pt idx="1694">
                  <c:v>0.61538461538461542</c:v>
                </c:pt>
                <c:pt idx="1695">
                  <c:v>0.61538461538461542</c:v>
                </c:pt>
                <c:pt idx="1696">
                  <c:v>0.61538461538461542</c:v>
                </c:pt>
                <c:pt idx="1697">
                  <c:v>0.61538461538461542</c:v>
                </c:pt>
                <c:pt idx="1698">
                  <c:v>0.61538461538461542</c:v>
                </c:pt>
                <c:pt idx="1699">
                  <c:v>0.61538461538461542</c:v>
                </c:pt>
                <c:pt idx="1700">
                  <c:v>0.61538461538461542</c:v>
                </c:pt>
                <c:pt idx="1701">
                  <c:v>0.61538461538461542</c:v>
                </c:pt>
                <c:pt idx="1702">
                  <c:v>0.61538461538461542</c:v>
                </c:pt>
                <c:pt idx="1703">
                  <c:v>0.61538461538461542</c:v>
                </c:pt>
                <c:pt idx="1704">
                  <c:v>0.61538461538461542</c:v>
                </c:pt>
                <c:pt idx="1705">
                  <c:v>0.61764705882352944</c:v>
                </c:pt>
                <c:pt idx="1706">
                  <c:v>0.61904761904761907</c:v>
                </c:pt>
                <c:pt idx="1707">
                  <c:v>0.61904761904761907</c:v>
                </c:pt>
                <c:pt idx="1708">
                  <c:v>0.61904761904761907</c:v>
                </c:pt>
                <c:pt idx="1709">
                  <c:v>0.61904761904761907</c:v>
                </c:pt>
                <c:pt idx="1710">
                  <c:v>0.61904761904761907</c:v>
                </c:pt>
                <c:pt idx="1711">
                  <c:v>0.61904761904761907</c:v>
                </c:pt>
                <c:pt idx="1712">
                  <c:v>0.61904761904761907</c:v>
                </c:pt>
                <c:pt idx="1713">
                  <c:v>0.61904761904761907</c:v>
                </c:pt>
                <c:pt idx="1714">
                  <c:v>0.61904761904761907</c:v>
                </c:pt>
                <c:pt idx="1715">
                  <c:v>0.61904761904761907</c:v>
                </c:pt>
                <c:pt idx="1716">
                  <c:v>0.61904761904761907</c:v>
                </c:pt>
                <c:pt idx="1717">
                  <c:v>0.61904761904761907</c:v>
                </c:pt>
                <c:pt idx="1718">
                  <c:v>0.61904761904761907</c:v>
                </c:pt>
                <c:pt idx="1719">
                  <c:v>0.61904761904761907</c:v>
                </c:pt>
                <c:pt idx="1720">
                  <c:v>0.61904761904761907</c:v>
                </c:pt>
                <c:pt idx="1721">
                  <c:v>0.61904761904761907</c:v>
                </c:pt>
                <c:pt idx="1722">
                  <c:v>0.62068965517241381</c:v>
                </c:pt>
                <c:pt idx="1723">
                  <c:v>0.62068965517241381</c:v>
                </c:pt>
                <c:pt idx="1724">
                  <c:v>0.62068965517241381</c:v>
                </c:pt>
                <c:pt idx="1725">
                  <c:v>0.62068965517241381</c:v>
                </c:pt>
                <c:pt idx="1726">
                  <c:v>0.625</c:v>
                </c:pt>
                <c:pt idx="1727">
                  <c:v>0.625</c:v>
                </c:pt>
                <c:pt idx="1728">
                  <c:v>0.625</c:v>
                </c:pt>
                <c:pt idx="1729">
                  <c:v>0.625</c:v>
                </c:pt>
                <c:pt idx="1730">
                  <c:v>0.625</c:v>
                </c:pt>
                <c:pt idx="1731">
                  <c:v>0.625</c:v>
                </c:pt>
                <c:pt idx="1732">
                  <c:v>0.625</c:v>
                </c:pt>
                <c:pt idx="1733">
                  <c:v>0.625</c:v>
                </c:pt>
                <c:pt idx="1734">
                  <c:v>0.625</c:v>
                </c:pt>
                <c:pt idx="1735">
                  <c:v>0.625</c:v>
                </c:pt>
                <c:pt idx="1736">
                  <c:v>0.625</c:v>
                </c:pt>
                <c:pt idx="1737">
                  <c:v>0.625</c:v>
                </c:pt>
                <c:pt idx="1738">
                  <c:v>0.625</c:v>
                </c:pt>
                <c:pt idx="1739">
                  <c:v>0.625</c:v>
                </c:pt>
                <c:pt idx="1740">
                  <c:v>0.625</c:v>
                </c:pt>
                <c:pt idx="1741">
                  <c:v>0.625</c:v>
                </c:pt>
                <c:pt idx="1742">
                  <c:v>0.625</c:v>
                </c:pt>
                <c:pt idx="1743">
                  <c:v>0.625</c:v>
                </c:pt>
                <c:pt idx="1744">
                  <c:v>0.625</c:v>
                </c:pt>
                <c:pt idx="1745">
                  <c:v>0.625</c:v>
                </c:pt>
                <c:pt idx="1746">
                  <c:v>0.625</c:v>
                </c:pt>
                <c:pt idx="1747">
                  <c:v>0.625</c:v>
                </c:pt>
                <c:pt idx="1748">
                  <c:v>0.625</c:v>
                </c:pt>
                <c:pt idx="1749">
                  <c:v>0.625</c:v>
                </c:pt>
                <c:pt idx="1750">
                  <c:v>0.62857142857142856</c:v>
                </c:pt>
                <c:pt idx="1751">
                  <c:v>0.62857142857142856</c:v>
                </c:pt>
                <c:pt idx="1752">
                  <c:v>0.62962962962962965</c:v>
                </c:pt>
                <c:pt idx="1753">
                  <c:v>0.62962962962962965</c:v>
                </c:pt>
                <c:pt idx="1754">
                  <c:v>0.62962962962962965</c:v>
                </c:pt>
                <c:pt idx="1755">
                  <c:v>0.62962962962962965</c:v>
                </c:pt>
                <c:pt idx="1756">
                  <c:v>0.62962962962962965</c:v>
                </c:pt>
                <c:pt idx="1757">
                  <c:v>0.62962962962962965</c:v>
                </c:pt>
                <c:pt idx="1758">
                  <c:v>0.62962962962962965</c:v>
                </c:pt>
                <c:pt idx="1759">
                  <c:v>0.62962962962962965</c:v>
                </c:pt>
                <c:pt idx="1760">
                  <c:v>0.62962962962962965</c:v>
                </c:pt>
                <c:pt idx="1761">
                  <c:v>0.62962962962962965</c:v>
                </c:pt>
                <c:pt idx="1762">
                  <c:v>0.62962962962962965</c:v>
                </c:pt>
                <c:pt idx="1763">
                  <c:v>0.63157894736842102</c:v>
                </c:pt>
                <c:pt idx="1764">
                  <c:v>0.63157894736842102</c:v>
                </c:pt>
                <c:pt idx="1765">
                  <c:v>0.63157894736842102</c:v>
                </c:pt>
                <c:pt idx="1766">
                  <c:v>0.63157894736842102</c:v>
                </c:pt>
                <c:pt idx="1767">
                  <c:v>0.63157894736842102</c:v>
                </c:pt>
                <c:pt idx="1768">
                  <c:v>0.63157894736842102</c:v>
                </c:pt>
                <c:pt idx="1769">
                  <c:v>0.63157894736842102</c:v>
                </c:pt>
                <c:pt idx="1770">
                  <c:v>0.63157894736842102</c:v>
                </c:pt>
                <c:pt idx="1771">
                  <c:v>0.63157894736842102</c:v>
                </c:pt>
                <c:pt idx="1772">
                  <c:v>0.63157894736842102</c:v>
                </c:pt>
                <c:pt idx="1773">
                  <c:v>0.63157894736842102</c:v>
                </c:pt>
                <c:pt idx="1774">
                  <c:v>0.63157894736842102</c:v>
                </c:pt>
                <c:pt idx="1775">
                  <c:v>0.63157894736842102</c:v>
                </c:pt>
                <c:pt idx="1776">
                  <c:v>0.63157894736842102</c:v>
                </c:pt>
                <c:pt idx="1777">
                  <c:v>0.63157894736842102</c:v>
                </c:pt>
                <c:pt idx="1778">
                  <c:v>0.63157894736842102</c:v>
                </c:pt>
                <c:pt idx="1779">
                  <c:v>0.63157894736842102</c:v>
                </c:pt>
                <c:pt idx="1780">
                  <c:v>0.6333333333333333</c:v>
                </c:pt>
                <c:pt idx="1781">
                  <c:v>0.6333333333333333</c:v>
                </c:pt>
                <c:pt idx="1782">
                  <c:v>0.6333333333333333</c:v>
                </c:pt>
                <c:pt idx="1783">
                  <c:v>0.63636363636363635</c:v>
                </c:pt>
                <c:pt idx="1784">
                  <c:v>0.63636363636363635</c:v>
                </c:pt>
                <c:pt idx="1785">
                  <c:v>0.63636363636363635</c:v>
                </c:pt>
                <c:pt idx="1786">
                  <c:v>0.63636363636363635</c:v>
                </c:pt>
                <c:pt idx="1787">
                  <c:v>0.63636363636363635</c:v>
                </c:pt>
                <c:pt idx="1788">
                  <c:v>0.63636363636363635</c:v>
                </c:pt>
                <c:pt idx="1789">
                  <c:v>0.63636363636363635</c:v>
                </c:pt>
                <c:pt idx="1790">
                  <c:v>0.63636363636363635</c:v>
                </c:pt>
                <c:pt idx="1791">
                  <c:v>0.63636363636363635</c:v>
                </c:pt>
                <c:pt idx="1792">
                  <c:v>0.63636363636363635</c:v>
                </c:pt>
                <c:pt idx="1793">
                  <c:v>0.63636363636363635</c:v>
                </c:pt>
                <c:pt idx="1794">
                  <c:v>0.63636363636363635</c:v>
                </c:pt>
                <c:pt idx="1795">
                  <c:v>0.63636363636363635</c:v>
                </c:pt>
                <c:pt idx="1796">
                  <c:v>0.63636363636363635</c:v>
                </c:pt>
                <c:pt idx="1797">
                  <c:v>0.63636363636363635</c:v>
                </c:pt>
                <c:pt idx="1798">
                  <c:v>0.63636363636363635</c:v>
                </c:pt>
                <c:pt idx="1799">
                  <c:v>0.63636363636363635</c:v>
                </c:pt>
                <c:pt idx="1800">
                  <c:v>0.63636363636363635</c:v>
                </c:pt>
                <c:pt idx="1801">
                  <c:v>0.63636363636363635</c:v>
                </c:pt>
                <c:pt idx="1802">
                  <c:v>0.63636363636363635</c:v>
                </c:pt>
                <c:pt idx="1803">
                  <c:v>0.63636363636363635</c:v>
                </c:pt>
                <c:pt idx="1804">
                  <c:v>0.63636363636363635</c:v>
                </c:pt>
                <c:pt idx="1805">
                  <c:v>0.63636363636363635</c:v>
                </c:pt>
                <c:pt idx="1806">
                  <c:v>0.63636363636363635</c:v>
                </c:pt>
                <c:pt idx="1807">
                  <c:v>0.63636363636363635</c:v>
                </c:pt>
                <c:pt idx="1808">
                  <c:v>0.63636363636363635</c:v>
                </c:pt>
                <c:pt idx="1809">
                  <c:v>0.63636363636363635</c:v>
                </c:pt>
                <c:pt idx="1810">
                  <c:v>0.63636363636363635</c:v>
                </c:pt>
                <c:pt idx="1811">
                  <c:v>0.63636363636363635</c:v>
                </c:pt>
                <c:pt idx="1812">
                  <c:v>0.64</c:v>
                </c:pt>
                <c:pt idx="1813">
                  <c:v>0.64</c:v>
                </c:pt>
                <c:pt idx="1814">
                  <c:v>0.64</c:v>
                </c:pt>
                <c:pt idx="1815">
                  <c:v>0.64</c:v>
                </c:pt>
                <c:pt idx="1816">
                  <c:v>0.64</c:v>
                </c:pt>
                <c:pt idx="1817">
                  <c:v>0.64</c:v>
                </c:pt>
                <c:pt idx="1818">
                  <c:v>0.64</c:v>
                </c:pt>
                <c:pt idx="1819">
                  <c:v>0.64</c:v>
                </c:pt>
                <c:pt idx="1820">
                  <c:v>0.64</c:v>
                </c:pt>
                <c:pt idx="1821">
                  <c:v>0.64</c:v>
                </c:pt>
                <c:pt idx="1822">
                  <c:v>0.64</c:v>
                </c:pt>
                <c:pt idx="1823">
                  <c:v>0.64</c:v>
                </c:pt>
                <c:pt idx="1824">
                  <c:v>0.64</c:v>
                </c:pt>
                <c:pt idx="1825">
                  <c:v>0.6428571428571429</c:v>
                </c:pt>
                <c:pt idx="1826">
                  <c:v>0.6428571428571429</c:v>
                </c:pt>
                <c:pt idx="1827">
                  <c:v>0.6428571428571429</c:v>
                </c:pt>
                <c:pt idx="1828">
                  <c:v>0.6428571428571429</c:v>
                </c:pt>
                <c:pt idx="1829">
                  <c:v>0.6428571428571429</c:v>
                </c:pt>
                <c:pt idx="1830">
                  <c:v>0.6428571428571429</c:v>
                </c:pt>
                <c:pt idx="1831">
                  <c:v>0.6428571428571429</c:v>
                </c:pt>
                <c:pt idx="1832">
                  <c:v>0.64516129032258063</c:v>
                </c:pt>
                <c:pt idx="1833">
                  <c:v>0.64516129032258063</c:v>
                </c:pt>
                <c:pt idx="1834">
                  <c:v>0.64516129032258063</c:v>
                </c:pt>
                <c:pt idx="1835">
                  <c:v>0.64516129032258063</c:v>
                </c:pt>
                <c:pt idx="1836">
                  <c:v>0.6470588235294118</c:v>
                </c:pt>
                <c:pt idx="1837">
                  <c:v>0.6470588235294118</c:v>
                </c:pt>
                <c:pt idx="1838">
                  <c:v>0.6470588235294118</c:v>
                </c:pt>
                <c:pt idx="1839">
                  <c:v>0.6470588235294118</c:v>
                </c:pt>
                <c:pt idx="1840">
                  <c:v>0.6470588235294118</c:v>
                </c:pt>
                <c:pt idx="1841">
                  <c:v>0.6470588235294118</c:v>
                </c:pt>
                <c:pt idx="1842">
                  <c:v>0.6470588235294118</c:v>
                </c:pt>
                <c:pt idx="1843">
                  <c:v>0.6470588235294118</c:v>
                </c:pt>
                <c:pt idx="1844">
                  <c:v>0.6470588235294118</c:v>
                </c:pt>
                <c:pt idx="1845">
                  <c:v>0.6470588235294118</c:v>
                </c:pt>
                <c:pt idx="1846">
                  <c:v>0.6470588235294118</c:v>
                </c:pt>
                <c:pt idx="1847">
                  <c:v>0.6470588235294118</c:v>
                </c:pt>
                <c:pt idx="1848">
                  <c:v>0.6470588235294118</c:v>
                </c:pt>
                <c:pt idx="1849">
                  <c:v>0.6470588235294118</c:v>
                </c:pt>
                <c:pt idx="1850">
                  <c:v>0.6470588235294118</c:v>
                </c:pt>
                <c:pt idx="1851">
                  <c:v>0.6470588235294118</c:v>
                </c:pt>
                <c:pt idx="1852">
                  <c:v>0.6470588235294118</c:v>
                </c:pt>
                <c:pt idx="1853">
                  <c:v>0.6470588235294118</c:v>
                </c:pt>
                <c:pt idx="1854">
                  <c:v>0.6470588235294118</c:v>
                </c:pt>
                <c:pt idx="1855">
                  <c:v>0.6470588235294118</c:v>
                </c:pt>
                <c:pt idx="1856">
                  <c:v>0.6470588235294118</c:v>
                </c:pt>
                <c:pt idx="1857">
                  <c:v>0.6470588235294118</c:v>
                </c:pt>
                <c:pt idx="1858">
                  <c:v>0.6470588235294118</c:v>
                </c:pt>
                <c:pt idx="1859">
                  <c:v>0.6470588235294118</c:v>
                </c:pt>
                <c:pt idx="1860">
                  <c:v>0.6470588235294118</c:v>
                </c:pt>
                <c:pt idx="1861">
                  <c:v>0.6470588235294118</c:v>
                </c:pt>
                <c:pt idx="1862">
                  <c:v>0.6470588235294118</c:v>
                </c:pt>
                <c:pt idx="1863">
                  <c:v>0.65</c:v>
                </c:pt>
                <c:pt idx="1864">
                  <c:v>0.65</c:v>
                </c:pt>
                <c:pt idx="1865">
                  <c:v>0.65</c:v>
                </c:pt>
                <c:pt idx="1866">
                  <c:v>0.65</c:v>
                </c:pt>
                <c:pt idx="1867">
                  <c:v>0.65</c:v>
                </c:pt>
                <c:pt idx="1868">
                  <c:v>0.65</c:v>
                </c:pt>
                <c:pt idx="1869">
                  <c:v>0.65</c:v>
                </c:pt>
                <c:pt idx="1870">
                  <c:v>0.65</c:v>
                </c:pt>
                <c:pt idx="1871">
                  <c:v>0.65</c:v>
                </c:pt>
                <c:pt idx="1872">
                  <c:v>0.65</c:v>
                </c:pt>
                <c:pt idx="1873">
                  <c:v>0.65</c:v>
                </c:pt>
                <c:pt idx="1874">
                  <c:v>0.65</c:v>
                </c:pt>
                <c:pt idx="1875">
                  <c:v>0.65</c:v>
                </c:pt>
                <c:pt idx="1876">
                  <c:v>0.65</c:v>
                </c:pt>
                <c:pt idx="1877">
                  <c:v>0.65</c:v>
                </c:pt>
                <c:pt idx="1878">
                  <c:v>0.65217391304347827</c:v>
                </c:pt>
                <c:pt idx="1879">
                  <c:v>0.65217391304347827</c:v>
                </c:pt>
                <c:pt idx="1880">
                  <c:v>0.65217391304347827</c:v>
                </c:pt>
                <c:pt idx="1881">
                  <c:v>0.65217391304347827</c:v>
                </c:pt>
                <c:pt idx="1882">
                  <c:v>0.65217391304347827</c:v>
                </c:pt>
                <c:pt idx="1883">
                  <c:v>0.65217391304347827</c:v>
                </c:pt>
                <c:pt idx="1884">
                  <c:v>0.65217391304347827</c:v>
                </c:pt>
                <c:pt idx="1885">
                  <c:v>0.65217391304347827</c:v>
                </c:pt>
                <c:pt idx="1886">
                  <c:v>0.65217391304347827</c:v>
                </c:pt>
                <c:pt idx="1887">
                  <c:v>0.65217391304347827</c:v>
                </c:pt>
                <c:pt idx="1888">
                  <c:v>0.65217391304347827</c:v>
                </c:pt>
                <c:pt idx="1889">
                  <c:v>0.65217391304347827</c:v>
                </c:pt>
                <c:pt idx="1890">
                  <c:v>0.65217391304347827</c:v>
                </c:pt>
                <c:pt idx="1891">
                  <c:v>0.65217391304347827</c:v>
                </c:pt>
                <c:pt idx="1892">
                  <c:v>0.65217391304347827</c:v>
                </c:pt>
                <c:pt idx="1893">
                  <c:v>0.65217391304347827</c:v>
                </c:pt>
                <c:pt idx="1894">
                  <c:v>0.65384615384615385</c:v>
                </c:pt>
                <c:pt idx="1895">
                  <c:v>0.65384615384615385</c:v>
                </c:pt>
                <c:pt idx="1896">
                  <c:v>0.65384615384615385</c:v>
                </c:pt>
                <c:pt idx="1897">
                  <c:v>0.65384615384615385</c:v>
                </c:pt>
                <c:pt idx="1898">
                  <c:v>0.65384615384615385</c:v>
                </c:pt>
                <c:pt idx="1899">
                  <c:v>0.65384615384615385</c:v>
                </c:pt>
                <c:pt idx="1900">
                  <c:v>0.65384615384615385</c:v>
                </c:pt>
                <c:pt idx="1901">
                  <c:v>0.65384615384615385</c:v>
                </c:pt>
                <c:pt idx="1902">
                  <c:v>0.65384615384615385</c:v>
                </c:pt>
                <c:pt idx="1903">
                  <c:v>0.65384615384615385</c:v>
                </c:pt>
                <c:pt idx="1904">
                  <c:v>0.65384615384615385</c:v>
                </c:pt>
                <c:pt idx="1905">
                  <c:v>0.65517241379310343</c:v>
                </c:pt>
                <c:pt idx="1906">
                  <c:v>0.65517241379310343</c:v>
                </c:pt>
                <c:pt idx="1907">
                  <c:v>0.65517241379310343</c:v>
                </c:pt>
                <c:pt idx="1908">
                  <c:v>0.65517241379310343</c:v>
                </c:pt>
                <c:pt idx="1909">
                  <c:v>0.65517241379310343</c:v>
                </c:pt>
                <c:pt idx="1910">
                  <c:v>0.65517241379310343</c:v>
                </c:pt>
                <c:pt idx="1911">
                  <c:v>0.65517241379310343</c:v>
                </c:pt>
                <c:pt idx="1912">
                  <c:v>0.65625</c:v>
                </c:pt>
                <c:pt idx="1913">
                  <c:v>0.65625</c:v>
                </c:pt>
                <c:pt idx="1914">
                  <c:v>0.65625</c:v>
                </c:pt>
                <c:pt idx="1915">
                  <c:v>0.65714285714285714</c:v>
                </c:pt>
                <c:pt idx="1916">
                  <c:v>0.66666666666666663</c:v>
                </c:pt>
                <c:pt idx="1917">
                  <c:v>0.66666666666666663</c:v>
                </c:pt>
                <c:pt idx="1918">
                  <c:v>0.66666666666666663</c:v>
                </c:pt>
                <c:pt idx="1919">
                  <c:v>0.66666666666666663</c:v>
                </c:pt>
                <c:pt idx="1920">
                  <c:v>0.66666666666666663</c:v>
                </c:pt>
                <c:pt idx="1921">
                  <c:v>0.66666666666666663</c:v>
                </c:pt>
                <c:pt idx="1922">
                  <c:v>0.66666666666666663</c:v>
                </c:pt>
                <c:pt idx="1923">
                  <c:v>0.66666666666666663</c:v>
                </c:pt>
                <c:pt idx="1924">
                  <c:v>0.66666666666666663</c:v>
                </c:pt>
                <c:pt idx="1925">
                  <c:v>0.66666666666666663</c:v>
                </c:pt>
                <c:pt idx="1926">
                  <c:v>0.66666666666666663</c:v>
                </c:pt>
                <c:pt idx="1927">
                  <c:v>0.66666666666666663</c:v>
                </c:pt>
                <c:pt idx="1928">
                  <c:v>0.66666666666666663</c:v>
                </c:pt>
                <c:pt idx="1929">
                  <c:v>0.66666666666666663</c:v>
                </c:pt>
                <c:pt idx="1930">
                  <c:v>0.66666666666666663</c:v>
                </c:pt>
                <c:pt idx="1931">
                  <c:v>0.66666666666666663</c:v>
                </c:pt>
                <c:pt idx="1932">
                  <c:v>0.66666666666666663</c:v>
                </c:pt>
                <c:pt idx="1933">
                  <c:v>0.66666666666666663</c:v>
                </c:pt>
                <c:pt idx="1934">
                  <c:v>0.66666666666666663</c:v>
                </c:pt>
                <c:pt idx="1935">
                  <c:v>0.66666666666666663</c:v>
                </c:pt>
                <c:pt idx="1936">
                  <c:v>0.66666666666666663</c:v>
                </c:pt>
                <c:pt idx="1937">
                  <c:v>0.66666666666666663</c:v>
                </c:pt>
                <c:pt idx="1938">
                  <c:v>0.66666666666666663</c:v>
                </c:pt>
                <c:pt idx="1939">
                  <c:v>0.66666666666666663</c:v>
                </c:pt>
                <c:pt idx="1940">
                  <c:v>0.66666666666666663</c:v>
                </c:pt>
                <c:pt idx="1941">
                  <c:v>0.66666666666666663</c:v>
                </c:pt>
                <c:pt idx="1942">
                  <c:v>0.66666666666666663</c:v>
                </c:pt>
                <c:pt idx="1943">
                  <c:v>0.66666666666666663</c:v>
                </c:pt>
                <c:pt idx="1944">
                  <c:v>0.66666666666666663</c:v>
                </c:pt>
                <c:pt idx="1945">
                  <c:v>0.66666666666666663</c:v>
                </c:pt>
                <c:pt idx="1946">
                  <c:v>0.66666666666666663</c:v>
                </c:pt>
                <c:pt idx="1947">
                  <c:v>0.66666666666666663</c:v>
                </c:pt>
                <c:pt idx="1948">
                  <c:v>0.66666666666666663</c:v>
                </c:pt>
                <c:pt idx="1949">
                  <c:v>0.66666666666666663</c:v>
                </c:pt>
                <c:pt idx="1950">
                  <c:v>0.66666666666666663</c:v>
                </c:pt>
                <c:pt idx="1951">
                  <c:v>0.66666666666666663</c:v>
                </c:pt>
                <c:pt idx="1952">
                  <c:v>0.66666666666666663</c:v>
                </c:pt>
                <c:pt idx="1953">
                  <c:v>0.66666666666666663</c:v>
                </c:pt>
                <c:pt idx="1954">
                  <c:v>0.66666666666666663</c:v>
                </c:pt>
                <c:pt idx="1955">
                  <c:v>0.66666666666666663</c:v>
                </c:pt>
                <c:pt idx="1956">
                  <c:v>0.66666666666666663</c:v>
                </c:pt>
                <c:pt idx="1957">
                  <c:v>0.66666666666666663</c:v>
                </c:pt>
                <c:pt idx="1958">
                  <c:v>0.66666666666666663</c:v>
                </c:pt>
                <c:pt idx="1959">
                  <c:v>0.66666666666666663</c:v>
                </c:pt>
                <c:pt idx="1960">
                  <c:v>0.66666666666666663</c:v>
                </c:pt>
                <c:pt idx="1961">
                  <c:v>0.66666666666666663</c:v>
                </c:pt>
                <c:pt idx="1962">
                  <c:v>0.66666666666666663</c:v>
                </c:pt>
                <c:pt idx="1963">
                  <c:v>0.66666666666666663</c:v>
                </c:pt>
                <c:pt idx="1964">
                  <c:v>0.66666666666666663</c:v>
                </c:pt>
                <c:pt idx="1965">
                  <c:v>0.66666666666666663</c:v>
                </c:pt>
                <c:pt idx="1966">
                  <c:v>0.66666666666666663</c:v>
                </c:pt>
                <c:pt idx="1967">
                  <c:v>0.66666666666666663</c:v>
                </c:pt>
                <c:pt idx="1968">
                  <c:v>0.66666666666666663</c:v>
                </c:pt>
                <c:pt idx="1969">
                  <c:v>0.66666666666666663</c:v>
                </c:pt>
                <c:pt idx="1970">
                  <c:v>0.66666666666666663</c:v>
                </c:pt>
                <c:pt idx="1971">
                  <c:v>0.66666666666666663</c:v>
                </c:pt>
                <c:pt idx="1972">
                  <c:v>0.66666666666666663</c:v>
                </c:pt>
                <c:pt idx="1973">
                  <c:v>0.66666666666666663</c:v>
                </c:pt>
                <c:pt idx="1974">
                  <c:v>0.66666666666666663</c:v>
                </c:pt>
                <c:pt idx="1975">
                  <c:v>0.66666666666666663</c:v>
                </c:pt>
                <c:pt idx="1976">
                  <c:v>0.66666666666666663</c:v>
                </c:pt>
                <c:pt idx="1977">
                  <c:v>0.66666666666666663</c:v>
                </c:pt>
                <c:pt idx="1978">
                  <c:v>0.66666666666666663</c:v>
                </c:pt>
                <c:pt idx="1979">
                  <c:v>0.66666666666666663</c:v>
                </c:pt>
                <c:pt idx="1980">
                  <c:v>0.66666666666666663</c:v>
                </c:pt>
                <c:pt idx="1981">
                  <c:v>0.66666666666666663</c:v>
                </c:pt>
                <c:pt idx="1982">
                  <c:v>0.66666666666666663</c:v>
                </c:pt>
                <c:pt idx="1983">
                  <c:v>0.66666666666666663</c:v>
                </c:pt>
                <c:pt idx="1984">
                  <c:v>0.66666666666666663</c:v>
                </c:pt>
                <c:pt idx="1985">
                  <c:v>0.66666666666666663</c:v>
                </c:pt>
                <c:pt idx="1986">
                  <c:v>0.66666666666666663</c:v>
                </c:pt>
                <c:pt idx="1987">
                  <c:v>0.66666666666666663</c:v>
                </c:pt>
                <c:pt idx="1988">
                  <c:v>0.66666666666666663</c:v>
                </c:pt>
                <c:pt idx="1989">
                  <c:v>0.66666666666666663</c:v>
                </c:pt>
                <c:pt idx="1990">
                  <c:v>0.67647058823529416</c:v>
                </c:pt>
                <c:pt idx="1991">
                  <c:v>0.67647058823529416</c:v>
                </c:pt>
                <c:pt idx="1992">
                  <c:v>0.67647058823529416</c:v>
                </c:pt>
                <c:pt idx="1993">
                  <c:v>0.67741935483870963</c:v>
                </c:pt>
                <c:pt idx="1994">
                  <c:v>0.67741935483870963</c:v>
                </c:pt>
                <c:pt idx="1995">
                  <c:v>0.6785714285714286</c:v>
                </c:pt>
                <c:pt idx="1996">
                  <c:v>0.6785714285714286</c:v>
                </c:pt>
                <c:pt idx="1997">
                  <c:v>0.6785714285714286</c:v>
                </c:pt>
                <c:pt idx="1998">
                  <c:v>0.6785714285714286</c:v>
                </c:pt>
                <c:pt idx="1999">
                  <c:v>0.6785714285714286</c:v>
                </c:pt>
                <c:pt idx="2000">
                  <c:v>0.6785714285714286</c:v>
                </c:pt>
                <c:pt idx="2001">
                  <c:v>0.6785714285714286</c:v>
                </c:pt>
                <c:pt idx="2002">
                  <c:v>0.6785714285714286</c:v>
                </c:pt>
                <c:pt idx="2003">
                  <c:v>0.6785714285714286</c:v>
                </c:pt>
                <c:pt idx="2004">
                  <c:v>0.68</c:v>
                </c:pt>
                <c:pt idx="2005">
                  <c:v>0.68</c:v>
                </c:pt>
                <c:pt idx="2006">
                  <c:v>0.68</c:v>
                </c:pt>
                <c:pt idx="2007">
                  <c:v>0.68</c:v>
                </c:pt>
                <c:pt idx="2008">
                  <c:v>0.68</c:v>
                </c:pt>
                <c:pt idx="2009">
                  <c:v>0.68</c:v>
                </c:pt>
                <c:pt idx="2010">
                  <c:v>0.68</c:v>
                </c:pt>
                <c:pt idx="2011">
                  <c:v>0.68</c:v>
                </c:pt>
                <c:pt idx="2012">
                  <c:v>0.68</c:v>
                </c:pt>
                <c:pt idx="2013">
                  <c:v>0.68</c:v>
                </c:pt>
                <c:pt idx="2014">
                  <c:v>0.68181818181818177</c:v>
                </c:pt>
                <c:pt idx="2015">
                  <c:v>0.68181818181818177</c:v>
                </c:pt>
                <c:pt idx="2016">
                  <c:v>0.68181818181818177</c:v>
                </c:pt>
                <c:pt idx="2017">
                  <c:v>0.68181818181818177</c:v>
                </c:pt>
                <c:pt idx="2018">
                  <c:v>0.68181818181818177</c:v>
                </c:pt>
                <c:pt idx="2019">
                  <c:v>0.68181818181818177</c:v>
                </c:pt>
                <c:pt idx="2020">
                  <c:v>0.68181818181818177</c:v>
                </c:pt>
                <c:pt idx="2021">
                  <c:v>0.68181818181818177</c:v>
                </c:pt>
                <c:pt idx="2022">
                  <c:v>0.68181818181818177</c:v>
                </c:pt>
                <c:pt idx="2023">
                  <c:v>0.68181818181818177</c:v>
                </c:pt>
                <c:pt idx="2024">
                  <c:v>0.68181818181818177</c:v>
                </c:pt>
                <c:pt idx="2025">
                  <c:v>0.68181818181818177</c:v>
                </c:pt>
                <c:pt idx="2026">
                  <c:v>0.68181818181818177</c:v>
                </c:pt>
                <c:pt idx="2027">
                  <c:v>0.68181818181818177</c:v>
                </c:pt>
                <c:pt idx="2028">
                  <c:v>0.68181818181818177</c:v>
                </c:pt>
                <c:pt idx="2029">
                  <c:v>0.68181818181818177</c:v>
                </c:pt>
                <c:pt idx="2030">
                  <c:v>0.68181818181818177</c:v>
                </c:pt>
                <c:pt idx="2031">
                  <c:v>0.68181818181818177</c:v>
                </c:pt>
                <c:pt idx="2032">
                  <c:v>0.68181818181818177</c:v>
                </c:pt>
                <c:pt idx="2033">
                  <c:v>0.68181818181818177</c:v>
                </c:pt>
                <c:pt idx="2034">
                  <c:v>0.68181818181818177</c:v>
                </c:pt>
                <c:pt idx="2035">
                  <c:v>0.68181818181818177</c:v>
                </c:pt>
                <c:pt idx="2036">
                  <c:v>0.68181818181818177</c:v>
                </c:pt>
                <c:pt idx="2037">
                  <c:v>0.68181818181818177</c:v>
                </c:pt>
                <c:pt idx="2038">
                  <c:v>0.68421052631578949</c:v>
                </c:pt>
                <c:pt idx="2039">
                  <c:v>0.68421052631578949</c:v>
                </c:pt>
                <c:pt idx="2040">
                  <c:v>0.68421052631578949</c:v>
                </c:pt>
                <c:pt idx="2041">
                  <c:v>0.68421052631578949</c:v>
                </c:pt>
                <c:pt idx="2042">
                  <c:v>0.68421052631578949</c:v>
                </c:pt>
                <c:pt idx="2043">
                  <c:v>0.68421052631578949</c:v>
                </c:pt>
                <c:pt idx="2044">
                  <c:v>0.68421052631578949</c:v>
                </c:pt>
                <c:pt idx="2045">
                  <c:v>0.68421052631578949</c:v>
                </c:pt>
                <c:pt idx="2046">
                  <c:v>0.68421052631578949</c:v>
                </c:pt>
                <c:pt idx="2047">
                  <c:v>0.68421052631578949</c:v>
                </c:pt>
                <c:pt idx="2048">
                  <c:v>0.68421052631578949</c:v>
                </c:pt>
                <c:pt idx="2049">
                  <c:v>0.68421052631578949</c:v>
                </c:pt>
                <c:pt idx="2050">
                  <c:v>0.68421052631578949</c:v>
                </c:pt>
                <c:pt idx="2051">
                  <c:v>0.68421052631578949</c:v>
                </c:pt>
                <c:pt idx="2052">
                  <c:v>0.68421052631578949</c:v>
                </c:pt>
                <c:pt idx="2053">
                  <c:v>0.68421052631578949</c:v>
                </c:pt>
                <c:pt idx="2054">
                  <c:v>0.68421052631578949</c:v>
                </c:pt>
                <c:pt idx="2055">
                  <c:v>0.68421052631578949</c:v>
                </c:pt>
                <c:pt idx="2056">
                  <c:v>0.68421052631578949</c:v>
                </c:pt>
                <c:pt idx="2057">
                  <c:v>0.68421052631578949</c:v>
                </c:pt>
                <c:pt idx="2058">
                  <c:v>0.68571428571428572</c:v>
                </c:pt>
                <c:pt idx="2059">
                  <c:v>0.6875</c:v>
                </c:pt>
                <c:pt idx="2060">
                  <c:v>0.6875</c:v>
                </c:pt>
                <c:pt idx="2061">
                  <c:v>0.6875</c:v>
                </c:pt>
                <c:pt idx="2062">
                  <c:v>0.6875</c:v>
                </c:pt>
                <c:pt idx="2063">
                  <c:v>0.6875</c:v>
                </c:pt>
                <c:pt idx="2064">
                  <c:v>0.6875</c:v>
                </c:pt>
                <c:pt idx="2065">
                  <c:v>0.6875</c:v>
                </c:pt>
                <c:pt idx="2066">
                  <c:v>0.6875</c:v>
                </c:pt>
                <c:pt idx="2067">
                  <c:v>0.6875</c:v>
                </c:pt>
                <c:pt idx="2068">
                  <c:v>0.6875</c:v>
                </c:pt>
                <c:pt idx="2069">
                  <c:v>0.6875</c:v>
                </c:pt>
                <c:pt idx="2070">
                  <c:v>0.68965517241379315</c:v>
                </c:pt>
                <c:pt idx="2071">
                  <c:v>0.68965517241379315</c:v>
                </c:pt>
                <c:pt idx="2072">
                  <c:v>0.68965517241379315</c:v>
                </c:pt>
                <c:pt idx="2073">
                  <c:v>0.68965517241379315</c:v>
                </c:pt>
                <c:pt idx="2074">
                  <c:v>0.68965517241379315</c:v>
                </c:pt>
                <c:pt idx="2075">
                  <c:v>0.68965517241379315</c:v>
                </c:pt>
                <c:pt idx="2076">
                  <c:v>0.69230769230769229</c:v>
                </c:pt>
                <c:pt idx="2077">
                  <c:v>0.69230769230769229</c:v>
                </c:pt>
                <c:pt idx="2078">
                  <c:v>0.69230769230769229</c:v>
                </c:pt>
                <c:pt idx="2079">
                  <c:v>0.69230769230769229</c:v>
                </c:pt>
                <c:pt idx="2080">
                  <c:v>0.69230769230769229</c:v>
                </c:pt>
                <c:pt idx="2081">
                  <c:v>0.69230769230769229</c:v>
                </c:pt>
                <c:pt idx="2082">
                  <c:v>0.69230769230769229</c:v>
                </c:pt>
                <c:pt idx="2083">
                  <c:v>0.69230769230769229</c:v>
                </c:pt>
                <c:pt idx="2084">
                  <c:v>0.69230769230769229</c:v>
                </c:pt>
                <c:pt idx="2085">
                  <c:v>0.69230769230769229</c:v>
                </c:pt>
                <c:pt idx="2086">
                  <c:v>0.69230769230769229</c:v>
                </c:pt>
                <c:pt idx="2087">
                  <c:v>0.69230769230769229</c:v>
                </c:pt>
                <c:pt idx="2088">
                  <c:v>0.69230769230769229</c:v>
                </c:pt>
                <c:pt idx="2089">
                  <c:v>0.69230769230769229</c:v>
                </c:pt>
                <c:pt idx="2090">
                  <c:v>0.69230769230769229</c:v>
                </c:pt>
                <c:pt idx="2091">
                  <c:v>0.69230769230769229</c:v>
                </c:pt>
                <c:pt idx="2092">
                  <c:v>0.69230769230769229</c:v>
                </c:pt>
                <c:pt idx="2093">
                  <c:v>0.69230769230769229</c:v>
                </c:pt>
                <c:pt idx="2094">
                  <c:v>0.69230769230769229</c:v>
                </c:pt>
                <c:pt idx="2095">
                  <c:v>0.69230769230769229</c:v>
                </c:pt>
                <c:pt idx="2096">
                  <c:v>0.69230769230769229</c:v>
                </c:pt>
                <c:pt idx="2097">
                  <c:v>0.69230769230769229</c:v>
                </c:pt>
                <c:pt idx="2098">
                  <c:v>0.69230769230769229</c:v>
                </c:pt>
                <c:pt idx="2099">
                  <c:v>0.69565217391304346</c:v>
                </c:pt>
                <c:pt idx="2100">
                  <c:v>0.69565217391304346</c:v>
                </c:pt>
                <c:pt idx="2101">
                  <c:v>0.69565217391304346</c:v>
                </c:pt>
                <c:pt idx="2102">
                  <c:v>0.69565217391304346</c:v>
                </c:pt>
                <c:pt idx="2103">
                  <c:v>0.69565217391304346</c:v>
                </c:pt>
                <c:pt idx="2104">
                  <c:v>0.69565217391304346</c:v>
                </c:pt>
                <c:pt idx="2105">
                  <c:v>0.69565217391304346</c:v>
                </c:pt>
                <c:pt idx="2106">
                  <c:v>0.69565217391304346</c:v>
                </c:pt>
                <c:pt idx="2107">
                  <c:v>0.69565217391304346</c:v>
                </c:pt>
                <c:pt idx="2108">
                  <c:v>0.69565217391304346</c:v>
                </c:pt>
                <c:pt idx="2109">
                  <c:v>0.69565217391304346</c:v>
                </c:pt>
                <c:pt idx="2110">
                  <c:v>0.69565217391304346</c:v>
                </c:pt>
                <c:pt idx="2111">
                  <c:v>0.69565217391304346</c:v>
                </c:pt>
                <c:pt idx="2112">
                  <c:v>0.69565217391304346</c:v>
                </c:pt>
                <c:pt idx="2113">
                  <c:v>0.69565217391304346</c:v>
                </c:pt>
                <c:pt idx="2114">
                  <c:v>0.69565217391304346</c:v>
                </c:pt>
                <c:pt idx="2115">
                  <c:v>0.69565217391304346</c:v>
                </c:pt>
                <c:pt idx="2116">
                  <c:v>0.69565217391304346</c:v>
                </c:pt>
                <c:pt idx="2117">
                  <c:v>0.69565217391304346</c:v>
                </c:pt>
                <c:pt idx="2118">
                  <c:v>0.69565217391304346</c:v>
                </c:pt>
                <c:pt idx="2119">
                  <c:v>0.69565217391304346</c:v>
                </c:pt>
                <c:pt idx="2120">
                  <c:v>0.69565217391304346</c:v>
                </c:pt>
                <c:pt idx="2121">
                  <c:v>0.69565217391304346</c:v>
                </c:pt>
                <c:pt idx="2122">
                  <c:v>0.69565217391304346</c:v>
                </c:pt>
                <c:pt idx="2123">
                  <c:v>0.69565217391304346</c:v>
                </c:pt>
                <c:pt idx="2124">
                  <c:v>0.7</c:v>
                </c:pt>
                <c:pt idx="2125">
                  <c:v>0.7</c:v>
                </c:pt>
                <c:pt idx="2126">
                  <c:v>0.7</c:v>
                </c:pt>
                <c:pt idx="2127">
                  <c:v>0.7</c:v>
                </c:pt>
                <c:pt idx="2128">
                  <c:v>0.7</c:v>
                </c:pt>
                <c:pt idx="2129">
                  <c:v>0.7</c:v>
                </c:pt>
                <c:pt idx="2130">
                  <c:v>0.7</c:v>
                </c:pt>
                <c:pt idx="2131">
                  <c:v>0.7</c:v>
                </c:pt>
                <c:pt idx="2132">
                  <c:v>0.7</c:v>
                </c:pt>
                <c:pt idx="2133">
                  <c:v>0.7</c:v>
                </c:pt>
                <c:pt idx="2134">
                  <c:v>0.7</c:v>
                </c:pt>
                <c:pt idx="2135">
                  <c:v>0.7</c:v>
                </c:pt>
                <c:pt idx="2136">
                  <c:v>0.7</c:v>
                </c:pt>
                <c:pt idx="2137">
                  <c:v>0.7</c:v>
                </c:pt>
                <c:pt idx="2138">
                  <c:v>0.7</c:v>
                </c:pt>
                <c:pt idx="2139">
                  <c:v>0.7</c:v>
                </c:pt>
                <c:pt idx="2140">
                  <c:v>0.7</c:v>
                </c:pt>
                <c:pt idx="2141">
                  <c:v>0.7</c:v>
                </c:pt>
                <c:pt idx="2142">
                  <c:v>0.7</c:v>
                </c:pt>
                <c:pt idx="2143">
                  <c:v>0.7</c:v>
                </c:pt>
                <c:pt idx="2144">
                  <c:v>0.7</c:v>
                </c:pt>
                <c:pt idx="2145">
                  <c:v>0.7</c:v>
                </c:pt>
                <c:pt idx="2146">
                  <c:v>0.7</c:v>
                </c:pt>
                <c:pt idx="2147">
                  <c:v>0.7</c:v>
                </c:pt>
                <c:pt idx="2148">
                  <c:v>0.70370370370370372</c:v>
                </c:pt>
                <c:pt idx="2149">
                  <c:v>0.70370370370370372</c:v>
                </c:pt>
                <c:pt idx="2150">
                  <c:v>0.70370370370370372</c:v>
                </c:pt>
                <c:pt idx="2151">
                  <c:v>0.70370370370370372</c:v>
                </c:pt>
                <c:pt idx="2152">
                  <c:v>0.70370370370370372</c:v>
                </c:pt>
                <c:pt idx="2153">
                  <c:v>0.70370370370370372</c:v>
                </c:pt>
                <c:pt idx="2154">
                  <c:v>0.70370370370370372</c:v>
                </c:pt>
                <c:pt idx="2155">
                  <c:v>0.70370370370370372</c:v>
                </c:pt>
                <c:pt idx="2156">
                  <c:v>0.70370370370370372</c:v>
                </c:pt>
                <c:pt idx="2157">
                  <c:v>0.70370370370370372</c:v>
                </c:pt>
                <c:pt idx="2158">
                  <c:v>0.70370370370370372</c:v>
                </c:pt>
                <c:pt idx="2159">
                  <c:v>0.70370370370370372</c:v>
                </c:pt>
                <c:pt idx="2160">
                  <c:v>0.70588235294117652</c:v>
                </c:pt>
                <c:pt idx="2161">
                  <c:v>0.70588235294117652</c:v>
                </c:pt>
                <c:pt idx="2162">
                  <c:v>0.70588235294117652</c:v>
                </c:pt>
                <c:pt idx="2163">
                  <c:v>0.70588235294117652</c:v>
                </c:pt>
                <c:pt idx="2164">
                  <c:v>0.70588235294117652</c:v>
                </c:pt>
                <c:pt idx="2165">
                  <c:v>0.70588235294117652</c:v>
                </c:pt>
                <c:pt idx="2166">
                  <c:v>0.70588235294117652</c:v>
                </c:pt>
                <c:pt idx="2167">
                  <c:v>0.70588235294117652</c:v>
                </c:pt>
                <c:pt idx="2168">
                  <c:v>0.70588235294117652</c:v>
                </c:pt>
                <c:pt idx="2169">
                  <c:v>0.70588235294117652</c:v>
                </c:pt>
                <c:pt idx="2170">
                  <c:v>0.70588235294117652</c:v>
                </c:pt>
                <c:pt idx="2171">
                  <c:v>0.70588235294117652</c:v>
                </c:pt>
                <c:pt idx="2172">
                  <c:v>0.70588235294117652</c:v>
                </c:pt>
                <c:pt idx="2173">
                  <c:v>0.70588235294117652</c:v>
                </c:pt>
                <c:pt idx="2174">
                  <c:v>0.70588235294117652</c:v>
                </c:pt>
                <c:pt idx="2175">
                  <c:v>0.70588235294117652</c:v>
                </c:pt>
                <c:pt idx="2176">
                  <c:v>0.70588235294117652</c:v>
                </c:pt>
                <c:pt idx="2177">
                  <c:v>0.70588235294117652</c:v>
                </c:pt>
                <c:pt idx="2178">
                  <c:v>0.70588235294117652</c:v>
                </c:pt>
                <c:pt idx="2179">
                  <c:v>0.70588235294117652</c:v>
                </c:pt>
                <c:pt idx="2180">
                  <c:v>0.70833333333333337</c:v>
                </c:pt>
                <c:pt idx="2181">
                  <c:v>0.70833333333333337</c:v>
                </c:pt>
                <c:pt idx="2182">
                  <c:v>0.70833333333333337</c:v>
                </c:pt>
                <c:pt idx="2183">
                  <c:v>0.70833333333333337</c:v>
                </c:pt>
                <c:pt idx="2184">
                  <c:v>0.70833333333333337</c:v>
                </c:pt>
                <c:pt idx="2185">
                  <c:v>0.70833333333333337</c:v>
                </c:pt>
                <c:pt idx="2186">
                  <c:v>0.70833333333333337</c:v>
                </c:pt>
                <c:pt idx="2187">
                  <c:v>0.70833333333333337</c:v>
                </c:pt>
                <c:pt idx="2188">
                  <c:v>0.70833333333333337</c:v>
                </c:pt>
                <c:pt idx="2189">
                  <c:v>0.70833333333333337</c:v>
                </c:pt>
                <c:pt idx="2190">
                  <c:v>0.70833333333333337</c:v>
                </c:pt>
                <c:pt idx="2191">
                  <c:v>0.70833333333333337</c:v>
                </c:pt>
                <c:pt idx="2192">
                  <c:v>0.70967741935483875</c:v>
                </c:pt>
                <c:pt idx="2193">
                  <c:v>0.7142857142857143</c:v>
                </c:pt>
                <c:pt idx="2194">
                  <c:v>0.7142857142857143</c:v>
                </c:pt>
                <c:pt idx="2195">
                  <c:v>0.7142857142857143</c:v>
                </c:pt>
                <c:pt idx="2196">
                  <c:v>0.7142857142857143</c:v>
                </c:pt>
                <c:pt idx="2197">
                  <c:v>0.7142857142857143</c:v>
                </c:pt>
                <c:pt idx="2198">
                  <c:v>0.7142857142857143</c:v>
                </c:pt>
                <c:pt idx="2199">
                  <c:v>0.7142857142857143</c:v>
                </c:pt>
                <c:pt idx="2200">
                  <c:v>0.7142857142857143</c:v>
                </c:pt>
                <c:pt idx="2201">
                  <c:v>0.7142857142857143</c:v>
                </c:pt>
                <c:pt idx="2202">
                  <c:v>0.7142857142857143</c:v>
                </c:pt>
                <c:pt idx="2203">
                  <c:v>0.7142857142857143</c:v>
                </c:pt>
                <c:pt idx="2204">
                  <c:v>0.7142857142857143</c:v>
                </c:pt>
                <c:pt idx="2205">
                  <c:v>0.7142857142857143</c:v>
                </c:pt>
                <c:pt idx="2206">
                  <c:v>0.7142857142857143</c:v>
                </c:pt>
                <c:pt idx="2207">
                  <c:v>0.7142857142857143</c:v>
                </c:pt>
                <c:pt idx="2208">
                  <c:v>0.7142857142857143</c:v>
                </c:pt>
                <c:pt idx="2209">
                  <c:v>0.7142857142857143</c:v>
                </c:pt>
                <c:pt idx="2210">
                  <c:v>0.7142857142857143</c:v>
                </c:pt>
                <c:pt idx="2211">
                  <c:v>0.7142857142857143</c:v>
                </c:pt>
                <c:pt idx="2212">
                  <c:v>0.7142857142857143</c:v>
                </c:pt>
                <c:pt idx="2213">
                  <c:v>0.7142857142857143</c:v>
                </c:pt>
                <c:pt idx="2214">
                  <c:v>0.7142857142857143</c:v>
                </c:pt>
                <c:pt idx="2215">
                  <c:v>0.7142857142857143</c:v>
                </c:pt>
                <c:pt idx="2216">
                  <c:v>0.7142857142857143</c:v>
                </c:pt>
                <c:pt idx="2217">
                  <c:v>0.7142857142857143</c:v>
                </c:pt>
                <c:pt idx="2218">
                  <c:v>0.7142857142857143</c:v>
                </c:pt>
                <c:pt idx="2219">
                  <c:v>0.7142857142857143</c:v>
                </c:pt>
                <c:pt idx="2220">
                  <c:v>0.7142857142857143</c:v>
                </c:pt>
                <c:pt idx="2221">
                  <c:v>0.7142857142857143</c:v>
                </c:pt>
                <c:pt idx="2222">
                  <c:v>0.7142857142857143</c:v>
                </c:pt>
                <c:pt idx="2223">
                  <c:v>0.7142857142857143</c:v>
                </c:pt>
                <c:pt idx="2224">
                  <c:v>0.7142857142857143</c:v>
                </c:pt>
                <c:pt idx="2225">
                  <c:v>0.7142857142857143</c:v>
                </c:pt>
                <c:pt idx="2226">
                  <c:v>0.7142857142857143</c:v>
                </c:pt>
                <c:pt idx="2227">
                  <c:v>0.7142857142857143</c:v>
                </c:pt>
                <c:pt idx="2228">
                  <c:v>0.7142857142857143</c:v>
                </c:pt>
                <c:pt idx="2229">
                  <c:v>0.7142857142857143</c:v>
                </c:pt>
                <c:pt idx="2230">
                  <c:v>0.7142857142857143</c:v>
                </c:pt>
                <c:pt idx="2231">
                  <c:v>0.7142857142857143</c:v>
                </c:pt>
                <c:pt idx="2232">
                  <c:v>0.7142857142857143</c:v>
                </c:pt>
                <c:pt idx="2233">
                  <c:v>0.71875</c:v>
                </c:pt>
                <c:pt idx="2234">
                  <c:v>0.71875</c:v>
                </c:pt>
                <c:pt idx="2235">
                  <c:v>0.71875</c:v>
                </c:pt>
                <c:pt idx="2236">
                  <c:v>0.71875</c:v>
                </c:pt>
                <c:pt idx="2237">
                  <c:v>0.72</c:v>
                </c:pt>
                <c:pt idx="2238">
                  <c:v>0.72</c:v>
                </c:pt>
                <c:pt idx="2239">
                  <c:v>0.72</c:v>
                </c:pt>
                <c:pt idx="2240">
                  <c:v>0.72</c:v>
                </c:pt>
                <c:pt idx="2241">
                  <c:v>0.72</c:v>
                </c:pt>
                <c:pt idx="2242">
                  <c:v>0.72</c:v>
                </c:pt>
                <c:pt idx="2243">
                  <c:v>0.72</c:v>
                </c:pt>
                <c:pt idx="2244">
                  <c:v>0.72</c:v>
                </c:pt>
                <c:pt idx="2245">
                  <c:v>0.72</c:v>
                </c:pt>
                <c:pt idx="2246">
                  <c:v>0.72</c:v>
                </c:pt>
                <c:pt idx="2247">
                  <c:v>0.72</c:v>
                </c:pt>
                <c:pt idx="2248">
                  <c:v>0.72222222222222221</c:v>
                </c:pt>
                <c:pt idx="2249">
                  <c:v>0.72222222222222221</c:v>
                </c:pt>
                <c:pt idx="2250">
                  <c:v>0.72222222222222221</c:v>
                </c:pt>
                <c:pt idx="2251">
                  <c:v>0.72222222222222221</c:v>
                </c:pt>
                <c:pt idx="2252">
                  <c:v>0.72222222222222221</c:v>
                </c:pt>
                <c:pt idx="2253">
                  <c:v>0.72222222222222221</c:v>
                </c:pt>
                <c:pt idx="2254">
                  <c:v>0.72222222222222221</c:v>
                </c:pt>
                <c:pt idx="2255">
                  <c:v>0.72222222222222221</c:v>
                </c:pt>
                <c:pt idx="2256">
                  <c:v>0.72222222222222221</c:v>
                </c:pt>
                <c:pt idx="2257">
                  <c:v>0.72222222222222221</c:v>
                </c:pt>
                <c:pt idx="2258">
                  <c:v>0.72222222222222221</c:v>
                </c:pt>
                <c:pt idx="2259">
                  <c:v>0.72222222222222221</c:v>
                </c:pt>
                <c:pt idx="2260">
                  <c:v>0.72413793103448276</c:v>
                </c:pt>
                <c:pt idx="2261">
                  <c:v>0.72413793103448276</c:v>
                </c:pt>
                <c:pt idx="2262">
                  <c:v>0.72413793103448276</c:v>
                </c:pt>
                <c:pt idx="2263">
                  <c:v>0.72413793103448276</c:v>
                </c:pt>
                <c:pt idx="2264">
                  <c:v>0.72413793103448276</c:v>
                </c:pt>
                <c:pt idx="2265">
                  <c:v>0.72413793103448276</c:v>
                </c:pt>
                <c:pt idx="2266">
                  <c:v>0.72413793103448276</c:v>
                </c:pt>
                <c:pt idx="2267">
                  <c:v>0.72413793103448276</c:v>
                </c:pt>
                <c:pt idx="2268">
                  <c:v>0.72413793103448276</c:v>
                </c:pt>
                <c:pt idx="2269">
                  <c:v>0.72727272727272729</c:v>
                </c:pt>
                <c:pt idx="2270">
                  <c:v>0.72727272727272729</c:v>
                </c:pt>
                <c:pt idx="2271">
                  <c:v>0.72727272727272729</c:v>
                </c:pt>
                <c:pt idx="2272">
                  <c:v>0.72727272727272729</c:v>
                </c:pt>
                <c:pt idx="2273">
                  <c:v>0.72727272727272729</c:v>
                </c:pt>
                <c:pt idx="2274">
                  <c:v>0.72727272727272729</c:v>
                </c:pt>
                <c:pt idx="2275">
                  <c:v>0.72727272727272729</c:v>
                </c:pt>
                <c:pt idx="2276">
                  <c:v>0.72727272727272729</c:v>
                </c:pt>
                <c:pt idx="2277">
                  <c:v>0.72727272727272729</c:v>
                </c:pt>
                <c:pt idx="2278">
                  <c:v>0.72727272727272729</c:v>
                </c:pt>
                <c:pt idx="2279">
                  <c:v>0.72727272727272729</c:v>
                </c:pt>
                <c:pt idx="2280">
                  <c:v>0.72727272727272729</c:v>
                </c:pt>
                <c:pt idx="2281">
                  <c:v>0.72727272727272729</c:v>
                </c:pt>
                <c:pt idx="2282">
                  <c:v>0.72727272727272729</c:v>
                </c:pt>
                <c:pt idx="2283">
                  <c:v>0.72727272727272729</c:v>
                </c:pt>
                <c:pt idx="2284">
                  <c:v>0.72727272727272729</c:v>
                </c:pt>
                <c:pt idx="2285">
                  <c:v>0.72727272727272729</c:v>
                </c:pt>
                <c:pt idx="2286">
                  <c:v>0.72727272727272729</c:v>
                </c:pt>
                <c:pt idx="2287">
                  <c:v>0.72727272727272729</c:v>
                </c:pt>
                <c:pt idx="2288">
                  <c:v>0.72727272727272729</c:v>
                </c:pt>
                <c:pt idx="2289">
                  <c:v>0.72727272727272729</c:v>
                </c:pt>
                <c:pt idx="2290">
                  <c:v>0.72727272727272729</c:v>
                </c:pt>
                <c:pt idx="2291">
                  <c:v>0.72727272727272729</c:v>
                </c:pt>
                <c:pt idx="2292">
                  <c:v>0.72727272727272729</c:v>
                </c:pt>
                <c:pt idx="2293">
                  <c:v>0.72727272727272729</c:v>
                </c:pt>
                <c:pt idx="2294">
                  <c:v>0.72727272727272729</c:v>
                </c:pt>
                <c:pt idx="2295">
                  <c:v>0.72727272727272729</c:v>
                </c:pt>
                <c:pt idx="2296">
                  <c:v>0.72727272727272729</c:v>
                </c:pt>
                <c:pt idx="2297">
                  <c:v>0.72727272727272729</c:v>
                </c:pt>
                <c:pt idx="2298">
                  <c:v>0.73076923076923073</c:v>
                </c:pt>
                <c:pt idx="2299">
                  <c:v>0.73076923076923073</c:v>
                </c:pt>
                <c:pt idx="2300">
                  <c:v>0.73076923076923073</c:v>
                </c:pt>
                <c:pt idx="2301">
                  <c:v>0.73076923076923073</c:v>
                </c:pt>
                <c:pt idx="2302">
                  <c:v>0.73076923076923073</c:v>
                </c:pt>
                <c:pt idx="2303">
                  <c:v>0.73076923076923073</c:v>
                </c:pt>
                <c:pt idx="2304">
                  <c:v>0.73076923076923073</c:v>
                </c:pt>
                <c:pt idx="2305">
                  <c:v>0.73076923076923073</c:v>
                </c:pt>
                <c:pt idx="2306">
                  <c:v>0.73076923076923073</c:v>
                </c:pt>
                <c:pt idx="2307">
                  <c:v>0.73076923076923073</c:v>
                </c:pt>
                <c:pt idx="2308">
                  <c:v>0.73076923076923073</c:v>
                </c:pt>
                <c:pt idx="2309">
                  <c:v>0.73076923076923073</c:v>
                </c:pt>
                <c:pt idx="2310">
                  <c:v>0.73076923076923073</c:v>
                </c:pt>
                <c:pt idx="2311">
                  <c:v>0.73076923076923073</c:v>
                </c:pt>
                <c:pt idx="2312">
                  <c:v>0.73333333333333328</c:v>
                </c:pt>
                <c:pt idx="2313">
                  <c:v>0.73333333333333328</c:v>
                </c:pt>
                <c:pt idx="2314">
                  <c:v>0.73333333333333328</c:v>
                </c:pt>
                <c:pt idx="2315">
                  <c:v>0.73333333333333328</c:v>
                </c:pt>
                <c:pt idx="2316">
                  <c:v>0.73333333333333328</c:v>
                </c:pt>
                <c:pt idx="2317">
                  <c:v>0.73333333333333328</c:v>
                </c:pt>
                <c:pt idx="2318">
                  <c:v>0.73333333333333328</c:v>
                </c:pt>
                <c:pt idx="2319">
                  <c:v>0.73333333333333328</c:v>
                </c:pt>
                <c:pt idx="2320">
                  <c:v>0.73333333333333328</c:v>
                </c:pt>
                <c:pt idx="2321">
                  <c:v>0.73333333333333328</c:v>
                </c:pt>
                <c:pt idx="2322">
                  <c:v>0.73684210526315785</c:v>
                </c:pt>
                <c:pt idx="2323">
                  <c:v>0.73684210526315785</c:v>
                </c:pt>
                <c:pt idx="2324">
                  <c:v>0.73684210526315785</c:v>
                </c:pt>
                <c:pt idx="2325">
                  <c:v>0.73684210526315785</c:v>
                </c:pt>
                <c:pt idx="2326">
                  <c:v>0.73684210526315785</c:v>
                </c:pt>
                <c:pt idx="2327">
                  <c:v>0.73684210526315785</c:v>
                </c:pt>
                <c:pt idx="2328">
                  <c:v>0.73684210526315785</c:v>
                </c:pt>
                <c:pt idx="2329">
                  <c:v>0.73684210526315785</c:v>
                </c:pt>
                <c:pt idx="2330">
                  <c:v>0.73684210526315785</c:v>
                </c:pt>
                <c:pt idx="2331">
                  <c:v>0.73684210526315785</c:v>
                </c:pt>
                <c:pt idx="2332">
                  <c:v>0.73684210526315785</c:v>
                </c:pt>
                <c:pt idx="2333">
                  <c:v>0.73684210526315785</c:v>
                </c:pt>
                <c:pt idx="2334">
                  <c:v>0.73684210526315785</c:v>
                </c:pt>
                <c:pt idx="2335">
                  <c:v>0.73684210526315785</c:v>
                </c:pt>
                <c:pt idx="2336">
                  <c:v>0.73913043478260865</c:v>
                </c:pt>
                <c:pt idx="2337">
                  <c:v>0.73913043478260865</c:v>
                </c:pt>
                <c:pt idx="2338">
                  <c:v>0.73913043478260865</c:v>
                </c:pt>
                <c:pt idx="2339">
                  <c:v>0.73913043478260865</c:v>
                </c:pt>
                <c:pt idx="2340">
                  <c:v>0.73913043478260865</c:v>
                </c:pt>
                <c:pt idx="2341">
                  <c:v>0.73913043478260865</c:v>
                </c:pt>
                <c:pt idx="2342">
                  <c:v>0.73913043478260865</c:v>
                </c:pt>
                <c:pt idx="2343">
                  <c:v>0.7407407407407407</c:v>
                </c:pt>
                <c:pt idx="2344">
                  <c:v>0.7407407407407407</c:v>
                </c:pt>
                <c:pt idx="2345">
                  <c:v>0.7407407407407407</c:v>
                </c:pt>
                <c:pt idx="2346">
                  <c:v>0.7407407407407407</c:v>
                </c:pt>
                <c:pt idx="2347">
                  <c:v>0.7407407407407407</c:v>
                </c:pt>
                <c:pt idx="2348">
                  <c:v>0.7407407407407407</c:v>
                </c:pt>
                <c:pt idx="2349">
                  <c:v>0.7407407407407407</c:v>
                </c:pt>
                <c:pt idx="2350">
                  <c:v>0.7407407407407407</c:v>
                </c:pt>
                <c:pt idx="2351">
                  <c:v>0.74193548387096775</c:v>
                </c:pt>
                <c:pt idx="2352">
                  <c:v>0.74193548387096775</c:v>
                </c:pt>
                <c:pt idx="2353">
                  <c:v>0.74193548387096775</c:v>
                </c:pt>
                <c:pt idx="2354">
                  <c:v>0.75</c:v>
                </c:pt>
                <c:pt idx="2355">
                  <c:v>0.75</c:v>
                </c:pt>
                <c:pt idx="2356">
                  <c:v>0.75</c:v>
                </c:pt>
                <c:pt idx="2357">
                  <c:v>0.75</c:v>
                </c:pt>
                <c:pt idx="2358">
                  <c:v>0.75</c:v>
                </c:pt>
                <c:pt idx="2359">
                  <c:v>0.75</c:v>
                </c:pt>
                <c:pt idx="2360">
                  <c:v>0.75</c:v>
                </c:pt>
                <c:pt idx="2361">
                  <c:v>0.75</c:v>
                </c:pt>
                <c:pt idx="2362">
                  <c:v>0.75</c:v>
                </c:pt>
                <c:pt idx="2363">
                  <c:v>0.75</c:v>
                </c:pt>
                <c:pt idx="2364">
                  <c:v>0.75</c:v>
                </c:pt>
                <c:pt idx="2365">
                  <c:v>0.75</c:v>
                </c:pt>
                <c:pt idx="2366">
                  <c:v>0.75</c:v>
                </c:pt>
                <c:pt idx="2367">
                  <c:v>0.75</c:v>
                </c:pt>
                <c:pt idx="2368">
                  <c:v>0.75</c:v>
                </c:pt>
                <c:pt idx="2369">
                  <c:v>0.75</c:v>
                </c:pt>
                <c:pt idx="2370">
                  <c:v>0.75</c:v>
                </c:pt>
                <c:pt idx="2371">
                  <c:v>0.75</c:v>
                </c:pt>
                <c:pt idx="2372">
                  <c:v>0.75</c:v>
                </c:pt>
                <c:pt idx="2373">
                  <c:v>0.75</c:v>
                </c:pt>
                <c:pt idx="2374">
                  <c:v>0.75</c:v>
                </c:pt>
                <c:pt idx="2375">
                  <c:v>0.75</c:v>
                </c:pt>
                <c:pt idx="2376">
                  <c:v>0.75</c:v>
                </c:pt>
                <c:pt idx="2377">
                  <c:v>0.75</c:v>
                </c:pt>
                <c:pt idx="2378">
                  <c:v>0.75</c:v>
                </c:pt>
                <c:pt idx="2379">
                  <c:v>0.75</c:v>
                </c:pt>
                <c:pt idx="2380">
                  <c:v>0.75</c:v>
                </c:pt>
                <c:pt idx="2381">
                  <c:v>0.75</c:v>
                </c:pt>
                <c:pt idx="2382">
                  <c:v>0.75</c:v>
                </c:pt>
                <c:pt idx="2383">
                  <c:v>0.75</c:v>
                </c:pt>
                <c:pt idx="2384">
                  <c:v>0.75</c:v>
                </c:pt>
                <c:pt idx="2385">
                  <c:v>0.75</c:v>
                </c:pt>
                <c:pt idx="2386">
                  <c:v>0.75</c:v>
                </c:pt>
                <c:pt idx="2387">
                  <c:v>0.75</c:v>
                </c:pt>
                <c:pt idx="2388">
                  <c:v>0.75</c:v>
                </c:pt>
                <c:pt idx="2389">
                  <c:v>0.75</c:v>
                </c:pt>
                <c:pt idx="2390">
                  <c:v>0.75</c:v>
                </c:pt>
                <c:pt idx="2391">
                  <c:v>0.75</c:v>
                </c:pt>
                <c:pt idx="2392">
                  <c:v>0.75</c:v>
                </c:pt>
                <c:pt idx="2393">
                  <c:v>0.75</c:v>
                </c:pt>
                <c:pt idx="2394">
                  <c:v>0.75</c:v>
                </c:pt>
                <c:pt idx="2395">
                  <c:v>0.75</c:v>
                </c:pt>
                <c:pt idx="2396">
                  <c:v>0.75</c:v>
                </c:pt>
                <c:pt idx="2397">
                  <c:v>0.75</c:v>
                </c:pt>
                <c:pt idx="2398">
                  <c:v>0.75</c:v>
                </c:pt>
                <c:pt idx="2399">
                  <c:v>0.75</c:v>
                </c:pt>
                <c:pt idx="2400">
                  <c:v>0.75</c:v>
                </c:pt>
                <c:pt idx="2401">
                  <c:v>0.75</c:v>
                </c:pt>
                <c:pt idx="2402">
                  <c:v>0.75</c:v>
                </c:pt>
                <c:pt idx="2403">
                  <c:v>0.75</c:v>
                </c:pt>
                <c:pt idx="2404">
                  <c:v>0.75</c:v>
                </c:pt>
                <c:pt idx="2405">
                  <c:v>0.75</c:v>
                </c:pt>
                <c:pt idx="2406">
                  <c:v>0.75</c:v>
                </c:pt>
                <c:pt idx="2407">
                  <c:v>0.75</c:v>
                </c:pt>
                <c:pt idx="2408">
                  <c:v>0.75</c:v>
                </c:pt>
                <c:pt idx="2409">
                  <c:v>0.75</c:v>
                </c:pt>
                <c:pt idx="2410">
                  <c:v>0.75</c:v>
                </c:pt>
                <c:pt idx="2411">
                  <c:v>0.75862068965517238</c:v>
                </c:pt>
                <c:pt idx="2412">
                  <c:v>0.75862068965517238</c:v>
                </c:pt>
                <c:pt idx="2413">
                  <c:v>0.76</c:v>
                </c:pt>
                <c:pt idx="2414">
                  <c:v>0.76</c:v>
                </c:pt>
                <c:pt idx="2415">
                  <c:v>0.76</c:v>
                </c:pt>
                <c:pt idx="2416">
                  <c:v>0.76</c:v>
                </c:pt>
                <c:pt idx="2417">
                  <c:v>0.76</c:v>
                </c:pt>
                <c:pt idx="2418">
                  <c:v>0.76</c:v>
                </c:pt>
                <c:pt idx="2419">
                  <c:v>0.76</c:v>
                </c:pt>
                <c:pt idx="2420">
                  <c:v>0.76</c:v>
                </c:pt>
                <c:pt idx="2421">
                  <c:v>0.76</c:v>
                </c:pt>
                <c:pt idx="2422">
                  <c:v>0.76</c:v>
                </c:pt>
                <c:pt idx="2423">
                  <c:v>0.76</c:v>
                </c:pt>
                <c:pt idx="2424">
                  <c:v>0.76</c:v>
                </c:pt>
                <c:pt idx="2425">
                  <c:v>0.76190476190476186</c:v>
                </c:pt>
                <c:pt idx="2426">
                  <c:v>0.76190476190476186</c:v>
                </c:pt>
                <c:pt idx="2427">
                  <c:v>0.76190476190476186</c:v>
                </c:pt>
                <c:pt idx="2428">
                  <c:v>0.76190476190476186</c:v>
                </c:pt>
                <c:pt idx="2429">
                  <c:v>0.76190476190476186</c:v>
                </c:pt>
                <c:pt idx="2430">
                  <c:v>0.76190476190476186</c:v>
                </c:pt>
                <c:pt idx="2431">
                  <c:v>0.76190476190476186</c:v>
                </c:pt>
                <c:pt idx="2432">
                  <c:v>0.76190476190476186</c:v>
                </c:pt>
                <c:pt idx="2433">
                  <c:v>0.76190476190476186</c:v>
                </c:pt>
                <c:pt idx="2434">
                  <c:v>0.76190476190476186</c:v>
                </c:pt>
                <c:pt idx="2435">
                  <c:v>0.76190476190476186</c:v>
                </c:pt>
                <c:pt idx="2436">
                  <c:v>0.76190476190476186</c:v>
                </c:pt>
                <c:pt idx="2437">
                  <c:v>0.76190476190476186</c:v>
                </c:pt>
                <c:pt idx="2438">
                  <c:v>0.76190476190476186</c:v>
                </c:pt>
                <c:pt idx="2439">
                  <c:v>0.76190476190476186</c:v>
                </c:pt>
                <c:pt idx="2440">
                  <c:v>0.76190476190476186</c:v>
                </c:pt>
                <c:pt idx="2441">
                  <c:v>0.76190476190476186</c:v>
                </c:pt>
                <c:pt idx="2442">
                  <c:v>0.76190476190476186</c:v>
                </c:pt>
                <c:pt idx="2443">
                  <c:v>0.76190476190476186</c:v>
                </c:pt>
                <c:pt idx="2444">
                  <c:v>0.76190476190476186</c:v>
                </c:pt>
                <c:pt idx="2445">
                  <c:v>0.76470588235294112</c:v>
                </c:pt>
                <c:pt idx="2446">
                  <c:v>0.76470588235294112</c:v>
                </c:pt>
                <c:pt idx="2447">
                  <c:v>0.76470588235294112</c:v>
                </c:pt>
                <c:pt idx="2448">
                  <c:v>0.76470588235294112</c:v>
                </c:pt>
                <c:pt idx="2449">
                  <c:v>0.76470588235294112</c:v>
                </c:pt>
                <c:pt idx="2450">
                  <c:v>0.76470588235294112</c:v>
                </c:pt>
                <c:pt idx="2451">
                  <c:v>0.76470588235294112</c:v>
                </c:pt>
                <c:pt idx="2452">
                  <c:v>0.76470588235294112</c:v>
                </c:pt>
                <c:pt idx="2453">
                  <c:v>0.76470588235294112</c:v>
                </c:pt>
                <c:pt idx="2454">
                  <c:v>0.76470588235294112</c:v>
                </c:pt>
                <c:pt idx="2455">
                  <c:v>0.76923076923076927</c:v>
                </c:pt>
                <c:pt idx="2456">
                  <c:v>0.76923076923076927</c:v>
                </c:pt>
                <c:pt idx="2457">
                  <c:v>0.76923076923076927</c:v>
                </c:pt>
                <c:pt idx="2458">
                  <c:v>0.76923076923076927</c:v>
                </c:pt>
                <c:pt idx="2459">
                  <c:v>0.76923076923076927</c:v>
                </c:pt>
                <c:pt idx="2460">
                  <c:v>0.76923076923076927</c:v>
                </c:pt>
                <c:pt idx="2461">
                  <c:v>0.76923076923076927</c:v>
                </c:pt>
                <c:pt idx="2462">
                  <c:v>0.76923076923076927</c:v>
                </c:pt>
                <c:pt idx="2463">
                  <c:v>0.76923076923076927</c:v>
                </c:pt>
                <c:pt idx="2464">
                  <c:v>0.76923076923076927</c:v>
                </c:pt>
                <c:pt idx="2465">
                  <c:v>0.76923076923076927</c:v>
                </c:pt>
                <c:pt idx="2466">
                  <c:v>0.76923076923076927</c:v>
                </c:pt>
                <c:pt idx="2467">
                  <c:v>0.76923076923076927</c:v>
                </c:pt>
                <c:pt idx="2468">
                  <c:v>0.76923076923076927</c:v>
                </c:pt>
                <c:pt idx="2469">
                  <c:v>0.76923076923076927</c:v>
                </c:pt>
                <c:pt idx="2470">
                  <c:v>0.76923076923076927</c:v>
                </c:pt>
                <c:pt idx="2471">
                  <c:v>0.76923076923076927</c:v>
                </c:pt>
                <c:pt idx="2472">
                  <c:v>0.76923076923076927</c:v>
                </c:pt>
                <c:pt idx="2473">
                  <c:v>0.77272727272727271</c:v>
                </c:pt>
                <c:pt idx="2474">
                  <c:v>0.77272727272727271</c:v>
                </c:pt>
                <c:pt idx="2475">
                  <c:v>0.77272727272727271</c:v>
                </c:pt>
                <c:pt idx="2476">
                  <c:v>0.77272727272727271</c:v>
                </c:pt>
                <c:pt idx="2477">
                  <c:v>0.77272727272727271</c:v>
                </c:pt>
                <c:pt idx="2478">
                  <c:v>0.77272727272727271</c:v>
                </c:pt>
                <c:pt idx="2479">
                  <c:v>0.77272727272727271</c:v>
                </c:pt>
                <c:pt idx="2480">
                  <c:v>0.77272727272727271</c:v>
                </c:pt>
                <c:pt idx="2481">
                  <c:v>0.77272727272727271</c:v>
                </c:pt>
                <c:pt idx="2482">
                  <c:v>0.77272727272727271</c:v>
                </c:pt>
                <c:pt idx="2483">
                  <c:v>0.77272727272727271</c:v>
                </c:pt>
                <c:pt idx="2484">
                  <c:v>0.77272727272727271</c:v>
                </c:pt>
                <c:pt idx="2485">
                  <c:v>0.77272727272727271</c:v>
                </c:pt>
                <c:pt idx="2486">
                  <c:v>0.77272727272727271</c:v>
                </c:pt>
                <c:pt idx="2487">
                  <c:v>0.77272727272727271</c:v>
                </c:pt>
                <c:pt idx="2488">
                  <c:v>0.77272727272727271</c:v>
                </c:pt>
                <c:pt idx="2489">
                  <c:v>0.77272727272727271</c:v>
                </c:pt>
                <c:pt idx="2490">
                  <c:v>0.77272727272727271</c:v>
                </c:pt>
                <c:pt idx="2491">
                  <c:v>0.77272727272727271</c:v>
                </c:pt>
                <c:pt idx="2492">
                  <c:v>0.77272727272727271</c:v>
                </c:pt>
                <c:pt idx="2493">
                  <c:v>0.77777777777777779</c:v>
                </c:pt>
                <c:pt idx="2494">
                  <c:v>0.77777777777777779</c:v>
                </c:pt>
                <c:pt idx="2495">
                  <c:v>0.77777777777777779</c:v>
                </c:pt>
                <c:pt idx="2496">
                  <c:v>0.77777777777777779</c:v>
                </c:pt>
                <c:pt idx="2497">
                  <c:v>0.77777777777777779</c:v>
                </c:pt>
                <c:pt idx="2498">
                  <c:v>0.77777777777777779</c:v>
                </c:pt>
                <c:pt idx="2499">
                  <c:v>0.77777777777777779</c:v>
                </c:pt>
                <c:pt idx="2500">
                  <c:v>0.77777777777777779</c:v>
                </c:pt>
                <c:pt idx="2501">
                  <c:v>0.77777777777777779</c:v>
                </c:pt>
                <c:pt idx="2502">
                  <c:v>0.77777777777777779</c:v>
                </c:pt>
                <c:pt idx="2503">
                  <c:v>0.77777777777777779</c:v>
                </c:pt>
                <c:pt idx="2504">
                  <c:v>0.77777777777777779</c:v>
                </c:pt>
                <c:pt idx="2505">
                  <c:v>0.77777777777777779</c:v>
                </c:pt>
                <c:pt idx="2506">
                  <c:v>0.77777777777777779</c:v>
                </c:pt>
                <c:pt idx="2507">
                  <c:v>0.77777777777777779</c:v>
                </c:pt>
                <c:pt idx="2508">
                  <c:v>0.77777777777777779</c:v>
                </c:pt>
                <c:pt idx="2509">
                  <c:v>0.77777777777777779</c:v>
                </c:pt>
                <c:pt idx="2510">
                  <c:v>0.77777777777777779</c:v>
                </c:pt>
                <c:pt idx="2511">
                  <c:v>0.77777777777777779</c:v>
                </c:pt>
                <c:pt idx="2512">
                  <c:v>0.77777777777777779</c:v>
                </c:pt>
                <c:pt idx="2513">
                  <c:v>0.77777777777777779</c:v>
                </c:pt>
                <c:pt idx="2514">
                  <c:v>0.77777777777777779</c:v>
                </c:pt>
                <c:pt idx="2515">
                  <c:v>0.77777777777777779</c:v>
                </c:pt>
                <c:pt idx="2516">
                  <c:v>0.77777777777777779</c:v>
                </c:pt>
                <c:pt idx="2517">
                  <c:v>0.77777777777777779</c:v>
                </c:pt>
                <c:pt idx="2518">
                  <c:v>0.77777777777777779</c:v>
                </c:pt>
                <c:pt idx="2519">
                  <c:v>0.77777777777777779</c:v>
                </c:pt>
                <c:pt idx="2520">
                  <c:v>0.77777777777777779</c:v>
                </c:pt>
                <c:pt idx="2521">
                  <c:v>0.77777777777777779</c:v>
                </c:pt>
                <c:pt idx="2522">
                  <c:v>0.77777777777777779</c:v>
                </c:pt>
                <c:pt idx="2523">
                  <c:v>0.78260869565217395</c:v>
                </c:pt>
                <c:pt idx="2524">
                  <c:v>0.78260869565217395</c:v>
                </c:pt>
                <c:pt idx="2525">
                  <c:v>0.78260869565217395</c:v>
                </c:pt>
                <c:pt idx="2526">
                  <c:v>0.78260869565217395</c:v>
                </c:pt>
                <c:pt idx="2527">
                  <c:v>0.78260869565217395</c:v>
                </c:pt>
                <c:pt idx="2528">
                  <c:v>0.78260869565217395</c:v>
                </c:pt>
                <c:pt idx="2529">
                  <c:v>0.78260869565217395</c:v>
                </c:pt>
                <c:pt idx="2530">
                  <c:v>0.78260869565217395</c:v>
                </c:pt>
                <c:pt idx="2531">
                  <c:v>0.78260869565217395</c:v>
                </c:pt>
                <c:pt idx="2532">
                  <c:v>0.78260869565217395</c:v>
                </c:pt>
                <c:pt idx="2533">
                  <c:v>0.78260869565217395</c:v>
                </c:pt>
                <c:pt idx="2534">
                  <c:v>0.78260869565217395</c:v>
                </c:pt>
                <c:pt idx="2535">
                  <c:v>0.78260869565217395</c:v>
                </c:pt>
                <c:pt idx="2536">
                  <c:v>0.78260869565217395</c:v>
                </c:pt>
                <c:pt idx="2537">
                  <c:v>0.78260869565217395</c:v>
                </c:pt>
                <c:pt idx="2538">
                  <c:v>0.7857142857142857</c:v>
                </c:pt>
                <c:pt idx="2539">
                  <c:v>0.7857142857142857</c:v>
                </c:pt>
                <c:pt idx="2540">
                  <c:v>0.7857142857142857</c:v>
                </c:pt>
                <c:pt idx="2541">
                  <c:v>0.7857142857142857</c:v>
                </c:pt>
                <c:pt idx="2542">
                  <c:v>0.7857142857142857</c:v>
                </c:pt>
                <c:pt idx="2543">
                  <c:v>0.78947368421052633</c:v>
                </c:pt>
                <c:pt idx="2544">
                  <c:v>0.78947368421052633</c:v>
                </c:pt>
                <c:pt idx="2545">
                  <c:v>0.78947368421052633</c:v>
                </c:pt>
                <c:pt idx="2546">
                  <c:v>0.78947368421052633</c:v>
                </c:pt>
                <c:pt idx="2547">
                  <c:v>0.78947368421052633</c:v>
                </c:pt>
                <c:pt idx="2548">
                  <c:v>0.78947368421052633</c:v>
                </c:pt>
                <c:pt idx="2549">
                  <c:v>0.78947368421052633</c:v>
                </c:pt>
                <c:pt idx="2550">
                  <c:v>0.78947368421052633</c:v>
                </c:pt>
                <c:pt idx="2551">
                  <c:v>0.78947368421052633</c:v>
                </c:pt>
                <c:pt idx="2552">
                  <c:v>0.78947368421052633</c:v>
                </c:pt>
                <c:pt idx="2553">
                  <c:v>0.78947368421052633</c:v>
                </c:pt>
                <c:pt idx="2554">
                  <c:v>0.78947368421052633</c:v>
                </c:pt>
                <c:pt idx="2555">
                  <c:v>0.78947368421052633</c:v>
                </c:pt>
                <c:pt idx="2556">
                  <c:v>0.78947368421052633</c:v>
                </c:pt>
                <c:pt idx="2557">
                  <c:v>0.78947368421052633</c:v>
                </c:pt>
                <c:pt idx="2558">
                  <c:v>0.78947368421052633</c:v>
                </c:pt>
                <c:pt idx="2559">
                  <c:v>0.78947368421052633</c:v>
                </c:pt>
                <c:pt idx="2560">
                  <c:v>0.78947368421052633</c:v>
                </c:pt>
                <c:pt idx="2561">
                  <c:v>0.78947368421052633</c:v>
                </c:pt>
                <c:pt idx="2562">
                  <c:v>0.78947368421052633</c:v>
                </c:pt>
                <c:pt idx="2563">
                  <c:v>0.78947368421052633</c:v>
                </c:pt>
                <c:pt idx="2564">
                  <c:v>0.79166666666666663</c:v>
                </c:pt>
                <c:pt idx="2565">
                  <c:v>0.79166666666666663</c:v>
                </c:pt>
                <c:pt idx="2566">
                  <c:v>0.79166666666666663</c:v>
                </c:pt>
                <c:pt idx="2567">
                  <c:v>0.79166666666666663</c:v>
                </c:pt>
                <c:pt idx="2568">
                  <c:v>0.79166666666666663</c:v>
                </c:pt>
                <c:pt idx="2569">
                  <c:v>0.79166666666666663</c:v>
                </c:pt>
                <c:pt idx="2570">
                  <c:v>0.79166666666666663</c:v>
                </c:pt>
                <c:pt idx="2571">
                  <c:v>0.79166666666666663</c:v>
                </c:pt>
                <c:pt idx="2572">
                  <c:v>0.79166666666666663</c:v>
                </c:pt>
                <c:pt idx="2573">
                  <c:v>0.79166666666666663</c:v>
                </c:pt>
                <c:pt idx="2574">
                  <c:v>0.8</c:v>
                </c:pt>
                <c:pt idx="2575">
                  <c:v>0.8</c:v>
                </c:pt>
                <c:pt idx="2576">
                  <c:v>0.8</c:v>
                </c:pt>
                <c:pt idx="2577">
                  <c:v>0.8</c:v>
                </c:pt>
                <c:pt idx="2578">
                  <c:v>0.8</c:v>
                </c:pt>
                <c:pt idx="2579">
                  <c:v>0.8</c:v>
                </c:pt>
                <c:pt idx="2580">
                  <c:v>0.8</c:v>
                </c:pt>
                <c:pt idx="2581">
                  <c:v>0.8</c:v>
                </c:pt>
                <c:pt idx="2582">
                  <c:v>0.8</c:v>
                </c:pt>
                <c:pt idx="2583">
                  <c:v>0.8</c:v>
                </c:pt>
                <c:pt idx="2584">
                  <c:v>0.8</c:v>
                </c:pt>
                <c:pt idx="2585">
                  <c:v>0.8</c:v>
                </c:pt>
                <c:pt idx="2586">
                  <c:v>0.8</c:v>
                </c:pt>
                <c:pt idx="2587">
                  <c:v>0.8</c:v>
                </c:pt>
                <c:pt idx="2588">
                  <c:v>0.8</c:v>
                </c:pt>
                <c:pt idx="2589">
                  <c:v>0.8</c:v>
                </c:pt>
                <c:pt idx="2590">
                  <c:v>0.8</c:v>
                </c:pt>
                <c:pt idx="2591">
                  <c:v>0.8</c:v>
                </c:pt>
                <c:pt idx="2592">
                  <c:v>0.8</c:v>
                </c:pt>
                <c:pt idx="2593">
                  <c:v>0.8</c:v>
                </c:pt>
                <c:pt idx="2594">
                  <c:v>0.8</c:v>
                </c:pt>
                <c:pt idx="2595">
                  <c:v>0.8</c:v>
                </c:pt>
                <c:pt idx="2596">
                  <c:v>0.8</c:v>
                </c:pt>
                <c:pt idx="2597">
                  <c:v>0.8</c:v>
                </c:pt>
                <c:pt idx="2598">
                  <c:v>0.8</c:v>
                </c:pt>
                <c:pt idx="2599">
                  <c:v>0.8</c:v>
                </c:pt>
                <c:pt idx="2600">
                  <c:v>0.8</c:v>
                </c:pt>
                <c:pt idx="2601">
                  <c:v>0.8</c:v>
                </c:pt>
                <c:pt idx="2602">
                  <c:v>0.8</c:v>
                </c:pt>
                <c:pt idx="2603">
                  <c:v>0.8</c:v>
                </c:pt>
                <c:pt idx="2604">
                  <c:v>0.8</c:v>
                </c:pt>
                <c:pt idx="2605">
                  <c:v>0.8</c:v>
                </c:pt>
                <c:pt idx="2606">
                  <c:v>0.8</c:v>
                </c:pt>
                <c:pt idx="2607">
                  <c:v>0.8</c:v>
                </c:pt>
                <c:pt idx="2608">
                  <c:v>0.80769230769230771</c:v>
                </c:pt>
                <c:pt idx="2609">
                  <c:v>0.80952380952380953</c:v>
                </c:pt>
                <c:pt idx="2610">
                  <c:v>0.80952380952380953</c:v>
                </c:pt>
                <c:pt idx="2611">
                  <c:v>0.80952380952380953</c:v>
                </c:pt>
                <c:pt idx="2612">
                  <c:v>0.80952380952380953</c:v>
                </c:pt>
                <c:pt idx="2613">
                  <c:v>0.80952380952380953</c:v>
                </c:pt>
                <c:pt idx="2614">
                  <c:v>0.80952380952380953</c:v>
                </c:pt>
                <c:pt idx="2615">
                  <c:v>0.80952380952380953</c:v>
                </c:pt>
                <c:pt idx="2616">
                  <c:v>0.80952380952380953</c:v>
                </c:pt>
                <c:pt idx="2617">
                  <c:v>0.80952380952380953</c:v>
                </c:pt>
                <c:pt idx="2618">
                  <c:v>0.80952380952380953</c:v>
                </c:pt>
                <c:pt idx="2619">
                  <c:v>0.8125</c:v>
                </c:pt>
                <c:pt idx="2620">
                  <c:v>0.8125</c:v>
                </c:pt>
                <c:pt idx="2621">
                  <c:v>0.8125</c:v>
                </c:pt>
                <c:pt idx="2622">
                  <c:v>0.8125</c:v>
                </c:pt>
                <c:pt idx="2623">
                  <c:v>0.8125</c:v>
                </c:pt>
                <c:pt idx="2624">
                  <c:v>0.8125</c:v>
                </c:pt>
                <c:pt idx="2625">
                  <c:v>0.8125</c:v>
                </c:pt>
                <c:pt idx="2626">
                  <c:v>0.8125</c:v>
                </c:pt>
                <c:pt idx="2627">
                  <c:v>0.8125</c:v>
                </c:pt>
                <c:pt idx="2628">
                  <c:v>0.8125</c:v>
                </c:pt>
                <c:pt idx="2629">
                  <c:v>0.8125</c:v>
                </c:pt>
                <c:pt idx="2630">
                  <c:v>0.8125</c:v>
                </c:pt>
                <c:pt idx="2631">
                  <c:v>0.81818181818181823</c:v>
                </c:pt>
                <c:pt idx="2632">
                  <c:v>0.81818181818181823</c:v>
                </c:pt>
                <c:pt idx="2633">
                  <c:v>0.81818181818181823</c:v>
                </c:pt>
                <c:pt idx="2634">
                  <c:v>0.81818181818181823</c:v>
                </c:pt>
                <c:pt idx="2635">
                  <c:v>0.81818181818181823</c:v>
                </c:pt>
                <c:pt idx="2636">
                  <c:v>0.81818181818181823</c:v>
                </c:pt>
                <c:pt idx="2637">
                  <c:v>0.81818181818181823</c:v>
                </c:pt>
                <c:pt idx="2638">
                  <c:v>0.82352941176470584</c:v>
                </c:pt>
                <c:pt idx="2639">
                  <c:v>0.82352941176470584</c:v>
                </c:pt>
                <c:pt idx="2640">
                  <c:v>0.82352941176470584</c:v>
                </c:pt>
                <c:pt idx="2641">
                  <c:v>0.82352941176470584</c:v>
                </c:pt>
                <c:pt idx="2642">
                  <c:v>0.82352941176470584</c:v>
                </c:pt>
                <c:pt idx="2643">
                  <c:v>0.82352941176470584</c:v>
                </c:pt>
                <c:pt idx="2644">
                  <c:v>0.82352941176470584</c:v>
                </c:pt>
                <c:pt idx="2645">
                  <c:v>0.82352941176470584</c:v>
                </c:pt>
                <c:pt idx="2646">
                  <c:v>0.82352941176470584</c:v>
                </c:pt>
                <c:pt idx="2647">
                  <c:v>0.82352941176470584</c:v>
                </c:pt>
                <c:pt idx="2648">
                  <c:v>0.82608695652173914</c:v>
                </c:pt>
                <c:pt idx="2649">
                  <c:v>0.82608695652173914</c:v>
                </c:pt>
                <c:pt idx="2650">
                  <c:v>0.82608695652173914</c:v>
                </c:pt>
                <c:pt idx="2651">
                  <c:v>0.82608695652173914</c:v>
                </c:pt>
                <c:pt idx="2652">
                  <c:v>0.82608695652173914</c:v>
                </c:pt>
                <c:pt idx="2653">
                  <c:v>0.82608695652173914</c:v>
                </c:pt>
                <c:pt idx="2654">
                  <c:v>0.82608695652173914</c:v>
                </c:pt>
                <c:pt idx="2655">
                  <c:v>0.82608695652173914</c:v>
                </c:pt>
                <c:pt idx="2656">
                  <c:v>0.82608695652173914</c:v>
                </c:pt>
                <c:pt idx="2657">
                  <c:v>0.82608695652173914</c:v>
                </c:pt>
                <c:pt idx="2658">
                  <c:v>0.83333333333333337</c:v>
                </c:pt>
                <c:pt idx="2659">
                  <c:v>0.83333333333333337</c:v>
                </c:pt>
                <c:pt idx="2660">
                  <c:v>0.83333333333333337</c:v>
                </c:pt>
                <c:pt idx="2661">
                  <c:v>0.83333333333333337</c:v>
                </c:pt>
                <c:pt idx="2662">
                  <c:v>0.83333333333333337</c:v>
                </c:pt>
                <c:pt idx="2663">
                  <c:v>0.83333333333333337</c:v>
                </c:pt>
                <c:pt idx="2664">
                  <c:v>0.83333333333333337</c:v>
                </c:pt>
                <c:pt idx="2665">
                  <c:v>0.83333333333333337</c:v>
                </c:pt>
                <c:pt idx="2666">
                  <c:v>0.83333333333333337</c:v>
                </c:pt>
                <c:pt idx="2667">
                  <c:v>0.83333333333333337</c:v>
                </c:pt>
                <c:pt idx="2668">
                  <c:v>0.83333333333333337</c:v>
                </c:pt>
                <c:pt idx="2669">
                  <c:v>0.83333333333333337</c:v>
                </c:pt>
                <c:pt idx="2670">
                  <c:v>0.83333333333333337</c:v>
                </c:pt>
                <c:pt idx="2671">
                  <c:v>0.83333333333333337</c:v>
                </c:pt>
                <c:pt idx="2672">
                  <c:v>0.83333333333333337</c:v>
                </c:pt>
                <c:pt idx="2673">
                  <c:v>0.83333333333333337</c:v>
                </c:pt>
                <c:pt idx="2674">
                  <c:v>0.84210526315789469</c:v>
                </c:pt>
                <c:pt idx="2675">
                  <c:v>0.84210526315789469</c:v>
                </c:pt>
                <c:pt idx="2676">
                  <c:v>0.84210526315789469</c:v>
                </c:pt>
                <c:pt idx="2677">
                  <c:v>0.84210526315789469</c:v>
                </c:pt>
                <c:pt idx="2678">
                  <c:v>0.84210526315789469</c:v>
                </c:pt>
                <c:pt idx="2679">
                  <c:v>0.84210526315789469</c:v>
                </c:pt>
                <c:pt idx="2680">
                  <c:v>0.84210526315789469</c:v>
                </c:pt>
                <c:pt idx="2681">
                  <c:v>0.84615384615384615</c:v>
                </c:pt>
                <c:pt idx="2682">
                  <c:v>0.84615384615384615</c:v>
                </c:pt>
                <c:pt idx="2683">
                  <c:v>0.84615384615384615</c:v>
                </c:pt>
                <c:pt idx="2684">
                  <c:v>0.85</c:v>
                </c:pt>
                <c:pt idx="2685">
                  <c:v>0.85</c:v>
                </c:pt>
                <c:pt idx="2686">
                  <c:v>0.85</c:v>
                </c:pt>
                <c:pt idx="2687">
                  <c:v>0.85</c:v>
                </c:pt>
                <c:pt idx="2688">
                  <c:v>0.85</c:v>
                </c:pt>
                <c:pt idx="2689">
                  <c:v>0.85</c:v>
                </c:pt>
                <c:pt idx="2690">
                  <c:v>0.85</c:v>
                </c:pt>
                <c:pt idx="2691">
                  <c:v>0.85</c:v>
                </c:pt>
                <c:pt idx="2692">
                  <c:v>0.8571428571428571</c:v>
                </c:pt>
                <c:pt idx="2693">
                  <c:v>0.8571428571428571</c:v>
                </c:pt>
                <c:pt idx="2694">
                  <c:v>0.8571428571428571</c:v>
                </c:pt>
                <c:pt idx="2695">
                  <c:v>0.8571428571428571</c:v>
                </c:pt>
                <c:pt idx="2696">
                  <c:v>0.8571428571428571</c:v>
                </c:pt>
                <c:pt idx="2697">
                  <c:v>0.8571428571428571</c:v>
                </c:pt>
                <c:pt idx="2698">
                  <c:v>0.8571428571428571</c:v>
                </c:pt>
                <c:pt idx="2699">
                  <c:v>0.8571428571428571</c:v>
                </c:pt>
                <c:pt idx="2700">
                  <c:v>0.8571428571428571</c:v>
                </c:pt>
                <c:pt idx="2701">
                  <c:v>0.8666666666666667</c:v>
                </c:pt>
                <c:pt idx="2702">
                  <c:v>0.8666666666666667</c:v>
                </c:pt>
                <c:pt idx="2703">
                  <c:v>0.8666666666666667</c:v>
                </c:pt>
                <c:pt idx="2704">
                  <c:v>0.8666666666666667</c:v>
                </c:pt>
                <c:pt idx="2705">
                  <c:v>0.8666666666666667</c:v>
                </c:pt>
                <c:pt idx="2706">
                  <c:v>0.8666666666666667</c:v>
                </c:pt>
                <c:pt idx="2707">
                  <c:v>0.8666666666666667</c:v>
                </c:pt>
                <c:pt idx="2708">
                  <c:v>0.8666666666666667</c:v>
                </c:pt>
                <c:pt idx="2709">
                  <c:v>0.8666666666666667</c:v>
                </c:pt>
                <c:pt idx="2710">
                  <c:v>0.875</c:v>
                </c:pt>
                <c:pt idx="2711">
                  <c:v>0.875</c:v>
                </c:pt>
                <c:pt idx="2712">
                  <c:v>0.875</c:v>
                </c:pt>
                <c:pt idx="2713">
                  <c:v>0.875</c:v>
                </c:pt>
                <c:pt idx="2714">
                  <c:v>0.875</c:v>
                </c:pt>
                <c:pt idx="2715">
                  <c:v>0.875</c:v>
                </c:pt>
                <c:pt idx="2716">
                  <c:v>0.875</c:v>
                </c:pt>
                <c:pt idx="2717">
                  <c:v>0.88235294117647056</c:v>
                </c:pt>
                <c:pt idx="2718">
                  <c:v>0.88235294117647056</c:v>
                </c:pt>
                <c:pt idx="2719">
                  <c:v>0.88235294117647056</c:v>
                </c:pt>
                <c:pt idx="2720">
                  <c:v>0.88235294117647056</c:v>
                </c:pt>
                <c:pt idx="2721">
                  <c:v>0.88235294117647056</c:v>
                </c:pt>
                <c:pt idx="2722">
                  <c:v>0.88235294117647056</c:v>
                </c:pt>
                <c:pt idx="2723">
                  <c:v>0.9</c:v>
                </c:pt>
                <c:pt idx="2724">
                  <c:v>0.90909090909090906</c:v>
                </c:pt>
                <c:pt idx="2725">
                  <c:v>0.91666666666666663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EF-451A-90FE-CE83017B7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926591"/>
        <c:axId val="1216928671"/>
      </c:scatterChart>
      <c:valAx>
        <c:axId val="1216926591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de demandes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6928671"/>
        <c:crossesAt val="0"/>
        <c:crossBetween val="midCat"/>
        <c:majorUnit val="10"/>
        <c:minorUnit val="5"/>
      </c:valAx>
      <c:valAx>
        <c:axId val="1216928671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de bonnes réponses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6926591"/>
        <c:crosses val="autoZero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Evolution du nombre de mots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version_words!$B$16</c:f>
              <c:strCache>
                <c:ptCount val="1"/>
                <c:pt idx="0">
                  <c:v>Nombre de mots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>
                  <a:alpha val="70000"/>
                </a:schemeClr>
              </a:solidFill>
              <a:ln w="3175">
                <a:solidFill>
                  <a:sysClr val="windowText" lastClr="000000"/>
                </a:solidFill>
              </a:ln>
              <a:effectLst/>
            </c:spPr>
          </c:marker>
          <c:xVal>
            <c:numRef>
              <c:f>version_words!$A$17:$A$42</c:f>
              <c:numCache>
                <c:formatCode>m/d/yyyy</c:formatCode>
                <c:ptCount val="26"/>
                <c:pt idx="0">
                  <c:v>44917</c:v>
                </c:pt>
                <c:pt idx="1">
                  <c:v>44918</c:v>
                </c:pt>
                <c:pt idx="2">
                  <c:v>44920</c:v>
                </c:pt>
                <c:pt idx="3">
                  <c:v>44921</c:v>
                </c:pt>
                <c:pt idx="4">
                  <c:v>44923</c:v>
                </c:pt>
                <c:pt idx="5">
                  <c:v>44924</c:v>
                </c:pt>
                <c:pt idx="6">
                  <c:v>44925</c:v>
                </c:pt>
                <c:pt idx="7">
                  <c:v>44927</c:v>
                </c:pt>
                <c:pt idx="8">
                  <c:v>44928</c:v>
                </c:pt>
                <c:pt idx="9">
                  <c:v>44929</c:v>
                </c:pt>
                <c:pt idx="10">
                  <c:v>44932</c:v>
                </c:pt>
                <c:pt idx="11">
                  <c:v>44933</c:v>
                </c:pt>
                <c:pt idx="12">
                  <c:v>44936</c:v>
                </c:pt>
                <c:pt idx="13">
                  <c:v>44941</c:v>
                </c:pt>
                <c:pt idx="14">
                  <c:v>44942</c:v>
                </c:pt>
                <c:pt idx="15">
                  <c:v>44943</c:v>
                </c:pt>
                <c:pt idx="16">
                  <c:v>44944</c:v>
                </c:pt>
                <c:pt idx="17">
                  <c:v>44948</c:v>
                </c:pt>
                <c:pt idx="18">
                  <c:v>44952</c:v>
                </c:pt>
                <c:pt idx="19">
                  <c:v>44955</c:v>
                </c:pt>
                <c:pt idx="20">
                  <c:v>44958</c:v>
                </c:pt>
                <c:pt idx="21">
                  <c:v>44960</c:v>
                </c:pt>
                <c:pt idx="22">
                  <c:v>44966</c:v>
                </c:pt>
                <c:pt idx="23">
                  <c:v>44969</c:v>
                </c:pt>
                <c:pt idx="24">
                  <c:v>44976</c:v>
                </c:pt>
                <c:pt idx="25">
                  <c:v>44983</c:v>
                </c:pt>
              </c:numCache>
            </c:numRef>
          </c:xVal>
          <c:yVal>
            <c:numRef>
              <c:f>version_words!$B$17:$B$42</c:f>
              <c:numCache>
                <c:formatCode>General</c:formatCode>
                <c:ptCount val="26"/>
                <c:pt idx="0">
                  <c:v>2922</c:v>
                </c:pt>
                <c:pt idx="1">
                  <c:v>2935</c:v>
                </c:pt>
                <c:pt idx="2">
                  <c:v>2933</c:v>
                </c:pt>
                <c:pt idx="3">
                  <c:v>2934</c:v>
                </c:pt>
                <c:pt idx="4">
                  <c:v>2924</c:v>
                </c:pt>
                <c:pt idx="5">
                  <c:v>2915</c:v>
                </c:pt>
                <c:pt idx="6">
                  <c:v>2908</c:v>
                </c:pt>
                <c:pt idx="7">
                  <c:v>2903</c:v>
                </c:pt>
                <c:pt idx="8">
                  <c:v>2891</c:v>
                </c:pt>
                <c:pt idx="9">
                  <c:v>2887</c:v>
                </c:pt>
                <c:pt idx="10">
                  <c:v>2882</c:v>
                </c:pt>
                <c:pt idx="11">
                  <c:v>2878</c:v>
                </c:pt>
                <c:pt idx="12">
                  <c:v>2871</c:v>
                </c:pt>
                <c:pt idx="13">
                  <c:v>2853</c:v>
                </c:pt>
                <c:pt idx="14">
                  <c:v>2847</c:v>
                </c:pt>
                <c:pt idx="15">
                  <c:v>2829</c:v>
                </c:pt>
                <c:pt idx="16">
                  <c:v>2826</c:v>
                </c:pt>
                <c:pt idx="17">
                  <c:v>2826</c:v>
                </c:pt>
                <c:pt idx="18">
                  <c:v>2822</c:v>
                </c:pt>
                <c:pt idx="19">
                  <c:v>2815</c:v>
                </c:pt>
                <c:pt idx="20">
                  <c:v>2809</c:v>
                </c:pt>
                <c:pt idx="21">
                  <c:v>2807</c:v>
                </c:pt>
                <c:pt idx="22">
                  <c:v>2808</c:v>
                </c:pt>
                <c:pt idx="23">
                  <c:v>2800</c:v>
                </c:pt>
                <c:pt idx="24">
                  <c:v>2797</c:v>
                </c:pt>
                <c:pt idx="25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3-42ED-9D11-AF8EB559A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706495"/>
        <c:axId val="320710239"/>
      </c:scatterChart>
      <c:valAx>
        <c:axId val="3207064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320710239"/>
        <c:crosses val="autoZero"/>
        <c:crossBetween val="midCat"/>
      </c:valAx>
      <c:valAx>
        <c:axId val="3207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320706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>
                  <a:alpha val="70000"/>
                </a:srgbClr>
              </a:solidFill>
              <a:ln w="0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14"/>
            <c:dispRSqr val="0"/>
            <c:dispEq val="0"/>
          </c:trendline>
          <c:val>
            <c:numRef>
              <c:f>theme_macro!$D$12:$D$64</c:f>
              <c:numCache>
                <c:formatCode>0</c:formatCode>
                <c:ptCount val="53"/>
                <c:pt idx="1">
                  <c:v>83</c:v>
                </c:pt>
                <c:pt idx="2">
                  <c:v>75</c:v>
                </c:pt>
                <c:pt idx="3">
                  <c:v>55</c:v>
                </c:pt>
                <c:pt idx="4">
                  <c:v>80</c:v>
                </c:pt>
                <c:pt idx="5">
                  <c:v>50</c:v>
                </c:pt>
                <c:pt idx="6">
                  <c:v>70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77.5</c:v>
                </c:pt>
                <c:pt idx="12">
                  <c:v>75</c:v>
                </c:pt>
                <c:pt idx="13">
                  <c:v>72.5</c:v>
                </c:pt>
                <c:pt idx="14">
                  <c:v>70</c:v>
                </c:pt>
                <c:pt idx="15">
                  <c:v>82</c:v>
                </c:pt>
                <c:pt idx="16">
                  <c:v>85</c:v>
                </c:pt>
                <c:pt idx="17">
                  <c:v>66</c:v>
                </c:pt>
                <c:pt idx="18">
                  <c:v>90</c:v>
                </c:pt>
                <c:pt idx="19">
                  <c:v>70</c:v>
                </c:pt>
                <c:pt idx="20">
                  <c:v>72.5</c:v>
                </c:pt>
                <c:pt idx="21">
                  <c:v>82.5</c:v>
                </c:pt>
                <c:pt idx="22">
                  <c:v>82.5</c:v>
                </c:pt>
                <c:pt idx="23">
                  <c:v>76</c:v>
                </c:pt>
                <c:pt idx="24">
                  <c:v>80</c:v>
                </c:pt>
                <c:pt idx="25">
                  <c:v>76</c:v>
                </c:pt>
                <c:pt idx="26">
                  <c:v>86</c:v>
                </c:pt>
                <c:pt idx="27">
                  <c:v>72.5</c:v>
                </c:pt>
                <c:pt idx="28">
                  <c:v>74</c:v>
                </c:pt>
                <c:pt idx="29">
                  <c:v>82</c:v>
                </c:pt>
                <c:pt idx="30">
                  <c:v>91</c:v>
                </c:pt>
                <c:pt idx="31">
                  <c:v>85</c:v>
                </c:pt>
                <c:pt idx="32">
                  <c:v>72.5</c:v>
                </c:pt>
                <c:pt idx="33">
                  <c:v>77</c:v>
                </c:pt>
                <c:pt idx="34">
                  <c:v>95</c:v>
                </c:pt>
                <c:pt idx="35">
                  <c:v>76</c:v>
                </c:pt>
                <c:pt idx="36">
                  <c:v>95</c:v>
                </c:pt>
                <c:pt idx="37">
                  <c:v>80</c:v>
                </c:pt>
                <c:pt idx="38">
                  <c:v>87.5</c:v>
                </c:pt>
                <c:pt idx="39">
                  <c:v>77</c:v>
                </c:pt>
                <c:pt idx="40">
                  <c:v>69</c:v>
                </c:pt>
                <c:pt idx="41">
                  <c:v>87.5</c:v>
                </c:pt>
                <c:pt idx="42">
                  <c:v>95</c:v>
                </c:pt>
                <c:pt idx="43">
                  <c:v>87.5</c:v>
                </c:pt>
                <c:pt idx="44">
                  <c:v>80</c:v>
                </c:pt>
                <c:pt idx="45">
                  <c:v>90</c:v>
                </c:pt>
                <c:pt idx="46">
                  <c:v>82.5</c:v>
                </c:pt>
                <c:pt idx="47">
                  <c:v>80</c:v>
                </c:pt>
                <c:pt idx="48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B9-4E4A-8381-169C45C39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728240"/>
        <c:axId val="764020448"/>
      </c:lineChart>
      <c:catAx>
        <c:axId val="76872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4020448"/>
        <c:crossesAt val="0"/>
        <c:auto val="1"/>
        <c:lblAlgn val="ctr"/>
        <c:lblOffset val="100"/>
        <c:tickLblSkip val="10"/>
        <c:tickMarkSkip val="30"/>
        <c:noMultiLvlLbl val="0"/>
      </c:catAx>
      <c:valAx>
        <c:axId val="764020448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rgbClr val="5B9BD5"/>
            </a:solidFill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872824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D7D31">
                  <a:alpha val="70000"/>
                </a:srgbClr>
              </a:solidFill>
              <a:ln w="0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movingAvg"/>
            <c:period val="14"/>
            <c:dispRSqr val="0"/>
            <c:dispEq val="0"/>
          </c:trendline>
          <c:val>
            <c:numRef>
              <c:f>theme_macro!$E$12:$E$64</c:f>
              <c:numCache>
                <c:formatCode>0</c:formatCode>
                <c:ptCount val="53"/>
                <c:pt idx="1">
                  <c:v>70.588235294117652</c:v>
                </c:pt>
                <c:pt idx="2">
                  <c:v>100</c:v>
                </c:pt>
                <c:pt idx="3">
                  <c:v>66.666666666666657</c:v>
                </c:pt>
                <c:pt idx="4">
                  <c:v>100</c:v>
                </c:pt>
                <c:pt idx="5">
                  <c:v>88.8888888888889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87.5</c:v>
                </c:pt>
                <c:pt idx="10">
                  <c:v>100</c:v>
                </c:pt>
                <c:pt idx="11">
                  <c:v>100</c:v>
                </c:pt>
                <c:pt idx="12">
                  <c:v>90</c:v>
                </c:pt>
                <c:pt idx="13">
                  <c:v>90.909090909090907</c:v>
                </c:pt>
                <c:pt idx="14">
                  <c:v>91.666666666666657</c:v>
                </c:pt>
                <c:pt idx="15">
                  <c:v>83.333333333333343</c:v>
                </c:pt>
                <c:pt idx="16">
                  <c:v>100</c:v>
                </c:pt>
                <c:pt idx="17">
                  <c:v>90</c:v>
                </c:pt>
                <c:pt idx="18">
                  <c:v>75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85.714285714285722</c:v>
                </c:pt>
                <c:pt idx="23">
                  <c:v>87.5</c:v>
                </c:pt>
                <c:pt idx="24">
                  <c:v>87.5</c:v>
                </c:pt>
                <c:pt idx="25">
                  <c:v>87</c:v>
                </c:pt>
                <c:pt idx="26">
                  <c:v>100</c:v>
                </c:pt>
                <c:pt idx="27">
                  <c:v>81.818181818181813</c:v>
                </c:pt>
                <c:pt idx="28">
                  <c:v>100</c:v>
                </c:pt>
                <c:pt idx="29">
                  <c:v>77.777777777777786</c:v>
                </c:pt>
                <c:pt idx="30">
                  <c:v>50</c:v>
                </c:pt>
                <c:pt idx="31">
                  <c:v>100</c:v>
                </c:pt>
                <c:pt idx="32">
                  <c:v>90.909090909090907</c:v>
                </c:pt>
                <c:pt idx="33">
                  <c:v>90.909090909090907</c:v>
                </c:pt>
                <c:pt idx="34">
                  <c:v>100</c:v>
                </c:pt>
                <c:pt idx="35">
                  <c:v>75</c:v>
                </c:pt>
                <c:pt idx="36">
                  <c:v>100</c:v>
                </c:pt>
                <c:pt idx="37">
                  <c:v>85</c:v>
                </c:pt>
                <c:pt idx="38">
                  <c:v>100</c:v>
                </c:pt>
                <c:pt idx="39">
                  <c:v>83.333333333333343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75</c:v>
                </c:pt>
                <c:pt idx="46">
                  <c:v>100</c:v>
                </c:pt>
                <c:pt idx="47">
                  <c:v>87.5</c:v>
                </c:pt>
                <c:pt idx="4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5B-4A21-BD6A-ACB9620A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728240"/>
        <c:axId val="764020448"/>
      </c:lineChart>
      <c:catAx>
        <c:axId val="76872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4020448"/>
        <c:crosses val="autoZero"/>
        <c:auto val="1"/>
        <c:lblAlgn val="ctr"/>
        <c:lblOffset val="100"/>
        <c:tickLblSkip val="10"/>
        <c:tickMarkSkip val="30"/>
        <c:noMultiLvlLbl val="0"/>
      </c:catAx>
      <c:valAx>
        <c:axId val="764020448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872824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[vocabulaire anglais.xlsm]theme_GCD!Tableau croisé dynamique7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fr-FR" sz="1200"/>
              <a:t>Répartition du nombre de demandes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 w="317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317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317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ED7D31">
              <a:alpha val="40000"/>
            </a:srgbClr>
          </a:solidFill>
          <a:ln w="317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B9BD5">
              <a:lumMod val="75000"/>
              <a:alpha val="40000"/>
            </a:srgbClr>
          </a:solidFill>
          <a:ln w="3175"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theme_GCD!$H$3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9BD5">
                <a:lumMod val="75000"/>
                <a:alpha val="40000"/>
              </a:srgbClr>
            </a:solidFill>
            <a:ln w="3175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theme_GCD!$G$4:$G$17</c:f>
              <c:strCach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strCache>
            </c:strRef>
          </c:cat>
          <c:val>
            <c:numRef>
              <c:f>theme_GCD!$H$4:$H$17</c:f>
              <c:numCache>
                <c:formatCode>General</c:formatCode>
                <c:ptCount val="13"/>
                <c:pt idx="0">
                  <c:v>71</c:v>
                </c:pt>
                <c:pt idx="1">
                  <c:v>129</c:v>
                </c:pt>
                <c:pt idx="2">
                  <c:v>111</c:v>
                </c:pt>
                <c:pt idx="3">
                  <c:v>94</c:v>
                </c:pt>
                <c:pt idx="4">
                  <c:v>75</c:v>
                </c:pt>
                <c:pt idx="5">
                  <c:v>59</c:v>
                </c:pt>
                <c:pt idx="6">
                  <c:v>33</c:v>
                </c:pt>
                <c:pt idx="7">
                  <c:v>16</c:v>
                </c:pt>
                <c:pt idx="8">
                  <c:v>10</c:v>
                </c:pt>
                <c:pt idx="9">
                  <c:v>6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7-4F62-9826-E00DD0E82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9692432"/>
        <c:axId val="446272008"/>
      </c:barChart>
      <c:catAx>
        <c:axId val="44969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46272008"/>
        <c:crosses val="autoZero"/>
        <c:auto val="1"/>
        <c:lblAlgn val="ctr"/>
        <c:lblOffset val="100"/>
        <c:noMultiLvlLbl val="0"/>
      </c:catAx>
      <c:valAx>
        <c:axId val="44627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4969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theme!$D$2:$D$612</c:f>
              <c:numCache>
                <c:formatCode>General</c:formatCode>
                <c:ptCount val="6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4</c:v>
                </c:pt>
                <c:pt idx="30">
                  <c:v>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1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4</c:v>
                </c:pt>
                <c:pt idx="83">
                  <c:v>4</c:v>
                </c:pt>
                <c:pt idx="84">
                  <c:v>5</c:v>
                </c:pt>
                <c:pt idx="85">
                  <c:v>7</c:v>
                </c:pt>
                <c:pt idx="86">
                  <c:v>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3</c:v>
                </c:pt>
                <c:pt idx="148">
                  <c:v>4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5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5</c:v>
                </c:pt>
                <c:pt idx="179">
                  <c:v>4</c:v>
                </c:pt>
                <c:pt idx="180">
                  <c:v>6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6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8</c:v>
                </c:pt>
                <c:pt idx="202">
                  <c:v>9</c:v>
                </c:pt>
                <c:pt idx="203">
                  <c:v>10</c:v>
                </c:pt>
                <c:pt idx="204">
                  <c:v>12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5</c:v>
                </c:pt>
                <c:pt idx="209">
                  <c:v>0</c:v>
                </c:pt>
                <c:pt idx="210">
                  <c:v>2</c:v>
                </c:pt>
                <c:pt idx="211">
                  <c:v>5</c:v>
                </c:pt>
                <c:pt idx="212">
                  <c:v>2</c:v>
                </c:pt>
                <c:pt idx="213">
                  <c:v>3</c:v>
                </c:pt>
                <c:pt idx="214">
                  <c:v>2</c:v>
                </c:pt>
                <c:pt idx="215">
                  <c:v>2</c:v>
                </c:pt>
                <c:pt idx="216">
                  <c:v>3</c:v>
                </c:pt>
                <c:pt idx="217">
                  <c:v>2</c:v>
                </c:pt>
                <c:pt idx="218">
                  <c:v>7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5</c:v>
                </c:pt>
                <c:pt idx="237">
                  <c:v>5</c:v>
                </c:pt>
                <c:pt idx="238">
                  <c:v>1</c:v>
                </c:pt>
                <c:pt idx="239">
                  <c:v>2</c:v>
                </c:pt>
                <c:pt idx="240">
                  <c:v>4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7</c:v>
                </c:pt>
                <c:pt idx="245">
                  <c:v>1</c:v>
                </c:pt>
                <c:pt idx="246">
                  <c:v>2</c:v>
                </c:pt>
                <c:pt idx="247">
                  <c:v>0</c:v>
                </c:pt>
                <c:pt idx="248">
                  <c:v>0</c:v>
                </c:pt>
                <c:pt idx="249">
                  <c:v>1</c:v>
                </c:pt>
                <c:pt idx="250">
                  <c:v>3</c:v>
                </c:pt>
                <c:pt idx="251">
                  <c:v>5</c:v>
                </c:pt>
                <c:pt idx="252">
                  <c:v>6</c:v>
                </c:pt>
                <c:pt idx="253">
                  <c:v>0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3</c:v>
                </c:pt>
                <c:pt idx="263">
                  <c:v>3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0</c:v>
                </c:pt>
                <c:pt idx="268">
                  <c:v>1</c:v>
                </c:pt>
                <c:pt idx="269">
                  <c:v>6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3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4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5</c:v>
                </c:pt>
                <c:pt idx="323">
                  <c:v>4</c:v>
                </c:pt>
                <c:pt idx="324">
                  <c:v>5</c:v>
                </c:pt>
                <c:pt idx="325">
                  <c:v>4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6</c:v>
                </c:pt>
                <c:pt idx="341">
                  <c:v>6</c:v>
                </c:pt>
                <c:pt idx="342">
                  <c:v>7</c:v>
                </c:pt>
                <c:pt idx="343">
                  <c:v>6</c:v>
                </c:pt>
                <c:pt idx="344">
                  <c:v>6</c:v>
                </c:pt>
                <c:pt idx="345">
                  <c:v>6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9</c:v>
                </c:pt>
                <c:pt idx="350">
                  <c:v>9</c:v>
                </c:pt>
                <c:pt idx="351">
                  <c:v>10</c:v>
                </c:pt>
                <c:pt idx="352">
                  <c:v>11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3</c:v>
                </c:pt>
                <c:pt idx="359">
                  <c:v>1</c:v>
                </c:pt>
                <c:pt idx="360">
                  <c:v>3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4</c:v>
                </c:pt>
                <c:pt idx="385">
                  <c:v>4</c:v>
                </c:pt>
                <c:pt idx="386">
                  <c:v>4</c:v>
                </c:pt>
                <c:pt idx="387">
                  <c:v>4</c:v>
                </c:pt>
                <c:pt idx="388">
                  <c:v>4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6</c:v>
                </c:pt>
                <c:pt idx="394">
                  <c:v>8</c:v>
                </c:pt>
                <c:pt idx="395">
                  <c:v>7</c:v>
                </c:pt>
                <c:pt idx="396">
                  <c:v>10</c:v>
                </c:pt>
                <c:pt idx="397">
                  <c:v>7</c:v>
                </c:pt>
                <c:pt idx="398">
                  <c:v>8</c:v>
                </c:pt>
                <c:pt idx="399">
                  <c:v>8</c:v>
                </c:pt>
                <c:pt idx="400">
                  <c:v>0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3</c:v>
                </c:pt>
                <c:pt idx="411">
                  <c:v>3</c:v>
                </c:pt>
                <c:pt idx="412">
                  <c:v>4</c:v>
                </c:pt>
                <c:pt idx="413">
                  <c:v>3</c:v>
                </c:pt>
                <c:pt idx="414">
                  <c:v>3</c:v>
                </c:pt>
                <c:pt idx="415">
                  <c:v>4</c:v>
                </c:pt>
                <c:pt idx="416">
                  <c:v>4</c:v>
                </c:pt>
                <c:pt idx="417">
                  <c:v>5</c:v>
                </c:pt>
                <c:pt idx="418">
                  <c:v>6</c:v>
                </c:pt>
                <c:pt idx="419">
                  <c:v>8</c:v>
                </c:pt>
                <c:pt idx="420">
                  <c:v>9</c:v>
                </c:pt>
                <c:pt idx="421">
                  <c:v>10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2</c:v>
                </c:pt>
                <c:pt idx="429">
                  <c:v>2</c:v>
                </c:pt>
                <c:pt idx="430">
                  <c:v>3</c:v>
                </c:pt>
                <c:pt idx="431">
                  <c:v>2</c:v>
                </c:pt>
                <c:pt idx="432">
                  <c:v>4</c:v>
                </c:pt>
                <c:pt idx="433">
                  <c:v>2</c:v>
                </c:pt>
                <c:pt idx="434">
                  <c:v>2</c:v>
                </c:pt>
                <c:pt idx="435">
                  <c:v>3</c:v>
                </c:pt>
                <c:pt idx="436">
                  <c:v>3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6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4</c:v>
                </c:pt>
                <c:pt idx="457">
                  <c:v>4</c:v>
                </c:pt>
                <c:pt idx="458">
                  <c:v>5</c:v>
                </c:pt>
                <c:pt idx="459">
                  <c:v>5</c:v>
                </c:pt>
                <c:pt idx="460">
                  <c:v>6</c:v>
                </c:pt>
                <c:pt idx="461">
                  <c:v>5</c:v>
                </c:pt>
                <c:pt idx="462">
                  <c:v>6</c:v>
                </c:pt>
                <c:pt idx="463">
                  <c:v>7</c:v>
                </c:pt>
                <c:pt idx="464">
                  <c:v>10</c:v>
                </c:pt>
                <c:pt idx="465">
                  <c:v>0</c:v>
                </c:pt>
                <c:pt idx="466">
                  <c:v>3</c:v>
                </c:pt>
                <c:pt idx="467">
                  <c:v>1</c:v>
                </c:pt>
                <c:pt idx="468">
                  <c:v>4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3</c:v>
                </c:pt>
                <c:pt idx="473">
                  <c:v>4</c:v>
                </c:pt>
                <c:pt idx="474">
                  <c:v>4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6</c:v>
                </c:pt>
                <c:pt idx="479">
                  <c:v>6</c:v>
                </c:pt>
                <c:pt idx="480">
                  <c:v>7</c:v>
                </c:pt>
                <c:pt idx="481">
                  <c:v>9</c:v>
                </c:pt>
                <c:pt idx="482">
                  <c:v>1</c:v>
                </c:pt>
                <c:pt idx="483">
                  <c:v>1</c:v>
                </c:pt>
                <c:pt idx="484">
                  <c:v>5</c:v>
                </c:pt>
                <c:pt idx="485">
                  <c:v>2</c:v>
                </c:pt>
                <c:pt idx="486">
                  <c:v>3</c:v>
                </c:pt>
                <c:pt idx="487">
                  <c:v>1</c:v>
                </c:pt>
                <c:pt idx="488">
                  <c:v>1</c:v>
                </c:pt>
                <c:pt idx="489">
                  <c:v>0</c:v>
                </c:pt>
                <c:pt idx="490">
                  <c:v>3</c:v>
                </c:pt>
                <c:pt idx="491">
                  <c:v>0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3</c:v>
                </c:pt>
                <c:pt idx="496">
                  <c:v>0</c:v>
                </c:pt>
                <c:pt idx="497">
                  <c:v>1</c:v>
                </c:pt>
                <c:pt idx="498">
                  <c:v>2</c:v>
                </c:pt>
                <c:pt idx="499">
                  <c:v>4</c:v>
                </c:pt>
                <c:pt idx="500">
                  <c:v>0</c:v>
                </c:pt>
                <c:pt idx="501">
                  <c:v>2</c:v>
                </c:pt>
                <c:pt idx="502">
                  <c:v>2</c:v>
                </c:pt>
                <c:pt idx="503">
                  <c:v>3</c:v>
                </c:pt>
                <c:pt idx="504">
                  <c:v>7</c:v>
                </c:pt>
                <c:pt idx="505">
                  <c:v>2</c:v>
                </c:pt>
                <c:pt idx="506">
                  <c:v>0</c:v>
                </c:pt>
                <c:pt idx="507">
                  <c:v>2</c:v>
                </c:pt>
                <c:pt idx="508">
                  <c:v>2</c:v>
                </c:pt>
                <c:pt idx="509">
                  <c:v>4</c:v>
                </c:pt>
                <c:pt idx="510">
                  <c:v>6</c:v>
                </c:pt>
                <c:pt idx="511">
                  <c:v>2</c:v>
                </c:pt>
                <c:pt idx="512">
                  <c:v>1</c:v>
                </c:pt>
                <c:pt idx="513">
                  <c:v>0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4</c:v>
                </c:pt>
                <c:pt idx="518">
                  <c:v>4</c:v>
                </c:pt>
                <c:pt idx="519">
                  <c:v>7</c:v>
                </c:pt>
                <c:pt idx="520">
                  <c:v>2</c:v>
                </c:pt>
                <c:pt idx="521">
                  <c:v>0</c:v>
                </c:pt>
                <c:pt idx="522">
                  <c:v>3</c:v>
                </c:pt>
                <c:pt idx="523">
                  <c:v>1</c:v>
                </c:pt>
                <c:pt idx="524">
                  <c:v>6</c:v>
                </c:pt>
                <c:pt idx="525">
                  <c:v>0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6</c:v>
                </c:pt>
                <c:pt idx="530">
                  <c:v>4</c:v>
                </c:pt>
                <c:pt idx="531">
                  <c:v>0</c:v>
                </c:pt>
                <c:pt idx="532">
                  <c:v>1</c:v>
                </c:pt>
                <c:pt idx="533">
                  <c:v>5</c:v>
                </c:pt>
                <c:pt idx="534">
                  <c:v>0</c:v>
                </c:pt>
                <c:pt idx="535">
                  <c:v>4</c:v>
                </c:pt>
                <c:pt idx="536">
                  <c:v>2</c:v>
                </c:pt>
                <c:pt idx="537">
                  <c:v>4</c:v>
                </c:pt>
                <c:pt idx="538">
                  <c:v>1</c:v>
                </c:pt>
                <c:pt idx="539">
                  <c:v>7</c:v>
                </c:pt>
                <c:pt idx="540">
                  <c:v>5</c:v>
                </c:pt>
                <c:pt idx="541">
                  <c:v>4</c:v>
                </c:pt>
                <c:pt idx="542">
                  <c:v>2</c:v>
                </c:pt>
                <c:pt idx="543">
                  <c:v>1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2</c:v>
                </c:pt>
                <c:pt idx="549">
                  <c:v>1</c:v>
                </c:pt>
                <c:pt idx="550">
                  <c:v>1</c:v>
                </c:pt>
                <c:pt idx="551">
                  <c:v>5</c:v>
                </c:pt>
                <c:pt idx="552">
                  <c:v>4</c:v>
                </c:pt>
                <c:pt idx="553">
                  <c:v>1</c:v>
                </c:pt>
                <c:pt idx="554">
                  <c:v>0</c:v>
                </c:pt>
                <c:pt idx="555">
                  <c:v>2</c:v>
                </c:pt>
                <c:pt idx="556">
                  <c:v>2</c:v>
                </c:pt>
                <c:pt idx="557">
                  <c:v>1</c:v>
                </c:pt>
                <c:pt idx="558">
                  <c:v>5</c:v>
                </c:pt>
                <c:pt idx="559">
                  <c:v>1</c:v>
                </c:pt>
                <c:pt idx="560">
                  <c:v>2</c:v>
                </c:pt>
                <c:pt idx="561">
                  <c:v>3</c:v>
                </c:pt>
                <c:pt idx="562">
                  <c:v>4</c:v>
                </c:pt>
                <c:pt idx="563">
                  <c:v>4</c:v>
                </c:pt>
                <c:pt idx="564">
                  <c:v>2</c:v>
                </c:pt>
                <c:pt idx="565">
                  <c:v>0</c:v>
                </c:pt>
                <c:pt idx="566">
                  <c:v>1</c:v>
                </c:pt>
                <c:pt idx="567">
                  <c:v>3</c:v>
                </c:pt>
                <c:pt idx="568">
                  <c:v>4</c:v>
                </c:pt>
                <c:pt idx="569">
                  <c:v>1</c:v>
                </c:pt>
                <c:pt idx="570">
                  <c:v>3</c:v>
                </c:pt>
                <c:pt idx="571">
                  <c:v>0</c:v>
                </c:pt>
                <c:pt idx="572">
                  <c:v>3</c:v>
                </c:pt>
                <c:pt idx="573">
                  <c:v>5</c:v>
                </c:pt>
                <c:pt idx="574">
                  <c:v>0</c:v>
                </c:pt>
                <c:pt idx="575">
                  <c:v>6</c:v>
                </c:pt>
                <c:pt idx="576">
                  <c:v>9</c:v>
                </c:pt>
                <c:pt idx="577">
                  <c:v>2</c:v>
                </c:pt>
                <c:pt idx="578">
                  <c:v>4</c:v>
                </c:pt>
                <c:pt idx="579">
                  <c:v>3</c:v>
                </c:pt>
                <c:pt idx="580">
                  <c:v>1</c:v>
                </c:pt>
                <c:pt idx="581">
                  <c:v>0</c:v>
                </c:pt>
                <c:pt idx="582">
                  <c:v>2</c:v>
                </c:pt>
                <c:pt idx="583">
                  <c:v>4</c:v>
                </c:pt>
                <c:pt idx="584">
                  <c:v>6</c:v>
                </c:pt>
                <c:pt idx="585">
                  <c:v>1</c:v>
                </c:pt>
                <c:pt idx="586">
                  <c:v>5</c:v>
                </c:pt>
                <c:pt idx="587">
                  <c:v>2</c:v>
                </c:pt>
                <c:pt idx="588">
                  <c:v>4</c:v>
                </c:pt>
                <c:pt idx="589">
                  <c:v>1</c:v>
                </c:pt>
                <c:pt idx="590">
                  <c:v>1</c:v>
                </c:pt>
                <c:pt idx="591">
                  <c:v>4</c:v>
                </c:pt>
                <c:pt idx="592">
                  <c:v>3</c:v>
                </c:pt>
                <c:pt idx="593">
                  <c:v>0</c:v>
                </c:pt>
                <c:pt idx="594">
                  <c:v>5</c:v>
                </c:pt>
                <c:pt idx="595">
                  <c:v>0</c:v>
                </c:pt>
                <c:pt idx="596">
                  <c:v>0</c:v>
                </c:pt>
                <c:pt idx="597">
                  <c:v>4</c:v>
                </c:pt>
                <c:pt idx="598">
                  <c:v>4</c:v>
                </c:pt>
                <c:pt idx="599">
                  <c:v>2</c:v>
                </c:pt>
                <c:pt idx="600">
                  <c:v>1</c:v>
                </c:pt>
                <c:pt idx="601">
                  <c:v>3</c:v>
                </c:pt>
                <c:pt idx="602">
                  <c:v>0</c:v>
                </c:pt>
                <c:pt idx="603">
                  <c:v>0</c:v>
                </c:pt>
                <c:pt idx="604">
                  <c:v>3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</c:numCache>
            </c:numRef>
          </c:xVal>
          <c:yVal>
            <c:numRef>
              <c:f>theme!$F$2:$F$392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-0.33333333333333331</c:v>
                </c:pt>
                <c:pt idx="12">
                  <c:v>1</c:v>
                </c:pt>
                <c:pt idx="13">
                  <c:v>-0.33333333333333331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0.5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-1</c:v>
                </c:pt>
                <c:pt idx="27">
                  <c:v>-1</c:v>
                </c:pt>
                <c:pt idx="28">
                  <c:v>-0.33333333333333331</c:v>
                </c:pt>
                <c:pt idx="29">
                  <c:v>1</c:v>
                </c:pt>
                <c:pt idx="30">
                  <c:v>0.2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-1</c:v>
                </c:pt>
                <c:pt idx="35">
                  <c:v>0</c:v>
                </c:pt>
                <c:pt idx="36">
                  <c:v>-1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-1</c:v>
                </c:pt>
                <c:pt idx="41">
                  <c:v>1</c:v>
                </c:pt>
                <c:pt idx="42">
                  <c:v>1</c:v>
                </c:pt>
                <c:pt idx="43">
                  <c:v>-1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-1</c:v>
                </c:pt>
                <c:pt idx="50">
                  <c:v>1</c:v>
                </c:pt>
                <c:pt idx="51">
                  <c:v>1</c:v>
                </c:pt>
                <c:pt idx="52">
                  <c:v>-1</c:v>
                </c:pt>
                <c:pt idx="53">
                  <c:v>1</c:v>
                </c:pt>
                <c:pt idx="54">
                  <c:v>-1</c:v>
                </c:pt>
                <c:pt idx="55">
                  <c:v>1</c:v>
                </c:pt>
                <c:pt idx="56">
                  <c:v>-1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0.33333333333333331</c:v>
                </c:pt>
                <c:pt idx="64">
                  <c:v>1</c:v>
                </c:pt>
                <c:pt idx="65">
                  <c:v>0.6</c:v>
                </c:pt>
                <c:pt idx="66">
                  <c:v>1</c:v>
                </c:pt>
                <c:pt idx="67">
                  <c:v>0.6</c:v>
                </c:pt>
                <c:pt idx="68">
                  <c:v>1</c:v>
                </c:pt>
                <c:pt idx="69">
                  <c:v>1</c:v>
                </c:pt>
                <c:pt idx="70">
                  <c:v>-1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0.5</c:v>
                </c:pt>
                <c:pt idx="76">
                  <c:v>-0.5</c:v>
                </c:pt>
                <c:pt idx="77">
                  <c:v>1</c:v>
                </c:pt>
                <c:pt idx="78">
                  <c:v>-0.5</c:v>
                </c:pt>
                <c:pt idx="79">
                  <c:v>1</c:v>
                </c:pt>
                <c:pt idx="80">
                  <c:v>1</c:v>
                </c:pt>
                <c:pt idx="81">
                  <c:v>0.33333333333333331</c:v>
                </c:pt>
                <c:pt idx="82">
                  <c:v>0.75</c:v>
                </c:pt>
                <c:pt idx="83">
                  <c:v>1</c:v>
                </c:pt>
                <c:pt idx="84">
                  <c:v>0.6</c:v>
                </c:pt>
                <c:pt idx="85">
                  <c:v>1</c:v>
                </c:pt>
                <c:pt idx="86">
                  <c:v>0.75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-1</c:v>
                </c:pt>
                <c:pt idx="97">
                  <c:v>-1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-1</c:v>
                </c:pt>
                <c:pt idx="102">
                  <c:v>-1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-1</c:v>
                </c:pt>
                <c:pt idx="108">
                  <c:v>0</c:v>
                </c:pt>
                <c:pt idx="109">
                  <c:v>1</c:v>
                </c:pt>
                <c:pt idx="110">
                  <c:v>-1</c:v>
                </c:pt>
                <c:pt idx="111">
                  <c:v>-1</c:v>
                </c:pt>
                <c:pt idx="112">
                  <c:v>1</c:v>
                </c:pt>
                <c:pt idx="113">
                  <c:v>-1</c:v>
                </c:pt>
                <c:pt idx="114">
                  <c:v>1</c:v>
                </c:pt>
                <c:pt idx="115">
                  <c:v>1</c:v>
                </c:pt>
                <c:pt idx="116">
                  <c:v>-1</c:v>
                </c:pt>
                <c:pt idx="117">
                  <c:v>-1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-1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0.5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-1</c:v>
                </c:pt>
                <c:pt idx="133">
                  <c:v>1</c:v>
                </c:pt>
                <c:pt idx="134">
                  <c:v>1</c:v>
                </c:pt>
                <c:pt idx="135">
                  <c:v>0.5</c:v>
                </c:pt>
                <c:pt idx="136">
                  <c:v>1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-1</c:v>
                </c:pt>
                <c:pt idx="142">
                  <c:v>0.33333333333333331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0.66666666666666663</c:v>
                </c:pt>
                <c:pt idx="148">
                  <c:v>0.5</c:v>
                </c:pt>
                <c:pt idx="149">
                  <c:v>0.33333333333333331</c:v>
                </c:pt>
                <c:pt idx="150">
                  <c:v>1</c:v>
                </c:pt>
                <c:pt idx="151">
                  <c:v>0.33333333333333331</c:v>
                </c:pt>
                <c:pt idx="152">
                  <c:v>1</c:v>
                </c:pt>
                <c:pt idx="153">
                  <c:v>-1</c:v>
                </c:pt>
                <c:pt idx="154">
                  <c:v>0.5</c:v>
                </c:pt>
                <c:pt idx="155">
                  <c:v>1</c:v>
                </c:pt>
                <c:pt idx="156">
                  <c:v>-0.33333333333333331</c:v>
                </c:pt>
                <c:pt idx="157">
                  <c:v>1</c:v>
                </c:pt>
                <c:pt idx="158">
                  <c:v>-1</c:v>
                </c:pt>
                <c:pt idx="159">
                  <c:v>0.33333333333333331</c:v>
                </c:pt>
                <c:pt idx="160">
                  <c:v>1</c:v>
                </c:pt>
                <c:pt idx="161">
                  <c:v>-0.33333333333333331</c:v>
                </c:pt>
                <c:pt idx="162">
                  <c:v>0.5</c:v>
                </c:pt>
                <c:pt idx="163">
                  <c:v>0.25</c:v>
                </c:pt>
                <c:pt idx="164">
                  <c:v>0.75</c:v>
                </c:pt>
                <c:pt idx="165">
                  <c:v>1</c:v>
                </c:pt>
                <c:pt idx="166">
                  <c:v>1</c:v>
                </c:pt>
                <c:pt idx="167">
                  <c:v>0.75</c:v>
                </c:pt>
                <c:pt idx="168">
                  <c:v>1</c:v>
                </c:pt>
                <c:pt idx="169">
                  <c:v>0.5</c:v>
                </c:pt>
                <c:pt idx="170">
                  <c:v>1</c:v>
                </c:pt>
                <c:pt idx="171">
                  <c:v>1</c:v>
                </c:pt>
                <c:pt idx="172">
                  <c:v>0.75</c:v>
                </c:pt>
                <c:pt idx="173">
                  <c:v>0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-0.5</c:v>
                </c:pt>
                <c:pt idx="178">
                  <c:v>0.2</c:v>
                </c:pt>
                <c:pt idx="179">
                  <c:v>1</c:v>
                </c:pt>
                <c:pt idx="180">
                  <c:v>0.83333333333333337</c:v>
                </c:pt>
                <c:pt idx="181">
                  <c:v>0.8</c:v>
                </c:pt>
                <c:pt idx="182">
                  <c:v>1</c:v>
                </c:pt>
                <c:pt idx="183">
                  <c:v>0.2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0.66666666666666663</c:v>
                </c:pt>
                <c:pt idx="191">
                  <c:v>0.5</c:v>
                </c:pt>
                <c:pt idx="192">
                  <c:v>0.33333333333333331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0.14285714285714285</c:v>
                </c:pt>
                <c:pt idx="197">
                  <c:v>1</c:v>
                </c:pt>
                <c:pt idx="198">
                  <c:v>0.42857142857142855</c:v>
                </c:pt>
                <c:pt idx="199">
                  <c:v>0.5714285714285714</c:v>
                </c:pt>
                <c:pt idx="200">
                  <c:v>0.7142857142857143</c:v>
                </c:pt>
                <c:pt idx="201">
                  <c:v>0</c:v>
                </c:pt>
                <c:pt idx="202">
                  <c:v>1</c:v>
                </c:pt>
                <c:pt idx="203">
                  <c:v>0.3</c:v>
                </c:pt>
                <c:pt idx="204">
                  <c:v>0.58333333333333337</c:v>
                </c:pt>
                <c:pt idx="205">
                  <c:v>-1</c:v>
                </c:pt>
                <c:pt idx="206">
                  <c:v>-1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0.6</c:v>
                </c:pt>
                <c:pt idx="212">
                  <c:v>-1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0.33333333333333331</c:v>
                </c:pt>
                <c:pt idx="217">
                  <c:v>1</c:v>
                </c:pt>
                <c:pt idx="218">
                  <c:v>0.8571428571428571</c:v>
                </c:pt>
                <c:pt idx="219">
                  <c:v>0</c:v>
                </c:pt>
                <c:pt idx="220">
                  <c:v>0</c:v>
                </c:pt>
                <c:pt idx="221">
                  <c:v>-1</c:v>
                </c:pt>
                <c:pt idx="222">
                  <c:v>1</c:v>
                </c:pt>
                <c:pt idx="223">
                  <c:v>1</c:v>
                </c:pt>
                <c:pt idx="224">
                  <c:v>0.33333333333333331</c:v>
                </c:pt>
                <c:pt idx="225">
                  <c:v>0.66666666666666663</c:v>
                </c:pt>
                <c:pt idx="226">
                  <c:v>0.875</c:v>
                </c:pt>
                <c:pt idx="227">
                  <c:v>1</c:v>
                </c:pt>
                <c:pt idx="228">
                  <c:v>1</c:v>
                </c:pt>
                <c:pt idx="229">
                  <c:v>-1</c:v>
                </c:pt>
                <c:pt idx="230">
                  <c:v>0</c:v>
                </c:pt>
                <c:pt idx="231">
                  <c:v>1</c:v>
                </c:pt>
                <c:pt idx="232">
                  <c:v>0.33333333333333331</c:v>
                </c:pt>
                <c:pt idx="233">
                  <c:v>1</c:v>
                </c:pt>
                <c:pt idx="234">
                  <c:v>-1</c:v>
                </c:pt>
                <c:pt idx="235">
                  <c:v>1</c:v>
                </c:pt>
                <c:pt idx="236">
                  <c:v>0.8</c:v>
                </c:pt>
                <c:pt idx="237">
                  <c:v>1</c:v>
                </c:pt>
                <c:pt idx="238">
                  <c:v>-1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0.16666666666666666</c:v>
                </c:pt>
                <c:pt idx="243">
                  <c:v>0.66666666666666663</c:v>
                </c:pt>
                <c:pt idx="244">
                  <c:v>0.2857142857142857</c:v>
                </c:pt>
                <c:pt idx="245">
                  <c:v>-1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-1</c:v>
                </c:pt>
                <c:pt idx="250">
                  <c:v>1</c:v>
                </c:pt>
                <c:pt idx="251">
                  <c:v>0.6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1</c:v>
                </c:pt>
                <c:pt idx="259">
                  <c:v>-1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</c:v>
                </c:pt>
                <c:pt idx="265">
                  <c:v>-1</c:v>
                </c:pt>
                <c:pt idx="266">
                  <c:v>-1</c:v>
                </c:pt>
                <c:pt idx="267">
                  <c:v>0</c:v>
                </c:pt>
                <c:pt idx="268">
                  <c:v>1</c:v>
                </c:pt>
                <c:pt idx="269">
                  <c:v>0.83333333333333337</c:v>
                </c:pt>
                <c:pt idx="270">
                  <c:v>0</c:v>
                </c:pt>
                <c:pt idx="271">
                  <c:v>0</c:v>
                </c:pt>
                <c:pt idx="272">
                  <c:v>-1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</c:v>
                </c:pt>
                <c:pt idx="280">
                  <c:v>-1</c:v>
                </c:pt>
                <c:pt idx="281">
                  <c:v>1</c:v>
                </c:pt>
                <c:pt idx="282">
                  <c:v>1</c:v>
                </c:pt>
                <c:pt idx="283">
                  <c:v>-1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-0.33333333333333331</c:v>
                </c:pt>
                <c:pt idx="289">
                  <c:v>1</c:v>
                </c:pt>
                <c:pt idx="290">
                  <c:v>-1</c:v>
                </c:pt>
                <c:pt idx="291">
                  <c:v>1</c:v>
                </c:pt>
                <c:pt idx="292">
                  <c:v>-1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-1</c:v>
                </c:pt>
                <c:pt idx="297">
                  <c:v>-1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-1</c:v>
                </c:pt>
                <c:pt idx="303">
                  <c:v>1</c:v>
                </c:pt>
                <c:pt idx="304">
                  <c:v>-1</c:v>
                </c:pt>
                <c:pt idx="305">
                  <c:v>-0.33333333333333331</c:v>
                </c:pt>
                <c:pt idx="306">
                  <c:v>1</c:v>
                </c:pt>
                <c:pt idx="307">
                  <c:v>1</c:v>
                </c:pt>
                <c:pt idx="308">
                  <c:v>0.66666666666666663</c:v>
                </c:pt>
                <c:pt idx="309">
                  <c:v>0.33333333333333331</c:v>
                </c:pt>
                <c:pt idx="310">
                  <c:v>1</c:v>
                </c:pt>
                <c:pt idx="311">
                  <c:v>0.33333333333333331</c:v>
                </c:pt>
                <c:pt idx="312">
                  <c:v>1</c:v>
                </c:pt>
                <c:pt idx="313">
                  <c:v>1</c:v>
                </c:pt>
                <c:pt idx="314">
                  <c:v>-1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0.75</c:v>
                </c:pt>
                <c:pt idx="320">
                  <c:v>0</c:v>
                </c:pt>
                <c:pt idx="321">
                  <c:v>0</c:v>
                </c:pt>
                <c:pt idx="322">
                  <c:v>0.8</c:v>
                </c:pt>
                <c:pt idx="323">
                  <c:v>1</c:v>
                </c:pt>
                <c:pt idx="324">
                  <c:v>1</c:v>
                </c:pt>
                <c:pt idx="325">
                  <c:v>0.5</c:v>
                </c:pt>
                <c:pt idx="326">
                  <c:v>0.2</c:v>
                </c:pt>
                <c:pt idx="327">
                  <c:v>0.8</c:v>
                </c:pt>
                <c:pt idx="328">
                  <c:v>-0.6</c:v>
                </c:pt>
                <c:pt idx="329">
                  <c:v>1</c:v>
                </c:pt>
                <c:pt idx="330">
                  <c:v>1</c:v>
                </c:pt>
                <c:pt idx="331">
                  <c:v>0.6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0.33333333333333331</c:v>
                </c:pt>
                <c:pt idx="341">
                  <c:v>1</c:v>
                </c:pt>
                <c:pt idx="342">
                  <c:v>0.42857142857142855</c:v>
                </c:pt>
                <c:pt idx="343">
                  <c:v>0.66666666666666663</c:v>
                </c:pt>
                <c:pt idx="344">
                  <c:v>1</c:v>
                </c:pt>
                <c:pt idx="345">
                  <c:v>0.66666666666666663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0.55555555555555558</c:v>
                </c:pt>
                <c:pt idx="350">
                  <c:v>0.77777777777777779</c:v>
                </c:pt>
                <c:pt idx="351">
                  <c:v>0.4</c:v>
                </c:pt>
                <c:pt idx="352">
                  <c:v>0.81818181818181823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1</c:v>
                </c:pt>
                <c:pt idx="357">
                  <c:v>-1</c:v>
                </c:pt>
                <c:pt idx="358">
                  <c:v>0.33333333333333331</c:v>
                </c:pt>
                <c:pt idx="359">
                  <c:v>1</c:v>
                </c:pt>
                <c:pt idx="360">
                  <c:v>0.33333333333333331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-1</c:v>
                </c:pt>
                <c:pt idx="366">
                  <c:v>1</c:v>
                </c:pt>
                <c:pt idx="367">
                  <c:v>1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-0.33333333333333331</c:v>
                </c:pt>
                <c:pt idx="376">
                  <c:v>1</c:v>
                </c:pt>
                <c:pt idx="377">
                  <c:v>1</c:v>
                </c:pt>
                <c:pt idx="378">
                  <c:v>0.33333333333333331</c:v>
                </c:pt>
                <c:pt idx="379">
                  <c:v>-0.33333333333333331</c:v>
                </c:pt>
                <c:pt idx="380">
                  <c:v>1</c:v>
                </c:pt>
                <c:pt idx="381">
                  <c:v>-1</c:v>
                </c:pt>
                <c:pt idx="382">
                  <c:v>-0.33333333333333331</c:v>
                </c:pt>
                <c:pt idx="383">
                  <c:v>0.33333333333333331</c:v>
                </c:pt>
                <c:pt idx="384">
                  <c:v>1</c:v>
                </c:pt>
                <c:pt idx="385">
                  <c:v>0.25</c:v>
                </c:pt>
                <c:pt idx="386">
                  <c:v>1</c:v>
                </c:pt>
                <c:pt idx="387">
                  <c:v>0</c:v>
                </c:pt>
                <c:pt idx="388">
                  <c:v>0</c:v>
                </c:pt>
                <c:pt idx="389">
                  <c:v>0.2</c:v>
                </c:pt>
                <c:pt idx="39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CD-4A6D-969F-B646518A2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316607"/>
        <c:axId val="336314527"/>
      </c:scatterChart>
      <c:valAx>
        <c:axId val="33631660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</a:t>
                </a:r>
                <a:r>
                  <a:rPr lang="fr-FR" baseline="0"/>
                  <a:t> de demandes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6314527"/>
        <c:crosses val="autoZero"/>
        <c:crossBetween val="midCat"/>
      </c:valAx>
      <c:valAx>
        <c:axId val="336314527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Taux de bonnes réponses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6316607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Evolution du nombre de mots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theme_words!$B$16</c:f>
              <c:strCache>
                <c:ptCount val="1"/>
                <c:pt idx="0">
                  <c:v>Nombre de mots</c:v>
                </c:pt>
              </c:strCache>
            </c:strRef>
          </c:tx>
          <c:spPr>
            <a:ln w="31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alpha val="70000"/>
                </a:schemeClr>
              </a:solidFill>
              <a:ln w="3175">
                <a:solidFill>
                  <a:sysClr val="windowText" lastClr="000000"/>
                </a:solidFill>
              </a:ln>
              <a:effectLst/>
            </c:spPr>
          </c:marker>
          <c:xVal>
            <c:numRef>
              <c:f>theme_words!$A$17:$A$26</c:f>
              <c:numCache>
                <c:formatCode>m/d/yyyy</c:formatCode>
                <c:ptCount val="10"/>
                <c:pt idx="0">
                  <c:v>44924</c:v>
                </c:pt>
                <c:pt idx="1">
                  <c:v>44925</c:v>
                </c:pt>
                <c:pt idx="2">
                  <c:v>44927</c:v>
                </c:pt>
                <c:pt idx="3">
                  <c:v>44936</c:v>
                </c:pt>
                <c:pt idx="4">
                  <c:v>44941</c:v>
                </c:pt>
                <c:pt idx="5">
                  <c:v>44948</c:v>
                </c:pt>
                <c:pt idx="6">
                  <c:v>44962</c:v>
                </c:pt>
                <c:pt idx="7">
                  <c:v>44969</c:v>
                </c:pt>
                <c:pt idx="8">
                  <c:v>44976</c:v>
                </c:pt>
                <c:pt idx="9">
                  <c:v>44983</c:v>
                </c:pt>
              </c:numCache>
            </c:numRef>
          </c:xVal>
          <c:yVal>
            <c:numRef>
              <c:f>theme_words!$B$17:$B$26</c:f>
              <c:numCache>
                <c:formatCode>General</c:formatCode>
                <c:ptCount val="10"/>
                <c:pt idx="0">
                  <c:v>439</c:v>
                </c:pt>
                <c:pt idx="1">
                  <c:v>446</c:v>
                </c:pt>
                <c:pt idx="2">
                  <c:v>452</c:v>
                </c:pt>
                <c:pt idx="3">
                  <c:v>482</c:v>
                </c:pt>
                <c:pt idx="4">
                  <c:v>499</c:v>
                </c:pt>
                <c:pt idx="5">
                  <c:v>535</c:v>
                </c:pt>
                <c:pt idx="6">
                  <c:v>570</c:v>
                </c:pt>
                <c:pt idx="7">
                  <c:v>585</c:v>
                </c:pt>
                <c:pt idx="8">
                  <c:v>595</c:v>
                </c:pt>
                <c:pt idx="9">
                  <c:v>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6-4805-85FB-706556A2A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706495"/>
        <c:axId val="320710239"/>
      </c:scatterChart>
      <c:valAx>
        <c:axId val="3207064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320710239"/>
        <c:crosses val="autoZero"/>
        <c:crossBetween val="midCat"/>
      </c:valAx>
      <c:valAx>
        <c:axId val="320710239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320706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Répartition des scores</cx:v>
        </cx:txData>
      </cx:tx>
      <cx:txPr>
        <a:bodyPr vertOverflow="overflow" horzOverflow="overflow" wrap="square" lIns="0" tIns="0" rIns="0" bIns="0"/>
        <a:lstStyle/>
        <a:p>
          <a:pPr algn="ctr" rtl="0">
            <a:defRPr lang="fr-FR"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r>
            <a:rPr lang="fr-FR"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Répartition des scores</a:t>
          </a:r>
        </a:p>
      </cx:txPr>
    </cx:title>
    <cx:plotArea>
      <cx:plotAreaRegion>
        <cx:series layoutId="clusteredColumn" uniqueId="{DEC48556-9F03-40C3-A266-D118537B6B6F}" formatIdx="0">
          <cx:spPr>
            <a:solidFill>
              <a:srgbClr val="ED7D31">
                <a:alpha val="40000"/>
              </a:srgbClr>
            </a:solidFill>
            <a:ln w="3175">
              <a:solidFill>
                <a:sysClr val="windowText" lastClr="000000"/>
              </a:solidFill>
            </a:ln>
          </cx:spPr>
          <cx:dataId val="0"/>
          <cx:layoutPr>
            <cx:binning intervalClosed="r">
              <cx:binSize val="1"/>
            </cx:binning>
          </cx:layoutPr>
        </cx:series>
      </cx:plotAreaRegion>
      <cx:axis id="0">
        <cx:catScaling gapWidth="0"/>
        <cx:tickLabels/>
        <cx:txPr>
          <a:bodyPr vertOverflow="overflow" horzOverflow="overflow" wrap="square" lIns="0" tIns="0" rIns="0" bIns="0"/>
          <a:lstStyle/>
          <a:p>
            <a:pPr algn="ctr" rtl="0">
              <a:defRPr lang="fr-FR"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 sz="8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cx:txPr>
      </cx:axis>
      <cx:axis id="1">
        <cx:valScaling max="200"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lang="fr-FR"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cx:txPr>
      </cx:axis>
    </cx:plotArea>
  </cx:chart>
  <cx:spPr>
    <a:ln w="9525">
      <a:solidFill>
        <a:sysClr val="windowText" lastClr="000000"/>
      </a:solidFill>
    </a:ln>
    <a:effectLst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chart" Target="../charts/chart2.xml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chart" Target="../charts/chart8.xml"/><Relationship Id="rId4" Type="http://schemas.openxmlformats.org/officeDocument/2006/relationships/image" Target="../media/image4.png"/><Relationship Id="rId9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149712</xdr:colOff>
      <xdr:row>0</xdr:row>
      <xdr:rowOff>129542</xdr:rowOff>
    </xdr:from>
    <xdr:to>
      <xdr:col>1</xdr:col>
      <xdr:colOff>66537</xdr:colOff>
      <xdr:row>1</xdr:row>
      <xdr:rowOff>294808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12" y="129542"/>
          <a:ext cx="932190" cy="54817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149466</xdr:colOff>
      <xdr:row>4</xdr:row>
      <xdr:rowOff>169509</xdr:rowOff>
    </xdr:from>
    <xdr:to>
      <xdr:col>1</xdr:col>
      <xdr:colOff>59163</xdr:colOff>
      <xdr:row>5</xdr:row>
      <xdr:rowOff>17109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66" y="1960209"/>
          <a:ext cx="926967" cy="4914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7</xdr:row>
      <xdr:rowOff>278775</xdr:rowOff>
    </xdr:from>
    <xdr:to>
      <xdr:col>1</xdr:col>
      <xdr:colOff>66537</xdr:colOff>
      <xdr:row>8</xdr:row>
      <xdr:rowOff>78751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712" y="4012575"/>
          <a:ext cx="932190" cy="44767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3</xdr:row>
      <xdr:rowOff>230841</xdr:rowOff>
    </xdr:from>
    <xdr:to>
      <xdr:col>1</xdr:col>
      <xdr:colOff>66537</xdr:colOff>
      <xdr:row>4</xdr:row>
      <xdr:rowOff>55776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9712" y="1373841"/>
          <a:ext cx="932190" cy="4688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2</xdr:row>
      <xdr:rowOff>29446</xdr:rowOff>
    </xdr:from>
    <xdr:to>
      <xdr:col>1</xdr:col>
      <xdr:colOff>66537</xdr:colOff>
      <xdr:row>3</xdr:row>
      <xdr:rowOff>130443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712" y="791446"/>
          <a:ext cx="932190" cy="47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8</xdr:row>
      <xdr:rowOff>186770</xdr:rowOff>
    </xdr:from>
    <xdr:to>
      <xdr:col>1</xdr:col>
      <xdr:colOff>66537</xdr:colOff>
      <xdr:row>9</xdr:row>
      <xdr:rowOff>126456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712" y="4568270"/>
          <a:ext cx="932190" cy="5854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5</xdr:row>
      <xdr:rowOff>130842</xdr:rowOff>
    </xdr:from>
    <xdr:to>
      <xdr:col>1</xdr:col>
      <xdr:colOff>66537</xdr:colOff>
      <xdr:row>6</xdr:row>
      <xdr:rowOff>101116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712" y="2569242"/>
          <a:ext cx="932190" cy="61987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6</xdr:row>
      <xdr:rowOff>216754</xdr:rowOff>
    </xdr:from>
    <xdr:to>
      <xdr:col>1</xdr:col>
      <xdr:colOff>66537</xdr:colOff>
      <xdr:row>7</xdr:row>
      <xdr:rowOff>163137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712" y="3302854"/>
          <a:ext cx="932190" cy="59217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272415</xdr:colOff>
      <xdr:row>0</xdr:row>
      <xdr:rowOff>76200</xdr:rowOff>
    </xdr:from>
    <xdr:to>
      <xdr:col>10</xdr:col>
      <xdr:colOff>385815</xdr:colOff>
      <xdr:row>9</xdr:row>
      <xdr:rowOff>447675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3</xdr:row>
          <xdr:rowOff>60960</xdr:rowOff>
        </xdr:from>
        <xdr:to>
          <xdr:col>3</xdr:col>
          <xdr:colOff>228600</xdr:colOff>
          <xdr:row>4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Interro !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502919</xdr:colOff>
      <xdr:row>0</xdr:row>
      <xdr:rowOff>85725</xdr:rowOff>
    </xdr:from>
    <xdr:to>
      <xdr:col>17</xdr:col>
      <xdr:colOff>608699</xdr:colOff>
      <xdr:row>9</xdr:row>
      <xdr:rowOff>454620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632460</xdr:colOff>
      <xdr:row>3</xdr:row>
      <xdr:rowOff>610339</xdr:rowOff>
    </xdr:from>
    <xdr:to>
      <xdr:col>10</xdr:col>
      <xdr:colOff>259080</xdr:colOff>
      <xdr:row>3</xdr:row>
      <xdr:rowOff>610339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2996837" y="1759870"/>
          <a:ext cx="66675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868680</xdr:colOff>
      <xdr:row>4</xdr:row>
      <xdr:rowOff>46459</xdr:rowOff>
    </xdr:from>
    <xdr:to>
      <xdr:col>17</xdr:col>
      <xdr:colOff>403860</xdr:colOff>
      <xdr:row>4</xdr:row>
      <xdr:rowOff>46459</xdr:rowOff>
    </xdr:to>
    <xdr:cxnSp macro="">
      <xdr:nvCxnSpPr>
        <xdr:cNvPr id="2" name="Connecteur droi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10271760" y="1837159"/>
          <a:ext cx="657606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137159</xdr:colOff>
      <xdr:row>0</xdr:row>
      <xdr:rowOff>140970</xdr:rowOff>
    </xdr:from>
    <xdr:to>
      <xdr:col>12</xdr:col>
      <xdr:colOff>112679</xdr:colOff>
      <xdr:row>16</xdr:row>
      <xdr:rowOff>77610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34290</xdr:colOff>
      <xdr:row>0</xdr:row>
      <xdr:rowOff>68580</xdr:rowOff>
    </xdr:from>
    <xdr:to>
      <xdr:col>5</xdr:col>
      <xdr:colOff>45270</xdr:colOff>
      <xdr:row>18</xdr:row>
      <xdr:rowOff>117660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236220</xdr:colOff>
      <xdr:row>0</xdr:row>
      <xdr:rowOff>99060</xdr:rowOff>
    </xdr:from>
    <xdr:to>
      <xdr:col>11</xdr:col>
      <xdr:colOff>826320</xdr:colOff>
      <xdr:row>18</xdr:row>
      <xdr:rowOff>148140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phiqu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1360" y="99060"/>
              <a:ext cx="3600000" cy="36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939162</xdr:colOff>
      <xdr:row>0</xdr:row>
      <xdr:rowOff>66674</xdr:rowOff>
    </xdr:from>
    <xdr:to>
      <xdr:col>20</xdr:col>
      <xdr:colOff>457200</xdr:colOff>
      <xdr:row>22</xdr:row>
      <xdr:rowOff>129539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111512</xdr:colOff>
      <xdr:row>1</xdr:row>
      <xdr:rowOff>14868</xdr:rowOff>
    </xdr:from>
    <xdr:to>
      <xdr:col>20</xdr:col>
      <xdr:colOff>419100</xdr:colOff>
      <xdr:row>6</xdr:row>
      <xdr:rowOff>0</xdr:rowOff>
    </xdr:to>
    <xdr:cxnSp macro="">
      <xdr:nvCxnSpPr>
        <xdr:cNvPr id="4" name="Connecteur droi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H="1" flipV="1">
          <a:off x="12341612" y="205368"/>
          <a:ext cx="3660388" cy="968112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57150</xdr:rowOff>
    </xdr:from>
    <xdr:to>
      <xdr:col>8</xdr:col>
      <xdr:colOff>281040</xdr:colOff>
      <xdr:row>14</xdr:row>
      <xdr:rowOff>136710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149712</xdr:colOff>
      <xdr:row>0</xdr:row>
      <xdr:rowOff>129542</xdr:rowOff>
    </xdr:from>
    <xdr:to>
      <xdr:col>1</xdr:col>
      <xdr:colOff>66537</xdr:colOff>
      <xdr:row>1</xdr:row>
      <xdr:rowOff>294808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12" y="129542"/>
          <a:ext cx="897900" cy="54626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149466</xdr:colOff>
      <xdr:row>4</xdr:row>
      <xdr:rowOff>169509</xdr:rowOff>
    </xdr:from>
    <xdr:to>
      <xdr:col>1</xdr:col>
      <xdr:colOff>59163</xdr:colOff>
      <xdr:row>5</xdr:row>
      <xdr:rowOff>17109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66" y="1960209"/>
          <a:ext cx="890772" cy="4953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7</xdr:row>
      <xdr:rowOff>278775</xdr:rowOff>
    </xdr:from>
    <xdr:to>
      <xdr:col>1</xdr:col>
      <xdr:colOff>66537</xdr:colOff>
      <xdr:row>8</xdr:row>
      <xdr:rowOff>78751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712" y="4012575"/>
          <a:ext cx="897900" cy="44767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3</xdr:row>
      <xdr:rowOff>230841</xdr:rowOff>
    </xdr:from>
    <xdr:to>
      <xdr:col>1</xdr:col>
      <xdr:colOff>66537</xdr:colOff>
      <xdr:row>4</xdr:row>
      <xdr:rowOff>55776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9712" y="1373841"/>
          <a:ext cx="897900" cy="47263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2</xdr:row>
      <xdr:rowOff>29446</xdr:rowOff>
    </xdr:from>
    <xdr:to>
      <xdr:col>1</xdr:col>
      <xdr:colOff>66537</xdr:colOff>
      <xdr:row>3</xdr:row>
      <xdr:rowOff>130443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712" y="791446"/>
          <a:ext cx="897900" cy="4819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8</xdr:row>
      <xdr:rowOff>186770</xdr:rowOff>
    </xdr:from>
    <xdr:to>
      <xdr:col>1</xdr:col>
      <xdr:colOff>66537</xdr:colOff>
      <xdr:row>9</xdr:row>
      <xdr:rowOff>126456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712" y="4568270"/>
          <a:ext cx="897900" cy="58738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5</xdr:row>
      <xdr:rowOff>130842</xdr:rowOff>
    </xdr:from>
    <xdr:to>
      <xdr:col>1</xdr:col>
      <xdr:colOff>66537</xdr:colOff>
      <xdr:row>6</xdr:row>
      <xdr:rowOff>101116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712" y="2569242"/>
          <a:ext cx="897900" cy="61797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149712</xdr:colOff>
      <xdr:row>6</xdr:row>
      <xdr:rowOff>216754</xdr:rowOff>
    </xdr:from>
    <xdr:to>
      <xdr:col>1</xdr:col>
      <xdr:colOff>66537</xdr:colOff>
      <xdr:row>7</xdr:row>
      <xdr:rowOff>163137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712" y="3302854"/>
          <a:ext cx="897900" cy="59408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272415</xdr:colOff>
      <xdr:row>0</xdr:row>
      <xdr:rowOff>76200</xdr:rowOff>
    </xdr:from>
    <xdr:to>
      <xdr:col>10</xdr:col>
      <xdr:colOff>385815</xdr:colOff>
      <xdr:row>9</xdr:row>
      <xdr:rowOff>447675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3</xdr:row>
          <xdr:rowOff>60960</xdr:rowOff>
        </xdr:from>
        <xdr:to>
          <xdr:col>3</xdr:col>
          <xdr:colOff>228600</xdr:colOff>
          <xdr:row>4</xdr:row>
          <xdr:rowOff>137160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Interro !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502919</xdr:colOff>
      <xdr:row>0</xdr:row>
      <xdr:rowOff>85725</xdr:rowOff>
    </xdr:from>
    <xdr:to>
      <xdr:col>17</xdr:col>
      <xdr:colOff>608699</xdr:colOff>
      <xdr:row>9</xdr:row>
      <xdr:rowOff>454620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68580</xdr:rowOff>
    </xdr:from>
    <xdr:to>
      <xdr:col>4</xdr:col>
      <xdr:colOff>762000</xdr:colOff>
      <xdr:row>14</xdr:row>
      <xdr:rowOff>148140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220980</xdr:colOff>
      <xdr:row>0</xdr:row>
      <xdr:rowOff>129540</xdr:rowOff>
    </xdr:from>
    <xdr:to>
      <xdr:col>14</xdr:col>
      <xdr:colOff>722100</xdr:colOff>
      <xdr:row>21</xdr:row>
      <xdr:rowOff>169680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145152</xdr:colOff>
      <xdr:row>1</xdr:row>
      <xdr:rowOff>19329</xdr:rowOff>
    </xdr:from>
    <xdr:to>
      <xdr:col>14</xdr:col>
      <xdr:colOff>635620</xdr:colOff>
      <xdr:row>5</xdr:row>
      <xdr:rowOff>164481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 flipH="1" flipV="1">
          <a:off x="8245212" y="270789"/>
          <a:ext cx="3660388" cy="9681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57150</xdr:rowOff>
    </xdr:from>
    <xdr:to>
      <xdr:col>8</xdr:col>
      <xdr:colOff>281040</xdr:colOff>
      <xdr:row>14</xdr:row>
      <xdr:rowOff>136710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4986.837396875002" createdVersion="7" refreshedVersion="8" minRefreshableVersion="3" recordCount="2787" xr:uid="{237D33B6-97E7-47A2-8FD8-1253F2BEF1B7}">
  <cacheSource type="worksheet">
    <worksheetSource name="Tableau6"/>
  </cacheSource>
  <cacheFields count="6">
    <cacheField name="english" numFmtId="0">
      <sharedItems/>
    </cacheField>
    <cacheField name="français" numFmtId="0">
      <sharedItems/>
    </cacheField>
    <cacheField name="Date" numFmtId="164">
      <sharedItems containsSemiMixedTypes="0" containsNonDate="0" containsDate="1" containsString="0" minDate="2011-03-09T00:00:00" maxDate="2023-02-27T00:00:00"/>
    </cacheField>
    <cacheField name="Nb" numFmtId="0">
      <sharedItems containsSemiMixedTypes="0" containsString="0" containsNumber="1" containsInteger="1" minValue="0" maxValue="46" count="45">
        <n v="10"/>
        <n v="13"/>
        <n v="7"/>
        <n v="8"/>
        <n v="6"/>
        <n v="11"/>
        <n v="16"/>
        <n v="12"/>
        <n v="14"/>
        <n v="5"/>
        <n v="9"/>
        <n v="15"/>
        <n v="4"/>
        <n v="3"/>
        <n v="1"/>
        <n v="2"/>
        <n v="17"/>
        <n v="19"/>
        <n v="18"/>
        <n v="21"/>
        <n v="20"/>
        <n v="24"/>
        <n v="22"/>
        <n v="23"/>
        <n v="26"/>
        <n v="28"/>
        <n v="25"/>
        <n v="32"/>
        <n v="27"/>
        <n v="29"/>
        <n v="30"/>
        <n v="33"/>
        <n v="35"/>
        <n v="0"/>
        <n v="36"/>
        <n v="31"/>
        <n v="34"/>
        <n v="38"/>
        <n v="42"/>
        <n v="40" u="1"/>
        <n v="46" u="1"/>
        <n v="37" u="1"/>
        <n v="39" u="1"/>
        <n v="41" u="1"/>
        <n v="45" u="1"/>
      </sharedItems>
    </cacheField>
    <cacheField name="Score" numFmtId="0">
      <sharedItems containsSemiMixedTypes="0" containsString="0" containsNumber="1" containsInteger="1" minValue="-18" maxValue="24"/>
    </cacheField>
    <cacheField name="Taux" numFmtId="2">
      <sharedItems containsSemiMixedTypes="0" containsString="0" containsNumber="1" minValue="-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4986.844778587962" createdVersion="8" refreshedVersion="8" minRefreshableVersion="3" recordCount="611" xr:uid="{036E45DC-C40B-42EA-B013-D5EE60CB9DEE}">
  <cacheSource type="worksheet">
    <worksheetSource name="Tableau1"/>
  </cacheSource>
  <cacheFields count="6">
    <cacheField name="Anglais" numFmtId="0">
      <sharedItems/>
    </cacheField>
    <cacheField name="Français" numFmtId="0">
      <sharedItems/>
    </cacheField>
    <cacheField name="Date" numFmtId="164">
      <sharedItems containsSemiMixedTypes="0" containsNonDate="0" containsDate="1" containsString="0" minDate="2011-03-09T00:00:00" maxDate="2022-07-10T00:00:00"/>
    </cacheField>
    <cacheField name="Nb" numFmtId="0">
      <sharedItems containsSemiMixedTypes="0" containsString="0" containsNumber="1" containsInteger="1" minValue="0" maxValue="12" count="13">
        <n v="2"/>
        <n v="0"/>
        <n v="1"/>
        <n v="3"/>
        <n v="4"/>
        <n v="5"/>
        <n v="6"/>
        <n v="7"/>
        <n v="8"/>
        <n v="9"/>
        <n v="10"/>
        <n v="12"/>
        <n v="11"/>
      </sharedItems>
    </cacheField>
    <cacheField name="Score" numFmtId="0">
      <sharedItems containsSemiMixedTypes="0" containsString="0" containsNumber="1" containsInteger="1" minValue="-4" maxValue="9"/>
    </cacheField>
    <cacheField name="Taux" numFmtId="0">
      <sharedItems containsSemiMixedTypes="0" containsString="0" containsNumber="1" minValue="-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87">
  <r>
    <s v="far-flung"/>
    <s v="lointain / vaste"/>
    <d v="2018-12-04T00:00:00"/>
    <x v="0"/>
    <n v="-10"/>
    <n v="-1"/>
  </r>
  <r>
    <s v="to ream"/>
    <s v="fraiser / presser"/>
    <d v="2021-09-05T00:00:00"/>
    <x v="1"/>
    <n v="-13"/>
    <n v="-1"/>
  </r>
  <r>
    <s v="awry (adj.)"/>
    <s v="de travers, courbé"/>
    <d v="2021-09-13T00:00:00"/>
    <x v="2"/>
    <n v="-7"/>
    <n v="-1"/>
  </r>
  <r>
    <s v="a hoard"/>
    <s v="un magot / une provision"/>
    <d v="2021-09-25T00:00:00"/>
    <x v="1"/>
    <n v="-13"/>
    <n v="-1"/>
  </r>
  <r>
    <s v="a filling cabinet"/>
    <s v="un classeur"/>
    <d v="2021-10-02T00:00:00"/>
    <x v="3"/>
    <n v="-8"/>
    <n v="-1"/>
  </r>
  <r>
    <s v="a plum"/>
    <s v="une prune"/>
    <d v="2021-10-25T00:00:00"/>
    <x v="4"/>
    <n v="-6"/>
    <n v="-1"/>
  </r>
  <r>
    <s v="to loll"/>
    <s v="se prélasser"/>
    <d v="2021-11-19T00:00:00"/>
    <x v="5"/>
    <n v="-11"/>
    <n v="-1"/>
  </r>
  <r>
    <s v="slew (adj.)"/>
    <s v="abattu, meurtri / déporté violemment"/>
    <d v="2021-11-24T00:00:00"/>
    <x v="2"/>
    <n v="-7"/>
    <n v="-1"/>
  </r>
  <r>
    <s v="a yank"/>
    <s v="un coup sec, une saccade"/>
    <d v="2021-11-29T00:00:00"/>
    <x v="1"/>
    <n v="-13"/>
    <n v="-1"/>
  </r>
  <r>
    <s v="to elicit"/>
    <s v="obtenir / provoquer"/>
    <d v="2021-12-03T00:00:00"/>
    <x v="6"/>
    <n v="-16"/>
    <n v="-1"/>
  </r>
  <r>
    <s v="a decoy"/>
    <s v="un leurre"/>
    <d v="2021-12-04T00:00:00"/>
    <x v="3"/>
    <n v="-8"/>
    <n v="-1"/>
  </r>
  <r>
    <s v="a backdrop"/>
    <s v="une toile de fond"/>
    <d v="2021-12-05T00:00:00"/>
    <x v="3"/>
    <n v="-8"/>
    <n v="-1"/>
  </r>
  <r>
    <s v="whey (common name)"/>
    <s v="du petit lait"/>
    <d v="2021-12-19T00:00:00"/>
    <x v="7"/>
    <n v="-12"/>
    <n v="-1"/>
  </r>
  <r>
    <s v="a rachet"/>
    <s v="un cliquet"/>
    <d v="2021-12-24T00:00:00"/>
    <x v="2"/>
    <n v="-7"/>
    <n v="-1"/>
  </r>
  <r>
    <s v="to divest"/>
    <s v="dépouiller, priver"/>
    <d v="2021-12-27T00:00:00"/>
    <x v="8"/>
    <n v="-14"/>
    <n v="-1"/>
  </r>
  <r>
    <s v="to garble"/>
    <s v="brouiller, déformer"/>
    <d v="2022-01-02T00:00:00"/>
    <x v="1"/>
    <n v="-13"/>
    <n v="-1"/>
  </r>
  <r>
    <s v="to slog"/>
    <s v="bosser, donner un grand coup"/>
    <d v="2022-01-03T00:00:00"/>
    <x v="0"/>
    <n v="-10"/>
    <n v="-1"/>
  </r>
  <r>
    <s v="hefty (adj.)"/>
    <s v="lourd, gros / costaud"/>
    <d v="2022-01-06T00:00:00"/>
    <x v="1"/>
    <n v="-13"/>
    <n v="-1"/>
  </r>
  <r>
    <s v="dredging (common name)"/>
    <s v="le dragage"/>
    <d v="2022-01-14T00:00:00"/>
    <x v="3"/>
    <n v="-8"/>
    <n v="-1"/>
  </r>
  <r>
    <s v="a standoff"/>
    <s v="une impasse / une confrontation"/>
    <d v="2022-01-15T00:00:00"/>
    <x v="9"/>
    <n v="-5"/>
    <n v="-1"/>
  </r>
  <r>
    <s v="barmy"/>
    <s v="timbré, maboul"/>
    <d v="2022-01-23T00:00:00"/>
    <x v="10"/>
    <n v="-9"/>
    <n v="-1"/>
  </r>
  <r>
    <s v="a shortfall"/>
    <s v="un manque à gagner / un montant insuffisant"/>
    <d v="2022-01-28T00:00:00"/>
    <x v="5"/>
    <n v="-11"/>
    <n v="-1"/>
  </r>
  <r>
    <s v="to muffle"/>
    <s v="étouffer, assourdir"/>
    <d v="2022-01-30T00:00:00"/>
    <x v="7"/>
    <n v="-12"/>
    <n v="-1"/>
  </r>
  <r>
    <s v="the clout"/>
    <s v="le poids, l'influence"/>
    <d v="2022-01-30T00:00:00"/>
    <x v="5"/>
    <n v="-11"/>
    <n v="-1"/>
  </r>
  <r>
    <s v="to warble"/>
    <s v="gazouiller, roucouler"/>
    <d v="2022-01-30T00:00:00"/>
    <x v="3"/>
    <n v="-8"/>
    <n v="-1"/>
  </r>
  <r>
    <s v="to pilfer"/>
    <s v="chaparder"/>
    <d v="2022-01-31T00:00:00"/>
    <x v="7"/>
    <n v="-12"/>
    <n v="-1"/>
  </r>
  <r>
    <s v="to simmer"/>
    <s v="mijoter, frémir"/>
    <d v="2022-02-03T00:00:00"/>
    <x v="8"/>
    <n v="-14"/>
    <n v="-1"/>
  </r>
  <r>
    <s v="to hobble"/>
    <s v="entraver"/>
    <d v="2022-02-04T00:00:00"/>
    <x v="0"/>
    <n v="-10"/>
    <n v="-1"/>
  </r>
  <r>
    <s v="itty bitty (adj.)"/>
    <s v="tout petit"/>
    <d v="2022-02-05T00:00:00"/>
    <x v="10"/>
    <n v="-9"/>
    <n v="-1"/>
  </r>
  <r>
    <s v="to sulk"/>
    <s v="bouder"/>
    <d v="2022-02-10T00:00:00"/>
    <x v="10"/>
    <n v="-9"/>
    <n v="-1"/>
  </r>
  <r>
    <s v="to scavenge"/>
    <s v="récupérer / faire les poubelles"/>
    <d v="2022-02-12T00:00:00"/>
    <x v="4"/>
    <n v="-6"/>
    <n v="-1"/>
  </r>
  <r>
    <s v="to segue"/>
    <s v="enchaîner"/>
    <d v="2022-02-13T00:00:00"/>
    <x v="9"/>
    <n v="-5"/>
    <n v="-1"/>
  </r>
  <r>
    <s v="a weir"/>
    <s v="un seuil / un barrage"/>
    <d v="2022-02-15T00:00:00"/>
    <x v="5"/>
    <n v="-11"/>
    <n v="-1"/>
  </r>
  <r>
    <s v="a knack (colloquial)"/>
    <s v="un tour de main"/>
    <d v="2022-02-15T00:00:00"/>
    <x v="4"/>
    <n v="-6"/>
    <n v="-1"/>
  </r>
  <r>
    <s v="battered"/>
    <s v="bosselé, cabossé"/>
    <d v="2022-02-23T00:00:00"/>
    <x v="2"/>
    <n v="-7"/>
    <n v="-1"/>
  </r>
  <r>
    <s v="to crumple"/>
    <s v="froisser"/>
    <d v="2022-02-23T00:00:00"/>
    <x v="3"/>
    <n v="-8"/>
    <n v="-1"/>
  </r>
  <r>
    <s v="lingo (common name)"/>
    <s v="le jargon, le charabia"/>
    <d v="2022-02-28T00:00:00"/>
    <x v="9"/>
    <n v="-5"/>
    <n v="-1"/>
  </r>
  <r>
    <s v="a fulcrum"/>
    <s v="un point d'appui"/>
    <d v="2022-03-06T00:00:00"/>
    <x v="3"/>
    <n v="-8"/>
    <n v="-1"/>
  </r>
  <r>
    <s v="bantering (adj.)"/>
    <s v="goguenard"/>
    <d v="2022-03-06T00:00:00"/>
    <x v="9"/>
    <n v="-5"/>
    <n v="-1"/>
  </r>
  <r>
    <s v="a girder"/>
    <s v="une poutre, un longeron"/>
    <d v="2022-03-13T00:00:00"/>
    <x v="0"/>
    <n v="-10"/>
    <n v="-1"/>
  </r>
  <r>
    <s v="a bevy"/>
    <s v="une bande"/>
    <d v="2022-03-13T00:00:00"/>
    <x v="4"/>
    <n v="-6"/>
    <n v="-1"/>
  </r>
  <r>
    <s v="a tipoff"/>
    <s v="une dénonciation"/>
    <d v="2022-03-13T00:00:00"/>
    <x v="10"/>
    <n v="-9"/>
    <n v="-1"/>
  </r>
  <r>
    <s v="crufty (adj.)"/>
    <s v="cruel"/>
    <d v="2022-03-13T00:00:00"/>
    <x v="11"/>
    <n v="-15"/>
    <n v="-1"/>
  </r>
  <r>
    <s v="flippant (adj.)"/>
    <s v="désinvolte"/>
    <d v="2022-03-13T00:00:00"/>
    <x v="12"/>
    <n v="-4"/>
    <n v="-1"/>
  </r>
  <r>
    <s v="a fallback"/>
    <s v="une solution de repli"/>
    <d v="2022-03-15T00:00:00"/>
    <x v="10"/>
    <n v="-9"/>
    <n v="-1"/>
  </r>
  <r>
    <s v="a bairn"/>
    <s v="un enfant"/>
    <d v="2022-03-19T00:00:00"/>
    <x v="9"/>
    <n v="-5"/>
    <n v="-1"/>
  </r>
  <r>
    <s v="a tub"/>
    <s v="un bac, une baignoire"/>
    <d v="2022-03-20T00:00:00"/>
    <x v="4"/>
    <n v="-6"/>
    <n v="-1"/>
  </r>
  <r>
    <s v="outwitted"/>
    <s v="déjoué"/>
    <d v="2022-03-20T00:00:00"/>
    <x v="0"/>
    <n v="-10"/>
    <n v="-1"/>
  </r>
  <r>
    <s v="wicked (adj.)"/>
    <s v="méchant, mauvais, inique"/>
    <d v="2022-03-20T00:00:00"/>
    <x v="10"/>
    <n v="-9"/>
    <n v="-1"/>
  </r>
  <r>
    <s v="snappy"/>
    <s v="vif, dynamique"/>
    <d v="2022-03-21T00:00:00"/>
    <x v="3"/>
    <n v="-8"/>
    <n v="-1"/>
  </r>
  <r>
    <s v="wacky"/>
    <s v="farfelu"/>
    <d v="2022-03-22T00:00:00"/>
    <x v="1"/>
    <n v="-13"/>
    <n v="-1"/>
  </r>
  <r>
    <s v="to squint"/>
    <s v="loucher / plisser les yeux"/>
    <d v="2022-03-27T00:00:00"/>
    <x v="9"/>
    <n v="-5"/>
    <n v="-1"/>
  </r>
  <r>
    <s v="a covenant"/>
    <s v="un engagement / un accord"/>
    <d v="2022-03-31T00:00:00"/>
    <x v="9"/>
    <n v="-5"/>
    <n v="-1"/>
  </r>
  <r>
    <s v="to equate"/>
    <s v="assimiler"/>
    <d v="2022-03-31T00:00:00"/>
    <x v="4"/>
    <n v="-6"/>
    <n v="-1"/>
  </r>
  <r>
    <s v="a grove"/>
    <s v="un bosquet, un jardin"/>
    <d v="2022-04-01T00:00:00"/>
    <x v="7"/>
    <n v="-12"/>
    <n v="-1"/>
  </r>
  <r>
    <s v="to botch"/>
    <s v="bousiller, saboter / rafistoler"/>
    <d v="2022-04-02T00:00:00"/>
    <x v="12"/>
    <n v="-4"/>
    <n v="-1"/>
  </r>
  <r>
    <s v="to rant"/>
    <s v="divaguer / parler avec emphase"/>
    <d v="2022-04-02T00:00:00"/>
    <x v="4"/>
    <n v="-6"/>
    <n v="-1"/>
  </r>
  <r>
    <s v="splits (common name)"/>
    <s v="le grand écart"/>
    <d v="2022-04-05T00:00:00"/>
    <x v="5"/>
    <n v="-11"/>
    <n v="-1"/>
  </r>
  <r>
    <s v="to saunter"/>
    <s v="flâner, se balader"/>
    <d v="2022-04-08T00:00:00"/>
    <x v="10"/>
    <n v="-9"/>
    <n v="-1"/>
  </r>
  <r>
    <s v="to smear"/>
    <s v="diffamer"/>
    <d v="2022-04-18T00:00:00"/>
    <x v="4"/>
    <n v="-6"/>
    <n v="-1"/>
  </r>
  <r>
    <s v="a puck"/>
    <s v="un palet"/>
    <d v="2022-04-19T00:00:00"/>
    <x v="4"/>
    <n v="-6"/>
    <n v="-1"/>
  </r>
  <r>
    <s v="to dawdle"/>
    <s v="lambiner, flâner"/>
    <d v="2022-04-24T00:00:00"/>
    <x v="10"/>
    <n v="-9"/>
    <n v="-1"/>
  </r>
  <r>
    <s v="to foil"/>
    <s v="déjouer / tirer au sabre"/>
    <d v="2022-05-16T00:00:00"/>
    <x v="3"/>
    <n v="-8"/>
    <n v="-1"/>
  </r>
  <r>
    <s v="dorky"/>
    <s v="idiot"/>
    <d v="2022-05-18T00:00:00"/>
    <x v="13"/>
    <n v="-3"/>
    <n v="-1"/>
  </r>
  <r>
    <s v="clogs (common name)"/>
    <s v="les sabots"/>
    <d v="2022-05-21T00:00:00"/>
    <x v="4"/>
    <n v="-6"/>
    <n v="-1"/>
  </r>
  <r>
    <s v="duress (common name)"/>
    <s v="la contrainte"/>
    <d v="2022-05-22T00:00:00"/>
    <x v="2"/>
    <n v="-7"/>
    <n v="-1"/>
  </r>
  <r>
    <s v="rye (common name)"/>
    <s v="le seigle"/>
    <d v="2022-05-26T00:00:00"/>
    <x v="4"/>
    <n v="-6"/>
    <n v="-1"/>
  </r>
  <r>
    <s v="to speckle"/>
    <s v="tacheter, moucheter"/>
    <d v="2022-05-26T00:00:00"/>
    <x v="4"/>
    <n v="-6"/>
    <n v="-1"/>
  </r>
  <r>
    <s v="a key fob"/>
    <s v="un porte-clés"/>
    <d v="2022-06-11T00:00:00"/>
    <x v="14"/>
    <n v="-1"/>
    <n v="-1"/>
  </r>
  <r>
    <s v="a dealership"/>
    <s v="une concession / une procuration"/>
    <d v="2022-06-20T00:00:00"/>
    <x v="9"/>
    <n v="-5"/>
    <n v="-1"/>
  </r>
  <r>
    <s v="cordoned"/>
    <s v="encerclé"/>
    <d v="2022-06-23T00:00:00"/>
    <x v="2"/>
    <n v="-7"/>
    <n v="-1"/>
  </r>
  <r>
    <s v="choppy"/>
    <s v="agité, houleux"/>
    <d v="2022-07-07T00:00:00"/>
    <x v="4"/>
    <n v="-6"/>
    <n v="-1"/>
  </r>
  <r>
    <s v="a sash"/>
    <s v="une ceinture / une écharpe"/>
    <d v="2022-07-31T00:00:00"/>
    <x v="12"/>
    <n v="-4"/>
    <n v="-1"/>
  </r>
  <r>
    <s v="a sprocket"/>
    <s v="un pignon (de vélo)"/>
    <d v="2022-08-07T00:00:00"/>
    <x v="12"/>
    <n v="-4"/>
    <n v="-1"/>
  </r>
  <r>
    <s v="hemp (common name)"/>
    <s v="le chanvre"/>
    <d v="2022-08-07T00:00:00"/>
    <x v="13"/>
    <n v="-3"/>
    <n v="-1"/>
  </r>
  <r>
    <s v="to swelter"/>
    <s v="étouffer de chaleur"/>
    <d v="2022-08-10T00:00:00"/>
    <x v="3"/>
    <n v="-8"/>
    <n v="-1"/>
  </r>
  <r>
    <s v="iffy (adj.)"/>
    <s v="douteux"/>
    <d v="2022-08-21T00:00:00"/>
    <x v="10"/>
    <n v="-9"/>
    <n v="-1"/>
  </r>
  <r>
    <s v="grudge (common name)"/>
    <s v="la rancune"/>
    <d v="2022-09-01T00:00:00"/>
    <x v="9"/>
    <n v="-5"/>
    <n v="-1"/>
  </r>
  <r>
    <s v="aspen (common name)"/>
    <s v="le tremble"/>
    <d v="2022-09-03T00:00:00"/>
    <x v="12"/>
    <n v="-4"/>
    <n v="-1"/>
  </r>
  <r>
    <s v="musings (common name)"/>
    <s v="des rêveries / des réflexions"/>
    <d v="2022-09-07T00:00:00"/>
    <x v="12"/>
    <n v="-4"/>
    <n v="-1"/>
  </r>
  <r>
    <s v="uncough (adj.)"/>
    <s v="grossier, incongru"/>
    <d v="2022-09-07T00:00:00"/>
    <x v="13"/>
    <n v="-3"/>
    <n v="-1"/>
  </r>
  <r>
    <s v="tongs (common name)"/>
    <s v="des pinces de cuisine"/>
    <d v="2022-09-13T00:00:00"/>
    <x v="15"/>
    <n v="-2"/>
    <n v="-1"/>
  </r>
  <r>
    <s v="cogent (adj.)"/>
    <s v="convaincant"/>
    <d v="2022-10-06T00:00:00"/>
    <x v="12"/>
    <n v="-4"/>
    <n v="-1"/>
  </r>
  <r>
    <s v="to shrivel"/>
    <s v="se ratatiner"/>
    <d v="2022-10-28T00:00:00"/>
    <x v="4"/>
    <n v="-6"/>
    <n v="-1"/>
  </r>
  <r>
    <s v="a pitcher"/>
    <s v="un pichet, une cruche, un broc"/>
    <d v="2022-11-01T00:00:00"/>
    <x v="13"/>
    <n v="-3"/>
    <n v="-1"/>
  </r>
  <r>
    <s v="a timeout"/>
    <s v="un temps mort / une pause"/>
    <d v="2022-11-01T00:00:00"/>
    <x v="12"/>
    <n v="-4"/>
    <n v="-1"/>
  </r>
  <r>
    <s v="a moniker"/>
    <s v="un sobriquet"/>
    <d v="2022-11-12T00:00:00"/>
    <x v="15"/>
    <n v="-2"/>
    <n v="-1"/>
  </r>
  <r>
    <s v="a wench"/>
    <s v="une jeune fille"/>
    <d v="2022-11-12T00:00:00"/>
    <x v="13"/>
    <n v="-3"/>
    <n v="-1"/>
  </r>
  <r>
    <s v="slums (common name)"/>
    <s v="des bidonvilles"/>
    <d v="2022-11-13T00:00:00"/>
    <x v="15"/>
    <n v="-2"/>
    <n v="-1"/>
  </r>
  <r>
    <s v="a drivel"/>
    <s v="une imbécilité, une bêtise"/>
    <d v="2022-11-17T00:00:00"/>
    <x v="12"/>
    <n v="-4"/>
    <n v="-1"/>
  </r>
  <r>
    <s v="shin (common name)"/>
    <s v="le tibia"/>
    <d v="2022-11-19T00:00:00"/>
    <x v="12"/>
    <n v="-4"/>
    <n v="-1"/>
  </r>
  <r>
    <s v="to cater"/>
    <s v="approvisionner"/>
    <d v="2022-11-19T00:00:00"/>
    <x v="15"/>
    <n v="-2"/>
    <n v="-1"/>
  </r>
  <r>
    <s v="It's a lost and found case."/>
    <s v="C'est évident."/>
    <d v="2022-11-20T00:00:00"/>
    <x v="14"/>
    <n v="-1"/>
    <n v="-1"/>
  </r>
  <r>
    <s v="a hunk"/>
    <s v="un gros morceau"/>
    <d v="2022-11-21T00:00:00"/>
    <x v="12"/>
    <n v="-4"/>
    <n v="-1"/>
  </r>
  <r>
    <s v="to smite"/>
    <s v="châtier, déchirer, tourmenter"/>
    <d v="2022-11-24T00:00:00"/>
    <x v="14"/>
    <n v="-1"/>
    <n v="-1"/>
  </r>
  <r>
    <s v="to gouge"/>
    <s v="escroquer"/>
    <d v="2022-11-27T00:00:00"/>
    <x v="13"/>
    <n v="-3"/>
    <n v="-1"/>
  </r>
  <r>
    <s v="a derelict"/>
    <s v="un délaissement / une épave"/>
    <d v="2022-12-09T00:00:00"/>
    <x v="15"/>
    <n v="-2"/>
    <n v="-1"/>
  </r>
  <r>
    <s v="cladding (common name)"/>
    <s v="le revêtement"/>
    <d v="2022-12-10T00:00:00"/>
    <x v="13"/>
    <n v="-3"/>
    <n v="-1"/>
  </r>
  <r>
    <s v="whopping (adj.)"/>
    <s v="énorme, géant"/>
    <d v="2022-12-11T00:00:00"/>
    <x v="15"/>
    <n v="-2"/>
    <n v="-1"/>
  </r>
  <r>
    <s v="a blotter"/>
    <s v="un registre / un buvard"/>
    <d v="2022-12-23T00:00:00"/>
    <x v="12"/>
    <n v="-4"/>
    <n v="-1"/>
  </r>
  <r>
    <s v="a jackscrew"/>
    <s v="un cric"/>
    <d v="2022-12-23T00:00:00"/>
    <x v="14"/>
    <n v="-1"/>
    <n v="-1"/>
  </r>
  <r>
    <s v="a shim"/>
    <s v="une cale"/>
    <d v="2022-12-23T00:00:00"/>
    <x v="15"/>
    <n v="-2"/>
    <n v="-1"/>
  </r>
  <r>
    <s v="a stud"/>
    <s v="un goujon"/>
    <d v="2022-12-23T00:00:00"/>
    <x v="14"/>
    <n v="-1"/>
    <n v="-1"/>
  </r>
  <r>
    <s v="fairing (common name)"/>
    <s v="le carénage"/>
    <d v="2022-12-23T00:00:00"/>
    <x v="14"/>
    <n v="-1"/>
    <n v="-1"/>
  </r>
  <r>
    <s v="to braid"/>
    <s v="tresser"/>
    <d v="2022-12-23T00:00:00"/>
    <x v="15"/>
    <n v="-2"/>
    <n v="-1"/>
  </r>
  <r>
    <s v="a rudder"/>
    <s v=" un gouvernail"/>
    <d v="2022-12-25T00:00:00"/>
    <x v="14"/>
    <n v="-1"/>
    <n v="-1"/>
  </r>
  <r>
    <s v="a rink"/>
    <s v="une patinoire"/>
    <d v="2022-12-28T00:00:00"/>
    <x v="14"/>
    <n v="-1"/>
    <n v="-1"/>
  </r>
  <r>
    <s v="to construe"/>
    <s v="interpréter"/>
    <d v="2022-12-29T00:00:00"/>
    <x v="15"/>
    <n v="-2"/>
    <n v="-1"/>
  </r>
  <r>
    <s v="to vet"/>
    <s v="examiner"/>
    <d v="2022-12-31T00:00:00"/>
    <x v="15"/>
    <n v="-2"/>
    <n v="-1"/>
  </r>
  <r>
    <s v="a canister"/>
    <s v="une boîte, un bidon"/>
    <d v="2023-01-01T00:00:00"/>
    <x v="14"/>
    <n v="-1"/>
    <n v="-1"/>
  </r>
  <r>
    <s v="a polecat"/>
    <s v="un putois"/>
    <d v="2023-01-02T00:00:00"/>
    <x v="12"/>
    <n v="-4"/>
    <n v="-1"/>
  </r>
  <r>
    <s v="a ward"/>
    <s v="un quartier"/>
    <d v="2023-01-07T00:00:00"/>
    <x v="14"/>
    <n v="-1"/>
    <n v="-1"/>
  </r>
  <r>
    <s v="a wayland"/>
    <s v="un chemin de terre"/>
    <d v="2023-01-18T00:00:00"/>
    <x v="14"/>
    <n v="-1"/>
    <n v="-1"/>
  </r>
  <r>
    <s v="to shrug"/>
    <s v="hausser les épaules"/>
    <d v="2023-01-20T00:00:00"/>
    <x v="15"/>
    <n v="-2"/>
    <n v="-1"/>
  </r>
  <r>
    <s v="a stencil"/>
    <s v="un pochoir"/>
    <d v="2023-01-20T00:00:00"/>
    <x v="14"/>
    <n v="-1"/>
    <n v="-1"/>
  </r>
  <r>
    <s v="to addle"/>
    <s v="pourrir / brouiller"/>
    <d v="2023-01-20T00:00:00"/>
    <x v="15"/>
    <n v="-2"/>
    <n v="-1"/>
  </r>
  <r>
    <s v="carpeting (commmon name)"/>
    <s v="la moquette"/>
    <d v="2023-01-22T00:00:00"/>
    <x v="15"/>
    <n v="-2"/>
    <n v="-1"/>
  </r>
  <r>
    <s v="scuzzy"/>
    <s v="sale et déplaisant"/>
    <d v="2023-01-24T00:00:00"/>
    <x v="14"/>
    <n v="-1"/>
    <n v="-1"/>
  </r>
  <r>
    <s v="You're dogged."/>
    <s v="Tu es tenace."/>
    <d v="2023-01-24T00:00:00"/>
    <x v="14"/>
    <n v="-1"/>
    <n v="-1"/>
  </r>
  <r>
    <s v="to wail"/>
    <s v="se lamenter"/>
    <d v="2023-01-26T00:00:00"/>
    <x v="15"/>
    <n v="-2"/>
    <n v="-1"/>
  </r>
  <r>
    <s v="That was uncalled for."/>
    <s v="C'était injustifié."/>
    <d v="2023-01-29T00:00:00"/>
    <x v="15"/>
    <n v="-2"/>
    <n v="-1"/>
  </r>
  <r>
    <s v="to trounce"/>
    <s v="écraser, battre à plate couture"/>
    <d v="2023-02-02T00:00:00"/>
    <x v="15"/>
    <n v="-2"/>
    <n v="-1"/>
  </r>
  <r>
    <s v="to bedevil"/>
    <s v="tourmenter, harceler"/>
    <d v="2023-02-02T00:00:00"/>
    <x v="14"/>
    <n v="-1"/>
    <n v="-1"/>
  </r>
  <r>
    <s v="haywire (adj.)"/>
    <s v="détraqué"/>
    <d v="2023-02-04T00:00:00"/>
    <x v="15"/>
    <n v="-2"/>
    <n v="-1"/>
  </r>
  <r>
    <s v="fallow (common name)"/>
    <s v="la jachère"/>
    <d v="2023-02-05T00:00:00"/>
    <x v="15"/>
    <n v="-2"/>
    <n v="-1"/>
  </r>
  <r>
    <s v="motley (adj.)"/>
    <s v="bigarré, bariolé"/>
    <d v="2023-02-05T00:00:00"/>
    <x v="15"/>
    <n v="-2"/>
    <n v="-1"/>
  </r>
  <r>
    <s v="a beachhead"/>
    <s v="une tête de pont"/>
    <d v="2023-02-05T00:00:00"/>
    <x v="14"/>
    <n v="-1"/>
    <n v="-1"/>
  </r>
  <r>
    <s v="befuddled"/>
    <s v="confus"/>
    <d v="2023-02-12T00:00:00"/>
    <x v="14"/>
    <n v="-1"/>
    <n v="-1"/>
  </r>
  <r>
    <s v="abreast (adj.)"/>
    <s v="au courant"/>
    <d v="2023-02-19T00:00:00"/>
    <x v="14"/>
    <n v="-1"/>
    <n v="-1"/>
  </r>
  <r>
    <s v="holdout (adj.)"/>
    <s v="résistant, récalcitrant"/>
    <d v="2023-02-22T00:00:00"/>
    <x v="14"/>
    <n v="-1"/>
    <n v="-1"/>
  </r>
  <r>
    <s v="to scoff"/>
    <s v="se moquer, tourner en ridicule"/>
    <d v="2021-06-25T00:00:00"/>
    <x v="6"/>
    <n v="-15"/>
    <n v="-0.9375"/>
  </r>
  <r>
    <s v="to whittle"/>
    <s v="réduire"/>
    <d v="2021-08-19T00:00:00"/>
    <x v="5"/>
    <n v="-10"/>
    <n v="-0.90909090909090906"/>
  </r>
  <r>
    <s v="to wrangle"/>
    <s v="se disputer, se chamailler"/>
    <d v="2021-09-06T00:00:00"/>
    <x v="16"/>
    <n v="-15"/>
    <n v="-0.88235294117647056"/>
  </r>
  <r>
    <s v="a din"/>
    <s v="un vacarme"/>
    <d v="2018-10-17T00:00:00"/>
    <x v="6"/>
    <n v="-14"/>
    <n v="-0.875"/>
  </r>
  <r>
    <s v="uphill (adj.)"/>
    <s v="difficile, pénible / qui monte"/>
    <d v="2021-07-22T00:00:00"/>
    <x v="3"/>
    <n v="-7"/>
    <n v="-0.875"/>
  </r>
  <r>
    <s v="jarring"/>
    <s v="discordant"/>
    <d v="2021-08-17T00:00:00"/>
    <x v="6"/>
    <n v="-14"/>
    <n v="-0.875"/>
  </r>
  <r>
    <s v="underwhelming (adj.)"/>
    <s v="décevant"/>
    <d v="2021-08-26T00:00:00"/>
    <x v="11"/>
    <n v="-13"/>
    <n v="-0.8666666666666667"/>
  </r>
  <r>
    <s v="to fret"/>
    <s v="tracasser / énerver"/>
    <d v="2021-12-23T00:00:00"/>
    <x v="11"/>
    <n v="-13"/>
    <n v="-0.8666666666666667"/>
  </r>
  <r>
    <s v="wistful"/>
    <s v="mélancolique"/>
    <d v="2021-05-18T00:00:00"/>
    <x v="8"/>
    <n v="-12"/>
    <n v="-0.8571428571428571"/>
  </r>
  <r>
    <s v="uptime (common name)"/>
    <s v="la disponibilité"/>
    <d v="2021-09-25T00:00:00"/>
    <x v="8"/>
    <n v="-12"/>
    <n v="-0.8571428571428571"/>
  </r>
  <r>
    <s v="a guile"/>
    <s v="une ruse, une astuce"/>
    <d v="2021-11-24T00:00:00"/>
    <x v="8"/>
    <n v="-12"/>
    <n v="-0.8571428571428571"/>
  </r>
  <r>
    <s v="to haggle over"/>
    <s v="surmonter"/>
    <d v="2022-03-06T00:00:00"/>
    <x v="8"/>
    <n v="-12"/>
    <n v="-0.8571428571428571"/>
  </r>
  <r>
    <s v="to cave in"/>
    <s v="s'effondrer, faire chuter"/>
    <d v="2018-08-29T00:00:00"/>
    <x v="1"/>
    <n v="-11"/>
    <n v="-0.84615384615384615"/>
  </r>
  <r>
    <s v="to quell"/>
    <s v="réprimer"/>
    <d v="2021-08-04T00:00:00"/>
    <x v="17"/>
    <n v="-16"/>
    <n v="-0.84210526315789469"/>
  </r>
  <r>
    <s v="to scrimp"/>
    <s v="se serrer la ceinture, être chiche"/>
    <d v="2018-09-27T00:00:00"/>
    <x v="18"/>
    <n v="-15"/>
    <n v="-0.83333333333333337"/>
  </r>
  <r>
    <s v="a drudgery"/>
    <s v="une corvée"/>
    <d v="2021-07-18T00:00:00"/>
    <x v="7"/>
    <n v="-10"/>
    <n v="-0.83333333333333337"/>
  </r>
  <r>
    <s v="poised"/>
    <s v="en équilibre"/>
    <d v="2021-07-18T00:00:00"/>
    <x v="7"/>
    <n v="-10"/>
    <n v="-0.83333333333333337"/>
  </r>
  <r>
    <s v="untoward (adj.)"/>
    <s v="désagréable, fâcheux"/>
    <d v="2021-09-03T00:00:00"/>
    <x v="7"/>
    <n v="-10"/>
    <n v="-0.83333333333333337"/>
  </r>
  <r>
    <s v="to peruse"/>
    <s v="lire attentivement"/>
    <d v="2021-09-28T00:00:00"/>
    <x v="7"/>
    <n v="-10"/>
    <n v="-0.83333333333333337"/>
  </r>
  <r>
    <s v="to snarl"/>
    <s v="gronder, grogner"/>
    <d v="2022-03-20T00:00:00"/>
    <x v="7"/>
    <n v="-10"/>
    <n v="-0.83333333333333337"/>
  </r>
  <r>
    <s v="to trammel"/>
    <s v="entraver"/>
    <d v="2018-10-31T00:00:00"/>
    <x v="16"/>
    <n v="-14"/>
    <n v="-0.82352941176470584"/>
  </r>
  <r>
    <s v="a roster"/>
    <s v="une liste de service"/>
    <d v="2020-07-14T00:00:00"/>
    <x v="5"/>
    <n v="-9"/>
    <n v="-0.81818181818181823"/>
  </r>
  <r>
    <s v="eldritch (adj.)"/>
    <s v="surnaturel"/>
    <d v="2021-08-17T00:00:00"/>
    <x v="5"/>
    <n v="-9"/>
    <n v="-0.81818181818181823"/>
  </r>
  <r>
    <s v="an oar"/>
    <s v="une rame, un aviron"/>
    <d v="2021-09-03T00:00:00"/>
    <x v="5"/>
    <n v="-9"/>
    <n v="-0.81818181818181823"/>
  </r>
  <r>
    <s v="to smother"/>
    <s v="étouffer, réprimer"/>
    <d v="2019-11-06T00:00:00"/>
    <x v="19"/>
    <n v="-17"/>
    <n v="-0.80952380952380953"/>
  </r>
  <r>
    <s v="the marrow"/>
    <s v="la moelle, l'essence"/>
    <d v="2018-11-01T00:00:00"/>
    <x v="20"/>
    <n v="-16"/>
    <n v="-0.8"/>
  </r>
  <r>
    <s v="to reel"/>
    <s v="chanceler, vaciller, tituber"/>
    <d v="2018-12-10T00:00:00"/>
    <x v="0"/>
    <n v="-8"/>
    <n v="-0.8"/>
  </r>
  <r>
    <s v="rife (adj.)"/>
    <s v="abondant, répandu"/>
    <d v="2021-10-15T00:00:00"/>
    <x v="0"/>
    <n v="-8"/>
    <n v="-0.8"/>
  </r>
  <r>
    <s v="mooring (common name)"/>
    <s v="l'amarrage, le mouillage"/>
    <d v="2021-11-24T00:00:00"/>
    <x v="0"/>
    <n v="-8"/>
    <n v="-0.8"/>
  </r>
  <r>
    <s v="a garment"/>
    <s v="un vêtement, un habit"/>
    <d v="2022-03-02T00:00:00"/>
    <x v="0"/>
    <n v="-8"/>
    <n v="-0.8"/>
  </r>
  <r>
    <s v="an uptake"/>
    <s v="une absorption"/>
    <d v="2022-05-01T00:00:00"/>
    <x v="0"/>
    <n v="-8"/>
    <n v="-0.8"/>
  </r>
  <r>
    <s v="a heist"/>
    <s v="un braquage"/>
    <d v="2021-07-18T00:00:00"/>
    <x v="8"/>
    <n v="-11"/>
    <n v="-0.7857142857142857"/>
  </r>
  <r>
    <s v="to balk"/>
    <s v="rechigner"/>
    <d v="2021-08-14T00:00:00"/>
    <x v="8"/>
    <n v="-11"/>
    <n v="-0.7857142857142857"/>
  </r>
  <r>
    <s v="germane (adj.)"/>
    <s v="allié / convenable"/>
    <d v="2022-01-03T00:00:00"/>
    <x v="10"/>
    <n v="-7"/>
    <n v="-0.77777777777777779"/>
  </r>
  <r>
    <s v="a flicker"/>
    <s v="un vacillement / une lueur"/>
    <d v="2022-04-08T00:00:00"/>
    <x v="10"/>
    <n v="-7"/>
    <n v="-0.77777777777777779"/>
  </r>
  <r>
    <s v="to clog"/>
    <s v="boucher, engorger"/>
    <d v="2022-05-21T00:00:00"/>
    <x v="10"/>
    <n v="-7"/>
    <n v="-0.77777777777777779"/>
  </r>
  <r>
    <s v="a reprieve"/>
    <s v="un sursis, un répit"/>
    <d v="2018-08-29T00:00:00"/>
    <x v="1"/>
    <n v="-10"/>
    <n v="-0.76923076923076927"/>
  </r>
  <r>
    <s v="to beget"/>
    <s v="engendrer"/>
    <d v="2020-05-18T00:00:00"/>
    <x v="1"/>
    <n v="-10"/>
    <n v="-0.76923076923076927"/>
  </r>
  <r>
    <s v="a lode"/>
    <s v="un filon, une veine"/>
    <d v="2021-11-24T00:00:00"/>
    <x v="16"/>
    <n v="-13"/>
    <n v="-0.76470588235294112"/>
  </r>
  <r>
    <s v="thrush (common name)"/>
    <s v="du muguet / une grive / la mycose vaginale"/>
    <d v="2022-04-01T00:00:00"/>
    <x v="16"/>
    <n v="-13"/>
    <n v="-0.76470588235294112"/>
  </r>
  <r>
    <s v="to flout"/>
    <s v="mépriser"/>
    <d v="2018-09-12T00:00:00"/>
    <x v="20"/>
    <n v="-15"/>
    <n v="-0.75"/>
  </r>
  <r>
    <s v="moot (adj.)"/>
    <s v="discutable, controversé"/>
    <d v="2018-10-27T00:00:00"/>
    <x v="20"/>
    <n v="-15"/>
    <n v="-0.75"/>
  </r>
  <r>
    <s v="to fend"/>
    <s v="se débrouiller"/>
    <d v="2018-12-10T00:00:00"/>
    <x v="21"/>
    <n v="-18"/>
    <n v="-0.75"/>
  </r>
  <r>
    <s v="a slinter"/>
    <s v="un éclat"/>
    <d v="2018-12-10T00:00:00"/>
    <x v="3"/>
    <n v="-6"/>
    <n v="-0.75"/>
  </r>
  <r>
    <s v="to till"/>
    <s v="labourer"/>
    <d v="2021-08-19T00:00:00"/>
    <x v="6"/>
    <n v="-12"/>
    <n v="-0.75"/>
  </r>
  <r>
    <s v="tacky"/>
    <s v="collant / moche"/>
    <d v="2021-09-20T00:00:00"/>
    <x v="3"/>
    <n v="-6"/>
    <n v="-0.75"/>
  </r>
  <r>
    <s v="a morass"/>
    <s v="un marécage, un bourbier"/>
    <d v="2022-01-03T00:00:00"/>
    <x v="3"/>
    <n v="-6"/>
    <n v="-0.75"/>
  </r>
  <r>
    <s v="smithereens (common name)"/>
    <s v="des morceaux"/>
    <d v="2022-01-30T00:00:00"/>
    <x v="3"/>
    <n v="-6"/>
    <n v="-0.75"/>
  </r>
  <r>
    <s v="unadorned"/>
    <s v="sans fioriture"/>
    <d v="2022-02-21T00:00:00"/>
    <x v="6"/>
    <n v="-12"/>
    <n v="-0.75"/>
  </r>
  <r>
    <s v="skimming (common name)"/>
    <s v="la fraude fiscale"/>
    <d v="2022-03-01T00:00:00"/>
    <x v="3"/>
    <n v="-6"/>
    <n v="-0.75"/>
  </r>
  <r>
    <s v="stonks (common name)"/>
    <s v="des actions financières"/>
    <d v="2022-03-29T00:00:00"/>
    <x v="3"/>
    <n v="-6"/>
    <n v="-0.75"/>
  </r>
  <r>
    <s v="to teardown"/>
    <s v="démolir / démonter"/>
    <d v="2022-05-03T00:00:00"/>
    <x v="3"/>
    <n v="-6"/>
    <n v="-0.75"/>
  </r>
  <r>
    <s v="a heckling"/>
    <s v="un chahut / une interpellation"/>
    <d v="2018-11-11T00:00:00"/>
    <x v="17"/>
    <n v="-14"/>
    <n v="-0.73684210526315785"/>
  </r>
  <r>
    <s v="craven (adj.)"/>
    <s v="lâche"/>
    <d v="2022-01-16T00:00:00"/>
    <x v="11"/>
    <n v="-11"/>
    <n v="-0.73333333333333328"/>
  </r>
  <r>
    <s v="obnoxious (adj.)"/>
    <s v="odieux, insupportable"/>
    <d v="2022-02-17T00:00:00"/>
    <x v="11"/>
    <n v="-11"/>
    <n v="-0.73333333333333328"/>
  </r>
  <r>
    <s v="a wont"/>
    <s v="une habitude"/>
    <d v="2018-11-24T00:00:00"/>
    <x v="22"/>
    <n v="-16"/>
    <n v="-0.72727272727272729"/>
  </r>
  <r>
    <s v="shagged"/>
    <s v="crevé"/>
    <d v="2020-05-18T00:00:00"/>
    <x v="5"/>
    <n v="-8"/>
    <n v="-0.72727272727272729"/>
  </r>
  <r>
    <s v="a tug"/>
    <s v="un remorqueur"/>
    <d v="2020-05-18T00:00:00"/>
    <x v="5"/>
    <n v="-8"/>
    <n v="-0.72727272727272729"/>
  </r>
  <r>
    <s v="unswering"/>
    <s v="inébranlable, indéfectible"/>
    <d v="2018-11-04T00:00:00"/>
    <x v="18"/>
    <n v="-13"/>
    <n v="-0.72222222222222221"/>
  </r>
  <r>
    <s v="paltry (adj.)"/>
    <s v="dérisoire, misérable"/>
    <d v="2018-12-10T00:00:00"/>
    <x v="18"/>
    <n v="-13"/>
    <n v="-0.72222222222222221"/>
  </r>
  <r>
    <s v="a blunder"/>
    <s v="une gaffe"/>
    <d v="2020-03-05T00:00:00"/>
    <x v="18"/>
    <n v="-13"/>
    <n v="-0.72222222222222221"/>
  </r>
  <r>
    <s v="culling (hunt.)"/>
    <s v="l'abattage (réduction de population organisée)"/>
    <d v="2021-08-14T00:00:00"/>
    <x v="18"/>
    <n v="-13"/>
    <n v="-0.72222222222222221"/>
  </r>
  <r>
    <s v="tenancy (common name)"/>
    <s v="la location"/>
    <d v="2021-02-24T00:00:00"/>
    <x v="8"/>
    <n v="-10"/>
    <n v="-0.7142857142857143"/>
  </r>
  <r>
    <s v="to sway"/>
    <s v="se balancer"/>
    <d v="2021-08-04T00:00:00"/>
    <x v="2"/>
    <n v="-5"/>
    <n v="-0.7142857142857143"/>
  </r>
  <r>
    <s v="barnyard (common name)"/>
    <s v="la basse-cour"/>
    <d v="2021-12-02T00:00:00"/>
    <x v="2"/>
    <n v="-5"/>
    <n v="-0.7142857142857143"/>
  </r>
  <r>
    <s v="gangly (adj.)"/>
    <s v="déguingandé"/>
    <d v="2021-12-06T00:00:00"/>
    <x v="8"/>
    <n v="-10"/>
    <n v="-0.7142857142857143"/>
  </r>
  <r>
    <s v="to litter"/>
    <s v="disperser / joncher, couvrir de …"/>
    <d v="2022-01-03T00:00:00"/>
    <x v="2"/>
    <n v="-5"/>
    <n v="-0.7142857142857143"/>
  </r>
  <r>
    <s v="to neigh"/>
    <s v="hennir"/>
    <d v="2022-03-19T00:00:00"/>
    <x v="2"/>
    <n v="-5"/>
    <n v="-0.7142857142857143"/>
  </r>
  <r>
    <s v="to entwine"/>
    <s v="enlacer"/>
    <d v="2022-03-28T00:00:00"/>
    <x v="2"/>
    <n v="-5"/>
    <n v="-0.7142857142857143"/>
  </r>
  <r>
    <s v="a subpoena"/>
    <s v="une assignation à comparaître"/>
    <d v="2022-04-01T00:00:00"/>
    <x v="2"/>
    <n v="-5"/>
    <n v="-0.7142857142857143"/>
  </r>
  <r>
    <s v="sprawling (adj.)"/>
    <s v="tentaculaire"/>
    <d v="2022-05-25T00:00:00"/>
    <x v="2"/>
    <n v="-5"/>
    <n v="-0.7142857142857143"/>
  </r>
  <r>
    <s v="to cling"/>
    <s v="se cramponner / enlacer"/>
    <d v="2022-08-07T00:00:00"/>
    <x v="2"/>
    <n v="-5"/>
    <n v="-0.7142857142857143"/>
  </r>
  <r>
    <s v="a nudge"/>
    <s v="un coup de coude"/>
    <d v="2019-12-03T00:00:00"/>
    <x v="16"/>
    <n v="-12"/>
    <n v="-0.70588235294117652"/>
  </r>
  <r>
    <s v="a rout"/>
    <s v="une débâcle, une déroute"/>
    <d v="2021-03-21T00:00:00"/>
    <x v="16"/>
    <n v="-12"/>
    <n v="-0.70588235294117652"/>
  </r>
  <r>
    <s v="a draughtsman"/>
    <s v="un dessinateur"/>
    <d v="2021-03-28T00:00:00"/>
    <x v="16"/>
    <n v="-12"/>
    <n v="-0.70588235294117652"/>
  </r>
  <r>
    <s v="countervailing"/>
    <s v="compensatoire"/>
    <d v="2018-10-31T00:00:00"/>
    <x v="20"/>
    <n v="-14"/>
    <n v="-0.7"/>
  </r>
  <r>
    <s v="to scram"/>
    <s v="filer, déguerpir"/>
    <d v="2021-04-12T00:00:00"/>
    <x v="20"/>
    <n v="-14"/>
    <n v="-0.7"/>
  </r>
  <r>
    <s v="a misgiving"/>
    <s v="une crainte / un doute"/>
    <d v="2019-01-12T00:00:00"/>
    <x v="23"/>
    <n v="-16"/>
    <n v="-0.69565217391304346"/>
  </r>
  <r>
    <s v="an onus"/>
    <s v="un fardeau"/>
    <d v="2021-10-15T00:00:00"/>
    <x v="1"/>
    <n v="-9"/>
    <n v="-0.69230769230769229"/>
  </r>
  <r>
    <s v="a booth"/>
    <s v="un stand, un kiosque"/>
    <d v="2021-12-30T00:00:00"/>
    <x v="1"/>
    <n v="-9"/>
    <n v="-0.69230769230769229"/>
  </r>
  <r>
    <s v="to trample"/>
    <s v="bafouer, fouler aux pied"/>
    <d v="2018-08-29T00:00:00"/>
    <x v="17"/>
    <n v="-13"/>
    <n v="-0.68421052631578949"/>
  </r>
  <r>
    <s v="to mop"/>
    <s v="nettoyer, essuyer"/>
    <d v="2021-06-19T00:00:00"/>
    <x v="17"/>
    <n v="-13"/>
    <n v="-0.68421052631578949"/>
  </r>
  <r>
    <s v="garrulous"/>
    <s v="bavard"/>
    <d v="2021-04-13T00:00:00"/>
    <x v="22"/>
    <n v="-15"/>
    <n v="-0.68181818181818177"/>
  </r>
  <r>
    <s v="pegged"/>
    <s v="attaché"/>
    <d v="2019-11-02T00:00:00"/>
    <x v="11"/>
    <n v="-10"/>
    <n v="-0.66666666666666663"/>
  </r>
  <r>
    <s v="to curtail"/>
    <s v="réduire"/>
    <d v="2020-06-22T00:00:00"/>
    <x v="19"/>
    <n v="-14"/>
    <n v="-0.66666666666666663"/>
  </r>
  <r>
    <s v="lackadaisical"/>
    <s v="apathique, indolent"/>
    <d v="2021-07-04T00:00:00"/>
    <x v="7"/>
    <n v="-8"/>
    <n v="-0.66666666666666663"/>
  </r>
  <r>
    <s v="slurry (common name)"/>
    <s v="du lisier, de la gadoue"/>
    <d v="2022-01-11T00:00:00"/>
    <x v="7"/>
    <n v="-8"/>
    <n v="-0.66666666666666663"/>
  </r>
  <r>
    <s v="to overshoot"/>
    <s v="dépasser"/>
    <d v="2022-02-02T00:00:00"/>
    <x v="7"/>
    <n v="-8"/>
    <n v="-0.66666666666666663"/>
  </r>
  <r>
    <s v="an uptick"/>
    <s v="une hausse"/>
    <d v="2022-03-07T00:00:00"/>
    <x v="4"/>
    <n v="-4"/>
    <n v="-0.66666666666666663"/>
  </r>
  <r>
    <s v="bosom (common name)"/>
    <s v="le sein, la poitrine"/>
    <d v="2022-05-17T00:00:00"/>
    <x v="4"/>
    <n v="-4"/>
    <n v="-0.66666666666666663"/>
  </r>
  <r>
    <s v="a primer"/>
    <s v="un apprêt / un premier livre"/>
    <d v="2022-06-20T00:00:00"/>
    <x v="4"/>
    <n v="-4"/>
    <n v="-0.66666666666666663"/>
  </r>
  <r>
    <s v="to engulf"/>
    <s v="engloutir / sombrer dans"/>
    <d v="2022-07-14T00:00:00"/>
    <x v="4"/>
    <n v="-4"/>
    <n v="-0.66666666666666663"/>
  </r>
  <r>
    <s v="a mischief"/>
    <s v="une malice, une espièglerie / un tort"/>
    <d v="2018-08-29T00:00:00"/>
    <x v="24"/>
    <n v="-17"/>
    <n v="-0.65384615384615385"/>
  </r>
  <r>
    <s v="to depart"/>
    <s v="partir, quitter / mourir / s'écarter de"/>
    <d v="2018-11-04T00:00:00"/>
    <x v="20"/>
    <n v="-13"/>
    <n v="-0.65"/>
  </r>
  <r>
    <s v="to scrub"/>
    <s v="frotter"/>
    <d v="2020-07-21T00:00:00"/>
    <x v="16"/>
    <n v="-11"/>
    <n v="-0.6470588235294118"/>
  </r>
  <r>
    <s v="a dole"/>
    <s v="une indemnité de chômage"/>
    <d v="2013-12-13T00:00:00"/>
    <x v="8"/>
    <n v="-9"/>
    <n v="-0.6428571428571429"/>
  </r>
  <r>
    <s v="sturdy"/>
    <s v="solide"/>
    <d v="2019-01-07T00:00:00"/>
    <x v="8"/>
    <n v="-9"/>
    <n v="-0.6428571428571429"/>
  </r>
  <r>
    <s v="scalding (adj.)"/>
    <s v="bouillant"/>
    <d v="2019-10-29T00:00:00"/>
    <x v="22"/>
    <n v="-14"/>
    <n v="-0.63636363636363635"/>
  </r>
  <r>
    <s v="brimming (adj.)"/>
    <s v="débordant"/>
    <d v="2020-01-18T00:00:00"/>
    <x v="22"/>
    <n v="-14"/>
    <n v="-0.63636363636363635"/>
  </r>
  <r>
    <s v="spiteful"/>
    <s v="rancunier, venimeux"/>
    <d v="2021-11-23T00:00:00"/>
    <x v="5"/>
    <n v="-7"/>
    <n v="-0.63636363636363635"/>
  </r>
  <r>
    <s v="a coxswain (navig.)"/>
    <s v="un barreur (navigation)"/>
    <d v="2022-01-28T00:00:00"/>
    <x v="5"/>
    <n v="-7"/>
    <n v="-0.63636363636363635"/>
  </r>
  <r>
    <s v="as it gets"/>
    <s v="rien de meilleur n'est possible ou disponible"/>
    <d v="2022-02-14T00:00:00"/>
    <x v="5"/>
    <n v="-7"/>
    <n v="-0.63636363636363635"/>
  </r>
  <r>
    <s v="to wiggle"/>
    <s v="remuer"/>
    <d v="2022-03-08T00:00:00"/>
    <x v="5"/>
    <n v="-7"/>
    <n v="-0.63636363636363635"/>
  </r>
  <r>
    <s v="a showdown"/>
    <s v="une épreuve de force, une confrontation"/>
    <d v="2022-03-13T00:00:00"/>
    <x v="5"/>
    <n v="-7"/>
    <n v="-0.63636363636363635"/>
  </r>
  <r>
    <s v="to obviate"/>
    <s v="parer à"/>
    <d v="2020-06-22T00:00:00"/>
    <x v="19"/>
    <n v="-13"/>
    <n v="-0.61904761904761907"/>
  </r>
  <r>
    <s v="a butler"/>
    <s v="un majordome"/>
    <d v="2021-02-22T00:00:00"/>
    <x v="19"/>
    <n v="-13"/>
    <n v="-0.61904761904761907"/>
  </r>
  <r>
    <s v="a hock"/>
    <s v="un jarret"/>
    <d v="2021-02-14T00:00:00"/>
    <x v="1"/>
    <n v="-8"/>
    <n v="-0.61538461538461542"/>
  </r>
  <r>
    <s v="to bestow"/>
    <s v="donner / accorder"/>
    <d v="2018-11-25T00:00:00"/>
    <x v="23"/>
    <n v="-14"/>
    <n v="-0.60869565217391308"/>
  </r>
  <r>
    <s v="wearied"/>
    <s v="fatigué"/>
    <d v="2019-08-05T00:00:00"/>
    <x v="25"/>
    <n v="-17"/>
    <n v="-0.6071428571428571"/>
  </r>
  <r>
    <s v="to peg"/>
    <s v="pitonner / bloquer"/>
    <d v="2018-12-04T00:00:00"/>
    <x v="20"/>
    <n v="-12"/>
    <n v="-0.6"/>
  </r>
  <r>
    <s v="sullen (adj.)"/>
    <s v="renfrogné"/>
    <d v="2019-11-18T00:00:00"/>
    <x v="20"/>
    <n v="-12"/>
    <n v="-0.6"/>
  </r>
  <r>
    <s v="flimsy"/>
    <s v="fragile, peu solide"/>
    <d v="2022-01-19T00:00:00"/>
    <x v="11"/>
    <n v="-9"/>
    <n v="-0.6"/>
  </r>
  <r>
    <s v="innards (common name)"/>
    <s v="les entrailles"/>
    <d v="2022-04-19T00:00:00"/>
    <x v="9"/>
    <n v="-3"/>
    <n v="-0.6"/>
  </r>
  <r>
    <s v="fodder (common name)"/>
    <s v="du fourrage, du foin"/>
    <d v="2022-05-08T00:00:00"/>
    <x v="0"/>
    <n v="-6"/>
    <n v="-0.6"/>
  </r>
  <r>
    <s v="fidgety"/>
    <s v="agité"/>
    <d v="2022-05-29T00:00:00"/>
    <x v="9"/>
    <n v="-3"/>
    <n v="-0.6"/>
  </r>
  <r>
    <s v="a linchpin"/>
    <s v="un pivot"/>
    <d v="2022-06-06T00:00:00"/>
    <x v="9"/>
    <n v="-3"/>
    <n v="-0.6"/>
  </r>
  <r>
    <s v="conterminous"/>
    <s v="limitrophe"/>
    <d v="2022-08-28T00:00:00"/>
    <x v="9"/>
    <n v="-3"/>
    <n v="-0.6"/>
  </r>
  <r>
    <s v="a trinket"/>
    <s v="un bibelot, une babiole"/>
    <d v="2022-10-22T00:00:00"/>
    <x v="9"/>
    <n v="-3"/>
    <n v="-0.6"/>
  </r>
  <r>
    <s v="teignant (adj.)"/>
    <s v="grouillant de monde, torrentiel"/>
    <d v="2018-05-27T00:00:00"/>
    <x v="22"/>
    <n v="-13"/>
    <n v="-0.59090909090909094"/>
  </r>
  <r>
    <s v="to scramble"/>
    <s v="brouiller / se ruer"/>
    <d v="2021-09-08T00:00:00"/>
    <x v="21"/>
    <n v="-14"/>
    <n v="-0.58333333333333337"/>
  </r>
  <r>
    <s v="a wonk"/>
    <s v="un fou, un idiot"/>
    <d v="2021-10-14T00:00:00"/>
    <x v="17"/>
    <n v="-11"/>
    <n v="-0.57894736842105265"/>
  </r>
  <r>
    <s v="to fetter"/>
    <s v="entraver, enchaîner"/>
    <d v="2018-11-24T00:00:00"/>
    <x v="19"/>
    <n v="-12"/>
    <n v="-0.5714285714285714"/>
  </r>
  <r>
    <s v="to allay"/>
    <s v="modérer, apaiser"/>
    <d v="2018-12-17T00:00:00"/>
    <x v="19"/>
    <n v="-12"/>
    <n v="-0.5714285714285714"/>
  </r>
  <r>
    <s v="fuzzy"/>
    <s v="fou"/>
    <d v="2019-12-27T00:00:00"/>
    <x v="8"/>
    <n v="-8"/>
    <n v="-0.5714285714285714"/>
  </r>
  <r>
    <s v="glutted"/>
    <s v="saturé"/>
    <d v="2021-03-07T00:00:00"/>
    <x v="19"/>
    <n v="-12"/>
    <n v="-0.5714285714285714"/>
  </r>
  <r>
    <s v="gaudy"/>
    <s v="voyant, criard"/>
    <d v="2021-03-28T00:00:00"/>
    <x v="8"/>
    <n v="-8"/>
    <n v="-0.5714285714285714"/>
  </r>
  <r>
    <s v="to limp"/>
    <s v="boîter, clopiner"/>
    <d v="2021-12-30T00:00:00"/>
    <x v="8"/>
    <n v="-8"/>
    <n v="-0.5714285714285714"/>
  </r>
  <r>
    <s v="to spawn"/>
    <s v="frayer"/>
    <d v="2019-05-18T00:00:00"/>
    <x v="6"/>
    <n v="-9"/>
    <n v="-0.5625"/>
  </r>
  <r>
    <s v="to teem"/>
    <s v="pulluler"/>
    <d v="2019-05-20T00:00:00"/>
    <x v="6"/>
    <n v="-9"/>
    <n v="-0.5625"/>
  </r>
  <r>
    <s v="outspoken"/>
    <s v="franc"/>
    <d v="2021-04-13T00:00:00"/>
    <x v="6"/>
    <n v="-9"/>
    <n v="-0.5625"/>
  </r>
  <r>
    <s v="to stow away"/>
    <s v="s'embarquer clandestinement"/>
    <d v="2021-04-13T00:00:00"/>
    <x v="6"/>
    <n v="-9"/>
    <n v="-0.5625"/>
  </r>
  <r>
    <s v="despondence (common name)"/>
    <s v="le découragement"/>
    <d v="2019-08-12T00:00:00"/>
    <x v="26"/>
    <n v="-14"/>
    <n v="-0.56000000000000005"/>
  </r>
  <r>
    <s v="slimy"/>
    <s v="visqueux"/>
    <d v="2021-03-14T00:00:00"/>
    <x v="18"/>
    <n v="-10"/>
    <n v="-0.55555555555555558"/>
  </r>
  <r>
    <s v="per-say (expr.)"/>
    <s v="en fait"/>
    <d v="2021-06-02T00:00:00"/>
    <x v="18"/>
    <n v="-10"/>
    <n v="-0.55555555555555558"/>
  </r>
  <r>
    <s v="a leeway"/>
    <s v="une marge de manœuvre"/>
    <d v="2021-10-26T00:00:00"/>
    <x v="10"/>
    <n v="-5"/>
    <n v="-0.55555555555555558"/>
  </r>
  <r>
    <s v="gloom (common name)"/>
    <s v="l'obscurité / la tristesse, la mélancolie"/>
    <d v="2022-04-26T00:00:00"/>
    <x v="10"/>
    <n v="-5"/>
    <n v="-0.55555555555555558"/>
  </r>
  <r>
    <s v="to capsize"/>
    <s v="chavirer, se renverser"/>
    <d v="2022-05-17T00:00:00"/>
    <x v="10"/>
    <n v="-5"/>
    <n v="-0.55555555555555558"/>
  </r>
  <r>
    <s v="a swip"/>
    <s v="une lampée"/>
    <d v="2020-07-14T00:00:00"/>
    <x v="20"/>
    <n v="-11"/>
    <n v="-0.55000000000000004"/>
  </r>
  <r>
    <s v="to take up"/>
    <s v="se mettre à (un sport, …)"/>
    <d v="2013-12-13T00:00:00"/>
    <x v="22"/>
    <n v="-12"/>
    <n v="-0.54545454545454541"/>
  </r>
  <r>
    <s v="the exertion"/>
    <s v="l'effort / la fatigue"/>
    <d v="2018-12-04T00:00:00"/>
    <x v="22"/>
    <n v="-12"/>
    <n v="-0.54545454545454541"/>
  </r>
  <r>
    <s v="sludge (common name)"/>
    <s v=" de la boue"/>
    <d v="2019-05-20T00:00:00"/>
    <x v="5"/>
    <n v="-6"/>
    <n v="-0.54545454545454541"/>
  </r>
  <r>
    <s v="a bail"/>
    <s v="une liberté sous caution / une caution"/>
    <d v="2013-12-13T00:00:00"/>
    <x v="1"/>
    <n v="-7"/>
    <n v="-0.53846153846153844"/>
  </r>
  <r>
    <s v="to gear"/>
    <s v="adapter, ajuster"/>
    <d v="2013-12-13T00:00:00"/>
    <x v="11"/>
    <n v="-8"/>
    <n v="-0.53333333333333333"/>
  </r>
  <r>
    <s v="a stint"/>
    <s v="une besogne assignée"/>
    <d v="2021-02-15T00:00:00"/>
    <x v="11"/>
    <n v="-8"/>
    <n v="-0.53333333333333333"/>
  </r>
  <r>
    <s v="scrawny"/>
    <s v="maigre"/>
    <d v="2021-03-07T00:00:00"/>
    <x v="11"/>
    <n v="-8"/>
    <n v="-0.53333333333333333"/>
  </r>
  <r>
    <s v="the sloth"/>
    <s v="la paresse"/>
    <d v="2018-04-16T00:00:00"/>
    <x v="16"/>
    <n v="-9"/>
    <n v="-0.52941176470588236"/>
  </r>
  <r>
    <s v="crusty"/>
    <s v="bourru, hargneux"/>
    <d v="2018-05-17T00:00:00"/>
    <x v="16"/>
    <n v="-9"/>
    <n v="-0.52941176470588236"/>
  </r>
  <r>
    <s v="a hatchback"/>
    <s v="un hayon"/>
    <d v="2019-11-06T00:00:00"/>
    <x v="17"/>
    <n v="-10"/>
    <n v="-0.52631578947368418"/>
  </r>
  <r>
    <s v="a squall"/>
    <s v="une bourrasque, une rafale"/>
    <d v="2018-08-29T00:00:00"/>
    <x v="19"/>
    <n v="-11"/>
    <n v="-0.52380952380952384"/>
  </r>
  <r>
    <s v="spurious"/>
    <s v="faux "/>
    <d v="2019-01-07T00:00:00"/>
    <x v="19"/>
    <n v="-11"/>
    <n v="-0.52380952380952384"/>
  </r>
  <r>
    <s v="an expendiency"/>
    <s v="une opportunité"/>
    <d v="2019-12-03T00:00:00"/>
    <x v="19"/>
    <n v="-11"/>
    <n v="-0.52380952380952384"/>
  </r>
  <r>
    <s v="to cobble"/>
    <s v="bricoler"/>
    <d v="2021-05-18T00:00:00"/>
    <x v="23"/>
    <n v="-12"/>
    <n v="-0.52173913043478259"/>
  </r>
  <r>
    <s v="to squander"/>
    <s v="gaspiller"/>
    <d v="2018-04-15T00:00:00"/>
    <x v="18"/>
    <n v="-9"/>
    <n v="-0.5"/>
  </r>
  <r>
    <s v="gruelling / grueling"/>
    <s v="épuisant, éreintant"/>
    <d v="2018-11-04T00:00:00"/>
    <x v="21"/>
    <n v="-12"/>
    <n v="-0.5"/>
  </r>
  <r>
    <s v="the abode"/>
    <s v="la demeure, la résidence"/>
    <d v="2018-12-17T00:00:00"/>
    <x v="21"/>
    <n v="-12"/>
    <n v="-0.5"/>
  </r>
  <r>
    <s v="to bale"/>
    <s v="paqueter"/>
    <d v="2019-01-07T00:00:00"/>
    <x v="20"/>
    <n v="-10"/>
    <n v="-0.5"/>
  </r>
  <r>
    <s v="the fixturing"/>
    <s v="le montage"/>
    <d v="2019-11-18T00:00:00"/>
    <x v="21"/>
    <n v="-12"/>
    <n v="-0.5"/>
  </r>
  <r>
    <s v="to teeter"/>
    <s v="vaciller, chanceler"/>
    <d v="2020-02-11T00:00:00"/>
    <x v="18"/>
    <n v="-9"/>
    <n v="-0.5"/>
  </r>
  <r>
    <s v="to hamper"/>
    <s v="entraver"/>
    <d v="2020-06-22T00:00:00"/>
    <x v="18"/>
    <n v="-9"/>
    <n v="-0.5"/>
  </r>
  <r>
    <s v="a cleaver"/>
    <s v="un couperet"/>
    <d v="2020-07-14T00:00:00"/>
    <x v="20"/>
    <n v="-10"/>
    <n v="-0.5"/>
  </r>
  <r>
    <s v="a salver"/>
    <s v="un plateau"/>
    <d v="2021-08-19T00:00:00"/>
    <x v="8"/>
    <n v="-7"/>
    <n v="-0.5"/>
  </r>
  <r>
    <s v="an alimony"/>
    <s v="une pension alimentaire"/>
    <d v="2021-08-25T00:00:00"/>
    <x v="7"/>
    <n v="-6"/>
    <n v="-0.5"/>
  </r>
  <r>
    <s v="elusive"/>
    <s v="insaisissable"/>
    <d v="2022-01-16T00:00:00"/>
    <x v="7"/>
    <n v="-6"/>
    <n v="-0.5"/>
  </r>
  <r>
    <s v="to cringe"/>
    <s v="grimacer"/>
    <d v="2022-03-06T00:00:00"/>
    <x v="7"/>
    <n v="-6"/>
    <n v="-0.5"/>
  </r>
  <r>
    <s v="a mace"/>
    <s v="une massue"/>
    <d v="2022-03-13T00:00:00"/>
    <x v="3"/>
    <n v="-4"/>
    <n v="-0.5"/>
  </r>
  <r>
    <s v="a gambit"/>
    <s v="une manœuvre"/>
    <d v="2022-03-18T00:00:00"/>
    <x v="12"/>
    <n v="-2"/>
    <n v="-0.5"/>
  </r>
  <r>
    <s v="a barn"/>
    <s v="une grange, une étable"/>
    <d v="2022-03-19T00:00:00"/>
    <x v="3"/>
    <n v="-4"/>
    <n v="-0.5"/>
  </r>
  <r>
    <s v="an impersonator"/>
    <s v="un imitateur"/>
    <d v="2022-03-27T00:00:00"/>
    <x v="12"/>
    <n v="-2"/>
    <n v="-0.5"/>
  </r>
  <r>
    <s v="to kibosh (coll.)"/>
    <s v="anéantir définitivement (fam.)"/>
    <d v="2022-04-02T00:00:00"/>
    <x v="12"/>
    <n v="-2"/>
    <n v="-0.5"/>
  </r>
  <r>
    <s v="disputably"/>
    <s v="inconstestablement"/>
    <d v="2022-06-26T00:00:00"/>
    <x v="12"/>
    <n v="-2"/>
    <n v="-0.5"/>
  </r>
  <r>
    <s v="a tapping (tech.)"/>
    <s v="un taraudage"/>
    <d v="2022-07-09T00:00:00"/>
    <x v="3"/>
    <n v="-4"/>
    <n v="-0.5"/>
  </r>
  <r>
    <s v="humongous (adj.)"/>
    <s v="énorme"/>
    <d v="2022-09-10T00:00:00"/>
    <x v="12"/>
    <n v="-2"/>
    <n v="-0.5"/>
  </r>
  <r>
    <s v="fleece (common name)"/>
    <s v="la toison / le flocon"/>
    <d v="2022-11-05T00:00:00"/>
    <x v="12"/>
    <n v="-2"/>
    <n v="-0.5"/>
  </r>
  <r>
    <s v="to weep"/>
    <s v="verser des larmes"/>
    <d v="2022-12-18T00:00:00"/>
    <x v="12"/>
    <n v="-2"/>
    <n v="-0.5"/>
  </r>
  <r>
    <s v="wheedling (adj.)"/>
    <s v="câlin, enjôleur"/>
    <d v="2023-01-26T00:00:00"/>
    <x v="12"/>
    <n v="-2"/>
    <n v="-0.5"/>
  </r>
  <r>
    <s v="a jug"/>
    <s v="une cruche"/>
    <d v="2021-03-07T00:00:00"/>
    <x v="26"/>
    <n v="-12"/>
    <n v="-0.48"/>
  </r>
  <r>
    <s v="to preclude"/>
    <s v="empêcher"/>
    <d v="2019-10-14T00:00:00"/>
    <x v="23"/>
    <n v="-11"/>
    <n v="-0.47826086956521741"/>
  </r>
  <r>
    <s v="to come by"/>
    <s v="obtenir, se procurer"/>
    <d v="2013-12-13T00:00:00"/>
    <x v="19"/>
    <n v="-10"/>
    <n v="-0.47619047619047616"/>
  </r>
  <r>
    <s v="head-on (adv.)"/>
    <s v="de front"/>
    <d v="2018-10-25T00:00:00"/>
    <x v="19"/>
    <n v="-10"/>
    <n v="-0.47619047619047616"/>
  </r>
  <r>
    <s v="to get hold"/>
    <s v="se tenir"/>
    <d v="2021-02-08T00:00:00"/>
    <x v="19"/>
    <n v="-10"/>
    <n v="-0.47619047619047616"/>
  </r>
  <r>
    <s v="the conceit"/>
    <s v="la vanité"/>
    <d v="2021-07-18T00:00:00"/>
    <x v="19"/>
    <n v="-10"/>
    <n v="-0.47619047619047616"/>
  </r>
  <r>
    <s v="to lapse"/>
    <s v="abandonner"/>
    <d v="2021-03-21T00:00:00"/>
    <x v="16"/>
    <n v="-8"/>
    <n v="-0.47058823529411764"/>
  </r>
  <r>
    <s v="a slick"/>
    <s v="une nappe"/>
    <d v="2019-07-27T00:00:00"/>
    <x v="11"/>
    <n v="-7"/>
    <n v="-0.46666666666666667"/>
  </r>
  <r>
    <s v="a quilt"/>
    <s v="une courtepointe"/>
    <d v="2019-10-23T00:00:00"/>
    <x v="11"/>
    <n v="-7"/>
    <n v="-0.46666666666666667"/>
  </r>
  <r>
    <s v="crestfallen (adj.)"/>
    <s v="découragé"/>
    <d v="2020-06-22T00:00:00"/>
    <x v="11"/>
    <n v="-7"/>
    <n v="-0.46666666666666667"/>
  </r>
  <r>
    <s v="yummy (adj.)"/>
    <s v="délicieux"/>
    <d v="2020-07-14T00:00:00"/>
    <x v="11"/>
    <n v="-7"/>
    <n v="-0.46666666666666667"/>
  </r>
  <r>
    <s v="a fledge"/>
    <s v="un envol"/>
    <d v="2021-12-04T00:00:00"/>
    <x v="11"/>
    <n v="-7"/>
    <n v="-0.46666666666666667"/>
  </r>
  <r>
    <s v="a hilt"/>
    <s v="une poignée"/>
    <d v="2020-02-11T00:00:00"/>
    <x v="21"/>
    <n v="-11"/>
    <n v="-0.45833333333333331"/>
  </r>
  <r>
    <s v="a rag"/>
    <s v="un chiffon"/>
    <d v="2019-07-27T00:00:00"/>
    <x v="5"/>
    <n v="-5"/>
    <n v="-0.45454545454545453"/>
  </r>
  <r>
    <s v="to pinch"/>
    <s v="pincer, piquer / serrer"/>
    <d v="2021-08-04T00:00:00"/>
    <x v="5"/>
    <n v="-5"/>
    <n v="-0.45454545454545453"/>
  </r>
  <r>
    <s v="to stump"/>
    <s v="laisser perplexe / mettre hors jeu"/>
    <d v="2021-12-11T00:00:00"/>
    <x v="5"/>
    <n v="-5"/>
    <n v="-0.45454545454545453"/>
  </r>
  <r>
    <s v="to hog up"/>
    <s v="s'accaparer / courber"/>
    <d v="2022-01-23T00:00:00"/>
    <x v="5"/>
    <n v="-5"/>
    <n v="-0.45454545454545453"/>
  </r>
  <r>
    <s v="scot-free (adj.)"/>
    <s v="acquitté"/>
    <d v="2022-03-09T00:00:00"/>
    <x v="5"/>
    <n v="-5"/>
    <n v="-0.45454545454545453"/>
  </r>
  <r>
    <s v="to throttle"/>
    <s v="étrangler / accélérer"/>
    <d v="2022-03-19T00:00:00"/>
    <x v="5"/>
    <n v="-5"/>
    <n v="-0.45454545454545453"/>
  </r>
  <r>
    <s v="letdown (common name)"/>
    <s v="la déception / la fatigue"/>
    <d v="2022-04-13T00:00:00"/>
    <x v="5"/>
    <n v="-5"/>
    <n v="-0.45454545454545453"/>
  </r>
  <r>
    <s v="a tender"/>
    <s v="une offre / une navette"/>
    <d v="2020-01-18T00:00:00"/>
    <x v="20"/>
    <n v="-9"/>
    <n v="-0.45"/>
  </r>
  <r>
    <s v="sputtering (common name)"/>
    <s v="la pulvérisation"/>
    <d v="2020-02-11T00:00:00"/>
    <x v="20"/>
    <n v="-9"/>
    <n v="-0.45"/>
  </r>
  <r>
    <s v="to baffle"/>
    <s v="déconcerter, dérouter"/>
    <d v="2021-02-26T00:00:00"/>
    <x v="18"/>
    <n v="-8"/>
    <n v="-0.44444444444444442"/>
  </r>
  <r>
    <s v="takings (common name)"/>
    <s v="les recettes"/>
    <d v="2021-03-16T00:00:00"/>
    <x v="18"/>
    <n v="-8"/>
    <n v="-0.44444444444444442"/>
  </r>
  <r>
    <s v="to groom"/>
    <s v="panser / préparer"/>
    <d v="2022-03-31T00:00:00"/>
    <x v="18"/>
    <n v="-8"/>
    <n v="-0.44444444444444442"/>
  </r>
  <r>
    <s v="to buy off"/>
    <s v="acheter le silence de"/>
    <d v="2018-11-18T00:00:00"/>
    <x v="6"/>
    <n v="-7"/>
    <n v="-0.4375"/>
  </r>
  <r>
    <s v="to leave off"/>
    <s v="s’arrêter, cesser / oublier / exclure"/>
    <d v="2013-12-13T00:00:00"/>
    <x v="23"/>
    <n v="-10"/>
    <n v="-0.43478260869565216"/>
  </r>
  <r>
    <s v="to haggle"/>
    <s v="marchander"/>
    <d v="2018-11-02T00:00:00"/>
    <x v="23"/>
    <n v="-10"/>
    <n v="-0.43478260869565216"/>
  </r>
  <r>
    <s v="to contrive"/>
    <s v="trouver un moyen pour faire"/>
    <d v="2019-08-12T00:00:00"/>
    <x v="23"/>
    <n v="-10"/>
    <n v="-0.43478260869565216"/>
  </r>
  <r>
    <s v="bespoke (adj.)"/>
    <s v="sur mesure"/>
    <d v="2019-11-02T00:00:00"/>
    <x v="8"/>
    <n v="-6"/>
    <n v="-0.42857142857142855"/>
  </r>
  <r>
    <s v="to substantiate"/>
    <s v="justifier"/>
    <d v="2019-12-16T00:00:00"/>
    <x v="19"/>
    <n v="-9"/>
    <n v="-0.42857142857142855"/>
  </r>
  <r>
    <s v="devoid (adj.)"/>
    <s v="dépourvu"/>
    <d v="2020-05-18T00:00:00"/>
    <x v="8"/>
    <n v="-6"/>
    <n v="-0.42857142857142855"/>
  </r>
  <r>
    <s v="to hallmark"/>
    <s v="poinçonner"/>
    <d v="2021-11-21T00:00:00"/>
    <x v="2"/>
    <n v="-3"/>
    <n v="-0.42857142857142855"/>
  </r>
  <r>
    <s v="to nab"/>
    <s v="épingler / pincer"/>
    <d v="2022-01-23T00:00:00"/>
    <x v="8"/>
    <n v="-6"/>
    <n v="-0.42857142857142855"/>
  </r>
  <r>
    <s v="a closeup"/>
    <s v="un gros plan"/>
    <d v="2022-02-03T00:00:00"/>
    <x v="8"/>
    <n v="-6"/>
    <n v="-0.42857142857142855"/>
  </r>
  <r>
    <s v="shenanigans (common name)"/>
    <s v="des maniganceries"/>
    <d v="2022-03-12T00:00:00"/>
    <x v="2"/>
    <n v="-3"/>
    <n v="-0.42857142857142855"/>
  </r>
  <r>
    <s v="tamper-proof"/>
    <s v="inviolable"/>
    <d v="2022-07-14T00:00:00"/>
    <x v="2"/>
    <n v="-3"/>
    <n v="-0.42857142857142855"/>
  </r>
  <r>
    <s v="a groundskeeper"/>
    <s v="un jardinier"/>
    <d v="2022-07-19T00:00:00"/>
    <x v="2"/>
    <n v="-3"/>
    <n v="-0.42857142857142855"/>
  </r>
  <r>
    <s v="backward (adj.) / a backward"/>
    <s v="tardif / un retard"/>
    <d v="2011-03-09T00:00:00"/>
    <x v="17"/>
    <n v="-8"/>
    <n v="-0.42105263157894735"/>
  </r>
  <r>
    <s v="toil (common name)"/>
    <s v="un labeur, un dur travail"/>
    <d v="2018-04-15T00:00:00"/>
    <x v="17"/>
    <n v="-8"/>
    <n v="-0.42105263157894735"/>
  </r>
  <r>
    <s v="a speck"/>
    <s v="un grain"/>
    <d v="2019-05-20T00:00:00"/>
    <x v="16"/>
    <n v="-7"/>
    <n v="-0.41176470588235292"/>
  </r>
  <r>
    <s v="a hype"/>
    <s v="une publicité tapageuse, un matraquage"/>
    <d v="2013-12-13T00:00:00"/>
    <x v="20"/>
    <n v="-8"/>
    <n v="-0.4"/>
  </r>
  <r>
    <s v="to quibble"/>
    <s v="ergoter, chicaner"/>
    <d v="2018-08-29T00:00:00"/>
    <x v="20"/>
    <n v="-8"/>
    <n v="-0.4"/>
  </r>
  <r>
    <s v="to peeve"/>
    <s v="mettre en rogne"/>
    <d v="2019-04-29T00:00:00"/>
    <x v="20"/>
    <n v="-8"/>
    <n v="-0.4"/>
  </r>
  <r>
    <s v="a pin"/>
    <s v="une épingle"/>
    <d v="2019-05-20T00:00:00"/>
    <x v="11"/>
    <n v="-6"/>
    <n v="-0.4"/>
  </r>
  <r>
    <s v="a leech"/>
    <s v="une sangsue"/>
    <d v="2021-11-19T00:00:00"/>
    <x v="0"/>
    <n v="-4"/>
    <n v="-0.4"/>
  </r>
  <r>
    <s v="to holler"/>
    <s v="brailler"/>
    <d v="2021-11-24T00:00:00"/>
    <x v="0"/>
    <n v="-4"/>
    <n v="-0.4"/>
  </r>
  <r>
    <s v="bonafide (adj.)"/>
    <s v="authentique"/>
    <d v="2022-04-06T00:00:00"/>
    <x v="0"/>
    <n v="-4"/>
    <n v="-0.4"/>
  </r>
  <r>
    <s v="a kingpin"/>
    <s v="un pivot central"/>
    <d v="2022-06-26T00:00:00"/>
    <x v="0"/>
    <n v="-4"/>
    <n v="-0.4"/>
  </r>
  <r>
    <s v="a dissenter"/>
    <s v="un dissident"/>
    <d v="2019-05-20T00:00:00"/>
    <x v="23"/>
    <n v="-9"/>
    <n v="-0.39130434782608697"/>
  </r>
  <r>
    <s v="a teller"/>
    <s v="un caissier"/>
    <d v="2013-12-13T00:00:00"/>
    <x v="18"/>
    <n v="-7"/>
    <n v="-0.3888888888888889"/>
  </r>
  <r>
    <s v="a locker"/>
    <s v="un casier, un coffre, un placard"/>
    <d v="2018-11-11T00:00:00"/>
    <x v="18"/>
    <n v="-7"/>
    <n v="-0.3888888888888889"/>
  </r>
  <r>
    <s v="to put on"/>
    <s v="organiser"/>
    <d v="2013-12-13T00:00:00"/>
    <x v="24"/>
    <n v="-10"/>
    <n v="-0.38461538461538464"/>
  </r>
  <r>
    <s v="to falter"/>
    <s v="vaciller"/>
    <d v="2019-12-16T00:00:00"/>
    <x v="1"/>
    <n v="-5"/>
    <n v="-0.38461538461538464"/>
  </r>
  <r>
    <s v="burlap (common name)"/>
    <s v="la toile de jute"/>
    <d v="2020-07-14T00:00:00"/>
    <x v="1"/>
    <n v="-5"/>
    <n v="-0.38461538461538464"/>
  </r>
  <r>
    <s v="to no avail / with no avail"/>
    <s v="en vain"/>
    <d v="2021-11-08T00:00:00"/>
    <x v="1"/>
    <n v="-5"/>
    <n v="-0.38461538461538464"/>
  </r>
  <r>
    <s v="a ledge"/>
    <s v="un rebord, une saillie"/>
    <d v="2022-05-15T00:00:00"/>
    <x v="1"/>
    <n v="-5"/>
    <n v="-0.38461538461538464"/>
  </r>
  <r>
    <s v="gimp (adj.)"/>
    <s v="boiteux"/>
    <d v="2022-06-21T00:00:00"/>
    <x v="1"/>
    <n v="-5"/>
    <n v="-0.38461538461538464"/>
  </r>
  <r>
    <s v="fatuous"/>
    <s v="imbécile, idiot"/>
    <d v="2011-03-09T00:00:00"/>
    <x v="19"/>
    <n v="-8"/>
    <n v="-0.38095238095238093"/>
  </r>
  <r>
    <s v="lousy"/>
    <s v="pouilleux / mauvais"/>
    <d v="2018-05-17T00:00:00"/>
    <x v="19"/>
    <n v="-8"/>
    <n v="-0.38095238095238093"/>
  </r>
  <r>
    <s v="bullying (common name)"/>
    <s v="le harcèlement"/>
    <d v="2018-11-04T00:00:00"/>
    <x v="19"/>
    <n v="-8"/>
    <n v="-0.38095238095238093"/>
  </r>
  <r>
    <s v="a wafer"/>
    <s v="une tranche"/>
    <d v="2021-06-17T00:00:00"/>
    <x v="19"/>
    <n v="-8"/>
    <n v="-0.38095238095238093"/>
  </r>
  <r>
    <s v="the bustle"/>
    <s v="l'agitation / la tournure"/>
    <d v="2018-11-02T00:00:00"/>
    <x v="21"/>
    <n v="-9"/>
    <n v="-0.375"/>
  </r>
  <r>
    <s v="conducive (adv.)"/>
    <s v="contribuant, assistant"/>
    <d v="2018-12-17T00:00:00"/>
    <x v="21"/>
    <n v="-9"/>
    <n v="-0.375"/>
  </r>
  <r>
    <s v="studded"/>
    <s v="clouté"/>
    <d v="2019-01-07T00:00:00"/>
    <x v="27"/>
    <n v="-12"/>
    <n v="-0.375"/>
  </r>
  <r>
    <s v="to bristle"/>
    <s v="se hérisser"/>
    <d v="2021-12-24T00:00:00"/>
    <x v="6"/>
    <n v="-6"/>
    <n v="-0.375"/>
  </r>
  <r>
    <s v="uncanny"/>
    <s v="étrange"/>
    <d v="2018-09-30T00:00:00"/>
    <x v="28"/>
    <n v="-10"/>
    <n v="-0.37037037037037035"/>
  </r>
  <r>
    <s v="a commodity"/>
    <s v="une denrée de base, une matière première / une marchandise"/>
    <d v="2013-12-13T00:00:00"/>
    <x v="17"/>
    <n v="-7"/>
    <n v="-0.36842105263157893"/>
  </r>
  <r>
    <s v="dowdy"/>
    <s v="démodé, mal fagoté"/>
    <d v="2018-10-30T00:00:00"/>
    <x v="17"/>
    <n v="-7"/>
    <n v="-0.36842105263157893"/>
  </r>
  <r>
    <s v="curdling (common name)"/>
    <s v="la coagulation"/>
    <d v="2018-11-13T00:00:00"/>
    <x v="22"/>
    <n v="-8"/>
    <n v="-0.36363636363636365"/>
  </r>
  <r>
    <s v="quaint (adj.)"/>
    <s v="pittoresque, original"/>
    <d v="2018-05-27T00:00:00"/>
    <x v="25"/>
    <n v="-10"/>
    <n v="-0.35714285714285715"/>
  </r>
  <r>
    <s v="to pluck"/>
    <s v="pincer (les cordes d'un instrument)"/>
    <d v="2021-08-24T00:00:00"/>
    <x v="8"/>
    <n v="-5"/>
    <n v="-0.35714285714285715"/>
  </r>
  <r>
    <s v="an attendant"/>
    <s v="un domestique, un gardien"/>
    <d v="2013-12-13T00:00:00"/>
    <x v="16"/>
    <n v="-6"/>
    <n v="-0.35294117647058826"/>
  </r>
  <r>
    <s v="in due course"/>
    <s v="en bref (soutenu)"/>
    <d v="2019-03-24T00:00:00"/>
    <x v="16"/>
    <n v="-6"/>
    <n v="-0.35294117647058826"/>
  </r>
  <r>
    <s v="hackneyed"/>
    <s v="rebattu"/>
    <d v="2020-06-02T00:00:00"/>
    <x v="16"/>
    <n v="-6"/>
    <n v="-0.35294117647058826"/>
  </r>
  <r>
    <s v="mundane"/>
    <s v="banal"/>
    <d v="2021-06-19T00:00:00"/>
    <x v="16"/>
    <n v="-6"/>
    <n v="-0.35294117647058826"/>
  </r>
  <r>
    <s v="a nuisance"/>
    <s v="un fléau"/>
    <d v="2013-12-13T00:00:00"/>
    <x v="20"/>
    <n v="-7"/>
    <n v="-0.35"/>
  </r>
  <r>
    <s v="frill (adj.)"/>
    <s v="volant"/>
    <d v="2019-02-12T00:00:00"/>
    <x v="21"/>
    <n v="-8"/>
    <n v="-0.33333333333333331"/>
  </r>
  <r>
    <s v="a prong"/>
    <s v="une dent"/>
    <d v="2020-01-18T00:00:00"/>
    <x v="7"/>
    <n v="-4"/>
    <n v="-0.33333333333333331"/>
  </r>
  <r>
    <s v="a woe"/>
    <s v="un malheur"/>
    <d v="2020-05-18T00:00:00"/>
    <x v="11"/>
    <n v="-5"/>
    <n v="-0.33333333333333331"/>
  </r>
  <r>
    <s v="derpy"/>
    <s v="ridicule"/>
    <d v="2021-08-04T00:00:00"/>
    <x v="11"/>
    <n v="-5"/>
    <n v="-0.33333333333333331"/>
  </r>
  <r>
    <s v="heath (common name)"/>
    <s v="la bruyère"/>
    <d v="2021-08-24T00:00:00"/>
    <x v="10"/>
    <n v="-3"/>
    <n v="-0.33333333333333331"/>
  </r>
  <r>
    <s v="restless"/>
    <s v="agité, inquiet"/>
    <d v="2021-09-09T00:00:00"/>
    <x v="10"/>
    <n v="-3"/>
    <n v="-0.33333333333333331"/>
  </r>
  <r>
    <s v="a binge"/>
    <s v="une frénésie, une bringue"/>
    <d v="2021-09-16T00:00:00"/>
    <x v="10"/>
    <n v="-3"/>
    <n v="-0.33333333333333331"/>
  </r>
  <r>
    <s v="backdoor (adj.)"/>
    <s v="détourné, déguisé"/>
    <d v="2021-09-29T00:00:00"/>
    <x v="11"/>
    <n v="-5"/>
    <n v="-0.33333333333333331"/>
  </r>
  <r>
    <s v="a brat"/>
    <s v="un morveux"/>
    <d v="2021-11-05T00:00:00"/>
    <x v="10"/>
    <n v="-3"/>
    <n v="-0.33333333333333331"/>
  </r>
  <r>
    <s v="to spew"/>
    <s v="vomir"/>
    <d v="2021-12-15T00:00:00"/>
    <x v="4"/>
    <n v="-2"/>
    <n v="-0.33333333333333331"/>
  </r>
  <r>
    <s v="to spoil"/>
    <s v="abîmer"/>
    <d v="2022-01-12T00:00:00"/>
    <x v="10"/>
    <n v="-3"/>
    <n v="-0.33333333333333331"/>
  </r>
  <r>
    <s v="a treadmill"/>
    <s v="un tapis roulant / un manège"/>
    <d v="2022-01-23T00:00:00"/>
    <x v="11"/>
    <n v="-5"/>
    <n v="-0.33333333333333331"/>
  </r>
  <r>
    <s v="a hoodie"/>
    <s v="un sweat à capuche"/>
    <d v="2022-01-24T00:00:00"/>
    <x v="13"/>
    <n v="-1"/>
    <n v="-0.33333333333333331"/>
  </r>
  <r>
    <s v="to avert"/>
    <s v="éviter"/>
    <d v="2022-02-28T00:00:00"/>
    <x v="18"/>
    <n v="-6"/>
    <n v="-0.33333333333333331"/>
  </r>
  <r>
    <s v="proctoring (common name)"/>
    <s v="la surveillance"/>
    <d v="2022-03-17T00:00:00"/>
    <x v="7"/>
    <n v="-4"/>
    <n v="-0.33333333333333331"/>
  </r>
  <r>
    <s v="to taper off"/>
    <s v="(s') estomper"/>
    <d v="2022-03-31T00:00:00"/>
    <x v="7"/>
    <n v="-4"/>
    <n v="-0.33333333333333331"/>
  </r>
  <r>
    <s v="Odds are that …"/>
    <s v="Il est très probable que …"/>
    <d v="2022-04-08T00:00:00"/>
    <x v="10"/>
    <n v="-3"/>
    <n v="-0.33333333333333331"/>
  </r>
  <r>
    <s v="a moat"/>
    <s v="un fossé, les douves"/>
    <d v="2022-04-15T00:00:00"/>
    <x v="10"/>
    <n v="-3"/>
    <n v="-0.33333333333333331"/>
  </r>
  <r>
    <s v="a surmise"/>
    <s v="une conjecture, une hypothèse"/>
    <d v="2022-05-17T00:00:00"/>
    <x v="19"/>
    <n v="-7"/>
    <n v="-0.33333333333333331"/>
  </r>
  <r>
    <s v="a squabble"/>
    <s v="une dispute"/>
    <d v="2022-06-19T00:00:00"/>
    <x v="7"/>
    <n v="-4"/>
    <n v="-0.33333333333333331"/>
  </r>
  <r>
    <s v="at the behest of"/>
    <s v="à la demande de"/>
    <d v="2022-07-09T00:00:00"/>
    <x v="4"/>
    <n v="-2"/>
    <n v="-0.33333333333333331"/>
  </r>
  <r>
    <s v="a hangover"/>
    <s v="une gueule de bois"/>
    <d v="2022-09-17T00:00:00"/>
    <x v="4"/>
    <n v="-2"/>
    <n v="-0.33333333333333331"/>
  </r>
  <r>
    <s v="to weed"/>
    <s v="désherber"/>
    <d v="2022-11-01T00:00:00"/>
    <x v="13"/>
    <n v="-1"/>
    <n v="-0.33333333333333331"/>
  </r>
  <r>
    <s v="an affidavit"/>
    <s v="une déclaration écrite sous serment"/>
    <d v="2022-11-12T00:00:00"/>
    <x v="13"/>
    <n v="-1"/>
    <n v="-0.33333333333333331"/>
  </r>
  <r>
    <s v="Keep it handy."/>
    <s v="Garde-le à portée de main."/>
    <d v="2022-11-19T00:00:00"/>
    <x v="13"/>
    <n v="-1"/>
    <n v="-0.33333333333333331"/>
  </r>
  <r>
    <s v="a pane"/>
    <s v="une vitre, un carreau / une plaque"/>
    <d v="2022-12-09T00:00:00"/>
    <x v="13"/>
    <n v="-1"/>
    <n v="-0.33333333333333331"/>
  </r>
  <r>
    <s v="a loot"/>
    <s v="un butin"/>
    <d v="2020-01-18T00:00:00"/>
    <x v="26"/>
    <n v="-8"/>
    <n v="-0.32"/>
  </r>
  <r>
    <s v="rapturous"/>
    <s v="enthousiaste"/>
    <d v="2018-07-17T00:00:00"/>
    <x v="22"/>
    <n v="-7"/>
    <n v="-0.31818181818181818"/>
  </r>
  <r>
    <s v="buckled"/>
    <s v="voilé"/>
    <d v="2019-11-07T00:00:00"/>
    <x v="22"/>
    <n v="-7"/>
    <n v="-0.31818181818181818"/>
  </r>
  <r>
    <s v="to bail out"/>
    <s v="tirer d'affaire"/>
    <d v="2011-03-09T00:00:00"/>
    <x v="17"/>
    <n v="-6"/>
    <n v="-0.31578947368421051"/>
  </r>
  <r>
    <s v="sentient"/>
    <s v="sensible"/>
    <d v="2019-11-02T00:00:00"/>
    <x v="17"/>
    <n v="-6"/>
    <n v="-0.31578947368421051"/>
  </r>
  <r>
    <s v="to rebuke"/>
    <s v="réprimander"/>
    <d v="2021-04-13T00:00:00"/>
    <x v="17"/>
    <n v="-6"/>
    <n v="-0.31578947368421051"/>
  </r>
  <r>
    <s v="to shun"/>
    <s v="éviter, fuir"/>
    <d v="2021-06-17T00:00:00"/>
    <x v="17"/>
    <n v="-6"/>
    <n v="-0.31578947368421051"/>
  </r>
  <r>
    <s v="to blast"/>
    <s v="détruire, faire exploser"/>
    <d v="2011-03-09T00:00:00"/>
    <x v="6"/>
    <n v="-5"/>
    <n v="-0.3125"/>
  </r>
  <r>
    <s v="a bereavement"/>
    <s v="un deuil"/>
    <d v="2019-11-02T00:00:00"/>
    <x v="6"/>
    <n v="-5"/>
    <n v="-0.3125"/>
  </r>
  <r>
    <s v="lace (common name)"/>
    <s v="la dentelle"/>
    <d v="2019-11-18T00:00:00"/>
    <x v="1"/>
    <n v="-4"/>
    <n v="-0.30769230769230771"/>
  </r>
  <r>
    <s v="bully"/>
    <s v="intimidateur"/>
    <d v="2021-06-03T00:00:00"/>
    <x v="1"/>
    <n v="-4"/>
    <n v="-0.30769230769230771"/>
  </r>
  <r>
    <s v="to showe"/>
    <s v="pousser, faire marcher"/>
    <d v="2011-03-09T00:00:00"/>
    <x v="23"/>
    <n v="-7"/>
    <n v="-0.30434782608695654"/>
  </r>
  <r>
    <s v="adamant (adj.)"/>
    <s v="catégorique"/>
    <d v="2020-06-02T00:00:00"/>
    <x v="20"/>
    <n v="-6"/>
    <n v="-0.3"/>
  </r>
  <r>
    <s v="stingy"/>
    <s v="avare"/>
    <d v="2020-06-22T00:00:00"/>
    <x v="20"/>
    <n v="-6"/>
    <n v="-0.3"/>
  </r>
  <r>
    <s v="a bangle"/>
    <s v="un bracelet"/>
    <d v="2019-10-29T00:00:00"/>
    <x v="28"/>
    <n v="-8"/>
    <n v="-0.29629629629629628"/>
  </r>
  <r>
    <s v="the rubble"/>
    <s v="les décombres, les gravats"/>
    <d v="2021-03-21T00:00:00"/>
    <x v="28"/>
    <n v="-8"/>
    <n v="-0.29629629629629628"/>
  </r>
  <r>
    <s v="strapped"/>
    <s v="à court d'argent"/>
    <d v="2018-10-28T00:00:00"/>
    <x v="16"/>
    <n v="-5"/>
    <n v="-0.29411764705882354"/>
  </r>
  <r>
    <s v="scaly"/>
    <s v="méprisable, lâche"/>
    <d v="2020-05-18T00:00:00"/>
    <x v="16"/>
    <n v="-5"/>
    <n v="-0.29411764705882354"/>
  </r>
  <r>
    <s v="pesky"/>
    <s v="embêtant"/>
    <d v="2021-08-25T00:00:00"/>
    <x v="16"/>
    <n v="-5"/>
    <n v="-0.29411764705882354"/>
  </r>
  <r>
    <s v="a placeholder"/>
    <s v="un espace réservé"/>
    <d v="2018-11-19T00:00:00"/>
    <x v="19"/>
    <n v="-6"/>
    <n v="-0.2857142857142857"/>
  </r>
  <r>
    <s v="a contrivance"/>
    <s v="un stratagème"/>
    <d v="2020-02-11T00:00:00"/>
    <x v="25"/>
    <n v="-8"/>
    <n v="-0.2857142857142857"/>
  </r>
  <r>
    <s v="full-fledged"/>
    <s v="à part entière"/>
    <d v="2021-12-04T00:00:00"/>
    <x v="8"/>
    <n v="-4"/>
    <n v="-0.2857142857142857"/>
  </r>
  <r>
    <s v="jittery (adj.)"/>
    <s v="nerveux, agité"/>
    <d v="2018-10-25T00:00:00"/>
    <x v="18"/>
    <n v="-5"/>
    <n v="-0.27777777777777779"/>
  </r>
  <r>
    <s v="to aver"/>
    <s v="affirmer, déclarer"/>
    <d v="2018-12-17T00:00:00"/>
    <x v="18"/>
    <n v="-5"/>
    <n v="-0.27777777777777779"/>
  </r>
  <r>
    <s v="wholesome (adj.)"/>
    <s v="sain, salubre"/>
    <d v="2021-04-13T00:00:00"/>
    <x v="18"/>
    <n v="-5"/>
    <n v="-0.27777777777777779"/>
  </r>
  <r>
    <s v="a haul"/>
    <s v="un voyage, un trajet"/>
    <d v="2011-03-09T00:00:00"/>
    <x v="5"/>
    <n v="-3"/>
    <n v="-0.27272727272727271"/>
  </r>
  <r>
    <s v="a spat"/>
    <s v="une prise de bec"/>
    <d v="2019-10-29T00:00:00"/>
    <x v="22"/>
    <n v="-6"/>
    <n v="-0.27272727272727271"/>
  </r>
  <r>
    <s v="inbred"/>
    <s v="inné"/>
    <d v="2021-10-29T00:00:00"/>
    <x v="5"/>
    <n v="-3"/>
    <n v="-0.27272727272727271"/>
  </r>
  <r>
    <s v="itchy (adj.)"/>
    <s v="qui démange"/>
    <d v="2021-12-29T00:00:00"/>
    <x v="5"/>
    <n v="-3"/>
    <n v="-0.27272727272727271"/>
  </r>
  <r>
    <s v="to traipse"/>
    <s v="se balader"/>
    <d v="2022-01-02T00:00:00"/>
    <x v="5"/>
    <n v="-3"/>
    <n v="-0.27272727272727271"/>
  </r>
  <r>
    <s v="to grizzle"/>
    <s v="geindre"/>
    <d v="2020-01-18T00:00:00"/>
    <x v="24"/>
    <n v="-7"/>
    <n v="-0.26923076923076922"/>
  </r>
  <r>
    <s v="to scold"/>
    <s v="réprimander"/>
    <d v="2020-06-22T00:00:00"/>
    <x v="24"/>
    <n v="-7"/>
    <n v="-0.26923076923076922"/>
  </r>
  <r>
    <s v="wryly"/>
    <s v="ironiquement"/>
    <d v="2018-10-04T00:00:00"/>
    <x v="17"/>
    <n v="-5"/>
    <n v="-0.26315789473684209"/>
  </r>
  <r>
    <s v="a backlash"/>
    <s v="un contrecoup"/>
    <d v="2021-07-18T00:00:00"/>
    <x v="17"/>
    <n v="-5"/>
    <n v="-0.26315789473684209"/>
  </r>
  <r>
    <s v="to squeak"/>
    <s v="grincer / piailler, glapir"/>
    <d v="2018-10-24T00:00:00"/>
    <x v="23"/>
    <n v="-6"/>
    <n v="-0.2608695652173913"/>
  </r>
  <r>
    <s v="a brace"/>
    <s v="un lien, une attache"/>
    <d v="2011-03-09T00:00:00"/>
    <x v="20"/>
    <n v="-5"/>
    <n v="-0.25"/>
  </r>
  <r>
    <s v="a desk clerk"/>
    <s v="un réceptionniste"/>
    <d v="2013-12-13T00:00:00"/>
    <x v="20"/>
    <n v="-5"/>
    <n v="-0.25"/>
  </r>
  <r>
    <s v="a sneer"/>
    <s v="un ricanement"/>
    <d v="2018-10-31T00:00:00"/>
    <x v="7"/>
    <n v="-3"/>
    <n v="-0.25"/>
  </r>
  <r>
    <s v="to scour"/>
    <s v="parcourir, fouiller / récurer"/>
    <d v="2018-11-19T00:00:00"/>
    <x v="6"/>
    <n v="-4"/>
    <n v="-0.25"/>
  </r>
  <r>
    <s v="props (common name)"/>
    <s v="des accessoires"/>
    <d v="2019-07-15T00:00:00"/>
    <x v="21"/>
    <n v="-6"/>
    <n v="-0.25"/>
  </r>
  <r>
    <s v="to abate"/>
    <s v="diminuer"/>
    <d v="2021-03-16T00:00:00"/>
    <x v="6"/>
    <n v="-4"/>
    <n v="-0.25"/>
  </r>
  <r>
    <s v="brawler (adj.)"/>
    <s v="bagarreur"/>
    <d v="2021-04-12T00:00:00"/>
    <x v="7"/>
    <n v="-3"/>
    <n v="-0.25"/>
  </r>
  <r>
    <s v="to strut"/>
    <s v="se pavaner"/>
    <d v="2021-04-12T00:00:00"/>
    <x v="7"/>
    <n v="-3"/>
    <n v="-0.25"/>
  </r>
  <r>
    <s v="gassy"/>
    <s v="effervescent / bavard"/>
    <d v="2021-05-29T00:00:00"/>
    <x v="6"/>
    <n v="-4"/>
    <n v="-0.25"/>
  </r>
  <r>
    <s v="a salvage"/>
    <s v="un sauvetage"/>
    <d v="2021-07-18T00:00:00"/>
    <x v="7"/>
    <n v="-3"/>
    <n v="-0.25"/>
  </r>
  <r>
    <s v="deceit (common name)"/>
    <s v="la tromperie, le mensonge"/>
    <d v="2022-01-20T00:00:00"/>
    <x v="3"/>
    <n v="-2"/>
    <n v="-0.25"/>
  </r>
  <r>
    <s v="a simile"/>
    <s v="une comparaison"/>
    <d v="2022-06-20T00:00:00"/>
    <x v="3"/>
    <n v="-2"/>
    <n v="-0.25"/>
  </r>
  <r>
    <s v="steadfast"/>
    <s v="inébranlable / fidèle"/>
    <d v="2022-06-21T00:00:00"/>
    <x v="3"/>
    <n v="-2"/>
    <n v="-0.25"/>
  </r>
  <r>
    <s v="to break down"/>
    <s v="tomber en panne"/>
    <d v="2013-12-13T00:00:00"/>
    <x v="19"/>
    <n v="-5"/>
    <n v="-0.23809523809523808"/>
  </r>
  <r>
    <s v="ominous"/>
    <s v="menaçant, sinistre, inquiétant"/>
    <d v="2018-10-24T00:00:00"/>
    <x v="16"/>
    <n v="-4"/>
    <n v="-0.23529411764705882"/>
  </r>
  <r>
    <s v="to sip"/>
    <s v="siroter"/>
    <d v="2018-11-02T00:00:00"/>
    <x v="16"/>
    <n v="-4"/>
    <n v="-0.23529411764705882"/>
  </r>
  <r>
    <s v="a cranny"/>
    <s v="une fente"/>
    <d v="2018-12-10T00:00:00"/>
    <x v="1"/>
    <n v="-3"/>
    <n v="-0.23076923076923078"/>
  </r>
  <r>
    <s v="a scrutiny"/>
    <s v="un examen minutieux"/>
    <d v="2019-12-16T00:00:00"/>
    <x v="1"/>
    <n v="-3"/>
    <n v="-0.23076923076923078"/>
  </r>
  <r>
    <s v="to dabble"/>
    <s v="barboter"/>
    <d v="2021-12-01T00:00:00"/>
    <x v="1"/>
    <n v="-3"/>
    <n v="-0.23076923076923078"/>
  </r>
  <r>
    <s v="gooey (adj.)"/>
    <s v="gluant"/>
    <d v="2022-03-01T00:00:00"/>
    <x v="1"/>
    <n v="-3"/>
    <n v="-0.23076923076923078"/>
  </r>
  <r>
    <s v="to put off"/>
    <s v="retarder, repousser, différer"/>
    <d v="2013-12-13T00:00:00"/>
    <x v="22"/>
    <n v="-5"/>
    <n v="-0.22727272727272727"/>
  </r>
  <r>
    <s v="She enjoys entertaining."/>
    <s v="Elle adore recevoir du monde."/>
    <d v="2019-03-24T00:00:00"/>
    <x v="22"/>
    <n v="-5"/>
    <n v="-0.22727272727272727"/>
  </r>
  <r>
    <s v="draftiness (common name)"/>
    <s v="les douleurs"/>
    <d v="2019-10-23T00:00:00"/>
    <x v="22"/>
    <n v="-5"/>
    <n v="-0.22727272727272727"/>
  </r>
  <r>
    <s v="perfunctory (adj.)"/>
    <s v="sommaire"/>
    <d v="2020-06-02T00:00:00"/>
    <x v="22"/>
    <n v="-5"/>
    <n v="-0.22727272727272727"/>
  </r>
  <r>
    <s v="a bumper"/>
    <s v="un pare-chocs"/>
    <d v="2013-12-13T00:00:00"/>
    <x v="18"/>
    <n v="-4"/>
    <n v="-0.22222222222222221"/>
  </r>
  <r>
    <s v="an allowance"/>
    <s v="une allocation, une indemnité / une réduction, un rabais"/>
    <d v="2013-12-13T00:00:00"/>
    <x v="18"/>
    <n v="-4"/>
    <n v="-0.22222222222222221"/>
  </r>
  <r>
    <s v="a lump"/>
    <s v="une bosse"/>
    <d v="2020-05-11T00:00:00"/>
    <x v="18"/>
    <n v="-4"/>
    <n v="-0.22222222222222221"/>
  </r>
  <r>
    <s v="a crease"/>
    <s v="un pli, une pliure"/>
    <d v="2022-01-14T00:00:00"/>
    <x v="18"/>
    <n v="-4"/>
    <n v="-0.22222222222222221"/>
  </r>
  <r>
    <s v="to upset"/>
    <s v="bouleverser, renverser, désorganiser"/>
    <d v="2011-03-09T00:00:00"/>
    <x v="8"/>
    <n v="-3"/>
    <n v="-0.21428571428571427"/>
  </r>
  <r>
    <s v="a warp"/>
    <s v="une distorsion / une chaîne"/>
    <d v="2018-11-01T00:00:00"/>
    <x v="17"/>
    <n v="-4"/>
    <n v="-0.21052631578947367"/>
  </r>
  <r>
    <s v="to wean"/>
    <s v="sevrer, détacher de"/>
    <d v="2018-10-24T00:00:00"/>
    <x v="29"/>
    <n v="-6"/>
    <n v="-0.20689655172413793"/>
  </r>
  <r>
    <s v="the amenities"/>
    <s v="les agréments"/>
    <d v="2020-01-18T00:00:00"/>
    <x v="0"/>
    <n v="-2"/>
    <n v="-0.2"/>
  </r>
  <r>
    <s v="fluffy"/>
    <s v="duveteux"/>
    <d v="2021-09-04T00:00:00"/>
    <x v="11"/>
    <n v="-3"/>
    <n v="-0.2"/>
  </r>
  <r>
    <s v="a keel"/>
    <s v="une quille / un navire"/>
    <d v="2021-11-24T00:00:00"/>
    <x v="9"/>
    <n v="-1"/>
    <n v="-0.2"/>
  </r>
  <r>
    <s v="to drool"/>
    <s v="baver, saliver"/>
    <d v="2022-01-23T00:00:00"/>
    <x v="11"/>
    <n v="-3"/>
    <n v="-0.2"/>
  </r>
  <r>
    <s v="a slingshot"/>
    <s v="un lance-pierre"/>
    <d v="2022-02-18T00:00:00"/>
    <x v="0"/>
    <n v="-2"/>
    <n v="-0.2"/>
  </r>
  <r>
    <s v="a daisy"/>
    <s v="une paquerette / un homme gentil"/>
    <d v="2022-02-22T00:00:00"/>
    <x v="9"/>
    <n v="-1"/>
    <n v="-0.2"/>
  </r>
  <r>
    <s v="to snivel"/>
    <s v="pleurnicher, larmoyer"/>
    <d v="2022-03-20T00:00:00"/>
    <x v="9"/>
    <n v="-1"/>
    <n v="-0.2"/>
  </r>
  <r>
    <s v="a badger"/>
    <s v="un blaireau"/>
    <d v="2022-05-26T00:00:00"/>
    <x v="9"/>
    <n v="-1"/>
    <n v="-0.2"/>
  </r>
  <r>
    <s v="a ridge"/>
    <s v="une crête, une arête"/>
    <d v="2022-05-27T00:00:00"/>
    <x v="9"/>
    <n v="-1"/>
    <n v="-0.2"/>
  </r>
  <r>
    <s v="the circulation"/>
    <s v="le tirage"/>
    <d v="2011-03-09T00:00:00"/>
    <x v="24"/>
    <n v="-5"/>
    <n v="-0.19230769230769232"/>
  </r>
  <r>
    <s v="soothing (adj.)"/>
    <s v="apaisant, relaxant, reposant"/>
    <d v="2018-10-28T00:00:00"/>
    <x v="24"/>
    <n v="-5"/>
    <n v="-0.19230769230769232"/>
  </r>
  <r>
    <s v="to stave off"/>
    <s v="conjurer"/>
    <d v="2018-07-30T00:00:00"/>
    <x v="19"/>
    <n v="-4"/>
    <n v="-0.19047619047619047"/>
  </r>
  <r>
    <s v="to pervade"/>
    <s v="imprégner"/>
    <d v="2019-05-20T00:00:00"/>
    <x v="28"/>
    <n v="-5"/>
    <n v="-0.18518518518518517"/>
  </r>
  <r>
    <s v="to be entitled to"/>
    <s v="avoir droit à"/>
    <d v="2013-12-13T00:00:00"/>
    <x v="22"/>
    <n v="-4"/>
    <n v="-0.18181818181818182"/>
  </r>
  <r>
    <s v="the rabble"/>
    <s v="la populace / la cohue"/>
    <d v="2018-12-17T00:00:00"/>
    <x v="22"/>
    <n v="-4"/>
    <n v="-0.18181818181818182"/>
  </r>
  <r>
    <s v="aliasing (common name, techn.)"/>
    <s v="l'erreur dans estimation de la fréquence d'un signal, générant une autre erreur"/>
    <d v="2019-08-12T00:00:00"/>
    <x v="5"/>
    <n v="-2"/>
    <n v="-0.18181818181818182"/>
  </r>
  <r>
    <s v="a curd"/>
    <s v="un type de fromage blanc / un cabot, un sale chien"/>
    <d v="2021-07-18T00:00:00"/>
    <x v="22"/>
    <n v="-4"/>
    <n v="-0.18181818181818182"/>
  </r>
  <r>
    <s v="amenities"/>
    <s v="l'aménagement, l'équipement"/>
    <d v="2013-12-13T00:00:00"/>
    <x v="25"/>
    <n v="-5"/>
    <n v="-0.17857142857142858"/>
  </r>
  <r>
    <s v="congruent"/>
    <s v="conforme"/>
    <d v="2019-12-27T00:00:00"/>
    <x v="16"/>
    <n v="-3"/>
    <n v="-0.17647058823529413"/>
  </r>
  <r>
    <s v="clumsy"/>
    <s v="maladroit"/>
    <d v="2020-06-02T00:00:00"/>
    <x v="16"/>
    <n v="-3"/>
    <n v="-0.17647058823529413"/>
  </r>
  <r>
    <s v="a hoop"/>
    <s v="un cerceau"/>
    <d v="2021-06-25T00:00:00"/>
    <x v="16"/>
    <n v="-3"/>
    <n v="-0.17647058823529413"/>
  </r>
  <r>
    <s v="a hoot"/>
    <s v="une huée / une hululement"/>
    <d v="2021-08-17T00:00:00"/>
    <x v="16"/>
    <n v="-3"/>
    <n v="-0.17647058823529413"/>
  </r>
  <r>
    <s v="a hammock"/>
    <s v="un hamac"/>
    <d v="2021-09-18T00:00:00"/>
    <x v="16"/>
    <n v="-3"/>
    <n v="-0.17647058823529413"/>
  </r>
  <r>
    <s v="to spearhead"/>
    <s v="être à la tête de "/>
    <d v="2021-11-15T00:00:00"/>
    <x v="16"/>
    <n v="-3"/>
    <n v="-0.17647058823529413"/>
  </r>
  <r>
    <s v="a bramble"/>
    <s v="un roncier"/>
    <d v="2022-01-03T00:00:00"/>
    <x v="16"/>
    <n v="-3"/>
    <n v="-0.17647058823529413"/>
  </r>
  <r>
    <s v="blinkered"/>
    <s v="borné"/>
    <d v="2011-03-09T00:00:00"/>
    <x v="18"/>
    <n v="-3"/>
    <n v="-0.16666666666666666"/>
  </r>
  <r>
    <s v="to sour"/>
    <s v="s'aigrir"/>
    <d v="2018-10-09T00:00:00"/>
    <x v="18"/>
    <n v="-3"/>
    <n v="-0.16666666666666666"/>
  </r>
  <r>
    <s v="a tenet"/>
    <s v="un principe, une doctrine, un dogme"/>
    <d v="2018-12-10T00:00:00"/>
    <x v="18"/>
    <n v="-3"/>
    <n v="-0.16666666666666666"/>
  </r>
  <r>
    <s v="to tuck away"/>
    <s v="ranger"/>
    <d v="2021-09-14T00:00:00"/>
    <x v="7"/>
    <n v="-2"/>
    <n v="-0.16666666666666666"/>
  </r>
  <r>
    <s v="a roll back"/>
    <s v="un retour en arrière"/>
    <d v="2021-10-02T00:00:00"/>
    <x v="7"/>
    <n v="-2"/>
    <n v="-0.16666666666666666"/>
  </r>
  <r>
    <s v="to douse"/>
    <s v="éteindre / tremper"/>
    <d v="2022-03-04T00:00:00"/>
    <x v="7"/>
    <n v="-2"/>
    <n v="-0.16666666666666666"/>
  </r>
  <r>
    <s v="a spread"/>
    <s v="un écart"/>
    <d v="2013-12-13T00:00:00"/>
    <x v="26"/>
    <n v="-4"/>
    <n v="-0.16"/>
  </r>
  <r>
    <s v="to catch on"/>
    <s v="prendre, devenir populaire"/>
    <d v="2013-12-13T00:00:00"/>
    <x v="17"/>
    <n v="-3"/>
    <n v="-0.15789473684210525"/>
  </r>
  <r>
    <s v="ramshakle (adj.)"/>
    <s v="délabré"/>
    <d v="2018-10-24T00:00:00"/>
    <x v="17"/>
    <n v="-3"/>
    <n v="-0.15789473684210525"/>
  </r>
  <r>
    <s v="to squat"/>
    <s v="s'accroupir"/>
    <d v="2021-04-13T00:00:00"/>
    <x v="17"/>
    <n v="-3"/>
    <n v="-0.15789473684210525"/>
  </r>
  <r>
    <s v="to choke"/>
    <s v="étouffer, étrangler"/>
    <d v="2022-02-02T00:00:00"/>
    <x v="17"/>
    <n v="-3"/>
    <n v="-0.15789473684210525"/>
  </r>
  <r>
    <s v="to spurt"/>
    <s v="gicler, jaillir"/>
    <d v="2011-03-09T00:00:00"/>
    <x v="1"/>
    <n v="-2"/>
    <n v="-0.15384615384615385"/>
  </r>
  <r>
    <s v="a fallout"/>
    <s v="une retombée (au propre et au figuré)"/>
    <d v="2019-12-27T00:00:00"/>
    <x v="24"/>
    <n v="-4"/>
    <n v="-0.15384615384615385"/>
  </r>
  <r>
    <s v="a hose"/>
    <s v="un tuyau"/>
    <d v="2020-02-11T00:00:00"/>
    <x v="28"/>
    <n v="-4"/>
    <n v="-0.14814814814814814"/>
  </r>
  <r>
    <s v="to sprawl"/>
    <s v="s'étaler"/>
    <d v="2021-04-13T00:00:00"/>
    <x v="8"/>
    <n v="-2"/>
    <n v="-0.14285714285714285"/>
  </r>
  <r>
    <s v="a thicket"/>
    <s v="un bosquet / une touffe"/>
    <d v="2021-10-29T00:00:00"/>
    <x v="8"/>
    <n v="-2"/>
    <n v="-0.14285714285714285"/>
  </r>
  <r>
    <s v="to toss"/>
    <s v="jeter, lancer"/>
    <d v="2021-11-10T00:00:00"/>
    <x v="8"/>
    <n v="-2"/>
    <n v="-0.14285714285714285"/>
  </r>
  <r>
    <s v="an upholstery"/>
    <s v="une tapisserie"/>
    <d v="2022-01-23T00:00:00"/>
    <x v="2"/>
    <n v="-1"/>
    <n v="-0.14285714285714285"/>
  </r>
  <r>
    <s v="to put one's foot down"/>
    <s v="adopter une politique ferme (face à de l'opposition)"/>
    <d v="2022-01-24T00:00:00"/>
    <x v="8"/>
    <n v="-2"/>
    <n v="-0.14285714285714285"/>
  </r>
  <r>
    <s v="dotage (common name)"/>
    <s v="l'âge gâteux, la seconde enfance"/>
    <d v="2022-03-20T00:00:00"/>
    <x v="2"/>
    <n v="-1"/>
    <n v="-0.14285714285714285"/>
  </r>
  <r>
    <s v="crawfish (common name)"/>
    <s v="l'écrevisse"/>
    <d v="2022-05-20T00:00:00"/>
    <x v="2"/>
    <n v="-1"/>
    <n v="-0.14285714285714285"/>
  </r>
  <r>
    <s v="a pageants"/>
    <s v="un concours (de beauté, …)"/>
    <d v="2022-06-05T00:00:00"/>
    <x v="8"/>
    <n v="-2"/>
    <n v="-0.14285714285714285"/>
  </r>
  <r>
    <s v="to sire"/>
    <s v="engendrer"/>
    <d v="2022-06-22T00:00:00"/>
    <x v="2"/>
    <n v="-1"/>
    <n v="-0.14285714285714285"/>
  </r>
  <r>
    <s v="distraught (adj.)"/>
    <s v="éperdu"/>
    <d v="2022-10-09T00:00:00"/>
    <x v="2"/>
    <n v="-1"/>
    <n v="-0.14285714285714285"/>
  </r>
  <r>
    <s v="menial (adj.)"/>
    <s v="subalterne, (tâche) domestique"/>
    <d v="2022-11-04T00:00:00"/>
    <x v="2"/>
    <n v="-1"/>
    <n v="-0.14285714285714285"/>
  </r>
  <r>
    <s v="wanton (adj.)"/>
    <s v="capricieux / injustifié"/>
    <d v="2018-11-19T00:00:00"/>
    <x v="22"/>
    <n v="-3"/>
    <n v="-0.13636363636363635"/>
  </r>
  <r>
    <s v="a cobblestone"/>
    <s v="un pavé"/>
    <d v="2019-11-07T00:00:00"/>
    <x v="11"/>
    <n v="-2"/>
    <n v="-0.13333333333333333"/>
  </r>
  <r>
    <s v="the deterrence"/>
    <s v="la dissuasion"/>
    <d v="2021-03-16T00:00:00"/>
    <x v="11"/>
    <n v="-2"/>
    <n v="-0.13333333333333333"/>
  </r>
  <r>
    <s v="to husk"/>
    <s v="décortiquer"/>
    <d v="2018-11-18T00:00:00"/>
    <x v="23"/>
    <n v="-3"/>
    <n v="-0.13043478260869565"/>
  </r>
  <r>
    <s v="conspicuous"/>
    <s v="visible, évident / formidable"/>
    <d v="2021-07-18T00:00:00"/>
    <x v="23"/>
    <n v="-3"/>
    <n v="-0.13043478260869565"/>
  </r>
  <r>
    <s v="seasoned"/>
    <s v="chevronné"/>
    <d v="2020-06-22T00:00:00"/>
    <x v="6"/>
    <n v="-2"/>
    <n v="-0.125"/>
  </r>
  <r>
    <s v="a rookie (familier)"/>
    <s v="un débutant, un bleu"/>
    <d v="2020-07-30T00:00:00"/>
    <x v="6"/>
    <n v="-2"/>
    <n v="-0.125"/>
  </r>
  <r>
    <s v="to bemoan"/>
    <s v="déplorer, pleurer"/>
    <d v="2022-01-03T00:00:00"/>
    <x v="6"/>
    <n v="-2"/>
    <n v="-0.125"/>
  </r>
  <r>
    <s v="to backtrack"/>
    <s v="faire marche arrière"/>
    <d v="2018-11-24T00:00:00"/>
    <x v="16"/>
    <n v="-2"/>
    <n v="-0.11764705882352941"/>
  </r>
  <r>
    <s v="to juggle"/>
    <s v="jongler"/>
    <d v="2019-08-12T00:00:00"/>
    <x v="16"/>
    <n v="-2"/>
    <n v="-0.11764705882352941"/>
  </r>
  <r>
    <s v="a demur"/>
    <s v="une hésitation"/>
    <d v="2019-10-29T00:00:00"/>
    <x v="24"/>
    <n v="-3"/>
    <n v="-0.11538461538461539"/>
  </r>
  <r>
    <s v="to rail"/>
    <s v="lutter / entourer d'une barrière"/>
    <d v="2021-03-28T00:00:00"/>
    <x v="24"/>
    <n v="-3"/>
    <n v="-0.11538461538461539"/>
  </r>
  <r>
    <s v="overweening"/>
    <s v="démesuré, outrecuidant"/>
    <d v="2018-11-04T00:00:00"/>
    <x v="18"/>
    <n v="-2"/>
    <n v="-0.1111111111111111"/>
  </r>
  <r>
    <s v="a hearth"/>
    <s v="un foyer"/>
    <d v="2020-03-10T00:00:00"/>
    <x v="18"/>
    <n v="-2"/>
    <n v="-0.1111111111111111"/>
  </r>
  <r>
    <s v="a curator"/>
    <s v="un conservateur de musée"/>
    <d v="2021-03-28T00:00:00"/>
    <x v="18"/>
    <n v="-2"/>
    <n v="-0.1111111111111111"/>
  </r>
  <r>
    <s v="clamshell (adj.)"/>
    <s v="à clapet"/>
    <d v="2022-02-03T00:00:00"/>
    <x v="10"/>
    <n v="-1"/>
    <n v="-0.1111111111111111"/>
  </r>
  <r>
    <s v="a groundhog"/>
    <s v="une marmotte"/>
    <d v="2022-02-08T00:00:00"/>
    <x v="10"/>
    <n v="-1"/>
    <n v="-0.1111111111111111"/>
  </r>
  <r>
    <s v="the underdog"/>
    <s v="l'opprimé, le perdant"/>
    <d v="2011-03-09T00:00:00"/>
    <x v="20"/>
    <n v="-2"/>
    <n v="-0.1"/>
  </r>
  <r>
    <s v="a backlash"/>
    <s v="un contrecoup, un effet boomerang"/>
    <d v="2013-12-13T00:00:00"/>
    <x v="20"/>
    <n v="-2"/>
    <n v="-0.1"/>
  </r>
  <r>
    <s v="the quill"/>
    <s v="la penne (plume)"/>
    <d v="2018-11-01T00:00:00"/>
    <x v="20"/>
    <n v="-2"/>
    <n v="-0.1"/>
  </r>
  <r>
    <s v="a plight"/>
    <s v="une situation critique"/>
    <d v="2020-06-02T00:00:00"/>
    <x v="30"/>
    <n v="-3"/>
    <n v="-0.1"/>
  </r>
  <r>
    <s v="a skein"/>
    <s v="un écheveau"/>
    <d v="2020-06-22T00:00:00"/>
    <x v="20"/>
    <n v="-2"/>
    <n v="-0.1"/>
  </r>
  <r>
    <s v="a tiller (navig.)"/>
    <s v="la barre de gouvernail"/>
    <d v="2021-11-24T00:00:00"/>
    <x v="0"/>
    <n v="-1"/>
    <n v="-0.1"/>
  </r>
  <r>
    <s v="a bluster"/>
    <s v="un fracas"/>
    <d v="2011-03-09T00:00:00"/>
    <x v="19"/>
    <n v="-2"/>
    <n v="-9.5238095238095233E-2"/>
  </r>
  <r>
    <s v="to pick out"/>
    <s v="faire le tri"/>
    <d v="2011-03-09T00:00:00"/>
    <x v="19"/>
    <n v="-2"/>
    <n v="-9.5238095238095233E-2"/>
  </r>
  <r>
    <s v="an estimate"/>
    <s v="un devis"/>
    <d v="2013-12-13T00:00:00"/>
    <x v="19"/>
    <n v="-2"/>
    <n v="-9.5238095238095233E-2"/>
  </r>
  <r>
    <s v="even handed"/>
    <s v="équitable"/>
    <d v="2018-11-14T00:00:00"/>
    <x v="19"/>
    <n v="-2"/>
    <n v="-9.5238095238095233E-2"/>
  </r>
  <r>
    <s v="rash (adj.)"/>
    <s v="téméraire"/>
    <d v="2019-01-07T00:00:00"/>
    <x v="19"/>
    <n v="-2"/>
    <n v="-9.5238095238095233E-2"/>
  </r>
  <r>
    <s v="a fender"/>
    <s v="une aile (de véhicule)"/>
    <d v="2021-07-18T00:00:00"/>
    <x v="19"/>
    <n v="-2"/>
    <n v="-9.5238095238095233E-2"/>
  </r>
  <r>
    <s v="freak (adj.)"/>
    <s v="anormal, exceptionnel"/>
    <d v="2021-11-19T00:00:00"/>
    <x v="5"/>
    <n v="-1"/>
    <n v="-9.0909090909090912E-2"/>
  </r>
  <r>
    <s v="an oleander"/>
    <s v="un laurier rose"/>
    <d v="2021-12-29T00:00:00"/>
    <x v="5"/>
    <n v="-1"/>
    <n v="-9.0909090909090912E-2"/>
  </r>
  <r>
    <s v="a doppelganger"/>
    <s v="un sosie"/>
    <d v="2022-04-08T00:00:00"/>
    <x v="5"/>
    <n v="-1"/>
    <n v="-9.0909090909090912E-2"/>
  </r>
  <r>
    <s v="squeamish"/>
    <s v="facilement dégoûté, qui a la nausée"/>
    <d v="2018-11-04T00:00:00"/>
    <x v="23"/>
    <n v="-2"/>
    <n v="-8.6956521739130432E-2"/>
  </r>
  <r>
    <s v="a sliver"/>
    <s v="un ruban"/>
    <d v="2020-03-10T00:00:00"/>
    <x v="21"/>
    <n v="-2"/>
    <n v="-8.3333333333333329E-2"/>
  </r>
  <r>
    <s v="to bicker"/>
    <s v="se chamailler"/>
    <d v="2021-09-12T00:00:00"/>
    <x v="26"/>
    <n v="-2"/>
    <n v="-0.08"/>
  </r>
  <r>
    <s v="caulking (common name)"/>
    <s v="le calfeutrage"/>
    <d v="2020-03-05T00:00:00"/>
    <x v="1"/>
    <n v="-1"/>
    <n v="-7.6923076923076927E-2"/>
  </r>
  <r>
    <s v="brine (common name)"/>
    <s v="l'eau salée, la saumure"/>
    <d v="2021-11-24T00:00:00"/>
    <x v="1"/>
    <n v="-1"/>
    <n v="-7.6923076923076927E-2"/>
  </r>
  <r>
    <s v="pithy (adj.)"/>
    <s v="concis / vigoureux"/>
    <d v="2018-10-04T00:00:00"/>
    <x v="28"/>
    <n v="-2"/>
    <n v="-7.407407407407407E-2"/>
  </r>
  <r>
    <s v="to dwindle"/>
    <s v="diminuer"/>
    <d v="2020-03-10T00:00:00"/>
    <x v="28"/>
    <n v="-2"/>
    <n v="-7.407407407407407E-2"/>
  </r>
  <r>
    <s v="a bracket"/>
    <s v="une parenthèse / une tranche (écon.) / un support"/>
    <d v="2013-12-13T00:00:00"/>
    <x v="25"/>
    <n v="-2"/>
    <n v="-7.1428571428571425E-2"/>
  </r>
  <r>
    <s v="a hovel"/>
    <s v="un taudis"/>
    <d v="2018-12-17T00:00:00"/>
    <x v="25"/>
    <n v="-2"/>
    <n v="-7.1428571428571425E-2"/>
  </r>
  <r>
    <s v="temping (verb)"/>
    <s v="travailler en intérim"/>
    <d v="2021-03-07T00:00:00"/>
    <x v="29"/>
    <n v="-2"/>
    <n v="-6.8965517241379309E-2"/>
  </r>
  <r>
    <s v="a downturn"/>
    <s v="une baisse, un repli, une récession"/>
    <d v="2013-12-13T00:00:00"/>
    <x v="30"/>
    <n v="-2"/>
    <n v="-6.6666666666666666E-2"/>
  </r>
  <r>
    <s v="the gumption"/>
    <s v="la jugeotte"/>
    <d v="2018-11-19T00:00:00"/>
    <x v="30"/>
    <n v="-2"/>
    <n v="-6.6666666666666666E-2"/>
  </r>
  <r>
    <s v="a foothold"/>
    <s v="un ancrage"/>
    <d v="2022-02-03T00:00:00"/>
    <x v="11"/>
    <n v="-1"/>
    <n v="-6.6666666666666666E-2"/>
  </r>
  <r>
    <s v="artistry (common name)"/>
    <s v="le talent artistique"/>
    <d v="2021-03-28T00:00:00"/>
    <x v="6"/>
    <n v="-1"/>
    <n v="-6.25E-2"/>
  </r>
  <r>
    <s v="a strain"/>
    <s v="une souche / une tension"/>
    <d v="2018-07-17T00:00:00"/>
    <x v="16"/>
    <n v="-1"/>
    <n v="-5.8823529411764705E-2"/>
  </r>
  <r>
    <s v="a taunt"/>
    <s v="une raillerie"/>
    <d v="2020-01-27T00:00:00"/>
    <x v="17"/>
    <n v="-1"/>
    <n v="-5.2631578947368418E-2"/>
  </r>
  <r>
    <s v="to rig // a rig (IT)"/>
    <s v="gréer / truquer, manipuler // une plate-forme"/>
    <d v="2018-08-29T00:00:00"/>
    <x v="20"/>
    <n v="-1"/>
    <n v="-0.05"/>
  </r>
  <r>
    <s v="a rut"/>
    <s v="une ornière / une routine"/>
    <d v="2019-08-12T00:00:00"/>
    <x v="20"/>
    <n v="-1"/>
    <n v="-0.05"/>
  </r>
  <r>
    <s v="skidded"/>
    <s v="dérapé / patiné"/>
    <d v="2020-07-14T00:00:00"/>
    <x v="20"/>
    <n v="-1"/>
    <n v="-0.05"/>
  </r>
  <r>
    <s v="a wile"/>
    <s v="une ruse, un piège"/>
    <d v="2021-01-05T00:00:00"/>
    <x v="20"/>
    <n v="-1"/>
    <n v="-0.05"/>
  </r>
  <r>
    <s v="a muddle"/>
    <s v="une confusion"/>
    <d v="2018-08-29T00:00:00"/>
    <x v="22"/>
    <n v="-1"/>
    <n v="-4.5454545454545456E-2"/>
  </r>
  <r>
    <s v="a loom"/>
    <s v="un métier à tisser"/>
    <d v="2018-08-29T00:00:00"/>
    <x v="22"/>
    <n v="-1"/>
    <n v="-4.5454545454545456E-2"/>
  </r>
  <r>
    <s v="a telltale"/>
    <s v="un témoin, un rapporteur"/>
    <d v="2018-11-02T00:00:00"/>
    <x v="22"/>
    <n v="-1"/>
    <n v="-4.5454545454545456E-2"/>
  </r>
  <r>
    <s v="nifty"/>
    <s v="débrouillard, habile / admirable"/>
    <d v="2018-11-24T00:00:00"/>
    <x v="22"/>
    <n v="-1"/>
    <n v="-4.5454545454545456E-2"/>
  </r>
  <r>
    <s v="paperback (adj.)"/>
    <s v="broché (pour un livre)"/>
    <d v="2021-02-08T00:00:00"/>
    <x v="22"/>
    <n v="-1"/>
    <n v="-4.5454545454545456E-2"/>
  </r>
  <r>
    <s v="forcefully"/>
    <s v="vigoureusement"/>
    <d v="2021-07-10T00:00:00"/>
    <x v="22"/>
    <n v="-1"/>
    <n v="-4.5454545454545456E-2"/>
  </r>
  <r>
    <s v="the turmoil"/>
    <s v="le tumulte, l'agitation"/>
    <d v="2011-03-09T00:00:00"/>
    <x v="23"/>
    <n v="-1"/>
    <n v="-4.3478260869565216E-2"/>
  </r>
  <r>
    <s v="to grabble"/>
    <s v="attraper"/>
    <d v="2019-11-07T00:00:00"/>
    <x v="23"/>
    <n v="-1"/>
    <n v="-4.3478260869565216E-2"/>
  </r>
  <r>
    <s v="to spruce up"/>
    <s v="arranger, mettre en ordre"/>
    <d v="2020-07-02T00:00:00"/>
    <x v="21"/>
    <n v="-1"/>
    <n v="-4.1666666666666664E-2"/>
  </r>
  <r>
    <s v="a tendril"/>
    <s v="une vrille"/>
    <d v="2018-11-18T00:00:00"/>
    <x v="26"/>
    <n v="-1"/>
    <n v="-0.04"/>
  </r>
  <r>
    <s v="a smudge"/>
    <s v="une tache"/>
    <d v="2019-07-27T00:00:00"/>
    <x v="24"/>
    <n v="-1"/>
    <n v="-3.8461538461538464E-2"/>
  </r>
  <r>
    <s v="hapless"/>
    <s v="malchanceux, infortuné"/>
    <d v="2018-12-10T00:00:00"/>
    <x v="28"/>
    <n v="-1"/>
    <n v="-3.7037037037037035E-2"/>
  </r>
  <r>
    <s v="to loathe"/>
    <s v="détester, exécrer"/>
    <d v="2011-03-09T00:00:00"/>
    <x v="7"/>
    <n v="0"/>
    <n v="0"/>
  </r>
  <r>
    <s v="a windmill"/>
    <s v="une éolienne"/>
    <d v="2011-03-09T00:00:00"/>
    <x v="6"/>
    <n v="0"/>
    <n v="0"/>
  </r>
  <r>
    <s v="to go bust"/>
    <s v="faire faillite"/>
    <d v="2013-12-13T00:00:00"/>
    <x v="20"/>
    <n v="0"/>
    <n v="0"/>
  </r>
  <r>
    <s v="a parcel"/>
    <s v="un paquet, un colis"/>
    <d v="2013-12-13T00:00:00"/>
    <x v="19"/>
    <n v="0"/>
    <n v="0"/>
  </r>
  <r>
    <s v="to endorse"/>
    <s v="appuyer, approuver, promouvoir"/>
    <d v="2013-12-13T00:00:00"/>
    <x v="31"/>
    <n v="0"/>
    <n v="0"/>
  </r>
  <r>
    <s v="prospective (adj.)"/>
    <s v="futur, éventuel, possible"/>
    <d v="2013-12-13T00:00:00"/>
    <x v="20"/>
    <n v="0"/>
    <n v="0"/>
  </r>
  <r>
    <s v="a hazard"/>
    <s v="un risque, un danger"/>
    <d v="2013-12-13T00:00:00"/>
    <x v="8"/>
    <n v="0"/>
    <n v="0"/>
  </r>
  <r>
    <s v="to plummet"/>
    <s v="baisser brusquement, dégringoler"/>
    <d v="2013-12-13T00:00:00"/>
    <x v="23"/>
    <n v="0"/>
    <n v="0"/>
  </r>
  <r>
    <s v="an incentive"/>
    <s v="une prime, une récompense"/>
    <d v="2013-12-13T00:00:00"/>
    <x v="17"/>
    <n v="0"/>
    <n v="0"/>
  </r>
  <r>
    <s v="to back up"/>
    <s v="soutenir"/>
    <d v="2013-12-13T00:00:00"/>
    <x v="16"/>
    <n v="0"/>
    <n v="0"/>
  </r>
  <r>
    <s v="ere (adv.)"/>
    <s v="avant"/>
    <d v="2018-04-15T00:00:00"/>
    <x v="24"/>
    <n v="0"/>
    <n v="0"/>
  </r>
  <r>
    <s v="sheepish"/>
    <s v="penaud"/>
    <d v="2018-05-17T00:00:00"/>
    <x v="17"/>
    <n v="0"/>
    <n v="0"/>
  </r>
  <r>
    <s v="pointedly"/>
    <s v="de façon insistante, d'une manière significative"/>
    <d v="2018-05-27T00:00:00"/>
    <x v="17"/>
    <n v="0"/>
    <n v="0"/>
  </r>
  <r>
    <s v="jettisoned"/>
    <s v="largué, abandonné, délesté"/>
    <d v="2018-08-29T00:00:00"/>
    <x v="8"/>
    <n v="0"/>
    <n v="0"/>
  </r>
  <r>
    <s v="an inkling"/>
    <s v="une idée, un soupçon"/>
    <d v="2018-10-03T00:00:00"/>
    <x v="16"/>
    <n v="0"/>
    <n v="0"/>
  </r>
  <r>
    <s v="inducement (common name)"/>
    <s v="l'incitation, l'encouragement"/>
    <d v="2018-10-04T00:00:00"/>
    <x v="22"/>
    <n v="0"/>
    <n v="0"/>
  </r>
  <r>
    <s v="boisterous"/>
    <s v="bruyant, tapageur, tumultueux"/>
    <d v="2018-10-10T00:00:00"/>
    <x v="16"/>
    <n v="0"/>
    <n v="0"/>
  </r>
  <r>
    <s v="parlous (adj.)"/>
    <s v="précaire / alarmant, périlleux"/>
    <d v="2018-10-28T00:00:00"/>
    <x v="23"/>
    <n v="0"/>
    <n v="0"/>
  </r>
  <r>
    <s v="the parlance"/>
    <s v="le langage"/>
    <d v="2018-10-30T00:00:00"/>
    <x v="17"/>
    <n v="0"/>
    <n v="0"/>
  </r>
  <r>
    <s v="the payload"/>
    <s v="la charge utile, la charge payante, l'emport"/>
    <d v="2018-11-18T00:00:00"/>
    <x v="5"/>
    <n v="0"/>
    <n v="0"/>
  </r>
  <r>
    <s v="a contingency"/>
    <s v="un imprévu"/>
    <d v="2019-11-03T00:00:00"/>
    <x v="19"/>
    <n v="0"/>
    <n v="0"/>
  </r>
  <r>
    <s v="weathered"/>
    <s v="patiné"/>
    <d v="2019-11-07T00:00:00"/>
    <x v="19"/>
    <n v="0"/>
    <n v="0"/>
  </r>
  <r>
    <s v="cornered"/>
    <s v="acculé"/>
    <d v="2020-01-27T00:00:00"/>
    <x v="23"/>
    <n v="0"/>
    <n v="0"/>
  </r>
  <r>
    <s v="an enclosure"/>
    <s v="une enceinte"/>
    <d v="2020-02-11T00:00:00"/>
    <x v="22"/>
    <n v="0"/>
    <n v="0"/>
  </r>
  <r>
    <s v="forcible"/>
    <s v="puissant, efficace"/>
    <d v="2020-03-05T00:00:00"/>
    <x v="20"/>
    <n v="0"/>
    <n v="0"/>
  </r>
  <r>
    <s v="to kindle"/>
    <s v="allumer, déclencher"/>
    <d v="2020-05-11T00:00:00"/>
    <x v="19"/>
    <n v="0"/>
    <n v="0"/>
  </r>
  <r>
    <s v="a matting"/>
    <s v="une natte (tapis oriental)"/>
    <d v="2020-05-18T00:00:00"/>
    <x v="23"/>
    <n v="0"/>
    <n v="0"/>
  </r>
  <r>
    <s v="jam-packed"/>
    <s v="bourré"/>
    <d v="2020-05-18T00:00:00"/>
    <x v="1"/>
    <n v="0"/>
    <n v="0"/>
  </r>
  <r>
    <s v="to mend"/>
    <s v="réparer"/>
    <d v="2020-06-22T00:00:00"/>
    <x v="24"/>
    <n v="0"/>
    <n v="0"/>
  </r>
  <r>
    <s v="to trim"/>
    <s v="réduire"/>
    <d v="2020-06-22T00:00:00"/>
    <x v="19"/>
    <n v="0"/>
    <n v="0"/>
  </r>
  <r>
    <s v="sultry (adj.)"/>
    <s v="étouffant"/>
    <d v="2020-07-21T00:00:00"/>
    <x v="8"/>
    <n v="0"/>
    <n v="0"/>
  </r>
  <r>
    <s v="a smattering"/>
    <s v="une poignée"/>
    <d v="2021-02-08T00:00:00"/>
    <x v="20"/>
    <n v="0"/>
    <n v="0"/>
  </r>
  <r>
    <s v="to delve"/>
    <s v="creuser"/>
    <d v="2021-02-15T00:00:00"/>
    <x v="32"/>
    <n v="0"/>
    <n v="0"/>
  </r>
  <r>
    <s v="a groan"/>
    <s v="un gémissement"/>
    <d v="2021-04-13T00:00:00"/>
    <x v="17"/>
    <n v="0"/>
    <n v="0"/>
  </r>
  <r>
    <s v="work out (common name)"/>
    <s v="l'entraînement physique"/>
    <d v="2021-07-14T00:00:00"/>
    <x v="18"/>
    <n v="0"/>
    <n v="0"/>
  </r>
  <r>
    <s v="a flutter"/>
    <s v="un battement / une agitation"/>
    <d v="2021-07-18T00:00:00"/>
    <x v="6"/>
    <n v="0"/>
    <n v="0"/>
  </r>
  <r>
    <s v="stateless"/>
    <s v="apatride"/>
    <d v="2021-10-13T00:00:00"/>
    <x v="0"/>
    <n v="0"/>
    <n v="0"/>
  </r>
  <r>
    <s v="turf (common name)"/>
    <s v="le gazon / le domaine"/>
    <d v="2021-11-06T00:00:00"/>
    <x v="8"/>
    <n v="0"/>
    <n v="0"/>
  </r>
  <r>
    <s v="a stump"/>
    <s v="une souche / un moignon / un mégot"/>
    <d v="2021-12-11T00:00:00"/>
    <x v="0"/>
    <n v="0"/>
    <n v="0"/>
  </r>
  <r>
    <s v="to seep"/>
    <s v="infiltrer, suinter"/>
    <d v="2022-01-23T00:00:00"/>
    <x v="3"/>
    <n v="0"/>
    <n v="0"/>
  </r>
  <r>
    <s v="to pry into sthg"/>
    <s v="fouiller dans qc"/>
    <d v="2022-02-11T00:00:00"/>
    <x v="3"/>
    <n v="0"/>
    <n v="0"/>
  </r>
  <r>
    <s v="tacky"/>
    <s v="moche / poisseux, collant"/>
    <d v="2022-03-13T00:00:00"/>
    <x v="3"/>
    <n v="0"/>
    <n v="0"/>
  </r>
  <r>
    <s v="an utterance"/>
    <s v="une énonciation"/>
    <d v="2022-03-15T00:00:00"/>
    <x v="0"/>
    <n v="0"/>
    <n v="0"/>
  </r>
  <r>
    <s v="to rue"/>
    <s v="regretter, se repentir"/>
    <d v="2022-03-20T00:00:00"/>
    <x v="0"/>
    <n v="0"/>
    <n v="0"/>
  </r>
  <r>
    <s v="lye (common name)"/>
    <s v="la lessive"/>
    <d v="2022-04-01T00:00:00"/>
    <x v="3"/>
    <n v="0"/>
    <n v="0"/>
  </r>
  <r>
    <s v="a pulley"/>
    <s v="une poulie"/>
    <d v="2022-04-26T00:00:00"/>
    <x v="12"/>
    <n v="0"/>
    <n v="0"/>
  </r>
  <r>
    <s v="a landline"/>
    <s v="un téléphone fixe"/>
    <d v="2022-04-29T00:00:00"/>
    <x v="0"/>
    <n v="0"/>
    <n v="0"/>
  </r>
  <r>
    <s v="a roundabout"/>
    <s v="un rond-point / un manège"/>
    <d v="2022-04-30T00:00:00"/>
    <x v="3"/>
    <n v="0"/>
    <n v="0"/>
  </r>
  <r>
    <s v="on the go"/>
    <s v="prêt à partir / très efficace"/>
    <d v="2022-05-25T00:00:00"/>
    <x v="0"/>
    <n v="0"/>
    <n v="0"/>
  </r>
  <r>
    <s v="partway"/>
    <s v="à mi-chemin"/>
    <d v="2022-05-27T00:00:00"/>
    <x v="15"/>
    <n v="0"/>
    <n v="0"/>
  </r>
  <r>
    <s v="a headwind"/>
    <s v="un vent contraire"/>
    <d v="2022-06-20T00:00:00"/>
    <x v="12"/>
    <n v="0"/>
    <n v="0"/>
  </r>
  <r>
    <s v="a pall"/>
    <s v="un voile / un pallium"/>
    <d v="2022-07-14T00:00:00"/>
    <x v="12"/>
    <n v="0"/>
    <n v="0"/>
  </r>
  <r>
    <s v="second to none (expr.)"/>
    <s v="incomparable"/>
    <d v="2022-08-07T00:00:00"/>
    <x v="0"/>
    <n v="0"/>
    <n v="0"/>
  </r>
  <r>
    <s v="to lop off"/>
    <s v="couper, tronquer"/>
    <d v="2022-09-07T00:00:00"/>
    <x v="15"/>
    <n v="0"/>
    <n v="0"/>
  </r>
  <r>
    <s v="board games (common name)"/>
    <s v="les jeux de société"/>
    <d v="2022-09-10T00:00:00"/>
    <x v="15"/>
    <n v="0"/>
    <n v="0"/>
  </r>
  <r>
    <s v="tardiness (common name)"/>
    <s v="la lenteur / le manque de ponctualité"/>
    <d v="2022-10-21T00:00:00"/>
    <x v="12"/>
    <n v="0"/>
    <n v="0"/>
  </r>
  <r>
    <s v="unassailable (adj.)"/>
    <s v="inattaquable"/>
    <d v="2022-10-26T00:00:00"/>
    <x v="33"/>
    <n v="0"/>
    <n v="0"/>
  </r>
  <r>
    <s v="a blooper"/>
    <s v="un bêtisier"/>
    <d v="2022-10-28T00:00:00"/>
    <x v="12"/>
    <n v="0"/>
    <n v="0"/>
  </r>
  <r>
    <s v="a pothole"/>
    <s v="un nid-de-poule"/>
    <d v="2022-10-30T00:00:00"/>
    <x v="12"/>
    <n v="0"/>
    <n v="0"/>
  </r>
  <r>
    <s v="to slobber"/>
    <s v="baver, saliver"/>
    <d v="2022-11-13T00:00:00"/>
    <x v="3"/>
    <n v="0"/>
    <n v="0"/>
  </r>
  <r>
    <s v="styrofoam (common name)"/>
    <s v="le polystyrène"/>
    <d v="2022-11-18T00:00:00"/>
    <x v="15"/>
    <n v="0"/>
    <n v="0"/>
  </r>
  <r>
    <s v="to besmirch"/>
    <s v="ternir, entacher"/>
    <d v="2022-11-24T00:00:00"/>
    <x v="15"/>
    <n v="0"/>
    <n v="0"/>
  </r>
  <r>
    <s v="to browse"/>
    <s v="feuilleter / brouter"/>
    <d v="2022-12-04T00:00:00"/>
    <x v="15"/>
    <n v="0"/>
    <n v="0"/>
  </r>
  <r>
    <s v="to wallow"/>
    <s v="se vautrer"/>
    <d v="2022-12-14T00:00:00"/>
    <x v="33"/>
    <n v="0"/>
    <n v="0"/>
  </r>
  <r>
    <s v="a gasket"/>
    <s v="un joint"/>
    <d v="2022-12-23T00:00:00"/>
    <x v="33"/>
    <n v="0"/>
    <n v="0"/>
  </r>
  <r>
    <s v="to beckon"/>
    <s v="faire signe"/>
    <d v="2022-12-23T00:00:00"/>
    <x v="33"/>
    <n v="0"/>
    <n v="0"/>
  </r>
  <r>
    <s v="to lambaste"/>
    <s v="réprimander / rosser"/>
    <d v="2022-12-23T00:00:00"/>
    <x v="33"/>
    <n v="0"/>
    <n v="0"/>
  </r>
  <r>
    <s v="chive (common name)"/>
    <s v="la ciboulette"/>
    <d v="2023-01-06T00:00:00"/>
    <x v="33"/>
    <n v="0"/>
    <n v="0"/>
  </r>
  <r>
    <s v="distressing"/>
    <s v="pénible, inquiétant, bouleversant"/>
    <d v="2023-01-07T00:00:00"/>
    <x v="15"/>
    <n v="0"/>
    <n v="0"/>
  </r>
  <r>
    <s v="shill (adj.)"/>
    <s v="complice"/>
    <d v="2023-01-09T00:00:00"/>
    <x v="33"/>
    <n v="0"/>
    <n v="0"/>
  </r>
  <r>
    <s v="to gobble"/>
    <s v="engouffrer"/>
    <d v="2023-01-09T00:00:00"/>
    <x v="15"/>
    <n v="0"/>
    <n v="0"/>
  </r>
  <r>
    <s v="mumbo jumbo (coll.)"/>
    <s v="de l'enfumage"/>
    <d v="2023-01-16T00:00:00"/>
    <x v="12"/>
    <n v="0"/>
    <n v="0"/>
  </r>
  <r>
    <s v="wherewithal (common name)"/>
    <s v="les moyens"/>
    <d v="2023-01-17T00:00:00"/>
    <x v="33"/>
    <n v="0"/>
    <n v="0"/>
  </r>
  <r>
    <s v="an armrest"/>
    <s v="un accoudoir"/>
    <d v="2023-01-19T00:00:00"/>
    <x v="15"/>
    <n v="0"/>
    <n v="0"/>
  </r>
  <r>
    <s v="to checkmate"/>
    <s v="faire échec et mat"/>
    <d v="2023-01-20T00:00:00"/>
    <x v="33"/>
    <n v="0"/>
    <n v="0"/>
  </r>
  <r>
    <s v="shot peening (tech.)"/>
    <s v="le grenaillage"/>
    <d v="2023-01-23T00:00:00"/>
    <x v="33"/>
    <n v="0"/>
    <n v="0"/>
  </r>
  <r>
    <s v="conned"/>
    <s v="escroqué"/>
    <d v="2023-01-26T00:00:00"/>
    <x v="33"/>
    <n v="0"/>
    <n v="0"/>
  </r>
  <r>
    <s v="foolhardy (adj.)"/>
    <s v="téméraire"/>
    <d v="2023-01-29T00:00:00"/>
    <x v="33"/>
    <n v="0"/>
    <n v="0"/>
  </r>
  <r>
    <s v="a wad"/>
    <s v="une boulette (de papier, …)"/>
    <d v="2023-02-01T00:00:00"/>
    <x v="33"/>
    <n v="0"/>
    <n v="0"/>
  </r>
  <r>
    <s v="to clobber"/>
    <s v="tabasser"/>
    <d v="2023-02-02T00:00:00"/>
    <x v="33"/>
    <n v="0"/>
    <n v="0"/>
  </r>
  <r>
    <s v="lice (common name)"/>
    <s v="les poux"/>
    <d v="2023-02-05T00:00:00"/>
    <x v="33"/>
    <n v="0"/>
    <n v="0"/>
  </r>
  <r>
    <s v="humdrum (common name)"/>
    <s v="monotone"/>
    <d v="2023-02-05T00:00:00"/>
    <x v="33"/>
    <n v="0"/>
    <n v="0"/>
  </r>
  <r>
    <s v="a tug"/>
    <s v="un remorqueur"/>
    <d v="2023-02-05T00:00:00"/>
    <x v="33"/>
    <n v="0"/>
    <n v="0"/>
  </r>
  <r>
    <s v="a caveman"/>
    <s v="un homme des cavernes"/>
    <d v="2023-02-12T00:00:00"/>
    <x v="33"/>
    <n v="0"/>
    <n v="0"/>
  </r>
  <r>
    <s v="to jot"/>
    <s v="prendre des notes"/>
    <d v="2023-02-12T00:00:00"/>
    <x v="33"/>
    <n v="0"/>
    <n v="0"/>
  </r>
  <r>
    <s v="bleeding edge (adj.)"/>
    <s v="dernier cri"/>
    <d v="2023-02-12T00:00:00"/>
    <x v="33"/>
    <n v="0"/>
    <n v="0"/>
  </r>
  <r>
    <s v="to handpick"/>
    <s v="trier"/>
    <d v="2023-02-12T00:00:00"/>
    <x v="33"/>
    <n v="0"/>
    <n v="0"/>
  </r>
  <r>
    <s v="to slather"/>
    <s v="badigeonner"/>
    <d v="2023-02-12T00:00:00"/>
    <x v="33"/>
    <n v="0"/>
    <n v="0"/>
  </r>
  <r>
    <s v="a pantry"/>
    <s v="un garde-manger"/>
    <d v="2023-02-12T00:00:00"/>
    <x v="33"/>
    <n v="0"/>
    <n v="0"/>
  </r>
  <r>
    <s v="a bloodline"/>
    <s v="une lignée"/>
    <d v="2023-02-19T00:00:00"/>
    <x v="33"/>
    <n v="0"/>
    <n v="0"/>
  </r>
  <r>
    <s v="to prod"/>
    <s v="pousser doucement du doigt"/>
    <d v="2023-02-19T00:00:00"/>
    <x v="33"/>
    <n v="0"/>
    <n v="0"/>
  </r>
  <r>
    <s v="vagaries (common name)"/>
    <s v="les aléas"/>
    <d v="2023-02-19T00:00:00"/>
    <x v="33"/>
    <n v="0"/>
    <n v="0"/>
  </r>
  <r>
    <s v="to come over the bouts"/>
    <s v="surmonter les combats"/>
    <d v="2023-02-20T00:00:00"/>
    <x v="15"/>
    <n v="0"/>
    <n v="0"/>
  </r>
  <r>
    <s v="to hew"/>
    <s v="tailler, couper"/>
    <d v="2023-02-25T00:00:00"/>
    <x v="33"/>
    <n v="0"/>
    <n v="0"/>
  </r>
  <r>
    <s v="Suffice it to say that…"/>
    <s v="Il suffit de dire que …"/>
    <d v="2023-02-26T00:00:00"/>
    <x v="33"/>
    <n v="0"/>
    <n v="0"/>
  </r>
  <r>
    <s v="an umbrella term"/>
    <s v="un mot générique"/>
    <d v="2023-02-26T00:00:00"/>
    <x v="33"/>
    <n v="0"/>
    <n v="0"/>
  </r>
  <r>
    <s v="a hurdle"/>
    <s v="un écueil"/>
    <d v="2018-05-17T00:00:00"/>
    <x v="29"/>
    <n v="1"/>
    <n v="3.4482758620689655E-2"/>
  </r>
  <r>
    <s v="a wallet"/>
    <s v="un portefeuille"/>
    <d v="2019-03-24T00:00:00"/>
    <x v="25"/>
    <n v="1"/>
    <n v="3.5714285714285712E-2"/>
  </r>
  <r>
    <s v="to work out"/>
    <s v="élaborer"/>
    <d v="2013-12-13T00:00:00"/>
    <x v="21"/>
    <n v="1"/>
    <n v="4.1666666666666664E-2"/>
  </r>
  <r>
    <s v="lint (common name)"/>
    <s v="de la poussière, une peluche"/>
    <d v="2020-08-10T00:00:00"/>
    <x v="21"/>
    <n v="1"/>
    <n v="4.1666666666666664E-2"/>
  </r>
  <r>
    <s v="to quiver"/>
    <s v="trembler"/>
    <d v="2021-04-12T00:00:00"/>
    <x v="23"/>
    <n v="1"/>
    <n v="4.3478260869565216E-2"/>
  </r>
  <r>
    <s v="patchy"/>
    <s v="inégal"/>
    <d v="2019-11-07T00:00:00"/>
    <x v="22"/>
    <n v="1"/>
    <n v="4.5454545454545456E-2"/>
  </r>
  <r>
    <s v="oblivious"/>
    <s v="inconscient"/>
    <d v="2019-12-27T00:00:00"/>
    <x v="22"/>
    <n v="1"/>
    <n v="4.5454545454545456E-2"/>
  </r>
  <r>
    <s v="to tidy up"/>
    <s v="ranger"/>
    <d v="2021-02-15T00:00:00"/>
    <x v="22"/>
    <n v="1"/>
    <n v="4.5454545454545456E-2"/>
  </r>
  <r>
    <s v="to stoke"/>
    <s v="alimenter"/>
    <d v="2019-10-23T00:00:00"/>
    <x v="20"/>
    <n v="1"/>
    <n v="0.05"/>
  </r>
  <r>
    <s v="to garner"/>
    <s v="recueillir"/>
    <d v="2019-10-29T00:00:00"/>
    <x v="20"/>
    <n v="1"/>
    <n v="0.05"/>
  </r>
  <r>
    <s v="a hoarding"/>
    <s v="une palissade"/>
    <d v="2021-01-05T00:00:00"/>
    <x v="20"/>
    <n v="1"/>
    <n v="0.05"/>
  </r>
  <r>
    <s v="a skirt / to skirt"/>
    <s v="une jupe / contourner, esquiver"/>
    <d v="2021-02-22T00:00:00"/>
    <x v="20"/>
    <n v="1"/>
    <n v="0.05"/>
  </r>
  <r>
    <s v="rousing"/>
    <s v="vibrant, entraînant"/>
    <d v="2021-03-28T00:00:00"/>
    <x v="20"/>
    <n v="1"/>
    <n v="0.05"/>
  </r>
  <r>
    <s v="an appreciation"/>
    <s v="une plus-value"/>
    <d v="2013-12-13T00:00:00"/>
    <x v="17"/>
    <n v="1"/>
    <n v="5.2631578947368418E-2"/>
  </r>
  <r>
    <s v="sternly"/>
    <s v="sévèrement"/>
    <d v="2018-09-27T00:00:00"/>
    <x v="17"/>
    <n v="1"/>
    <n v="5.2631578947368418E-2"/>
  </r>
  <r>
    <s v="hubris (common name)"/>
    <s v="une confiance en soi excessive"/>
    <d v="2018-11-01T00:00:00"/>
    <x v="17"/>
    <n v="1"/>
    <n v="5.2631578947368418E-2"/>
  </r>
  <r>
    <s v="at the outset"/>
    <s v="au début"/>
    <d v="2019-11-06T00:00:00"/>
    <x v="17"/>
    <n v="1"/>
    <n v="5.2631578947368418E-2"/>
  </r>
  <r>
    <s v="outwardly"/>
    <s v="extérieurement"/>
    <d v="2020-06-02T00:00:00"/>
    <x v="17"/>
    <n v="1"/>
    <n v="5.2631578947368418E-2"/>
  </r>
  <r>
    <s v="gills (common name)"/>
    <s v="les branchies"/>
    <d v="2021-11-24T00:00:00"/>
    <x v="17"/>
    <n v="1"/>
    <n v="5.2631578947368418E-2"/>
  </r>
  <r>
    <s v="to sedate"/>
    <s v="mettre sous sédatif"/>
    <d v="2018-08-29T00:00:00"/>
    <x v="18"/>
    <n v="1"/>
    <n v="5.5555555555555552E-2"/>
  </r>
  <r>
    <s v="a reckoning"/>
    <s v="un calcul, un compte"/>
    <d v="2018-11-23T00:00:00"/>
    <x v="18"/>
    <n v="1"/>
    <n v="5.5555555555555552E-2"/>
  </r>
  <r>
    <s v="a clipboard"/>
    <s v="un presse-papier"/>
    <d v="2020-05-18T00:00:00"/>
    <x v="18"/>
    <n v="1"/>
    <n v="5.5555555555555552E-2"/>
  </r>
  <r>
    <s v="to get by"/>
    <s v="se débrouiller, s’en sortir"/>
    <d v="2013-12-13T00:00:00"/>
    <x v="16"/>
    <n v="1"/>
    <n v="5.8823529411764705E-2"/>
  </r>
  <r>
    <s v="to waylay"/>
    <s v="intercepter"/>
    <d v="2018-11-04T00:00:00"/>
    <x v="16"/>
    <n v="1"/>
    <n v="5.8823529411764705E-2"/>
  </r>
  <r>
    <s v="bustling (adj.)"/>
    <s v="animé, actif, énergique"/>
    <d v="2018-12-10T00:00:00"/>
    <x v="16"/>
    <n v="1"/>
    <n v="5.8823529411764705E-2"/>
  </r>
  <r>
    <s v="to usher"/>
    <s v="inaugurer"/>
    <d v="2019-11-07T00:00:00"/>
    <x v="16"/>
    <n v="1"/>
    <n v="5.8823529411764705E-2"/>
  </r>
  <r>
    <s v="blanketed"/>
    <s v="couvert"/>
    <d v="2019-11-07T00:00:00"/>
    <x v="16"/>
    <n v="1"/>
    <n v="5.8823529411764705E-2"/>
  </r>
  <r>
    <s v="a cloth"/>
    <s v="un chiffon"/>
    <d v="2021-07-18T00:00:00"/>
    <x v="16"/>
    <n v="1"/>
    <n v="5.8823529411764705E-2"/>
  </r>
  <r>
    <s v="slanted"/>
    <s v="incliné"/>
    <d v="2018-04-16T00:00:00"/>
    <x v="6"/>
    <n v="1"/>
    <n v="6.25E-2"/>
  </r>
  <r>
    <s v="meek"/>
    <s v="doux"/>
    <d v="2019-05-20T00:00:00"/>
    <x v="6"/>
    <n v="1"/>
    <n v="6.25E-2"/>
  </r>
  <r>
    <s v="derogatory"/>
    <s v="dénigrant, dépréciant"/>
    <d v="2019-12-27T00:00:00"/>
    <x v="6"/>
    <n v="1"/>
    <n v="6.25E-2"/>
  </r>
  <r>
    <s v="doodle (common name)"/>
    <s v="le gribouillage"/>
    <d v="2021-03-28T00:00:00"/>
    <x v="6"/>
    <n v="1"/>
    <n v="6.25E-2"/>
  </r>
  <r>
    <s v="an emporium"/>
    <s v="un centre commercial"/>
    <d v="2021-07-01T00:00:00"/>
    <x v="6"/>
    <n v="1"/>
    <n v="6.25E-2"/>
  </r>
  <r>
    <s v="dizzy"/>
    <s v="étourdi"/>
    <d v="2019-08-12T00:00:00"/>
    <x v="11"/>
    <n v="1"/>
    <n v="6.6666666666666666E-2"/>
  </r>
  <r>
    <s v="foregone (adj.)"/>
    <s v="prédéterminé, couru d'avance "/>
    <d v="2022-04-08T00:00:00"/>
    <x v="11"/>
    <n v="1"/>
    <n v="6.6666666666666666E-2"/>
  </r>
  <r>
    <s v="a hatch"/>
    <s v="une trappe"/>
    <d v="2020-05-11T00:00:00"/>
    <x v="29"/>
    <n v="2"/>
    <n v="6.8965517241379309E-2"/>
  </r>
  <r>
    <s v="a haulage"/>
    <s v="un transport routier"/>
    <d v="2013-12-13T00:00:00"/>
    <x v="8"/>
    <n v="1"/>
    <n v="7.1428571428571425E-2"/>
  </r>
  <r>
    <s v="the gist"/>
    <s v="l'essentiel, le point principal"/>
    <d v="2020-07-02T00:00:00"/>
    <x v="8"/>
    <n v="1"/>
    <n v="7.1428571428571425E-2"/>
  </r>
  <r>
    <s v="a dismay"/>
    <s v="une consternation, un effarement"/>
    <d v="2011-03-09T00:00:00"/>
    <x v="24"/>
    <n v="2"/>
    <n v="7.6923076923076927E-2"/>
  </r>
  <r>
    <s v="to carry out"/>
    <s v="accomplir, exercer, remplir"/>
    <d v="2013-12-13T00:00:00"/>
    <x v="1"/>
    <n v="1"/>
    <n v="7.6923076923076927E-2"/>
  </r>
  <r>
    <s v="avowedly"/>
    <s v="de son propre aveu"/>
    <d v="2018-10-10T00:00:00"/>
    <x v="24"/>
    <n v="2"/>
    <n v="7.6923076923076927E-2"/>
  </r>
  <r>
    <s v="to skulk"/>
    <s v="rôder en se cachant, entrer furtivement"/>
    <d v="2018-12-10T00:00:00"/>
    <x v="1"/>
    <n v="1"/>
    <n v="7.6923076923076927E-2"/>
  </r>
  <r>
    <s v="to flush"/>
    <s v="affleurer"/>
    <d v="2020-05-18T00:00:00"/>
    <x v="24"/>
    <n v="2"/>
    <n v="7.6923076923076927E-2"/>
  </r>
  <r>
    <s v="to foster"/>
    <s v="favoriser"/>
    <d v="2020-05-18T00:00:00"/>
    <x v="1"/>
    <n v="1"/>
    <n v="7.6923076923076927E-2"/>
  </r>
  <r>
    <s v="an overblow"/>
    <s v="une exagération"/>
    <d v="2021-10-26T00:00:00"/>
    <x v="1"/>
    <n v="1"/>
    <n v="7.6923076923076927E-2"/>
  </r>
  <r>
    <s v="an acorn"/>
    <s v="un gland"/>
    <d v="2022-01-03T00:00:00"/>
    <x v="1"/>
    <n v="1"/>
    <n v="7.6923076923076927E-2"/>
  </r>
  <r>
    <s v="caning (common name)"/>
    <s v="la bastonnade (châtiment)"/>
    <d v="2022-06-08T00:00:00"/>
    <x v="1"/>
    <n v="1"/>
    <n v="7.6923076923076927E-2"/>
  </r>
  <r>
    <s v="an incumbent"/>
    <s v="un titulaire"/>
    <d v="2020-05-18T00:00:00"/>
    <x v="21"/>
    <n v="2"/>
    <n v="8.3333333333333329E-2"/>
  </r>
  <r>
    <s v="glutes (common name)"/>
    <s v="les muscles fessiers"/>
    <d v="2021-08-07T00:00:00"/>
    <x v="7"/>
    <n v="1"/>
    <n v="8.3333333333333329E-2"/>
  </r>
  <r>
    <s v="a concussion"/>
    <s v="une commotion cérébrale"/>
    <d v="2019-07-15T00:00:00"/>
    <x v="23"/>
    <n v="2"/>
    <n v="8.6956521739130432E-2"/>
  </r>
  <r>
    <s v="the modicum"/>
    <s v="le minimum"/>
    <d v="2019-08-12T00:00:00"/>
    <x v="23"/>
    <n v="2"/>
    <n v="8.6956521739130432E-2"/>
  </r>
  <r>
    <s v="an upwelling"/>
    <s v="une montée d'eau"/>
    <d v="2020-07-21T00:00:00"/>
    <x v="23"/>
    <n v="2"/>
    <n v="8.6956521739130432E-2"/>
  </r>
  <r>
    <s v="to bring down"/>
    <s v="faire baisser"/>
    <d v="2013-12-13T00:00:00"/>
    <x v="22"/>
    <n v="2"/>
    <n v="9.0909090909090912E-2"/>
  </r>
  <r>
    <s v="to heed"/>
    <s v="tenir compte de, prendre garde à"/>
    <d v="2018-11-18T00:00:00"/>
    <x v="31"/>
    <n v="3"/>
    <n v="9.0909090909090912E-2"/>
  </r>
  <r>
    <s v="sloppy (adj.)"/>
    <s v="négligé, peu soigné, débraillé"/>
    <d v="2018-11-23T00:00:00"/>
    <x v="22"/>
    <n v="2"/>
    <n v="9.0909090909090912E-2"/>
  </r>
  <r>
    <s v="a yarn"/>
    <s v="un fil"/>
    <d v="2019-08-12T00:00:00"/>
    <x v="22"/>
    <n v="2"/>
    <n v="9.0909090909090912E-2"/>
  </r>
  <r>
    <s v="hassle (common name)"/>
    <s v="un tracas"/>
    <d v="2019-11-02T00:00:00"/>
    <x v="22"/>
    <n v="2"/>
    <n v="9.0909090909090912E-2"/>
  </r>
  <r>
    <s v="a recumbent"/>
    <s v="un gisant"/>
    <d v="2021-08-20T00:00:00"/>
    <x v="5"/>
    <n v="1"/>
    <n v="9.0909090909090912E-2"/>
  </r>
  <r>
    <s v="to hark"/>
    <s v="écouter"/>
    <d v="2022-01-03T00:00:00"/>
    <x v="5"/>
    <n v="1"/>
    <n v="9.0909090909090912E-2"/>
  </r>
  <r>
    <s v="a retrieval"/>
    <s v="une récupération, un recouvrement"/>
    <d v="2013-12-13T00:00:00"/>
    <x v="19"/>
    <n v="2"/>
    <n v="9.5238095238095233E-2"/>
  </r>
  <r>
    <s v="attrition (common name)"/>
    <s v="l'usure"/>
    <d v="2018-05-27T00:00:00"/>
    <x v="19"/>
    <n v="2"/>
    <n v="9.5238095238095233E-2"/>
  </r>
  <r>
    <s v="scathing (adj.)"/>
    <s v="cinglant, acerbe"/>
    <d v="2018-08-29T00:00:00"/>
    <x v="19"/>
    <n v="2"/>
    <n v="9.5238095238095233E-2"/>
  </r>
  <r>
    <s v="to buffet"/>
    <s v="frapper / lutter"/>
    <d v="2018-08-29T00:00:00"/>
    <x v="19"/>
    <n v="2"/>
    <n v="9.5238095238095233E-2"/>
  </r>
  <r>
    <s v="a dither"/>
    <s v="un tremblement"/>
    <d v="2019-05-20T00:00:00"/>
    <x v="19"/>
    <n v="2"/>
    <n v="9.5238095238095233E-2"/>
  </r>
  <r>
    <s v="a blemish"/>
    <s v="un défaut"/>
    <d v="2020-01-18T00:00:00"/>
    <x v="19"/>
    <n v="2"/>
    <n v="9.5238095238095233E-2"/>
  </r>
  <r>
    <s v="an easel"/>
    <s v="un chevalet"/>
    <d v="2021-03-28T00:00:00"/>
    <x v="19"/>
    <n v="2"/>
    <n v="9.5238095238095233E-2"/>
  </r>
  <r>
    <s v="tweaking piecemeal "/>
    <s v="ajuster au coup par coup"/>
    <d v="2021-08-19T00:00:00"/>
    <x v="19"/>
    <n v="2"/>
    <n v="9.5238095238095233E-2"/>
  </r>
  <r>
    <s v="a soar"/>
    <s v="un essort"/>
    <d v="2011-03-09T00:00:00"/>
    <x v="20"/>
    <n v="2"/>
    <n v="0.1"/>
  </r>
  <r>
    <s v="fiendish"/>
    <s v="diabolique"/>
    <d v="2018-07-30T00:00:00"/>
    <x v="20"/>
    <n v="2"/>
    <n v="0.1"/>
  </r>
  <r>
    <s v="stalwart (adj.)"/>
    <s v="fidèle / vigoureux"/>
    <d v="2018-11-18T00:00:00"/>
    <x v="20"/>
    <n v="2"/>
    <n v="0.1"/>
  </r>
  <r>
    <s v="a knave"/>
    <s v="un fripon, un coquin"/>
    <d v="2018-12-04T00:00:00"/>
    <x v="30"/>
    <n v="3"/>
    <n v="0.1"/>
  </r>
  <r>
    <s v="to bootstrap / bootstraps"/>
    <s v="amorcer / des attaches de bottes"/>
    <d v="2020-07-14T00:00:00"/>
    <x v="20"/>
    <n v="2"/>
    <n v="0.1"/>
  </r>
  <r>
    <s v="a spoof"/>
    <s v="une parodie"/>
    <d v="2018-05-17T00:00:00"/>
    <x v="17"/>
    <n v="2"/>
    <n v="0.10526315789473684"/>
  </r>
  <r>
    <s v="eerie (adj.)"/>
    <s v="étrange, sinistre"/>
    <d v="2018-11-02T00:00:00"/>
    <x v="17"/>
    <n v="2"/>
    <n v="0.10526315789473684"/>
  </r>
  <r>
    <s v="a hopper"/>
    <s v="une trémie"/>
    <d v="2019-08-12T00:00:00"/>
    <x v="17"/>
    <n v="2"/>
    <n v="0.10526315789473684"/>
  </r>
  <r>
    <s v="looming"/>
    <s v="imminent"/>
    <d v="2021-03-16T00:00:00"/>
    <x v="17"/>
    <n v="2"/>
    <n v="0.10526315789473684"/>
  </r>
  <r>
    <s v="yeast (common name)"/>
    <s v="de la levure"/>
    <d v="2020-06-02T00:00:00"/>
    <x v="25"/>
    <n v="3"/>
    <n v="0.10714285714285714"/>
  </r>
  <r>
    <s v="to hone"/>
    <s v="aiguiser / avoir envie de / maigrir"/>
    <d v="2018-12-10T00:00:00"/>
    <x v="28"/>
    <n v="3"/>
    <n v="0.1111111111111111"/>
  </r>
  <r>
    <s v="surefire (adj.)"/>
    <s v="infaillible"/>
    <d v="2019-07-27T00:00:00"/>
    <x v="18"/>
    <n v="2"/>
    <n v="0.1111111111111111"/>
  </r>
  <r>
    <s v="searing (adj.)"/>
    <s v="brûlant"/>
    <d v="2019-10-29T00:00:00"/>
    <x v="18"/>
    <n v="2"/>
    <n v="0.1111111111111111"/>
  </r>
  <r>
    <s v="the selvage"/>
    <s v="la lisière"/>
    <d v="2021-01-05T00:00:00"/>
    <x v="18"/>
    <n v="2"/>
    <n v="0.1111111111111111"/>
  </r>
  <r>
    <s v="sleek"/>
    <s v="lisse, brillant / élégant"/>
    <d v="2021-06-10T00:00:00"/>
    <x v="18"/>
    <n v="2"/>
    <n v="0.1111111111111111"/>
  </r>
  <r>
    <s v="a thumbtack"/>
    <s v="une punaise (fixation)"/>
    <d v="2021-09-20T00:00:00"/>
    <x v="10"/>
    <n v="1"/>
    <n v="0.1111111111111111"/>
  </r>
  <r>
    <s v="to sift"/>
    <s v="tamiser, passer au crible"/>
    <d v="2022-03-20T00:00:00"/>
    <x v="10"/>
    <n v="1"/>
    <n v="0.1111111111111111"/>
  </r>
  <r>
    <s v="a puppy"/>
    <s v="un chiot, un petit chien"/>
    <d v="2022-05-12T00:00:00"/>
    <x v="10"/>
    <n v="1"/>
    <n v="0.1111111111111111"/>
  </r>
  <r>
    <s v="fussy"/>
    <s v="difficile"/>
    <d v="2019-07-27T00:00:00"/>
    <x v="24"/>
    <n v="3"/>
    <n v="0.11538461538461539"/>
  </r>
  <r>
    <s v="We have our work cut out."/>
    <s v="Nous avons du pain sur la planche."/>
    <d v="2018-05-17T00:00:00"/>
    <x v="16"/>
    <n v="2"/>
    <n v="0.11764705882352941"/>
  </r>
  <r>
    <s v="a groundwork"/>
    <s v="un travail préparatoire"/>
    <d v="2019-12-16T00:00:00"/>
    <x v="26"/>
    <n v="3"/>
    <n v="0.12"/>
  </r>
  <r>
    <s v="stately (adj.)"/>
    <s v="majestueux, imposant"/>
    <d v="2011-03-09T00:00:00"/>
    <x v="21"/>
    <n v="3"/>
    <n v="0.125"/>
  </r>
  <r>
    <s v="a drag"/>
    <s v="un boulet, une entrave, une résistance"/>
    <d v="2013-12-13T00:00:00"/>
    <x v="6"/>
    <n v="2"/>
    <n v="0.125"/>
  </r>
  <r>
    <s v="readily"/>
    <s v="facilement, aisément"/>
    <d v="2013-12-13T00:00:00"/>
    <x v="21"/>
    <n v="3"/>
    <n v="0.125"/>
  </r>
  <r>
    <s v="a nettle"/>
    <s v="une ortie"/>
    <d v="2018-11-04T00:00:00"/>
    <x v="6"/>
    <n v="2"/>
    <n v="0.125"/>
  </r>
  <r>
    <s v="imbued"/>
    <s v="imprégné"/>
    <d v="2020-08-10T00:00:00"/>
    <x v="21"/>
    <n v="3"/>
    <n v="0.125"/>
  </r>
  <r>
    <s v="to grope"/>
    <s v="tâtonner / peloter"/>
    <d v="2021-11-23T00:00:00"/>
    <x v="6"/>
    <n v="2"/>
    <n v="0.125"/>
  </r>
  <r>
    <s v="a grindstone"/>
    <s v="une meule"/>
    <d v="2018-04-15T00:00:00"/>
    <x v="11"/>
    <n v="2"/>
    <n v="0.13333333333333333"/>
  </r>
  <r>
    <s v="an expense report"/>
    <s v="une note de frais"/>
    <d v="2019-10-14T00:00:00"/>
    <x v="11"/>
    <n v="2"/>
    <n v="0.13333333333333333"/>
  </r>
  <r>
    <s v="plainly"/>
    <s v="clairement, simplement"/>
    <d v="2018-10-04T00:00:00"/>
    <x v="22"/>
    <n v="3"/>
    <n v="0.13636363636363635"/>
  </r>
  <r>
    <s v="lurid"/>
    <s v="épouvantable, horrible"/>
    <d v="2018-11-18T00:00:00"/>
    <x v="22"/>
    <n v="3"/>
    <n v="0.13636363636363635"/>
  </r>
  <r>
    <s v="circuitous"/>
    <s v="détourné"/>
    <d v="2020-06-22T00:00:00"/>
    <x v="22"/>
    <n v="3"/>
    <n v="0.13636363636363635"/>
  </r>
  <r>
    <s v="to tinker"/>
    <s v="bricoler"/>
    <d v="2020-04-13T00:00:00"/>
    <x v="34"/>
    <n v="5"/>
    <n v="0.1388888888888889"/>
  </r>
  <r>
    <s v="a lurch"/>
    <s v="une embardée"/>
    <d v="2018-10-24T00:00:00"/>
    <x v="19"/>
    <n v="3"/>
    <n v="0.14285714285714285"/>
  </r>
  <r>
    <s v="stealthy"/>
    <s v="furtif, fait en secret"/>
    <d v="2018-11-18T00:00:00"/>
    <x v="19"/>
    <n v="3"/>
    <n v="0.14285714285714285"/>
  </r>
  <r>
    <s v="a yoke"/>
    <s v="un joug, un attelage"/>
    <d v="2021-06-10T00:00:00"/>
    <x v="19"/>
    <n v="3"/>
    <n v="0.14285714285714285"/>
  </r>
  <r>
    <s v="amenable"/>
    <s v="accomodant, souple"/>
    <d v="2021-12-02T00:00:00"/>
    <x v="8"/>
    <n v="2"/>
    <n v="0.14285714285714285"/>
  </r>
  <r>
    <s v="a dove"/>
    <s v="une colombe"/>
    <d v="2022-01-30T00:00:00"/>
    <x v="8"/>
    <n v="2"/>
    <n v="0.14285714285714285"/>
  </r>
  <r>
    <s v="a hog"/>
    <s v="un cochon, un porc"/>
    <d v="2022-02-08T00:00:00"/>
    <x v="8"/>
    <n v="2"/>
    <n v="0.14285714285714285"/>
  </r>
  <r>
    <s v="a freshman"/>
    <s v="un étudiant de première année"/>
    <d v="2022-02-21T00:00:00"/>
    <x v="2"/>
    <n v="1"/>
    <n v="0.14285714285714285"/>
  </r>
  <r>
    <s v="antics (common name)"/>
    <s v="des bouffonneries"/>
    <d v="2022-02-28T00:00:00"/>
    <x v="19"/>
    <n v="3"/>
    <n v="0.14285714285714285"/>
  </r>
  <r>
    <s v="to mitigate"/>
    <s v="atténuer, réduire / mitiger"/>
    <d v="2022-03-30T00:00:00"/>
    <x v="2"/>
    <n v="1"/>
    <n v="0.14285714285714285"/>
  </r>
  <r>
    <s v="a warren"/>
    <s v="un terrier, une garenne / un dédale"/>
    <d v="2022-05-10T00:00:00"/>
    <x v="2"/>
    <n v="1"/>
    <n v="0.14285714285714285"/>
  </r>
  <r>
    <s v="to caution"/>
    <s v="avertir"/>
    <d v="2013-12-13T00:00:00"/>
    <x v="24"/>
    <n v="4"/>
    <n v="0.15384615384615385"/>
  </r>
  <r>
    <s v="a ladle / ladle (adj.)"/>
    <s v="une louche / prodigue"/>
    <d v="2019-12-27T00:00:00"/>
    <x v="24"/>
    <n v="4"/>
    <n v="0.15384615384615385"/>
  </r>
  <r>
    <s v="a lathe"/>
    <s v="un tour (machine-outil)"/>
    <d v="2020-05-11T00:00:00"/>
    <x v="1"/>
    <n v="2"/>
    <n v="0.15384615384615385"/>
  </r>
  <r>
    <s v="to compound"/>
    <s v="composer, combiner"/>
    <d v="2011-03-09T00:00:00"/>
    <x v="17"/>
    <n v="3"/>
    <n v="0.15789473684210525"/>
  </r>
  <r>
    <s v="an excursus"/>
    <s v="une discussion détaillée sur un point particulier d'un livre, habituellement sous la forme d'une annexe"/>
    <d v="2019-08-12T00:00:00"/>
    <x v="17"/>
    <n v="3"/>
    <n v="0.15789473684210525"/>
  </r>
  <r>
    <s v="a pumice"/>
    <s v="une pierre ponce"/>
    <d v="2019-11-07T00:00:00"/>
    <x v="17"/>
    <n v="3"/>
    <n v="0.15789473684210525"/>
  </r>
  <r>
    <s v="a swoop"/>
    <s v="une rafle / une plongée, une descente en piqué"/>
    <d v="2018-11-25T00:00:00"/>
    <x v="26"/>
    <n v="4"/>
    <n v="0.16"/>
  </r>
  <r>
    <s v="to turn away sbdy"/>
    <s v="chasser, envoyer promener, rejeter qn"/>
    <d v="2013-12-13T00:00:00"/>
    <x v="35"/>
    <n v="5"/>
    <n v="0.16129032258064516"/>
  </r>
  <r>
    <s v="to atone"/>
    <s v="expier"/>
    <d v="2018-11-19T00:00:00"/>
    <x v="35"/>
    <n v="5"/>
    <n v="0.16129032258064516"/>
  </r>
  <r>
    <s v="a dispenser"/>
    <s v="un distributeur"/>
    <d v="2013-12-13T00:00:00"/>
    <x v="21"/>
    <n v="4"/>
    <n v="0.16666666666666666"/>
  </r>
  <r>
    <s v="to strew"/>
    <s v="semer, répandre"/>
    <d v="2018-08-29T00:00:00"/>
    <x v="21"/>
    <n v="4"/>
    <n v="0.16666666666666666"/>
  </r>
  <r>
    <s v="a bedfellow"/>
    <s v="un associé, un collègue"/>
    <d v="2018-11-11T00:00:00"/>
    <x v="7"/>
    <n v="2"/>
    <n v="0.16666666666666666"/>
  </r>
  <r>
    <s v="to staunch"/>
    <s v="étancher"/>
    <d v="2019-06-17T00:00:00"/>
    <x v="34"/>
    <n v="6"/>
    <n v="0.16666666666666666"/>
  </r>
  <r>
    <s v="sundries"/>
    <s v="des articles divers"/>
    <d v="2020-04-20T00:00:00"/>
    <x v="21"/>
    <n v="4"/>
    <n v="0.16666666666666666"/>
  </r>
  <r>
    <s v="to bring up"/>
    <s v="faire monter"/>
    <d v="2020-06-22T00:00:00"/>
    <x v="18"/>
    <n v="3"/>
    <n v="0.16666666666666666"/>
  </r>
  <r>
    <s v="to shove"/>
    <s v="pousser, enfoncer"/>
    <d v="2021-07-08T00:00:00"/>
    <x v="7"/>
    <n v="2"/>
    <n v="0.16666666666666666"/>
  </r>
  <r>
    <s v="a lapel"/>
    <s v="un revers (sur un vêtement)"/>
    <d v="2021-08-28T00:00:00"/>
    <x v="18"/>
    <n v="3"/>
    <n v="0.16666666666666666"/>
  </r>
  <r>
    <s v="drowsiness (common name)"/>
    <s v="la somnolence"/>
    <d v="2021-09-30T00:00:00"/>
    <x v="7"/>
    <n v="2"/>
    <n v="0.16666666666666666"/>
  </r>
  <r>
    <s v="barley (common name)"/>
    <s v="l'orge"/>
    <d v="2021-11-15T00:00:00"/>
    <x v="7"/>
    <n v="2"/>
    <n v="0.16666666666666666"/>
  </r>
  <r>
    <s v="a roadblock"/>
    <s v="un barrage routier"/>
    <d v="2022-02-04T00:00:00"/>
    <x v="7"/>
    <n v="2"/>
    <n v="0.16666666666666666"/>
  </r>
  <r>
    <s v="an aisle"/>
    <s v="un rayon (de magasin), une allée"/>
    <d v="2022-03-17T00:00:00"/>
    <x v="7"/>
    <n v="2"/>
    <n v="0.16666666666666666"/>
  </r>
  <r>
    <s v="a knicker"/>
    <s v="une culotte"/>
    <d v="2022-06-02T00:00:00"/>
    <x v="7"/>
    <n v="2"/>
    <n v="0.16666666666666666"/>
  </r>
  <r>
    <s v="a shutter"/>
    <s v="un volet / un obturateur"/>
    <d v="2019-12-27T00:00:00"/>
    <x v="29"/>
    <n v="5"/>
    <n v="0.17241379310344829"/>
  </r>
  <r>
    <s v="fringe benefits / fringe"/>
    <s v="les avantages divers / marginal"/>
    <d v="2013-12-13T00:00:00"/>
    <x v="23"/>
    <n v="4"/>
    <n v="0.17391304347826086"/>
  </r>
  <r>
    <s v="flatly"/>
    <s v="catégoriquement"/>
    <d v="2018-10-25T00:00:00"/>
    <x v="23"/>
    <n v="4"/>
    <n v="0.17391304347826086"/>
  </r>
  <r>
    <s v="a tether"/>
    <s v="une attache"/>
    <d v="2018-11-25T00:00:00"/>
    <x v="23"/>
    <n v="4"/>
    <n v="0.17391304347826086"/>
  </r>
  <r>
    <s v="to set-off"/>
    <s v="déclencher"/>
    <d v="2019-11-02T00:00:00"/>
    <x v="23"/>
    <n v="4"/>
    <n v="0.17391304347826086"/>
  </r>
  <r>
    <s v="nimble (adj.)"/>
    <s v="agile, leste"/>
    <d v="2011-03-09T00:00:00"/>
    <x v="36"/>
    <n v="6"/>
    <n v="0.17647058823529413"/>
  </r>
  <r>
    <s v="capital gain (common name)"/>
    <s v="la plus-value"/>
    <d v="2013-12-13T00:00:00"/>
    <x v="16"/>
    <n v="3"/>
    <n v="0.17647058823529413"/>
  </r>
  <r>
    <s v="forcibly"/>
    <s v="par la force / avec force"/>
    <d v="2018-11-26T00:00:00"/>
    <x v="16"/>
    <n v="3"/>
    <n v="0.17647058823529413"/>
  </r>
  <r>
    <s v="an auger"/>
    <s v="une tarrière"/>
    <d v="2018-12-17T00:00:00"/>
    <x v="36"/>
    <n v="6"/>
    <n v="0.17647058823529413"/>
  </r>
  <r>
    <s v="an offtake"/>
    <s v="un prélèvement"/>
    <d v="2020-03-10T00:00:00"/>
    <x v="16"/>
    <n v="3"/>
    <n v="0.17647058823529413"/>
  </r>
  <r>
    <s v="agonizing"/>
    <s v="angoissant"/>
    <d v="2021-07-18T00:00:00"/>
    <x v="16"/>
    <n v="3"/>
    <n v="0.17647058823529413"/>
  </r>
  <r>
    <s v="a kettle"/>
    <s v="une bouilloire"/>
    <d v="2021-09-04T00:00:00"/>
    <x v="16"/>
    <n v="3"/>
    <n v="0.17647058823529413"/>
  </r>
  <r>
    <s v="a ledger"/>
    <s v="un registre"/>
    <d v="2021-09-20T00:00:00"/>
    <x v="16"/>
    <n v="3"/>
    <n v="0.17647058823529413"/>
  </r>
  <r>
    <s v="to fizzle"/>
    <s v="pétiller"/>
    <d v="2021-09-26T00:00:00"/>
    <x v="16"/>
    <n v="3"/>
    <n v="0.17647058823529413"/>
  </r>
  <r>
    <s v="incontrovertible"/>
    <s v="irréfutable"/>
    <d v="2021-11-15T00:00:00"/>
    <x v="16"/>
    <n v="3"/>
    <n v="0.17647058823529413"/>
  </r>
  <r>
    <s v="a break up"/>
    <s v="un démantèlement"/>
    <d v="2013-12-13T00:00:00"/>
    <x v="25"/>
    <n v="5"/>
    <n v="0.17857142857142858"/>
  </r>
  <r>
    <s v="a pellet"/>
    <s v="une pastille"/>
    <d v="2020-02-11T00:00:00"/>
    <x v="25"/>
    <n v="5"/>
    <n v="0.17857142857142858"/>
  </r>
  <r>
    <s v="a copycat"/>
    <s v="un imitateur"/>
    <d v="2021-01-05T00:00:00"/>
    <x v="25"/>
    <n v="5"/>
    <n v="0.17857142857142858"/>
  </r>
  <r>
    <s v="to subside"/>
    <s v="s’affaisser, baisser, décroître"/>
    <d v="2013-12-13T00:00:00"/>
    <x v="31"/>
    <n v="6"/>
    <n v="0.18181818181818182"/>
  </r>
  <r>
    <s v="a wage-earner"/>
    <s v="un salarié"/>
    <d v="2013-12-13T00:00:00"/>
    <x v="6"/>
    <n v="3"/>
    <n v="0.1875"/>
  </r>
  <r>
    <s v="a fellow"/>
    <s v="un compagnon / une compagne"/>
    <d v="2021-03-21T00:00:00"/>
    <x v="6"/>
    <n v="3"/>
    <n v="0.1875"/>
  </r>
  <r>
    <s v="to tingle"/>
    <s v="picoter, fourmiller"/>
    <d v="2021-06-25T00:00:00"/>
    <x v="6"/>
    <n v="3"/>
    <n v="0.1875"/>
  </r>
  <r>
    <s v="collusive (adj.)"/>
    <s v="complice"/>
    <d v="2021-08-17T00:00:00"/>
    <x v="6"/>
    <n v="3"/>
    <n v="0.1875"/>
  </r>
  <r>
    <s v="fiddling (adj.)"/>
    <s v="futile, sans importance"/>
    <d v="2021-08-27T00:00:00"/>
    <x v="6"/>
    <n v="3"/>
    <n v="0.1875"/>
  </r>
  <r>
    <s v="a groat"/>
    <s v="une pièce de monnaie médiévale"/>
    <d v="2018-04-15T00:00:00"/>
    <x v="19"/>
    <n v="4"/>
    <n v="0.19047619047619047"/>
  </r>
  <r>
    <s v="a poacher"/>
    <s v="un braconnier"/>
    <d v="2018-05-17T00:00:00"/>
    <x v="19"/>
    <n v="4"/>
    <n v="0.19047619047619047"/>
  </r>
  <r>
    <s v="crinkled"/>
    <s v="froissé"/>
    <d v="2019-10-23T00:00:00"/>
    <x v="19"/>
    <n v="4"/>
    <n v="0.19047619047619047"/>
  </r>
  <r>
    <s v="to rasp"/>
    <s v="grincer / racler"/>
    <d v="2011-03-09T00:00:00"/>
    <x v="35"/>
    <n v="6"/>
    <n v="0.19354838709677419"/>
  </r>
  <r>
    <s v="to take on"/>
    <s v="prendre, accepter, se charger de / embaucher / s’attaquer à"/>
    <d v="2013-12-13T00:00:00"/>
    <x v="35"/>
    <n v="6"/>
    <n v="0.19354838709677419"/>
  </r>
  <r>
    <s v="barter (common name)"/>
    <s v="du troc"/>
    <d v="2013-12-13T00:00:00"/>
    <x v="26"/>
    <n v="5"/>
    <n v="0.2"/>
  </r>
  <r>
    <s v="interplay (adj.)"/>
    <s v="réciproque"/>
    <d v="2013-12-13T00:00:00"/>
    <x v="20"/>
    <n v="4"/>
    <n v="0.2"/>
  </r>
  <r>
    <s v="highways and byways (expr.)"/>
    <s v="un peu partout"/>
    <d v="2018-05-17T00:00:00"/>
    <x v="26"/>
    <n v="5"/>
    <n v="0.2"/>
  </r>
  <r>
    <s v="out of the blue"/>
    <s v="tout à coup"/>
    <d v="2018-08-29T00:00:00"/>
    <x v="20"/>
    <n v="4"/>
    <n v="0.2"/>
  </r>
  <r>
    <s v="a bust"/>
    <s v="une poitrine / une faillite, un fiasco"/>
    <d v="2018-09-25T00:00:00"/>
    <x v="20"/>
    <n v="4"/>
    <n v="0.2"/>
  </r>
  <r>
    <s v="a straggler"/>
    <s v="un traînard"/>
    <d v="2018-11-22T00:00:00"/>
    <x v="26"/>
    <n v="5"/>
    <n v="0.2"/>
  </r>
  <r>
    <s v="to peck"/>
    <s v="picorer"/>
    <d v="2019-07-27T00:00:00"/>
    <x v="20"/>
    <n v="4"/>
    <n v="0.2"/>
  </r>
  <r>
    <s v="endowed"/>
    <s v="doté"/>
    <d v="2020-07-14T00:00:00"/>
    <x v="26"/>
    <n v="5"/>
    <n v="0.2"/>
  </r>
  <r>
    <s v="to blaze"/>
    <s v="flamber / éclater"/>
    <d v="2021-10-24T00:00:00"/>
    <x v="11"/>
    <n v="3"/>
    <n v="0.2"/>
  </r>
  <r>
    <s v="to alleviate"/>
    <s v="soulager"/>
    <d v="2021-11-15T00:00:00"/>
    <x v="0"/>
    <n v="2"/>
    <n v="0.2"/>
  </r>
  <r>
    <s v="in droves"/>
    <s v="en masse"/>
    <d v="2022-01-03T00:00:00"/>
    <x v="0"/>
    <n v="2"/>
    <n v="0.2"/>
  </r>
  <r>
    <s v="a gavel"/>
    <s v="un marteau de justice"/>
    <d v="2022-01-26T00:00:00"/>
    <x v="11"/>
    <n v="3"/>
    <n v="0.2"/>
  </r>
  <r>
    <s v="a roost"/>
    <s v="un perchoir"/>
    <d v="2022-01-30T00:00:00"/>
    <x v="0"/>
    <n v="2"/>
    <n v="0.2"/>
  </r>
  <r>
    <s v="to encroach"/>
    <s v="empiéter"/>
    <d v="2022-01-30T00:00:00"/>
    <x v="11"/>
    <n v="3"/>
    <n v="0.2"/>
  </r>
  <r>
    <s v="a shoehorn"/>
    <s v="un chausse-pied"/>
    <d v="2022-03-02T00:00:00"/>
    <x v="9"/>
    <n v="1"/>
    <n v="0.2"/>
  </r>
  <r>
    <s v="an umpire"/>
    <s v="un arbitre / un juge de chaise"/>
    <d v="2022-03-03T00:00:00"/>
    <x v="0"/>
    <n v="2"/>
    <n v="0.2"/>
  </r>
  <r>
    <s v="dregs (common name)"/>
    <s v="la lie (du vin, …)"/>
    <d v="2022-03-13T00:00:00"/>
    <x v="0"/>
    <n v="2"/>
    <n v="0.2"/>
  </r>
  <r>
    <s v="to clinch"/>
    <s v="river, attacher / décrocher"/>
    <d v="2022-05-07T00:00:00"/>
    <x v="0"/>
    <n v="2"/>
    <n v="0.2"/>
  </r>
  <r>
    <s v="a countertop"/>
    <s v="un comptoir"/>
    <d v="2022-05-28T00:00:00"/>
    <x v="0"/>
    <n v="2"/>
    <n v="0.2"/>
  </r>
  <r>
    <s v="a paw"/>
    <s v="une patte"/>
    <d v="2022-06-05T00:00:00"/>
    <x v="9"/>
    <n v="1"/>
    <n v="0.2"/>
  </r>
  <r>
    <s v="brimstone (common name)"/>
    <s v="du soufre"/>
    <d v="2022-11-14T00:00:00"/>
    <x v="9"/>
    <n v="1"/>
    <n v="0.2"/>
  </r>
  <r>
    <s v="hamstring (common name)"/>
    <s v="le tendon"/>
    <d v="2022-11-19T00:00:00"/>
    <x v="9"/>
    <n v="1"/>
    <n v="0.2"/>
  </r>
  <r>
    <s v="to shut off"/>
    <s v="se couper, s’arrêter"/>
    <d v="2013-12-13T00:00:00"/>
    <x v="21"/>
    <n v="5"/>
    <n v="0.20833333333333334"/>
  </r>
  <r>
    <s v="a splurge"/>
    <s v="une folie (dépensière)"/>
    <d v="2019-11-07T00:00:00"/>
    <x v="21"/>
    <n v="5"/>
    <n v="0.20833333333333334"/>
  </r>
  <r>
    <s v="a knuckle"/>
    <s v="une articulation"/>
    <d v="2018-04-15T00:00:00"/>
    <x v="17"/>
    <n v="4"/>
    <n v="0.21052631578947367"/>
  </r>
  <r>
    <s v="to forestall"/>
    <s v="devancer"/>
    <d v="2019-07-27T00:00:00"/>
    <x v="17"/>
    <n v="4"/>
    <n v="0.21052631578947367"/>
  </r>
  <r>
    <s v="a fixture"/>
    <s v="une fixation"/>
    <d v="2019-12-16T00:00:00"/>
    <x v="23"/>
    <n v="5"/>
    <n v="0.21739130434782608"/>
  </r>
  <r>
    <s v="a blob"/>
    <s v="une goutte"/>
    <d v="2021-06-11T00:00:00"/>
    <x v="23"/>
    <n v="5"/>
    <n v="0.21739130434782608"/>
  </r>
  <r>
    <s v="commodious"/>
    <s v="spacieux"/>
    <d v="2011-03-09T00:00:00"/>
    <x v="28"/>
    <n v="6"/>
    <n v="0.22222222222222221"/>
  </r>
  <r>
    <s v="a redundancy"/>
    <s v="une redondance / un licenciement"/>
    <d v="2013-12-13T00:00:00"/>
    <x v="28"/>
    <n v="6"/>
    <n v="0.22222222222222221"/>
  </r>
  <r>
    <s v="to cope with"/>
    <s v="faire face à"/>
    <d v="2013-12-13T00:00:00"/>
    <x v="18"/>
    <n v="4"/>
    <n v="0.22222222222222221"/>
  </r>
  <r>
    <s v="a meadow"/>
    <s v="un pré, une prairie"/>
    <d v="2018-06-27T00:00:00"/>
    <x v="18"/>
    <n v="4"/>
    <n v="0.22222222222222221"/>
  </r>
  <r>
    <s v="an upsurge"/>
    <s v="une recrudescence, un regain"/>
    <d v="2018-11-18T00:00:00"/>
    <x v="28"/>
    <n v="6"/>
    <n v="0.22222222222222221"/>
  </r>
  <r>
    <s v="the watershed"/>
    <s v="le moment critique, le grand tournant / le bassin versant"/>
    <d v="2018-11-18T00:00:00"/>
    <x v="28"/>
    <n v="6"/>
    <n v="0.22222222222222221"/>
  </r>
  <r>
    <s v="a headaway"/>
    <s v="une avance"/>
    <d v="2019-11-02T00:00:00"/>
    <x v="28"/>
    <n v="6"/>
    <n v="0.22222222222222221"/>
  </r>
  <r>
    <s v="a stationery"/>
    <s v="une papeterie"/>
    <d v="2021-02-22T00:00:00"/>
    <x v="28"/>
    <n v="6"/>
    <n v="0.22222222222222221"/>
  </r>
  <r>
    <s v="a tryst"/>
    <s v="un rendez-vous galant"/>
    <d v="2021-07-01T00:00:00"/>
    <x v="18"/>
    <n v="4"/>
    <n v="0.22222222222222221"/>
  </r>
  <r>
    <s v="feisty"/>
    <s v="fougueux"/>
    <d v="2021-10-31T00:00:00"/>
    <x v="18"/>
    <n v="4"/>
    <n v="0.22222222222222221"/>
  </r>
  <r>
    <s v="a midwife"/>
    <s v="une sage-femme"/>
    <d v="2013-09-05T00:00:00"/>
    <x v="22"/>
    <n v="5"/>
    <n v="0.22727272727272727"/>
  </r>
  <r>
    <s v="to streamline"/>
    <s v="rationaliser, dégraisser, moderniser"/>
    <d v="2013-12-13T00:00:00"/>
    <x v="22"/>
    <n v="5"/>
    <n v="0.22727272727272727"/>
  </r>
  <r>
    <s v="the livelihood"/>
    <s v="le gagne-pain"/>
    <d v="2018-11-14T00:00:00"/>
    <x v="22"/>
    <n v="5"/>
    <n v="0.22727272727272727"/>
  </r>
  <r>
    <s v="a vat"/>
    <s v="une cuve"/>
    <d v="2020-05-11T00:00:00"/>
    <x v="22"/>
    <n v="5"/>
    <n v="0.22727272727272727"/>
  </r>
  <r>
    <s v="to stock"/>
    <s v="alimenter, entretenir"/>
    <d v="2020-08-10T00:00:00"/>
    <x v="22"/>
    <n v="5"/>
    <n v="0.22727272727272727"/>
  </r>
  <r>
    <s v="a clutch (techn.)"/>
    <s v="un embrayage"/>
    <d v="2021-04-13T00:00:00"/>
    <x v="22"/>
    <n v="5"/>
    <n v="0.22727272727272727"/>
  </r>
  <r>
    <s v="cash flow (common name)"/>
    <s v="la trésorerie, la marge brute d’autofinancement"/>
    <d v="2013-12-13T00:00:00"/>
    <x v="1"/>
    <n v="3"/>
    <n v="0.23076923076923078"/>
  </r>
  <r>
    <s v="customary"/>
    <s v="habituel"/>
    <d v="2019-05-17T00:00:00"/>
    <x v="1"/>
    <n v="3"/>
    <n v="0.23076923076923078"/>
  </r>
  <r>
    <s v="entrancing"/>
    <s v="ravissant, enchanteur"/>
    <d v="2021-08-20T00:00:00"/>
    <x v="1"/>
    <n v="3"/>
    <n v="0.23076923076923078"/>
  </r>
  <r>
    <s v="to wince"/>
    <s v="grimacer, tressaillir"/>
    <d v="2021-11-24T00:00:00"/>
    <x v="1"/>
    <n v="3"/>
    <n v="0.23076923076923078"/>
  </r>
  <r>
    <s v="I'm yet to find …"/>
    <s v="Je n'ai pas encore trouvé …"/>
    <d v="2022-01-12T00:00:00"/>
    <x v="1"/>
    <n v="3"/>
    <n v="0.23076923076923078"/>
  </r>
  <r>
    <s v="especially since …"/>
    <s v="d'autant plus que …"/>
    <d v="2022-02-22T00:00:00"/>
    <x v="1"/>
    <n v="3"/>
    <n v="0.23076923076923078"/>
  </r>
  <r>
    <s v="a devolution"/>
    <s v="une délocalisation"/>
    <d v="2011-03-09T00:00:00"/>
    <x v="16"/>
    <n v="4"/>
    <n v="0.23529411764705882"/>
  </r>
  <r>
    <s v="a snare"/>
    <s v="un piège, un collet / une caisse claire"/>
    <d v="2018-12-17T00:00:00"/>
    <x v="16"/>
    <n v="4"/>
    <n v="0.23529411764705882"/>
  </r>
  <r>
    <s v="punched"/>
    <s v="poinçonné"/>
    <d v="2019-08-05T00:00:00"/>
    <x v="16"/>
    <n v="4"/>
    <n v="0.23529411764705882"/>
  </r>
  <r>
    <s v="toll (common name)"/>
    <s v="un péage"/>
    <d v="2013-12-13T00:00:00"/>
    <x v="19"/>
    <n v="5"/>
    <n v="0.23809523809523808"/>
  </r>
  <r>
    <s v="a pitch"/>
    <s v="un pas / un lancement / le tangage / le terrain"/>
    <d v="2021-01-25T00:00:00"/>
    <x v="19"/>
    <n v="5"/>
    <n v="0.23809523809523808"/>
  </r>
  <r>
    <s v="blithely"/>
    <s v="allègrement"/>
    <d v="2018-12-04T00:00:00"/>
    <x v="26"/>
    <n v="6"/>
    <n v="0.24"/>
  </r>
  <r>
    <s v="to come on"/>
    <s v="faire des progrès, avancer"/>
    <d v="2013-12-13T00:00:00"/>
    <x v="29"/>
    <n v="7"/>
    <n v="0.2413793103448276"/>
  </r>
  <r>
    <s v="upscale (adj.)"/>
    <s v="haut-de-gamme"/>
    <d v="2013-12-13T00:00:00"/>
    <x v="29"/>
    <n v="7"/>
    <n v="0.2413793103448276"/>
  </r>
  <r>
    <s v="nasty"/>
    <s v="méchant, mauvais"/>
    <d v="2011-03-09T00:00:00"/>
    <x v="6"/>
    <n v="4"/>
    <n v="0.25"/>
  </r>
  <r>
    <s v="ongoing"/>
    <s v="progressif, continu"/>
    <d v="2011-03-09T00:00:00"/>
    <x v="20"/>
    <n v="5"/>
    <n v="0.25"/>
  </r>
  <r>
    <s v="noxious"/>
    <s v="nuisible"/>
    <d v="2013-12-13T00:00:00"/>
    <x v="6"/>
    <n v="4"/>
    <n v="0.25"/>
  </r>
  <r>
    <s v="retraining (common name)"/>
    <s v="le recyclage"/>
    <d v="2013-12-13T00:00:00"/>
    <x v="21"/>
    <n v="6"/>
    <n v="0.25"/>
  </r>
  <r>
    <s v="a latch"/>
    <s v="un loquet"/>
    <d v="2019-10-14T00:00:00"/>
    <x v="6"/>
    <n v="4"/>
    <n v="0.25"/>
  </r>
  <r>
    <s v="to splutter"/>
    <s v="bafouiller"/>
    <d v="2021-04-13T00:00:00"/>
    <x v="20"/>
    <n v="5"/>
    <n v="0.25"/>
  </r>
  <r>
    <s v="brazen (adj.)"/>
    <s v="effronté"/>
    <d v="2021-06-29T00:00:00"/>
    <x v="20"/>
    <n v="5"/>
    <n v="0.25"/>
  </r>
  <r>
    <s v="huckleberry (common name)"/>
    <s v="des airelles"/>
    <d v="2021-10-25T00:00:00"/>
    <x v="3"/>
    <n v="2"/>
    <n v="0.25"/>
  </r>
  <r>
    <s v="a sink"/>
    <s v="un évier"/>
    <d v="2021-12-01T00:00:00"/>
    <x v="3"/>
    <n v="2"/>
    <n v="0.25"/>
  </r>
  <r>
    <s v="to call sbdy in"/>
    <s v="passer voir quelqu'un / faire entrer quelqu'un"/>
    <d v="2013-12-13T00:00:00"/>
    <x v="28"/>
    <n v="7"/>
    <n v="0.25925925925925924"/>
  </r>
  <r>
    <s v="a split"/>
    <s v="une coupure, une cassure"/>
    <d v="2013-12-13T00:00:00"/>
    <x v="17"/>
    <n v="5"/>
    <n v="0.26315789473684209"/>
  </r>
  <r>
    <s v="to wade in"/>
    <s v="patauger dans"/>
    <d v="2019-07-15T00:00:00"/>
    <x v="17"/>
    <n v="5"/>
    <n v="0.26315789473684209"/>
  </r>
  <r>
    <s v="luster (common name)"/>
    <s v="le lustre, l'éclat, la gloire"/>
    <d v="2020-06-22T00:00:00"/>
    <x v="17"/>
    <n v="5"/>
    <n v="0.26315789473684209"/>
  </r>
  <r>
    <s v="to take hold"/>
    <s v="s'emparer de"/>
    <d v="2020-06-22T00:00:00"/>
    <x v="17"/>
    <n v="5"/>
    <n v="0.26315789473684209"/>
  </r>
  <r>
    <s v="to alight"/>
    <s v="mettre pied à terre"/>
    <d v="2020-07-02T00:00:00"/>
    <x v="17"/>
    <n v="5"/>
    <n v="0.26315789473684209"/>
  </r>
  <r>
    <s v="arraigned"/>
    <s v="interpellé"/>
    <d v="2021-02-22T00:00:00"/>
    <x v="17"/>
    <n v="5"/>
    <n v="0.26315789473684209"/>
  </r>
  <r>
    <s v="to pit sthg to sthg"/>
    <s v="opposer qc à qc"/>
    <d v="2011-03-09T00:00:00"/>
    <x v="11"/>
    <n v="4"/>
    <n v="0.26666666666666666"/>
  </r>
  <r>
    <s v="a hold"/>
    <s v="une prise, une étreinte"/>
    <d v="2013-12-13T00:00:00"/>
    <x v="11"/>
    <n v="4"/>
    <n v="0.26666666666666666"/>
  </r>
  <r>
    <s v="to check out"/>
    <s v="régler sa note / jeter un œil à"/>
    <d v="2013-12-13T00:00:00"/>
    <x v="11"/>
    <n v="4"/>
    <n v="0.26666666666666666"/>
  </r>
  <r>
    <s v="to shatter"/>
    <s v="briser, fracasser, éclater"/>
    <d v="2018-11-13T00:00:00"/>
    <x v="30"/>
    <n v="8"/>
    <n v="0.26666666666666666"/>
  </r>
  <r>
    <s v="to mince"/>
    <s v="parler du bout des lèvres"/>
    <d v="2018-11-24T00:00:00"/>
    <x v="11"/>
    <n v="4"/>
    <n v="0.26666666666666666"/>
  </r>
  <r>
    <s v="a mils"/>
    <s v="un millième"/>
    <d v="2019-08-12T00:00:00"/>
    <x v="11"/>
    <n v="4"/>
    <n v="0.26666666666666666"/>
  </r>
  <r>
    <s v="a quid"/>
    <s v="une livre £ (argot)"/>
    <d v="2018-05-17T00:00:00"/>
    <x v="24"/>
    <n v="7"/>
    <n v="0.26923076923076922"/>
  </r>
  <r>
    <s v="crisply (adj.)"/>
    <s v="croustillant"/>
    <d v="2018-08-29T00:00:00"/>
    <x v="24"/>
    <n v="7"/>
    <n v="0.26923076923076922"/>
  </r>
  <r>
    <s v="a chemist"/>
    <s v="une pharmacie"/>
    <d v="2013-09-05T00:00:00"/>
    <x v="22"/>
    <n v="6"/>
    <n v="0.27272727272727271"/>
  </r>
  <r>
    <s v="to weave"/>
    <s v="tisser"/>
    <d v="2013-09-05T00:00:00"/>
    <x v="22"/>
    <n v="6"/>
    <n v="0.27272727272727271"/>
  </r>
  <r>
    <s v="a contractor"/>
    <s v="un entrepreneur"/>
    <d v="2013-12-13T00:00:00"/>
    <x v="22"/>
    <n v="6"/>
    <n v="0.27272727272727271"/>
  </r>
  <r>
    <s v="a turnout"/>
    <s v="une production / le nombre de personnes présentes"/>
    <d v="2013-12-13T00:00:00"/>
    <x v="22"/>
    <n v="6"/>
    <n v="0.27272727272727271"/>
  </r>
  <r>
    <s v="a shirker"/>
    <s v="un tir-au-flanc"/>
    <d v="2018-10-09T00:00:00"/>
    <x v="22"/>
    <n v="6"/>
    <n v="0.27272727272727271"/>
  </r>
  <r>
    <s v="ludicrous"/>
    <s v="ridicule, risible"/>
    <d v="2018-11-24T00:00:00"/>
    <x v="22"/>
    <n v="6"/>
    <n v="0.27272727272727271"/>
  </r>
  <r>
    <s v="slender (adj.)"/>
    <s v="mince"/>
    <d v="2019-11-02T00:00:00"/>
    <x v="22"/>
    <n v="6"/>
    <n v="0.27272727272727271"/>
  </r>
  <r>
    <s v="staple goods"/>
    <s v="les produits de base"/>
    <d v="2021-03-16T00:00:00"/>
    <x v="22"/>
    <n v="6"/>
    <n v="0.27272727272727271"/>
  </r>
  <r>
    <s v="an upswing"/>
    <s v="un redressement, une amélioration"/>
    <d v="2018-05-27T00:00:00"/>
    <x v="18"/>
    <n v="5"/>
    <n v="0.27777777777777779"/>
  </r>
  <r>
    <s v="innocuous"/>
    <s v="inoffensif"/>
    <d v="2018-11-24T00:00:00"/>
    <x v="18"/>
    <n v="5"/>
    <n v="0.27777777777777779"/>
  </r>
  <r>
    <s v="gruesome"/>
    <s v="horrible, macabre"/>
    <d v="2018-12-10T00:00:00"/>
    <x v="26"/>
    <n v="7"/>
    <n v="0.28000000000000003"/>
  </r>
  <r>
    <s v="time and time again"/>
    <s v="maintes et maintes fois"/>
    <d v="2020-06-22T00:00:00"/>
    <x v="26"/>
    <n v="7"/>
    <n v="0.28000000000000003"/>
  </r>
  <r>
    <s v="to harness"/>
    <s v="exploiter"/>
    <d v="2011-03-09T00:00:00"/>
    <x v="19"/>
    <n v="6"/>
    <n v="0.2857142857142857"/>
  </r>
  <r>
    <s v="a staunch"/>
    <s v="une valeur sûre"/>
    <d v="2011-03-09T00:00:00"/>
    <x v="25"/>
    <n v="8"/>
    <n v="0.2857142857142857"/>
  </r>
  <r>
    <s v="a malpractice"/>
    <s v="une faute professionnelle / une négligence"/>
    <d v="2013-12-13T00:00:00"/>
    <x v="25"/>
    <n v="8"/>
    <n v="0.2857142857142857"/>
  </r>
  <r>
    <s v="a blandishment"/>
    <s v="une flatterie"/>
    <d v="2018-10-28T00:00:00"/>
    <x v="19"/>
    <n v="6"/>
    <n v="0.2857142857142857"/>
  </r>
  <r>
    <s v="a borstal"/>
    <s v="un centre de détention pour mineurs"/>
    <d v="2018-10-31T00:00:00"/>
    <x v="19"/>
    <n v="6"/>
    <n v="0.2857142857142857"/>
  </r>
  <r>
    <s v="to rend"/>
    <s v="déchirer"/>
    <d v="2018-12-04T00:00:00"/>
    <x v="25"/>
    <n v="8"/>
    <n v="0.2857142857142857"/>
  </r>
  <r>
    <s v="slovenly"/>
    <s v="négligemment"/>
    <d v="2018-12-17T00:00:00"/>
    <x v="25"/>
    <n v="8"/>
    <n v="0.2857142857142857"/>
  </r>
  <r>
    <s v="a heathen"/>
    <s v="un païen"/>
    <d v="2019-05-20T00:00:00"/>
    <x v="8"/>
    <n v="4"/>
    <n v="0.2857142857142857"/>
  </r>
  <r>
    <s v="a ramble"/>
    <s v="une randonnée"/>
    <d v="2020-01-18T00:00:00"/>
    <x v="19"/>
    <n v="6"/>
    <n v="0.2857142857142857"/>
  </r>
  <r>
    <s v="a clarion"/>
    <s v="un clairon"/>
    <d v="2020-07-14T00:00:00"/>
    <x v="19"/>
    <n v="6"/>
    <n v="0.2857142857142857"/>
  </r>
  <r>
    <s v="subpar (adj.)"/>
    <s v="inférieur à la moyenne"/>
    <d v="2021-08-19T00:00:00"/>
    <x v="8"/>
    <n v="4"/>
    <n v="0.2857142857142857"/>
  </r>
  <r>
    <s v="a boon"/>
    <s v="une aubaine"/>
    <d v="2021-10-30T00:00:00"/>
    <x v="8"/>
    <n v="4"/>
    <n v="0.2857142857142857"/>
  </r>
  <r>
    <s v="a faucet"/>
    <s v="un robinet"/>
    <d v="2022-02-13T00:00:00"/>
    <x v="8"/>
    <n v="4"/>
    <n v="0.2857142857142857"/>
  </r>
  <r>
    <s v="a roaming"/>
    <s v="un errant, un vagabond"/>
    <d v="2018-11-18T00:00:00"/>
    <x v="21"/>
    <n v="7"/>
    <n v="0.29166666666666669"/>
  </r>
  <r>
    <s v="a flock"/>
    <s v="un troupeau"/>
    <d v="2020-06-02T00:00:00"/>
    <x v="21"/>
    <n v="7"/>
    <n v="0.29166666666666669"/>
  </r>
  <r>
    <s v="a moose"/>
    <s v="un élan"/>
    <d v="2020-07-14T00:00:00"/>
    <x v="21"/>
    <n v="7"/>
    <n v="0.29166666666666669"/>
  </r>
  <r>
    <s v="to prop up"/>
    <s v="soutenir"/>
    <d v="2020-06-22T00:00:00"/>
    <x v="16"/>
    <n v="5"/>
    <n v="0.29411764705882354"/>
  </r>
  <r>
    <s v="to be out of sorts (expr.)"/>
    <s v="être de bonne humeur"/>
    <d v="2021-03-07T00:00:00"/>
    <x v="16"/>
    <n v="5"/>
    <n v="0.29411764705882354"/>
  </r>
  <r>
    <s v="to straiten"/>
    <s v="rétrécir / coincer"/>
    <d v="2018-04-15T00:00:00"/>
    <x v="28"/>
    <n v="8"/>
    <n v="0.29629629629629628"/>
  </r>
  <r>
    <s v="the throng"/>
    <s v="la foule"/>
    <d v="2018-10-24T00:00:00"/>
    <x v="28"/>
    <n v="8"/>
    <n v="0.29629629629629628"/>
  </r>
  <r>
    <s v="a memorandum"/>
    <s v="une note de service"/>
    <d v="2013-12-13T00:00:00"/>
    <x v="20"/>
    <n v="6"/>
    <n v="0.3"/>
  </r>
  <r>
    <s v="a truce"/>
    <s v="une trêve"/>
    <d v="2018-10-10T00:00:00"/>
    <x v="20"/>
    <n v="6"/>
    <n v="0.3"/>
  </r>
  <r>
    <s v="a roundup"/>
    <s v="une rafle"/>
    <d v="2021-03-21T00:00:00"/>
    <x v="20"/>
    <n v="6"/>
    <n v="0.3"/>
  </r>
  <r>
    <s v="ruthless"/>
    <s v="impitoyable"/>
    <d v="2018-10-28T00:00:00"/>
    <x v="23"/>
    <n v="7"/>
    <n v="0.30434782608695654"/>
  </r>
  <r>
    <s v="a justle"/>
    <s v="une bousculade"/>
    <d v="2019-07-15T00:00:00"/>
    <x v="23"/>
    <n v="7"/>
    <n v="0.30434782608695654"/>
  </r>
  <r>
    <s v="a flare"/>
    <s v="une fusée éclairante"/>
    <d v="2019-08-12T00:00:00"/>
    <x v="23"/>
    <n v="7"/>
    <n v="0.30434782608695654"/>
  </r>
  <r>
    <s v="the breadth"/>
    <s v="la largeur"/>
    <d v="2021-02-15T00:00:00"/>
    <x v="23"/>
    <n v="7"/>
    <n v="0.30434782608695654"/>
  </r>
  <r>
    <s v="to gasp"/>
    <s v="haleter"/>
    <d v="2021-03-07T00:00:00"/>
    <x v="23"/>
    <n v="7"/>
    <n v="0.30434782608695654"/>
  </r>
  <r>
    <s v="an ointment"/>
    <s v="une pommade"/>
    <d v="2013-09-05T00:00:00"/>
    <x v="1"/>
    <n v="4"/>
    <n v="0.30769230769230771"/>
  </r>
  <r>
    <s v="to look to"/>
    <s v="faire attention à"/>
    <d v="2013-12-13T00:00:00"/>
    <x v="6"/>
    <n v="5"/>
    <n v="0.3125"/>
  </r>
  <r>
    <s v="a hinge"/>
    <s v="une charnière"/>
    <d v="2019-05-20T00:00:00"/>
    <x v="6"/>
    <n v="5"/>
    <n v="0.3125"/>
  </r>
  <r>
    <s v="a dice roll"/>
    <s v="un lancer de dé"/>
    <d v="2020-05-18T00:00:00"/>
    <x v="27"/>
    <n v="10"/>
    <n v="0.3125"/>
  </r>
  <r>
    <s v="to stray"/>
    <s v="égarer"/>
    <d v="2020-03-10T00:00:00"/>
    <x v="32"/>
    <n v="11"/>
    <n v="0.31428571428571428"/>
  </r>
  <r>
    <s v="flax (common name)"/>
    <s v="le lin"/>
    <d v="2021-07-18T00:00:00"/>
    <x v="17"/>
    <n v="6"/>
    <n v="0.31578947368421051"/>
  </r>
  <r>
    <s v="to steer"/>
    <s v="gouverner, diriger"/>
    <d v="2011-03-09T00:00:00"/>
    <x v="22"/>
    <n v="7"/>
    <n v="0.31818181818181818"/>
  </r>
  <r>
    <s v="He's really uptight."/>
    <s v="Il est vraiment coincé / crispé."/>
    <d v="2019-03-24T00:00:00"/>
    <x v="22"/>
    <n v="7"/>
    <n v="0.31818181818181818"/>
  </r>
  <r>
    <s v="to wag"/>
    <s v="remuer"/>
    <d v="2019-07-27T00:00:00"/>
    <x v="22"/>
    <n v="7"/>
    <n v="0.31818181818181818"/>
  </r>
  <r>
    <s v="nipped"/>
    <s v="pincé"/>
    <d v="2019-11-02T00:00:00"/>
    <x v="22"/>
    <n v="7"/>
    <n v="0.31818181818181818"/>
  </r>
  <r>
    <s v="to fallout"/>
    <s v="tomber"/>
    <d v="2019-11-07T00:00:00"/>
    <x v="22"/>
    <n v="7"/>
    <n v="0.31818181818181818"/>
  </r>
  <r>
    <s v="to take over"/>
    <s v="prendre la succession, reprendre (un commerce), racheter / se mettre à l'abri"/>
    <d v="2022-03-20T00:00:00"/>
    <x v="22"/>
    <n v="7"/>
    <n v="0.31818181818181818"/>
  </r>
  <r>
    <s v="a hunchback"/>
    <s v="un bossu"/>
    <d v="2013-09-05T00:00:00"/>
    <x v="25"/>
    <n v="9"/>
    <n v="0.32142857142857145"/>
  </r>
  <r>
    <s v="stodgy"/>
    <s v="lourd, indigeste, bourratif"/>
    <d v="2018-05-17T00:00:00"/>
    <x v="25"/>
    <n v="9"/>
    <n v="0.32142857142857145"/>
  </r>
  <r>
    <s v="an editor"/>
    <s v="un rédacteur"/>
    <d v="2013-12-13T00:00:00"/>
    <x v="18"/>
    <n v="6"/>
    <n v="0.33333333333333331"/>
  </r>
  <r>
    <s v="to assess"/>
    <s v="évaluer"/>
    <d v="2013-12-13T00:00:00"/>
    <x v="18"/>
    <n v="6"/>
    <n v="0.33333333333333331"/>
  </r>
  <r>
    <s v="a stance"/>
    <s v="une attitude, une position"/>
    <d v="2013-12-13T00:00:00"/>
    <x v="19"/>
    <n v="7"/>
    <n v="0.33333333333333331"/>
  </r>
  <r>
    <s v="to carve"/>
    <s v="tailler"/>
    <d v="2018-04-16T00:00:00"/>
    <x v="19"/>
    <n v="7"/>
    <n v="0.33333333333333331"/>
  </r>
  <r>
    <s v="dapper (adj.)"/>
    <s v="pimpant, élégant, chic"/>
    <d v="2018-11-18T00:00:00"/>
    <x v="7"/>
    <n v="4"/>
    <n v="0.33333333333333331"/>
  </r>
  <r>
    <s v="a vilification"/>
    <s v="une diffamation, une calomnie"/>
    <d v="2018-12-04T00:00:00"/>
    <x v="19"/>
    <n v="7"/>
    <n v="0.33333333333333331"/>
  </r>
  <r>
    <s v="a trade-off (common name)"/>
    <s v="un compromis"/>
    <d v="2019-05-15T00:00:00"/>
    <x v="21"/>
    <n v="8"/>
    <n v="0.33333333333333331"/>
  </r>
  <r>
    <s v="a bulge"/>
    <s v="un renflement, une bosse"/>
    <d v="2019-10-18T00:00:00"/>
    <x v="18"/>
    <n v="6"/>
    <n v="0.33333333333333331"/>
  </r>
  <r>
    <s v="enamel (common name)"/>
    <s v="l'émail"/>
    <d v="2019-10-23T00:00:00"/>
    <x v="7"/>
    <n v="4"/>
    <n v="0.33333333333333331"/>
  </r>
  <r>
    <s v="a bane"/>
    <s v="un fléau"/>
    <d v="2020-03-05T00:00:00"/>
    <x v="18"/>
    <n v="6"/>
    <n v="0.33333333333333331"/>
  </r>
  <r>
    <s v="to scrabble"/>
    <s v="gratter"/>
    <d v="2020-05-18T00:00:00"/>
    <x v="18"/>
    <n v="6"/>
    <n v="0.33333333333333331"/>
  </r>
  <r>
    <s v="ditto"/>
    <s v="idem"/>
    <d v="2020-06-02T00:00:00"/>
    <x v="19"/>
    <n v="7"/>
    <n v="0.33333333333333331"/>
  </r>
  <r>
    <s v="heady (adj.)"/>
    <s v="capiteux"/>
    <d v="2021-03-07T00:00:00"/>
    <x v="11"/>
    <n v="5"/>
    <n v="0.33333333333333331"/>
  </r>
  <r>
    <s v="up-market"/>
    <s v="haut de gamme"/>
    <d v="2021-03-16T00:00:00"/>
    <x v="7"/>
    <n v="4"/>
    <n v="0.33333333333333331"/>
  </r>
  <r>
    <s v="out of whack"/>
    <s v="hors du coup"/>
    <d v="2021-05-18T00:00:00"/>
    <x v="21"/>
    <n v="8"/>
    <n v="0.33333333333333331"/>
  </r>
  <r>
    <s v="glibly"/>
    <s v="avec désinvolture"/>
    <d v="2021-08-20T00:00:00"/>
    <x v="10"/>
    <n v="3"/>
    <n v="0.33333333333333331"/>
  </r>
  <r>
    <s v="to cinch"/>
    <s v="sangler"/>
    <d v="2021-09-04T00:00:00"/>
    <x v="11"/>
    <n v="5"/>
    <n v="0.33333333333333331"/>
  </r>
  <r>
    <s v="unfathomable"/>
    <s v="insondable"/>
    <d v="2021-11-21T00:00:00"/>
    <x v="7"/>
    <n v="4"/>
    <n v="0.33333333333333331"/>
  </r>
  <r>
    <s v="dubbed as …"/>
    <s v="surnommé … / doublé"/>
    <d v="2021-12-07T00:00:00"/>
    <x v="11"/>
    <n v="5"/>
    <n v="0.33333333333333331"/>
  </r>
  <r>
    <s v="to frolic"/>
    <s v="gambader, batifoler"/>
    <d v="2021-12-15T00:00:00"/>
    <x v="7"/>
    <n v="4"/>
    <n v="0.33333333333333331"/>
  </r>
  <r>
    <s v="to undersay"/>
    <s v="sous-estimer"/>
    <d v="2021-12-30T00:00:00"/>
    <x v="10"/>
    <n v="3"/>
    <n v="0.33333333333333331"/>
  </r>
  <r>
    <s v="footage (common name)"/>
    <s v="des images"/>
    <d v="2022-01-15T00:00:00"/>
    <x v="7"/>
    <n v="4"/>
    <n v="0.33333333333333331"/>
  </r>
  <r>
    <s v="pox (common name)"/>
    <s v="la variole / la vérole"/>
    <d v="2022-01-30T00:00:00"/>
    <x v="7"/>
    <n v="4"/>
    <n v="0.33333333333333331"/>
  </r>
  <r>
    <s v="an abacus"/>
    <s v="un boulier"/>
    <d v="2022-02-10T00:00:00"/>
    <x v="7"/>
    <n v="4"/>
    <n v="0.33333333333333331"/>
  </r>
  <r>
    <s v="charcoal (common name)"/>
    <s v="du charbon de bois"/>
    <d v="2022-02-16T00:00:00"/>
    <x v="10"/>
    <n v="3"/>
    <n v="0.33333333333333331"/>
  </r>
  <r>
    <s v="to recant"/>
    <s v="se rétracter"/>
    <d v="2022-03-06T00:00:00"/>
    <x v="11"/>
    <n v="5"/>
    <n v="0.33333333333333331"/>
  </r>
  <r>
    <s v="a brood"/>
    <s v="une couvée"/>
    <d v="2022-03-13T00:00:00"/>
    <x v="13"/>
    <n v="1"/>
    <n v="0.33333333333333331"/>
  </r>
  <r>
    <s v="a valedictorian"/>
    <s v="un major de promotion"/>
    <d v="2022-05-22T00:00:00"/>
    <x v="4"/>
    <n v="2"/>
    <n v="0.33333333333333331"/>
  </r>
  <r>
    <s v="offspring (common name)"/>
    <s v="la progéniture / le résultat"/>
    <d v="2022-06-21T00:00:00"/>
    <x v="13"/>
    <n v="1"/>
    <n v="0.33333333333333331"/>
  </r>
  <r>
    <s v="to evict"/>
    <s v="expulser / récupérer"/>
    <d v="2022-10-16T00:00:00"/>
    <x v="4"/>
    <n v="2"/>
    <n v="0.33333333333333331"/>
  </r>
  <r>
    <s v="sketchy (adj.)"/>
    <s v="vague, incomplet"/>
    <d v="2022-12-17T00:00:00"/>
    <x v="13"/>
    <n v="1"/>
    <n v="0.33333333333333331"/>
  </r>
  <r>
    <s v="a flange"/>
    <s v="une bride"/>
    <d v="2022-12-23T00:00:00"/>
    <x v="4"/>
    <n v="2"/>
    <n v="0.33333333333333331"/>
  </r>
  <r>
    <s v="a damper"/>
    <s v="un amortisseur"/>
    <d v="2022-12-23T00:00:00"/>
    <x v="13"/>
    <n v="1"/>
    <n v="0.33333333333333331"/>
  </r>
  <r>
    <s v="a rollercoaster"/>
    <s v="une montagne russe"/>
    <d v="2023-01-18T00:00:00"/>
    <x v="13"/>
    <n v="1"/>
    <n v="0.33333333333333331"/>
  </r>
  <r>
    <s v="diaper (common name)"/>
    <s v="une couche de bébé"/>
    <d v="2023-02-01T00:00:00"/>
    <x v="13"/>
    <n v="1"/>
    <n v="0.33333333333333331"/>
  </r>
  <r>
    <s v="to hanker"/>
    <s v="avoir envie de"/>
    <d v="2018-12-04T00:00:00"/>
    <x v="29"/>
    <n v="10"/>
    <n v="0.34482758620689657"/>
  </r>
  <r>
    <s v="scant (adj.)"/>
    <s v="insuffisant, peu abondant"/>
    <d v="2011-03-09T00:00:00"/>
    <x v="24"/>
    <n v="9"/>
    <n v="0.34615384615384615"/>
  </r>
  <r>
    <s v="to slam"/>
    <s v="claquer"/>
    <d v="2020-01-18T00:00:00"/>
    <x v="24"/>
    <n v="9"/>
    <n v="0.34615384615384615"/>
  </r>
  <r>
    <s v="a tally"/>
    <s v="un pointage, un compte / une baguette / un talon"/>
    <d v="2020-01-18T00:00:00"/>
    <x v="24"/>
    <n v="9"/>
    <n v="0.34615384615384615"/>
  </r>
  <r>
    <s v="the fluke"/>
    <s v="le coup de chance"/>
    <d v="2018-10-30T00:00:00"/>
    <x v="23"/>
    <n v="8"/>
    <n v="0.34782608695652173"/>
  </r>
  <r>
    <s v="the upshot"/>
    <s v="le résultat, la conséquence"/>
    <d v="2018-11-11T00:00:00"/>
    <x v="23"/>
    <n v="8"/>
    <n v="0.34782608695652173"/>
  </r>
  <r>
    <s v="to amok"/>
    <s v="être incontrôlable"/>
    <d v="2018-11-17T00:00:00"/>
    <x v="23"/>
    <n v="8"/>
    <n v="0.34782608695652173"/>
  </r>
  <r>
    <s v="overlooked"/>
    <s v="négligé, oublié"/>
    <d v="2018-11-21T00:00:00"/>
    <x v="23"/>
    <n v="8"/>
    <n v="0.34782608695652173"/>
  </r>
  <r>
    <s v="to entreat"/>
    <s v="supplier"/>
    <d v="2020-01-27T00:00:00"/>
    <x v="23"/>
    <n v="8"/>
    <n v="0.34782608695652173"/>
  </r>
  <r>
    <s v="off the cuff"/>
    <s v="au pied levé"/>
    <d v="2020-06-22T00:00:00"/>
    <x v="23"/>
    <n v="8"/>
    <n v="0.34782608695652173"/>
  </r>
  <r>
    <s v="starch (common name)"/>
    <s v="l'amidon"/>
    <d v="2020-02-26T00:00:00"/>
    <x v="20"/>
    <n v="7"/>
    <n v="0.35"/>
  </r>
  <r>
    <s v="monies (common name)"/>
    <s v="de l'argent, des liquidités"/>
    <d v="2020-07-21T00:00:00"/>
    <x v="20"/>
    <n v="7"/>
    <n v="0.35"/>
  </r>
  <r>
    <s v="stale (adj.)"/>
    <s v="vicié, rassis, éventé"/>
    <d v="2021-03-07T00:00:00"/>
    <x v="20"/>
    <n v="7"/>
    <n v="0.35"/>
  </r>
  <r>
    <s v="implied"/>
    <s v="implicite"/>
    <d v="2021-04-13T00:00:00"/>
    <x v="20"/>
    <n v="7"/>
    <n v="0.35"/>
  </r>
  <r>
    <s v="to dismiss"/>
    <s v="licencier / abandonner / rejeter"/>
    <d v="2013-12-13T00:00:00"/>
    <x v="16"/>
    <n v="6"/>
    <n v="0.35294117647058826"/>
  </r>
  <r>
    <s v="sluggard"/>
    <s v="paresseux"/>
    <d v="2018-04-15T00:00:00"/>
    <x v="16"/>
    <n v="6"/>
    <n v="0.35294117647058826"/>
  </r>
  <r>
    <s v="to sprinkle"/>
    <s v="saupoudrer"/>
    <d v="2020-06-22T00:00:00"/>
    <x v="16"/>
    <n v="6"/>
    <n v="0.35294117647058826"/>
  </r>
  <r>
    <s v="to turnout"/>
    <s v="s'avérer"/>
    <d v="2021-02-22T00:00:00"/>
    <x v="16"/>
    <n v="6"/>
    <n v="0.35294117647058826"/>
  </r>
  <r>
    <s v="a demographic"/>
    <s v="une tranche de la population"/>
    <d v="2020-06-22T00:00:00"/>
    <x v="8"/>
    <n v="5"/>
    <n v="0.35714285714285715"/>
  </r>
  <r>
    <s v="garish"/>
    <s v="voyant, criard"/>
    <d v="2021-03-28T00:00:00"/>
    <x v="25"/>
    <n v="10"/>
    <n v="0.35714285714285715"/>
  </r>
  <r>
    <s v="an overhaul"/>
    <s v="une révision (dans tous les sens)"/>
    <d v="2011-03-09T00:00:00"/>
    <x v="26"/>
    <n v="9"/>
    <n v="0.36"/>
  </r>
  <r>
    <s v="to prime"/>
    <s v="mettre au courant"/>
    <d v="2013-12-13T00:00:00"/>
    <x v="26"/>
    <n v="9"/>
    <n v="0.36"/>
  </r>
  <r>
    <s v="a vacuum"/>
    <s v="un aspirateur"/>
    <d v="2019-11-02T00:00:00"/>
    <x v="22"/>
    <n v="8"/>
    <n v="0.36363636363636365"/>
  </r>
  <r>
    <s v="a jackal"/>
    <s v="un chacal"/>
    <d v="2020-01-18T00:00:00"/>
    <x v="5"/>
    <n v="4"/>
    <n v="0.36363636363636365"/>
  </r>
  <r>
    <s v="a curbside"/>
    <s v="une bordure, un trottoir"/>
    <d v="2021-02-24T00:00:00"/>
    <x v="22"/>
    <n v="8"/>
    <n v="0.36363636363636365"/>
  </r>
  <r>
    <s v="a saucer"/>
    <s v="une soucoupe"/>
    <d v="2021-03-07T00:00:00"/>
    <x v="5"/>
    <n v="4"/>
    <n v="0.36363636363636365"/>
  </r>
  <r>
    <s v="to thrive"/>
    <s v="bien se porter / prospérer"/>
    <d v="2011-03-09T00:00:00"/>
    <x v="17"/>
    <n v="7"/>
    <n v="0.36842105263157893"/>
  </r>
  <r>
    <s v="to entail"/>
    <s v="entraîner"/>
    <d v="2013-12-13T00:00:00"/>
    <x v="17"/>
    <n v="7"/>
    <n v="0.36842105263157893"/>
  </r>
  <r>
    <s v="downtrodden"/>
    <s v="opprimé"/>
    <d v="2020-03-10T00:00:00"/>
    <x v="17"/>
    <n v="7"/>
    <n v="0.36842105263157893"/>
  </r>
  <r>
    <s v="moron (adj.)"/>
    <s v="imbécile, crétin, idiot"/>
    <d v="2021-08-25T00:00:00"/>
    <x v="17"/>
    <n v="7"/>
    <n v="0.36842105263157893"/>
  </r>
  <r>
    <s v="to seethe"/>
    <s v="bouillonner"/>
    <d v="2018-11-25T00:00:00"/>
    <x v="28"/>
    <n v="10"/>
    <n v="0.37037037037037035"/>
  </r>
  <r>
    <s v="an advance notice"/>
    <s v="un préavis"/>
    <d v="2013-12-13T00:00:00"/>
    <x v="6"/>
    <n v="6"/>
    <n v="0.375"/>
  </r>
  <r>
    <s v="cattle (common name)"/>
    <s v="le bétail, les bovins"/>
    <d v="2013-12-13T00:00:00"/>
    <x v="6"/>
    <n v="6"/>
    <n v="0.375"/>
  </r>
  <r>
    <s v="a security (fin.)"/>
    <s v="une caution (fin.), une garantie"/>
    <d v="2013-12-13T00:00:00"/>
    <x v="21"/>
    <n v="9"/>
    <n v="0.375"/>
  </r>
  <r>
    <s v="personable"/>
    <s v="qui présente bien"/>
    <d v="2013-12-13T00:00:00"/>
    <x v="21"/>
    <n v="9"/>
    <n v="0.375"/>
  </r>
  <r>
    <s v="a warp"/>
    <s v="une chaîne / un voile"/>
    <d v="2019-05-18T00:00:00"/>
    <x v="6"/>
    <n v="6"/>
    <n v="0.375"/>
  </r>
  <r>
    <s v="to huddle"/>
    <s v="se blottir"/>
    <d v="2020-02-11T00:00:00"/>
    <x v="21"/>
    <n v="9"/>
    <n v="0.375"/>
  </r>
  <r>
    <s v="an outing"/>
    <s v="une sortie, une excursion"/>
    <d v="2021-04-13T00:00:00"/>
    <x v="21"/>
    <n v="9"/>
    <n v="0.375"/>
  </r>
  <r>
    <s v="a tug-of-war"/>
    <s v="une lutte à la corde"/>
    <d v="2021-09-03T00:00:00"/>
    <x v="6"/>
    <n v="6"/>
    <n v="0.375"/>
  </r>
  <r>
    <s v="a cue"/>
    <s v="un signal / une queue"/>
    <d v="2022-01-22T00:00:00"/>
    <x v="6"/>
    <n v="6"/>
    <n v="0.375"/>
  </r>
  <r>
    <s v="a slump"/>
    <s v="une baisse, un effondrement"/>
    <d v="2011-03-09T00:00:00"/>
    <x v="29"/>
    <n v="11"/>
    <n v="0.37931034482758619"/>
  </r>
  <r>
    <s v="the silt"/>
    <s v="le limon, la vase"/>
    <d v="2019-11-07T00:00:00"/>
    <x v="29"/>
    <n v="11"/>
    <n v="0.37931034482758619"/>
  </r>
  <r>
    <s v="to give a go, to have a go"/>
    <s v="essayer"/>
    <d v="2020-07-14T00:00:00"/>
    <x v="29"/>
    <n v="11"/>
    <n v="0.37931034482758619"/>
  </r>
  <r>
    <s v="the gusto"/>
    <s v="l'enthousiasme"/>
    <d v="2019-05-20T00:00:00"/>
    <x v="19"/>
    <n v="8"/>
    <n v="0.38095238095238093"/>
  </r>
  <r>
    <s v="beleaguered"/>
    <s v="assiégé"/>
    <d v="2020-05-18T00:00:00"/>
    <x v="19"/>
    <n v="8"/>
    <n v="0.38095238095238093"/>
  </r>
  <r>
    <s v="to look out"/>
    <s v="faire attention, prendre garde"/>
    <d v="2013-12-13T00:00:00"/>
    <x v="1"/>
    <n v="5"/>
    <n v="0.38461538461538464"/>
  </r>
  <r>
    <s v="to perform"/>
    <s v="accomplir, exécuter, remplir (obligation, contrat)"/>
    <d v="2013-12-13T00:00:00"/>
    <x v="1"/>
    <n v="5"/>
    <n v="0.38461538461538464"/>
  </r>
  <r>
    <s v="lacklustre (adj.)"/>
    <s v="morne"/>
    <d v="2018-10-27T00:00:00"/>
    <x v="24"/>
    <n v="10"/>
    <n v="0.38461538461538464"/>
  </r>
  <r>
    <s v="no cigar (expr.)"/>
    <s v="presque réussi, mais pas complètement"/>
    <d v="2021-06-22T00:00:00"/>
    <x v="1"/>
    <n v="5"/>
    <n v="0.38461538461538464"/>
  </r>
  <r>
    <s v="to pay off"/>
    <s v="&quot;payer&quot;, être rentable …"/>
    <d v="2021-12-04T00:00:00"/>
    <x v="1"/>
    <n v="5"/>
    <n v="0.38461538461538464"/>
  </r>
  <r>
    <s v="to slink"/>
    <s v="se glisser, sortir furtivement"/>
    <d v="2022-02-04T00:00:00"/>
    <x v="1"/>
    <n v="5"/>
    <n v="0.38461538461538464"/>
  </r>
  <r>
    <s v="to go toe to toe"/>
    <s v="commencer à discuter âprement avec quelqu'un"/>
    <d v="2022-02-10T00:00:00"/>
    <x v="1"/>
    <n v="5"/>
    <n v="0.38461538461538464"/>
  </r>
  <r>
    <s v="an eggplant"/>
    <s v="une aubergine"/>
    <d v="2022-02-11T00:00:00"/>
    <x v="1"/>
    <n v="5"/>
    <n v="0.38461538461538464"/>
  </r>
  <r>
    <s v="to fling"/>
    <s v="jeter"/>
    <d v="2021-05-18T00:00:00"/>
    <x v="35"/>
    <n v="12"/>
    <n v="0.38709677419354838"/>
  </r>
  <r>
    <s v="to downsize"/>
    <s v="réduire les effectifs"/>
    <d v="2013-12-13T00:00:00"/>
    <x v="18"/>
    <n v="7"/>
    <n v="0.3888888888888889"/>
  </r>
  <r>
    <s v="to deem"/>
    <s v="considérer"/>
    <d v="2020-01-18T00:00:00"/>
    <x v="18"/>
    <n v="7"/>
    <n v="0.3888888888888889"/>
  </r>
  <r>
    <s v="spinning (common name)"/>
    <s v="un filage / une rotation"/>
    <d v="2018-04-15T00:00:00"/>
    <x v="23"/>
    <n v="9"/>
    <n v="0.39130434782608697"/>
  </r>
  <r>
    <s v="to stymie"/>
    <s v="mettre un obstacle"/>
    <d v="2018-08-29T00:00:00"/>
    <x v="23"/>
    <n v="9"/>
    <n v="0.39130434782608697"/>
  </r>
  <r>
    <s v="to extol"/>
    <s v="exalter, vanter"/>
    <d v="2018-10-28T00:00:00"/>
    <x v="23"/>
    <n v="9"/>
    <n v="0.39130434782608697"/>
  </r>
  <r>
    <s v="a hitch"/>
    <s v="un attelage"/>
    <d v="2020-03-05T00:00:00"/>
    <x v="23"/>
    <n v="9"/>
    <n v="0.39130434782608697"/>
  </r>
  <r>
    <s v="a pail"/>
    <s v="un seau"/>
    <d v="2020-07-14T00:00:00"/>
    <x v="23"/>
    <n v="9"/>
    <n v="0.39130434782608697"/>
  </r>
  <r>
    <s v="ailments (common name)"/>
    <s v="des maux"/>
    <d v="2021-02-22T00:00:00"/>
    <x v="23"/>
    <n v="9"/>
    <n v="0.39130434782608697"/>
  </r>
  <r>
    <s v="rusty"/>
    <s v="rouillé"/>
    <d v="2021-03-07T00:00:00"/>
    <x v="23"/>
    <n v="9"/>
    <n v="0.39130434782608697"/>
  </r>
  <r>
    <s v="a waterspout"/>
    <s v="une trombe"/>
    <d v="2021-03-14T00:00:00"/>
    <x v="25"/>
    <n v="11"/>
    <n v="0.39285714285714285"/>
  </r>
  <r>
    <s v="a prejudice"/>
    <s v="un préjugé"/>
    <d v="2011-03-09T00:00:00"/>
    <x v="0"/>
    <n v="4"/>
    <n v="0.4"/>
  </r>
  <r>
    <s v="altogether"/>
    <s v="aussitôt"/>
    <d v="2011-03-09T00:00:00"/>
    <x v="26"/>
    <n v="10"/>
    <n v="0.4"/>
  </r>
  <r>
    <s v="a hall"/>
    <s v="un couloir"/>
    <d v="2011-03-09T00:00:00"/>
    <x v="20"/>
    <n v="8"/>
    <n v="0.4"/>
  </r>
  <r>
    <s v="a crack-down"/>
    <s v="des mesures de répression"/>
    <d v="2011-03-09T00:00:00"/>
    <x v="0"/>
    <n v="4"/>
    <n v="0.4"/>
  </r>
  <r>
    <s v="tremendous"/>
    <s v="immense, énorme"/>
    <d v="2013-12-13T00:00:00"/>
    <x v="20"/>
    <n v="8"/>
    <n v="0.4"/>
  </r>
  <r>
    <s v="to come through"/>
    <s v="s’en tirer"/>
    <d v="2013-12-13T00:00:00"/>
    <x v="20"/>
    <n v="8"/>
    <n v="0.4"/>
  </r>
  <r>
    <s v="palatable"/>
    <s v="agréable au goût / acceptable"/>
    <d v="2018-10-25T00:00:00"/>
    <x v="11"/>
    <n v="6"/>
    <n v="0.4"/>
  </r>
  <r>
    <s v="to stifle"/>
    <s v="étouffer, réprimer"/>
    <d v="2018-12-16T00:00:00"/>
    <x v="20"/>
    <n v="8"/>
    <n v="0.4"/>
  </r>
  <r>
    <s v="the bark / to bark"/>
    <s v="l'écorce / aboyer"/>
    <d v="2019-10-29T00:00:00"/>
    <x v="20"/>
    <n v="8"/>
    <n v="0.4"/>
  </r>
  <r>
    <s v="by any means (expr.)"/>
    <s v="en aucune façon"/>
    <d v="2021-08-26T00:00:00"/>
    <x v="0"/>
    <n v="4"/>
    <n v="0.4"/>
  </r>
  <r>
    <s v="to deflate"/>
    <s v="dégonfler, faire diminuer"/>
    <d v="2021-09-25T00:00:00"/>
    <x v="0"/>
    <n v="4"/>
    <n v="0.4"/>
  </r>
  <r>
    <s v="a quince"/>
    <s v="un coing"/>
    <d v="2021-10-25T00:00:00"/>
    <x v="0"/>
    <n v="4"/>
    <n v="0.4"/>
  </r>
  <r>
    <s v="kudos (common name)"/>
    <s v="la gloire, les lauriers"/>
    <d v="2021-12-10T00:00:00"/>
    <x v="0"/>
    <n v="4"/>
    <n v="0.4"/>
  </r>
  <r>
    <s v="a furrow"/>
    <s v="un sillon"/>
    <d v="2022-02-10T00:00:00"/>
    <x v="0"/>
    <n v="4"/>
    <n v="0.4"/>
  </r>
  <r>
    <s v="handily"/>
    <s v="facilement"/>
    <d v="2022-05-09T00:00:00"/>
    <x v="0"/>
    <n v="4"/>
    <n v="0.4"/>
  </r>
  <r>
    <s v="a woof"/>
    <s v="une trame"/>
    <d v="2020-06-22T00:00:00"/>
    <x v="28"/>
    <n v="11"/>
    <n v="0.40740740740740738"/>
  </r>
  <r>
    <s v="a patron"/>
    <s v="un client régulier"/>
    <d v="2013-12-13T00:00:00"/>
    <x v="22"/>
    <n v="9"/>
    <n v="0.40909090909090912"/>
  </r>
  <r>
    <s v="workmanship"/>
    <s v="l'habileté professionnelle, la main-d’œuvre"/>
    <d v="2013-12-13T00:00:00"/>
    <x v="22"/>
    <n v="9"/>
    <n v="0.40909090909090912"/>
  </r>
  <r>
    <s v="I'll see you out."/>
    <s v="Je vous raccompagne."/>
    <d v="2018-07-15T00:00:00"/>
    <x v="22"/>
    <n v="9"/>
    <n v="0.40909090909090912"/>
  </r>
  <r>
    <s v="to bludgeon"/>
    <s v="matraquer"/>
    <d v="2018-09-27T00:00:00"/>
    <x v="22"/>
    <n v="9"/>
    <n v="0.40909090909090912"/>
  </r>
  <r>
    <s v="merriment (common name)"/>
    <s v="la gaieté"/>
    <d v="2018-10-04T00:00:00"/>
    <x v="22"/>
    <n v="9"/>
    <n v="0.40909090909090912"/>
  </r>
  <r>
    <s v="overworked"/>
    <s v="surmené"/>
    <d v="2020-06-02T00:00:00"/>
    <x v="22"/>
    <n v="9"/>
    <n v="0.40909090909090912"/>
  </r>
  <r>
    <s v="an avocation"/>
    <s v="un métier"/>
    <d v="2020-06-22T00:00:00"/>
    <x v="22"/>
    <n v="9"/>
    <n v="0.40909090909090912"/>
  </r>
  <r>
    <s v="a fad"/>
    <s v="une mode"/>
    <d v="2020-06-22T00:00:00"/>
    <x v="22"/>
    <n v="9"/>
    <n v="0.40909090909090912"/>
  </r>
  <r>
    <s v="potent"/>
    <s v="efficace"/>
    <d v="2011-03-09T00:00:00"/>
    <x v="16"/>
    <n v="7"/>
    <n v="0.41176470588235292"/>
  </r>
  <r>
    <s v="a loophole"/>
    <s v="une lacune, un point faible / une échappatoire"/>
    <d v="2018-08-29T00:00:00"/>
    <x v="16"/>
    <n v="7"/>
    <n v="0.41176470588235292"/>
  </r>
  <r>
    <s v="a lattice"/>
    <s v="un treillis"/>
    <d v="2019-05-20T00:00:00"/>
    <x v="16"/>
    <n v="7"/>
    <n v="0.41176470588235292"/>
  </r>
  <r>
    <s v="a shootout"/>
    <s v="une fusillade, un règlement de compte"/>
    <d v="2021-12-04T00:00:00"/>
    <x v="16"/>
    <n v="7"/>
    <n v="0.41176470588235292"/>
  </r>
  <r>
    <s v="to billow"/>
    <s v="onduler"/>
    <d v="2019-10-29T00:00:00"/>
    <x v="29"/>
    <n v="12"/>
    <n v="0.41379310344827586"/>
  </r>
  <r>
    <s v="smitten"/>
    <s v="frappé, touché, enchanté"/>
    <d v="2020-07-14T00:00:00"/>
    <x v="29"/>
    <n v="12"/>
    <n v="0.41379310344827586"/>
  </r>
  <r>
    <s v="mush (common name)"/>
    <s v="de la bouillie"/>
    <d v="2020-07-30T00:00:00"/>
    <x v="29"/>
    <n v="12"/>
    <n v="0.41379310344827586"/>
  </r>
  <r>
    <s v="the waist"/>
    <s v="la taille (physiol.)"/>
    <d v="2013-09-05T00:00:00"/>
    <x v="21"/>
    <n v="10"/>
    <n v="0.41666666666666669"/>
  </r>
  <r>
    <s v="a lobby"/>
    <s v="un vestibule / un groupe représentants d'intérêts"/>
    <d v="2013-12-13T00:00:00"/>
    <x v="21"/>
    <n v="10"/>
    <n v="0.41666666666666669"/>
  </r>
  <r>
    <s v="an order form"/>
    <s v="un bon de commande"/>
    <d v="2013-12-13T00:00:00"/>
    <x v="21"/>
    <n v="10"/>
    <n v="0.41666666666666669"/>
  </r>
  <r>
    <s v="a deliverable"/>
    <s v="un livrable"/>
    <d v="2019-06-17T00:00:00"/>
    <x v="7"/>
    <n v="5"/>
    <n v="0.41666666666666669"/>
  </r>
  <r>
    <s v="a spur"/>
    <s v="un éperon"/>
    <d v="2019-10-14T00:00:00"/>
    <x v="21"/>
    <n v="10"/>
    <n v="0.41666666666666669"/>
  </r>
  <r>
    <s v="errands (common name)"/>
    <s v="les courses"/>
    <d v="2019-11-18T00:00:00"/>
    <x v="21"/>
    <n v="10"/>
    <n v="0.41666666666666669"/>
  </r>
  <r>
    <s v="a tributary"/>
    <s v="un affluent"/>
    <d v="2021-03-14T00:00:00"/>
    <x v="21"/>
    <n v="10"/>
    <n v="0.41666666666666669"/>
  </r>
  <r>
    <s v="thrifty"/>
    <s v="économe"/>
    <d v="2011-03-09T00:00:00"/>
    <x v="37"/>
    <n v="16"/>
    <n v="0.42105263157894735"/>
  </r>
  <r>
    <s v="to relieve"/>
    <s v="soulager, apaiser"/>
    <d v="2013-09-05T00:00:00"/>
    <x v="17"/>
    <n v="8"/>
    <n v="0.42105263157894735"/>
  </r>
  <r>
    <s v="a demerger"/>
    <s v="un éclatement, une scission"/>
    <d v="2013-12-13T00:00:00"/>
    <x v="17"/>
    <n v="8"/>
    <n v="0.42105263157894735"/>
  </r>
  <r>
    <s v="to trespass"/>
    <s v="transgresser, violer"/>
    <d v="2013-12-13T00:00:00"/>
    <x v="17"/>
    <n v="8"/>
    <n v="0.42105263157894735"/>
  </r>
  <r>
    <s v="to accommodate"/>
    <s v="loger, recevoir"/>
    <d v="2013-12-13T00:00:00"/>
    <x v="17"/>
    <n v="8"/>
    <n v="0.42105263157894735"/>
  </r>
  <r>
    <s v="blasted"/>
    <s v="foudroyé, fichu"/>
    <d v="2018-04-15T00:00:00"/>
    <x v="17"/>
    <n v="8"/>
    <n v="0.42105263157894735"/>
  </r>
  <r>
    <s v="to go under the hammer"/>
    <s v="vendre aux enchères"/>
    <d v="2018-05-17T00:00:00"/>
    <x v="17"/>
    <n v="8"/>
    <n v="0.42105263157894735"/>
  </r>
  <r>
    <s v="squalid (adj.)"/>
    <s v="sordide, misérable"/>
    <d v="2018-10-17T00:00:00"/>
    <x v="17"/>
    <n v="8"/>
    <n v="0.42105263157894735"/>
  </r>
  <r>
    <s v="stepping stones"/>
    <s v="un tremplin"/>
    <d v="2019-05-20T00:00:00"/>
    <x v="17"/>
    <n v="8"/>
    <n v="0.42105263157894735"/>
  </r>
  <r>
    <s v="a turnstile"/>
    <s v="un tourniquet"/>
    <d v="2021-02-22T00:00:00"/>
    <x v="17"/>
    <n v="8"/>
    <n v="0.42105263157894735"/>
  </r>
  <r>
    <s v="as it were"/>
    <s v="pour ainsi dire"/>
    <d v="2011-03-09T00:00:00"/>
    <x v="8"/>
    <n v="6"/>
    <n v="0.42857142857142855"/>
  </r>
  <r>
    <s v="a hip"/>
    <s v="une hanche"/>
    <d v="2013-09-05T00:00:00"/>
    <x v="8"/>
    <n v="6"/>
    <n v="0.42857142857142855"/>
  </r>
  <r>
    <s v="to waive"/>
    <s v="renoncer à, abandonner"/>
    <d v="2013-12-13T00:00:00"/>
    <x v="32"/>
    <n v="15"/>
    <n v="0.42857142857142855"/>
  </r>
  <r>
    <s v="a trade-in"/>
    <s v="une reprise (comm.)"/>
    <d v="2013-12-13T00:00:00"/>
    <x v="19"/>
    <n v="9"/>
    <n v="0.42857142857142855"/>
  </r>
  <r>
    <s v="stunning"/>
    <s v="étourdissant"/>
    <d v="2018-07-30T00:00:00"/>
    <x v="19"/>
    <n v="9"/>
    <n v="0.42857142857142855"/>
  </r>
  <r>
    <s v="to coerce"/>
    <s v="contraindre, forcer"/>
    <d v="2018-11-04T00:00:00"/>
    <x v="19"/>
    <n v="9"/>
    <n v="0.42857142857142855"/>
  </r>
  <r>
    <s v="shabby"/>
    <s v="minable"/>
    <d v="2018-12-10T00:00:00"/>
    <x v="19"/>
    <n v="9"/>
    <n v="0.42857142857142855"/>
  </r>
  <r>
    <s v="to propitiate"/>
    <s v="se concilier"/>
    <d v="2018-12-10T00:00:00"/>
    <x v="19"/>
    <n v="9"/>
    <n v="0.42857142857142855"/>
  </r>
  <r>
    <s v="a spree"/>
    <s v="une fête"/>
    <d v="2019-05-20T00:00:00"/>
    <x v="19"/>
    <n v="9"/>
    <n v="0.42857142857142855"/>
  </r>
  <r>
    <s v="dusk (common name)"/>
    <s v="le crépuscule"/>
    <d v="2019-10-29T00:00:00"/>
    <x v="19"/>
    <n v="9"/>
    <n v="0.42857142857142855"/>
  </r>
  <r>
    <s v="the rollout"/>
    <s v="la sortie, le dévoilement"/>
    <d v="2019-11-07T00:00:00"/>
    <x v="19"/>
    <n v="9"/>
    <n v="0.42857142857142855"/>
  </r>
  <r>
    <s v="straight off the bat"/>
    <s v="tout de suite"/>
    <d v="2020-07-14T00:00:00"/>
    <x v="19"/>
    <n v="9"/>
    <n v="0.42857142857142855"/>
  </r>
  <r>
    <s v="puny (adj.)"/>
    <s v="chétif"/>
    <d v="2020-07-14T00:00:00"/>
    <x v="38"/>
    <n v="18"/>
    <n v="0.42857142857142855"/>
  </r>
  <r>
    <s v="a volley"/>
    <s v="une salve, une grêle"/>
    <d v="2020-07-14T00:00:00"/>
    <x v="19"/>
    <n v="9"/>
    <n v="0.42857142857142855"/>
  </r>
  <r>
    <s v="clerical work (common name)"/>
    <s v="un travail de bureau"/>
    <d v="2020-08-10T00:00:00"/>
    <x v="19"/>
    <n v="9"/>
    <n v="0.42857142857142855"/>
  </r>
  <r>
    <s v="corn (common name)"/>
    <s v="le maïs"/>
    <d v="2021-02-14T00:00:00"/>
    <x v="19"/>
    <n v="9"/>
    <n v="0.42857142857142855"/>
  </r>
  <r>
    <s v="a shade"/>
    <s v="une ombre"/>
    <d v="2021-03-28T00:00:00"/>
    <x v="8"/>
    <n v="6"/>
    <n v="0.42857142857142855"/>
  </r>
  <r>
    <s v="bracing (adj.)"/>
    <s v="tonifiant, fortifiant"/>
    <d v="2021-04-13T00:00:00"/>
    <x v="25"/>
    <n v="12"/>
    <n v="0.42857142857142855"/>
  </r>
  <r>
    <s v="a bequest"/>
    <s v="un legs"/>
    <d v="2022-01-30T00:00:00"/>
    <x v="8"/>
    <n v="6"/>
    <n v="0.42857142857142855"/>
  </r>
  <r>
    <s v="darned (colloquial)"/>
    <s v="fichu"/>
    <d v="2022-02-13T00:00:00"/>
    <x v="2"/>
    <n v="3"/>
    <n v="0.42857142857142855"/>
  </r>
  <r>
    <s v="to lisp"/>
    <s v="parler avec un cheveu sur la langue"/>
    <d v="2022-02-16T00:00:00"/>
    <x v="8"/>
    <n v="6"/>
    <n v="0.42857142857142855"/>
  </r>
  <r>
    <s v="to latch on"/>
    <s v="s'accrocher"/>
    <d v="2022-03-07T00:00:00"/>
    <x v="2"/>
    <n v="3"/>
    <n v="0.42857142857142855"/>
  </r>
  <r>
    <s v="a blowback"/>
    <s v="un retour de flamme"/>
    <d v="2022-04-15T00:00:00"/>
    <x v="2"/>
    <n v="3"/>
    <n v="0.42857142857142855"/>
  </r>
  <r>
    <s v="a ferret"/>
    <s v="un furet"/>
    <d v="2022-05-29T00:00:00"/>
    <x v="2"/>
    <n v="3"/>
    <n v="0.42857142857142855"/>
  </r>
  <r>
    <s v="ripeness (common name)"/>
    <s v="la matûrité"/>
    <d v="2019-07-27T00:00:00"/>
    <x v="30"/>
    <n v="13"/>
    <n v="0.43333333333333335"/>
  </r>
  <r>
    <s v="to bloat"/>
    <s v="gonfler"/>
    <d v="2011-03-09T00:00:00"/>
    <x v="23"/>
    <n v="10"/>
    <n v="0.43478260869565216"/>
  </r>
  <r>
    <s v="to harvest"/>
    <s v="récupérer"/>
    <d v="2011-03-09T00:00:00"/>
    <x v="23"/>
    <n v="10"/>
    <n v="0.43478260869565216"/>
  </r>
  <r>
    <s v="a bid"/>
    <s v="une offre, une enchère"/>
    <d v="2013-12-13T00:00:00"/>
    <x v="23"/>
    <n v="10"/>
    <n v="0.43478260869565216"/>
  </r>
  <r>
    <s v="limestone (common name)"/>
    <s v="le calcaire"/>
    <d v="2019-11-07T00:00:00"/>
    <x v="23"/>
    <n v="10"/>
    <n v="0.43478260869565216"/>
  </r>
  <r>
    <s v="a slab"/>
    <s v="une dalle"/>
    <d v="2019-11-07T00:00:00"/>
    <x v="23"/>
    <n v="10"/>
    <n v="0.43478260869565216"/>
  </r>
  <r>
    <s v="a warm up"/>
    <s v="une mise en train"/>
    <d v="2020-05-18T00:00:00"/>
    <x v="23"/>
    <n v="10"/>
    <n v="0.43478260869565216"/>
  </r>
  <r>
    <s v="an eel"/>
    <s v="une anguille"/>
    <d v="2020-07-02T00:00:00"/>
    <x v="23"/>
    <n v="10"/>
    <n v="0.43478260869565216"/>
  </r>
  <r>
    <s v="to graft"/>
    <s v="greffer"/>
    <d v="2021-03-07T00:00:00"/>
    <x v="23"/>
    <n v="10"/>
    <n v="0.43478260869565216"/>
  </r>
  <r>
    <s v="drizzle (common name)"/>
    <s v="la bruine"/>
    <d v="2021-03-14T00:00:00"/>
    <x v="23"/>
    <n v="10"/>
    <n v="0.43478260869565216"/>
  </r>
  <r>
    <s v="an appraisal"/>
    <s v="une évaluation"/>
    <d v="2019-07-27T00:00:00"/>
    <x v="27"/>
    <n v="14"/>
    <n v="0.4375"/>
  </r>
  <r>
    <s v="a janitor"/>
    <s v="un concierge"/>
    <d v="2019-10-14T00:00:00"/>
    <x v="6"/>
    <n v="7"/>
    <n v="0.4375"/>
  </r>
  <r>
    <s v="flaky"/>
    <s v="floconneux"/>
    <d v="2021-06-17T00:00:00"/>
    <x v="6"/>
    <n v="7"/>
    <n v="0.4375"/>
  </r>
  <r>
    <s v="the proceeds"/>
    <s v="les recettes, le produit"/>
    <d v="2013-12-13T00:00:00"/>
    <x v="26"/>
    <n v="11"/>
    <n v="0.44"/>
  </r>
  <r>
    <s v="a paycheck"/>
    <s v="un salaire"/>
    <d v="2013-12-13T00:00:00"/>
    <x v="26"/>
    <n v="11"/>
    <n v="0.44"/>
  </r>
  <r>
    <s v="catering (common name)"/>
    <s v="une restauration, un ravitaillement"/>
    <d v="2013-12-13T00:00:00"/>
    <x v="26"/>
    <n v="11"/>
    <n v="0.44"/>
  </r>
  <r>
    <s v="cumbersome"/>
    <s v="lourd, encombrant"/>
    <d v="2018-12-10T00:00:00"/>
    <x v="26"/>
    <n v="11"/>
    <n v="0.44"/>
  </r>
  <r>
    <s v="plaster (common name)"/>
    <s v="le plâtre / un pansement, un sparadrap"/>
    <d v="2021-03-28T00:00:00"/>
    <x v="26"/>
    <n v="11"/>
    <n v="0.44"/>
  </r>
  <r>
    <s v="a reshuffle"/>
    <s v="un remaniement"/>
    <d v="2018-10-24T00:00:00"/>
    <x v="36"/>
    <n v="15"/>
    <n v="0.44117647058823528"/>
  </r>
  <r>
    <s v="an array"/>
    <s v="un déploiement, un étalage / un éventail"/>
    <d v="2013-12-13T00:00:00"/>
    <x v="18"/>
    <n v="8"/>
    <n v="0.44444444444444442"/>
  </r>
  <r>
    <s v="to curb"/>
    <s v="freiner"/>
    <d v="2013-12-13T00:00:00"/>
    <x v="18"/>
    <n v="8"/>
    <n v="0.44444444444444442"/>
  </r>
  <r>
    <s v="to keep down"/>
    <s v="restreindre, limiter, maintenir bas"/>
    <d v="2013-12-13T00:00:00"/>
    <x v="18"/>
    <n v="8"/>
    <n v="0.44444444444444442"/>
  </r>
  <r>
    <s v="snide (adj.)"/>
    <s v="sarcastique, narquois / mesquin"/>
    <d v="2018-12-10T00:00:00"/>
    <x v="28"/>
    <n v="12"/>
    <n v="0.44444444444444442"/>
  </r>
  <r>
    <s v="paramount"/>
    <s v="primordial"/>
    <d v="2019-11-02T00:00:00"/>
    <x v="28"/>
    <n v="12"/>
    <n v="0.44444444444444442"/>
  </r>
  <r>
    <s v="daunting"/>
    <s v="intimidant"/>
    <d v="2020-07-02T00:00:00"/>
    <x v="34"/>
    <n v="16"/>
    <n v="0.44444444444444442"/>
  </r>
  <r>
    <s v="a slate"/>
    <s v="une ardoise"/>
    <d v="2020-07-02T00:00:00"/>
    <x v="28"/>
    <n v="12"/>
    <n v="0.44444444444444442"/>
  </r>
  <r>
    <s v="plain water"/>
    <s v="de l'eau claire"/>
    <d v="2021-03-07T00:00:00"/>
    <x v="28"/>
    <n v="12"/>
    <n v="0.44444444444444442"/>
  </r>
  <r>
    <s v="an ordeal"/>
    <s v="un supplice"/>
    <d v="2021-07-18T00:00:00"/>
    <x v="18"/>
    <n v="8"/>
    <n v="0.44444444444444442"/>
  </r>
  <r>
    <s v="owing to"/>
    <s v="en raison de"/>
    <d v="2011-03-09T00:00:00"/>
    <x v="20"/>
    <n v="9"/>
    <n v="0.45"/>
  </r>
  <r>
    <s v="to finish with"/>
    <s v="finir par"/>
    <d v="2021-02-21T00:00:00"/>
    <x v="20"/>
    <n v="9"/>
    <n v="0.45"/>
  </r>
  <r>
    <s v="pristine"/>
    <s v="parfait / primitif, virginal"/>
    <d v="2021-06-22T00:00:00"/>
    <x v="20"/>
    <n v="9"/>
    <n v="0.45"/>
  </r>
  <r>
    <s v="Be that as it may, …"/>
    <s v="Ceci étant, …"/>
    <d v="2011-03-09T00:00:00"/>
    <x v="22"/>
    <n v="10"/>
    <n v="0.45454545454545453"/>
  </r>
  <r>
    <s v="a trunk (USA)"/>
    <s v="un coffre de voiture"/>
    <d v="2013-12-13T00:00:00"/>
    <x v="5"/>
    <n v="5"/>
    <n v="0.45454545454545453"/>
  </r>
  <r>
    <s v="a blank"/>
    <s v="une rive, une berge / un flan / un blanc"/>
    <d v="2019-06-17T00:00:00"/>
    <x v="22"/>
    <n v="10"/>
    <n v="0.45454545454545453"/>
  </r>
  <r>
    <s v="a hollyhock (flower)"/>
    <s v="une trémière (espèce de rose)"/>
    <d v="2019-10-29T00:00:00"/>
    <x v="22"/>
    <n v="10"/>
    <n v="0.45454545454545453"/>
  </r>
  <r>
    <s v="grumpy"/>
    <s v="grincheux"/>
    <d v="2021-04-13T00:00:00"/>
    <x v="5"/>
    <n v="5"/>
    <n v="0.45454545454545453"/>
  </r>
  <r>
    <s v="importantly"/>
    <s v="surtout"/>
    <d v="2022-03-16T00:00:00"/>
    <x v="5"/>
    <n v="5"/>
    <n v="0.45454545454545453"/>
  </r>
  <r>
    <s v="calves (common name)"/>
    <s v="les mollets"/>
    <d v="2022-06-26T00:00:00"/>
    <x v="5"/>
    <n v="5"/>
    <n v="0.45454545454545453"/>
  </r>
  <r>
    <s v="a squid"/>
    <s v="un calamar"/>
    <d v="2019-11-02T00:00:00"/>
    <x v="21"/>
    <n v="11"/>
    <n v="0.45833333333333331"/>
  </r>
  <r>
    <s v="a hanger"/>
    <s v="un cintre"/>
    <d v="2019-11-18T00:00:00"/>
    <x v="21"/>
    <n v="11"/>
    <n v="0.45833333333333331"/>
  </r>
  <r>
    <s v="to lease"/>
    <s v="louer"/>
    <d v="2021-02-22T00:00:00"/>
    <x v="21"/>
    <n v="11"/>
    <n v="0.45833333333333331"/>
  </r>
  <r>
    <s v="to rumble"/>
    <s v="gronder (tonnerre, …)"/>
    <d v="2011-03-09T00:00:00"/>
    <x v="1"/>
    <n v="6"/>
    <n v="0.46153846153846156"/>
  </r>
  <r>
    <s v="a harbinger"/>
    <s v="un présage, un signe avant-coureur"/>
    <d v="2018-11-18T00:00:00"/>
    <x v="24"/>
    <n v="12"/>
    <n v="0.46153846153846156"/>
  </r>
  <r>
    <s v="a wabbling"/>
    <s v="un vacillement"/>
    <d v="2018-12-10T00:00:00"/>
    <x v="1"/>
    <n v="6"/>
    <n v="0.46153846153846156"/>
  </r>
  <r>
    <s v="a blanket"/>
    <s v="une couverture"/>
    <d v="2019-08-05T00:00:00"/>
    <x v="24"/>
    <n v="12"/>
    <n v="0.46153846153846156"/>
  </r>
  <r>
    <s v="a portcullis"/>
    <s v="une herse"/>
    <d v="2020-03-05T00:00:00"/>
    <x v="1"/>
    <n v="6"/>
    <n v="0.46153846153846156"/>
  </r>
  <r>
    <s v="a setback"/>
    <s v="un revers"/>
    <d v="2021-03-21T00:00:00"/>
    <x v="24"/>
    <n v="12"/>
    <n v="0.46153846153846156"/>
  </r>
  <r>
    <s v="to be wary of"/>
    <s v="se méfier de, être prudent vis-à-vis de"/>
    <d v="2013-12-13T00:00:00"/>
    <x v="25"/>
    <n v="13"/>
    <n v="0.4642857142857143"/>
  </r>
  <r>
    <s v="to bequeath"/>
    <s v="transmettre, léguer"/>
    <d v="2018-12-10T00:00:00"/>
    <x v="25"/>
    <n v="13"/>
    <n v="0.4642857142857143"/>
  </r>
  <r>
    <s v="a keg"/>
    <s v="un petit barril"/>
    <d v="2020-07-14T00:00:00"/>
    <x v="25"/>
    <n v="13"/>
    <n v="0.4642857142857143"/>
  </r>
  <r>
    <s v="a dime"/>
    <s v="une pièce de dix cents"/>
    <d v="2018-05-17T00:00:00"/>
    <x v="30"/>
    <n v="14"/>
    <n v="0.46666666666666667"/>
  </r>
  <r>
    <s v="tin (common name)"/>
    <s v="l'étain / une boîte de conserve"/>
    <d v="2018-12-10T00:00:00"/>
    <x v="11"/>
    <n v="7"/>
    <n v="0.46666666666666667"/>
  </r>
  <r>
    <s v="undercover (adj.)"/>
    <s v="secret / à l'abri"/>
    <d v="2021-10-13T00:00:00"/>
    <x v="11"/>
    <n v="7"/>
    <n v="0.46666666666666667"/>
  </r>
  <r>
    <s v="a wisp"/>
    <s v="un brin, une mèche"/>
    <d v="2022-01-10T00:00:00"/>
    <x v="11"/>
    <n v="7"/>
    <n v="0.46666666666666667"/>
  </r>
  <r>
    <s v="aft (adv.)"/>
    <s v="à l'arrière (d'un navire)"/>
    <d v="2022-03-05T00:00:00"/>
    <x v="11"/>
    <n v="7"/>
    <n v="0.46666666666666667"/>
  </r>
  <r>
    <s v="mobs (common name)"/>
    <s v="la foule, la bande"/>
    <d v="2018-07-17T00:00:00"/>
    <x v="16"/>
    <n v="8"/>
    <n v="0.47058823529411764"/>
  </r>
  <r>
    <s v="the maw"/>
    <s v="la gueule"/>
    <d v="2018-11-19T00:00:00"/>
    <x v="16"/>
    <n v="8"/>
    <n v="0.47058823529411764"/>
  </r>
  <r>
    <s v="a loophole"/>
    <s v="un échappatoire / une lacune"/>
    <d v="2018-12-04T00:00:00"/>
    <x v="16"/>
    <n v="8"/>
    <n v="0.47058823529411764"/>
  </r>
  <r>
    <s v="a compound"/>
    <s v="une enceinte"/>
    <d v="2019-05-20T00:00:00"/>
    <x v="16"/>
    <n v="8"/>
    <n v="0.47058823529411764"/>
  </r>
  <r>
    <s v="provision (common name)"/>
    <s v="la mise à disposition"/>
    <d v="2019-07-27T00:00:00"/>
    <x v="16"/>
    <n v="8"/>
    <n v="0.47058823529411764"/>
  </r>
  <r>
    <s v="downstream"/>
    <s v="en aval"/>
    <d v="2020-02-11T00:00:00"/>
    <x v="16"/>
    <n v="8"/>
    <n v="0.47058823529411764"/>
  </r>
  <r>
    <s v="a mechanic"/>
    <s v="un garagiste"/>
    <d v="2018-05-17T00:00:00"/>
    <x v="17"/>
    <n v="9"/>
    <n v="0.47368421052631576"/>
  </r>
  <r>
    <s v="an uplift"/>
    <s v="un soulèvement"/>
    <d v="2019-05-20T00:00:00"/>
    <x v="17"/>
    <n v="9"/>
    <n v="0.47368421052631576"/>
  </r>
  <r>
    <s v="to vaunt"/>
    <s v="se vanter"/>
    <d v="2019-11-03T00:00:00"/>
    <x v="17"/>
    <n v="9"/>
    <n v="0.47368421052631576"/>
  </r>
  <r>
    <s v="crippled"/>
    <s v="estropié"/>
    <d v="2020-01-18T00:00:00"/>
    <x v="17"/>
    <n v="9"/>
    <n v="0.47368421052631576"/>
  </r>
  <r>
    <s v="a beam"/>
    <s v="une poutre / un faisceau"/>
    <d v="2020-03-10T00:00:00"/>
    <x v="17"/>
    <n v="9"/>
    <n v="0.47368421052631576"/>
  </r>
  <r>
    <s v="a comittal"/>
    <s v="un engagement"/>
    <d v="2020-06-02T00:00:00"/>
    <x v="17"/>
    <n v="9"/>
    <n v="0.47368421052631576"/>
  </r>
  <r>
    <s v="a hiss"/>
    <s v="un sifflement"/>
    <d v="2020-07-14T00:00:00"/>
    <x v="17"/>
    <n v="9"/>
    <n v="0.47368421052631576"/>
  </r>
  <r>
    <s v="a short notice"/>
    <s v="un préavis court"/>
    <d v="2021-02-15T00:00:00"/>
    <x v="17"/>
    <n v="9"/>
    <n v="0.47368421052631576"/>
  </r>
  <r>
    <s v="over-the-counter"/>
    <s v="en vente libre"/>
    <d v="2013-09-05T00:00:00"/>
    <x v="19"/>
    <n v="10"/>
    <n v="0.47619047619047616"/>
  </r>
  <r>
    <s v="a tariff"/>
    <s v="un tarif douanier"/>
    <d v="2013-12-13T00:00:00"/>
    <x v="19"/>
    <n v="10"/>
    <n v="0.47619047619047616"/>
  </r>
  <r>
    <s v="a charter"/>
    <s v="une charte / un affrètement"/>
    <d v="2013-12-13T00:00:00"/>
    <x v="19"/>
    <n v="10"/>
    <n v="0.47619047619047616"/>
  </r>
  <r>
    <s v="Tough luck!"/>
    <s v="Quelle malchance !"/>
    <d v="2018-05-17T00:00:00"/>
    <x v="19"/>
    <n v="10"/>
    <n v="0.47619047619047616"/>
  </r>
  <r>
    <s v="to stow"/>
    <s v="ranger"/>
    <d v="2019-10-14T00:00:00"/>
    <x v="19"/>
    <n v="10"/>
    <n v="0.47619047619047616"/>
  </r>
  <r>
    <s v="to straddle"/>
    <s v="enjamber"/>
    <d v="2020-02-11T00:00:00"/>
    <x v="19"/>
    <n v="10"/>
    <n v="0.47619047619047616"/>
  </r>
  <r>
    <s v="a rejoinder"/>
    <s v="une réplique, une répartie"/>
    <d v="2021-03-28T00:00:00"/>
    <x v="19"/>
    <n v="10"/>
    <n v="0.47619047619047616"/>
  </r>
  <r>
    <s v="the ceiling"/>
    <s v="le plafond"/>
    <d v="2013-12-13T00:00:00"/>
    <x v="23"/>
    <n v="11"/>
    <n v="0.47826086956521741"/>
  </r>
  <r>
    <s v="a cargo"/>
    <s v="une cargaison"/>
    <d v="2013-12-13T00:00:00"/>
    <x v="23"/>
    <n v="11"/>
    <n v="0.47826086956521741"/>
  </r>
  <r>
    <s v="belching (common name)"/>
    <s v="une éructation"/>
    <d v="2018-10-28T00:00:00"/>
    <x v="23"/>
    <n v="11"/>
    <n v="0.47826086956521741"/>
  </r>
  <r>
    <s v="a contraption"/>
    <s v="un bidule, un machin"/>
    <d v="2018-12-10T00:00:00"/>
    <x v="23"/>
    <n v="11"/>
    <n v="0.47826086956521741"/>
  </r>
  <r>
    <s v="the heel"/>
    <s v="le talon"/>
    <d v="2019-07-27T00:00:00"/>
    <x v="23"/>
    <n v="11"/>
    <n v="0.47826086956521741"/>
  </r>
  <r>
    <s v="an excerpt"/>
    <s v="un extrait"/>
    <d v="2021-02-08T00:00:00"/>
    <x v="23"/>
    <n v="11"/>
    <n v="0.47826086956521741"/>
  </r>
  <r>
    <s v="a grunt"/>
    <s v="un grognement"/>
    <d v="2021-04-13T00:00:00"/>
    <x v="23"/>
    <n v="11"/>
    <n v="0.47826086956521741"/>
  </r>
  <r>
    <s v="a twinge"/>
    <s v="un élancement"/>
    <d v="2013-09-05T00:00:00"/>
    <x v="26"/>
    <n v="12"/>
    <n v="0.48"/>
  </r>
  <r>
    <s v="a contest"/>
    <s v="un concours"/>
    <d v="2013-12-13T00:00:00"/>
    <x v="26"/>
    <n v="12"/>
    <n v="0.48"/>
  </r>
  <r>
    <s v="to assuage"/>
    <s v="apaiser"/>
    <d v="2018-04-16T00:00:00"/>
    <x v="26"/>
    <n v="12"/>
    <n v="0.48"/>
  </r>
  <r>
    <s v="nonplussed"/>
    <s v="déconfit"/>
    <d v="2018-05-17T00:00:00"/>
    <x v="26"/>
    <n v="12"/>
    <n v="0.48"/>
  </r>
  <r>
    <s v="exerted"/>
    <s v="exercé, déployé"/>
    <d v="2018-08-29T00:00:00"/>
    <x v="26"/>
    <n v="12"/>
    <n v="0.48"/>
  </r>
  <r>
    <s v="profligacy"/>
    <s v="la débauche, le libertinage"/>
    <d v="2018-12-10T00:00:00"/>
    <x v="26"/>
    <n v="12"/>
    <n v="0.48"/>
  </r>
  <r>
    <s v="a filth"/>
    <s v="une saleté"/>
    <d v="2019-07-15T00:00:00"/>
    <x v="26"/>
    <n v="12"/>
    <n v="0.48"/>
  </r>
  <r>
    <s v="a villain"/>
    <s v="un scélérat"/>
    <d v="2019-07-27T00:00:00"/>
    <x v="26"/>
    <n v="12"/>
    <n v="0.48"/>
  </r>
  <r>
    <s v="a bounty"/>
    <s v="une prime"/>
    <d v="2020-04-13T00:00:00"/>
    <x v="26"/>
    <n v="12"/>
    <n v="0.48"/>
  </r>
  <r>
    <s v="an incorporation"/>
    <s v="une fusion"/>
    <d v="2013-12-13T00:00:00"/>
    <x v="28"/>
    <n v="13"/>
    <n v="0.48148148148148145"/>
  </r>
  <r>
    <s v="the truss"/>
    <s v="la charpente"/>
    <d v="2019-10-29T00:00:00"/>
    <x v="28"/>
    <n v="13"/>
    <n v="0.48148148148148145"/>
  </r>
  <r>
    <s v="a cuff"/>
    <s v="une manchette"/>
    <d v="2020-05-18T00:00:00"/>
    <x v="28"/>
    <n v="13"/>
    <n v="0.48148148148148145"/>
  </r>
  <r>
    <s v="a porthole"/>
    <s v="un hublot"/>
    <d v="2021-04-13T00:00:00"/>
    <x v="28"/>
    <n v="13"/>
    <n v="0.48148148148148145"/>
  </r>
  <r>
    <s v="a bulkhead"/>
    <s v="une cloison"/>
    <d v="2018-11-23T00:00:00"/>
    <x v="29"/>
    <n v="14"/>
    <n v="0.48275862068965519"/>
  </r>
  <r>
    <s v="forsaken"/>
    <s v="abandonné, délaissé"/>
    <d v="2018-12-04T00:00:00"/>
    <x v="29"/>
    <n v="14"/>
    <n v="0.48275862068965519"/>
  </r>
  <r>
    <s v="to thwart"/>
    <s v="contrecarrer, contrarier"/>
    <d v="2018-12-04T00:00:00"/>
    <x v="29"/>
    <n v="14"/>
    <n v="0.48275862068965519"/>
  </r>
  <r>
    <s v="a wig"/>
    <s v="une perruque"/>
    <d v="2020-04-20T00:00:00"/>
    <x v="29"/>
    <n v="14"/>
    <n v="0.48275862068965519"/>
  </r>
  <r>
    <s v="outright (adv.)"/>
    <s v="carrément, complètement, franchement"/>
    <d v="2018-10-27T00:00:00"/>
    <x v="32"/>
    <n v="17"/>
    <n v="0.48571428571428571"/>
  </r>
  <r>
    <s v="a flu (influenza)"/>
    <s v="une grippe"/>
    <d v="2013-09-05T00:00:00"/>
    <x v="8"/>
    <n v="7"/>
    <n v="0.5"/>
  </r>
  <r>
    <s v="to surge"/>
    <s v="monter soudainement"/>
    <d v="2013-12-13T00:00:00"/>
    <x v="34"/>
    <n v="18"/>
    <n v="0.5"/>
  </r>
  <r>
    <s v="bookkeeping (common name)"/>
    <s v="la comptabilité"/>
    <d v="2013-12-13T00:00:00"/>
    <x v="18"/>
    <n v="9"/>
    <n v="0.5"/>
  </r>
  <r>
    <s v="to trade"/>
    <s v="échanger"/>
    <d v="2013-12-13T00:00:00"/>
    <x v="18"/>
    <n v="9"/>
    <n v="0.5"/>
  </r>
  <r>
    <s v="to go ahead with"/>
    <s v="aller de l’avant avec, mettre à exécution"/>
    <d v="2013-12-13T00:00:00"/>
    <x v="22"/>
    <n v="11"/>
    <n v="0.5"/>
  </r>
  <r>
    <s v="headphones"/>
    <s v="un casque, des écouteurs"/>
    <d v="2013-12-13T00:00:00"/>
    <x v="8"/>
    <n v="7"/>
    <n v="0.5"/>
  </r>
  <r>
    <s v="to bypass"/>
    <s v="éviter"/>
    <d v="2013-12-13T00:00:00"/>
    <x v="6"/>
    <n v="8"/>
    <n v="0.5"/>
  </r>
  <r>
    <s v="overdue"/>
    <s v="arriéré, en retard"/>
    <d v="2013-12-13T00:00:00"/>
    <x v="20"/>
    <n v="10"/>
    <n v="0.5"/>
  </r>
  <r>
    <s v="to gamble"/>
    <s v="jouer de l’argent / prendre des risques"/>
    <d v="2013-12-13T00:00:00"/>
    <x v="21"/>
    <n v="12"/>
    <n v="0.5"/>
  </r>
  <r>
    <s v="to respond"/>
    <s v="réagir"/>
    <d v="2013-12-13T00:00:00"/>
    <x v="24"/>
    <n v="13"/>
    <n v="0.5"/>
  </r>
  <r>
    <s v="a great deal of"/>
    <s v="beaucoup de"/>
    <d v="2018-04-16T00:00:00"/>
    <x v="22"/>
    <n v="11"/>
    <n v="0.5"/>
  </r>
  <r>
    <s v="a bear market"/>
    <s v="un marché pessimiste"/>
    <d v="2018-05-17T00:00:00"/>
    <x v="8"/>
    <n v="7"/>
    <n v="0.5"/>
  </r>
  <r>
    <s v="He's tight."/>
    <s v="Il est saoûl."/>
    <d v="2018-05-17T00:00:00"/>
    <x v="22"/>
    <n v="11"/>
    <n v="0.5"/>
  </r>
  <r>
    <s v="to fill in a form"/>
    <s v="remplir un formulaire"/>
    <d v="2018-05-17T00:00:00"/>
    <x v="6"/>
    <n v="8"/>
    <n v="0.5"/>
  </r>
  <r>
    <s v="whatsoever"/>
    <s v="quoi que ce soit"/>
    <d v="2018-07-14T00:00:00"/>
    <x v="20"/>
    <n v="10"/>
    <n v="0.5"/>
  </r>
  <r>
    <s v="to be on the lookout for"/>
    <s v="guetter, être à la recherche de "/>
    <d v="2018-07-15T00:00:00"/>
    <x v="6"/>
    <n v="8"/>
    <n v="0.5"/>
  </r>
  <r>
    <s v="to hound"/>
    <s v="traquer, talonner"/>
    <d v="2018-07-17T00:00:00"/>
    <x v="22"/>
    <n v="11"/>
    <n v="0.5"/>
  </r>
  <r>
    <s v="a letter of application"/>
    <s v="une lettre de rendez-vous (confirmation d'embauche)"/>
    <d v="2018-07-30T00:00:00"/>
    <x v="20"/>
    <n v="10"/>
    <n v="0.5"/>
  </r>
  <r>
    <s v="a subsidiary"/>
    <s v="une filiale"/>
    <d v="2018-08-05T00:00:00"/>
    <x v="25"/>
    <n v="14"/>
    <n v="0.5"/>
  </r>
  <r>
    <s v="to dodge"/>
    <s v="esquiver / se faufiler"/>
    <d v="2018-10-24T00:00:00"/>
    <x v="0"/>
    <n v="5"/>
    <n v="0.5"/>
  </r>
  <r>
    <s v="mercurial"/>
    <s v="d'humeur changeante, d'humeur inégale"/>
    <d v="2018-10-28T00:00:00"/>
    <x v="18"/>
    <n v="9"/>
    <n v="0.5"/>
  </r>
  <r>
    <s v="to mourn"/>
    <s v="faire le deuil"/>
    <d v="2018-11-02T00:00:00"/>
    <x v="8"/>
    <n v="7"/>
    <n v="0.5"/>
  </r>
  <r>
    <s v="to vie"/>
    <s v="lutter"/>
    <d v="2018-11-11T00:00:00"/>
    <x v="22"/>
    <n v="11"/>
    <n v="0.5"/>
  </r>
  <r>
    <s v="a tumble"/>
    <s v="une chute, une culbute"/>
    <d v="2018-11-11T00:00:00"/>
    <x v="6"/>
    <n v="8"/>
    <n v="0.5"/>
  </r>
  <r>
    <s v="intractable"/>
    <s v="intraitable, indocile / insoluble"/>
    <d v="2018-11-13T00:00:00"/>
    <x v="18"/>
    <n v="9"/>
    <n v="0.5"/>
  </r>
  <r>
    <s v="to vindicate"/>
    <s v="justifier, défendre"/>
    <d v="2018-11-19T00:00:00"/>
    <x v="22"/>
    <n v="11"/>
    <n v="0.5"/>
  </r>
  <r>
    <s v="to gloat"/>
    <s v="jubiler, exulter"/>
    <d v="2018-11-24T00:00:00"/>
    <x v="20"/>
    <n v="10"/>
    <n v="0.5"/>
  </r>
  <r>
    <s v="the mettle"/>
    <s v="le courage"/>
    <d v="2018-11-26T00:00:00"/>
    <x v="21"/>
    <n v="12"/>
    <n v="0.5"/>
  </r>
  <r>
    <s v="a mongrel"/>
    <s v="un bâtard / un métis"/>
    <d v="2018-12-10T00:00:00"/>
    <x v="18"/>
    <n v="9"/>
    <n v="0.5"/>
  </r>
  <r>
    <s v="to skitter"/>
    <s v="glisser / s'enfuir"/>
    <d v="2018-12-10T00:00:00"/>
    <x v="25"/>
    <n v="14"/>
    <n v="0.5"/>
  </r>
  <r>
    <s v="an upstart"/>
    <s v="un parvenu, un arriviste"/>
    <d v="2018-12-10T00:00:00"/>
    <x v="18"/>
    <n v="9"/>
    <n v="0.5"/>
  </r>
  <r>
    <s v="the casket / the coffin"/>
    <s v="le cercueil"/>
    <d v="2019-01-07T00:00:00"/>
    <x v="18"/>
    <n v="9"/>
    <n v="0.5"/>
  </r>
  <r>
    <s v="to shroud"/>
    <s v="envelopper"/>
    <d v="2019-01-07T00:00:00"/>
    <x v="22"/>
    <n v="11"/>
    <n v="0.5"/>
  </r>
  <r>
    <s v="cramped"/>
    <s v="à l'étroit"/>
    <d v="2019-01-07T00:00:00"/>
    <x v="6"/>
    <n v="8"/>
    <n v="0.5"/>
  </r>
  <r>
    <s v="lukewarm"/>
    <s v="tiède"/>
    <d v="2019-05-20T00:00:00"/>
    <x v="6"/>
    <n v="8"/>
    <n v="0.5"/>
  </r>
  <r>
    <s v="unkempt"/>
    <s v="peu soigné"/>
    <d v="2019-05-20T00:00:00"/>
    <x v="6"/>
    <n v="8"/>
    <n v="0.5"/>
  </r>
  <r>
    <s v="to dip"/>
    <s v="plonger / tremper"/>
    <d v="2019-07-27T00:00:00"/>
    <x v="30"/>
    <n v="15"/>
    <n v="0.5"/>
  </r>
  <r>
    <s v="the tack"/>
    <s v="la sellerie"/>
    <d v="2019-07-27T00:00:00"/>
    <x v="20"/>
    <n v="10"/>
    <n v="0.5"/>
  </r>
  <r>
    <s v="a jibe"/>
    <s v="une moquerie"/>
    <d v="2019-10-29T00:00:00"/>
    <x v="18"/>
    <n v="9"/>
    <n v="0.5"/>
  </r>
  <r>
    <s v="incisors"/>
    <s v="les incisives"/>
    <d v="2019-11-02T00:00:00"/>
    <x v="20"/>
    <n v="10"/>
    <n v="0.5"/>
  </r>
  <r>
    <s v="a dash"/>
    <s v="une course, un élan"/>
    <d v="2019-11-03T00:00:00"/>
    <x v="24"/>
    <n v="13"/>
    <n v="0.5"/>
  </r>
  <r>
    <s v="a scoop"/>
    <s v="une cuillère / une pelle / une boule"/>
    <d v="2019-11-03T00:00:00"/>
    <x v="21"/>
    <n v="12"/>
    <n v="0.5"/>
  </r>
  <r>
    <s v="a lossmaking"/>
    <s v="une perte"/>
    <d v="2019-11-06T00:00:00"/>
    <x v="18"/>
    <n v="9"/>
    <n v="0.5"/>
  </r>
  <r>
    <s v="primeval"/>
    <s v="primitif"/>
    <d v="2019-11-07T00:00:00"/>
    <x v="20"/>
    <n v="10"/>
    <n v="0.5"/>
  </r>
  <r>
    <s v="coarse"/>
    <s v="grossier"/>
    <d v="2019-12-27T00:00:00"/>
    <x v="21"/>
    <n v="12"/>
    <n v="0.5"/>
  </r>
  <r>
    <s v="a housework"/>
    <s v="un ménage"/>
    <d v="2020-06-02T00:00:00"/>
    <x v="7"/>
    <n v="6"/>
    <n v="0.5"/>
  </r>
  <r>
    <s v="the rump"/>
    <s v="la croupe"/>
    <d v="2020-06-22T00:00:00"/>
    <x v="21"/>
    <n v="12"/>
    <n v="0.5"/>
  </r>
  <r>
    <s v="a chore"/>
    <s v="une corvée"/>
    <d v="2020-06-22T00:00:00"/>
    <x v="6"/>
    <n v="8"/>
    <n v="0.5"/>
  </r>
  <r>
    <s v="inasmuch"/>
    <s v="dans la mesure où"/>
    <d v="2020-06-22T00:00:00"/>
    <x v="6"/>
    <n v="8"/>
    <n v="0.5"/>
  </r>
  <r>
    <s v="a chuck, a mandrel"/>
    <s v="un mandrin"/>
    <d v="2020-07-02T00:00:00"/>
    <x v="18"/>
    <n v="9"/>
    <n v="0.5"/>
  </r>
  <r>
    <s v="leotards (common name)"/>
    <s v="des collants / un justaucorps"/>
    <d v="2020-07-14T00:00:00"/>
    <x v="20"/>
    <n v="10"/>
    <n v="0.5"/>
  </r>
  <r>
    <s v="a landfill"/>
    <s v="une décharge"/>
    <d v="2021-02-24T00:00:00"/>
    <x v="8"/>
    <n v="7"/>
    <n v="0.5"/>
  </r>
  <r>
    <s v="to refurbish"/>
    <s v="remettre à neuf"/>
    <d v="2021-03-03T00:00:00"/>
    <x v="18"/>
    <n v="9"/>
    <n v="0.5"/>
  </r>
  <r>
    <s v="sunlit (adj.)"/>
    <s v="ensoleillé"/>
    <d v="2021-03-16T00:00:00"/>
    <x v="6"/>
    <n v="8"/>
    <n v="0.5"/>
  </r>
  <r>
    <s v="a padlock"/>
    <s v="un cadenas"/>
    <d v="2021-05-18T00:00:00"/>
    <x v="20"/>
    <n v="10"/>
    <n v="0.5"/>
  </r>
  <r>
    <s v="to snoop"/>
    <s v="espionner, fureter"/>
    <d v="2021-09-23T00:00:00"/>
    <x v="6"/>
    <n v="8"/>
    <n v="0.5"/>
  </r>
  <r>
    <s v="a coaster"/>
    <s v="un dessous de verre"/>
    <d v="2021-11-29T00:00:00"/>
    <x v="3"/>
    <n v="4"/>
    <n v="0.5"/>
  </r>
  <r>
    <s v="a groom"/>
    <s v="un jeune marié / un valet d'écurie"/>
    <d v="2022-03-31T00:00:00"/>
    <x v="7"/>
    <n v="6"/>
    <n v="0.5"/>
  </r>
  <r>
    <s v="bleach (common name)"/>
    <s v="l'eau de javel"/>
    <d v="2022-04-01T00:00:00"/>
    <x v="7"/>
    <n v="6"/>
    <n v="0.5"/>
  </r>
  <r>
    <s v="no brainer (coll.)"/>
    <s v="sans prise de tête"/>
    <d v="2022-04-06T00:00:00"/>
    <x v="12"/>
    <n v="2"/>
    <n v="0.5"/>
  </r>
  <r>
    <s v="a crossbow"/>
    <s v="une arbalète"/>
    <d v="2022-06-02T00:00:00"/>
    <x v="12"/>
    <n v="2"/>
    <n v="0.5"/>
  </r>
  <r>
    <s v="paucity (common name)"/>
    <s v="le manque"/>
    <d v="2022-06-04T00:00:00"/>
    <x v="12"/>
    <n v="2"/>
    <n v="0.5"/>
  </r>
  <r>
    <s v="anguish (common name)"/>
    <s v="l'angoisse / le supplice"/>
    <d v="2022-06-08T00:00:00"/>
    <x v="3"/>
    <n v="4"/>
    <n v="0.5"/>
  </r>
  <r>
    <s v="a failover (IT)"/>
    <s v="un basculement"/>
    <d v="2022-06-14T00:00:00"/>
    <x v="7"/>
    <n v="6"/>
    <n v="0.5"/>
  </r>
  <r>
    <s v="a headstart"/>
    <s v="une avance"/>
    <d v="2022-06-23T00:00:00"/>
    <x v="12"/>
    <n v="2"/>
    <n v="0.5"/>
  </r>
  <r>
    <s v="a spring"/>
    <s v="un ressort"/>
    <d v="2022-07-09T00:00:00"/>
    <x v="12"/>
    <n v="2"/>
    <n v="0.5"/>
  </r>
  <r>
    <s v="a shoe tree"/>
    <s v="un embauchoir"/>
    <d v="2022-09-01T00:00:00"/>
    <x v="12"/>
    <n v="2"/>
    <n v="0.5"/>
  </r>
  <r>
    <s v="ironclad (adj.)"/>
    <s v="cuirassé"/>
    <d v="2022-10-28T00:00:00"/>
    <x v="12"/>
    <n v="2"/>
    <n v="0.5"/>
  </r>
  <r>
    <s v="spleen (common name)"/>
    <s v="la rate, la bile"/>
    <d v="2022-11-13T00:00:00"/>
    <x v="12"/>
    <n v="2"/>
    <n v="0.5"/>
  </r>
  <r>
    <s v="a sump"/>
    <s v="un puisard"/>
    <d v="2022-12-23T00:00:00"/>
    <x v="12"/>
    <n v="2"/>
    <n v="0.5"/>
  </r>
  <r>
    <s v="to dump"/>
    <s v="décharger, déverser"/>
    <d v="2011-03-09T00:00:00"/>
    <x v="31"/>
    <n v="17"/>
    <n v="0.51515151515151514"/>
  </r>
  <r>
    <s v="the nub"/>
    <s v="l'essentiel, le noyau / le bout"/>
    <d v="2018-11-24T00:00:00"/>
    <x v="35"/>
    <n v="16"/>
    <n v="0.5161290322580645"/>
  </r>
  <r>
    <s v="to soak"/>
    <s v="tremper"/>
    <d v="2019-11-07T00:00:00"/>
    <x v="35"/>
    <n v="16"/>
    <n v="0.5161290322580645"/>
  </r>
  <r>
    <s v="corny"/>
    <s v="banal"/>
    <d v="2018-11-04T00:00:00"/>
    <x v="28"/>
    <n v="14"/>
    <n v="0.51851851851851849"/>
  </r>
  <r>
    <s v="drab (adj.)"/>
    <s v="terne, morne"/>
    <d v="2018-11-18T00:00:00"/>
    <x v="28"/>
    <n v="14"/>
    <n v="0.51851851851851849"/>
  </r>
  <r>
    <s v="brackish"/>
    <s v="saumâtre"/>
    <d v="2020-01-18T00:00:00"/>
    <x v="28"/>
    <n v="14"/>
    <n v="0.51851851851851849"/>
  </r>
  <r>
    <s v="to deter from"/>
    <s v="détourner de"/>
    <d v="2011-03-09T00:00:00"/>
    <x v="26"/>
    <n v="13"/>
    <n v="0.52"/>
  </r>
  <r>
    <s v="convenient"/>
    <s v="commode, pratique"/>
    <d v="2013-12-13T00:00:00"/>
    <x v="26"/>
    <n v="13"/>
    <n v="0.52"/>
  </r>
  <r>
    <s v="to back out of"/>
    <s v="se retirer de, ne pas donner suite à"/>
    <d v="2013-12-13T00:00:00"/>
    <x v="26"/>
    <n v="13"/>
    <n v="0.52"/>
  </r>
  <r>
    <s v="a skit"/>
    <s v="un sketch"/>
    <d v="2019-05-20T00:00:00"/>
    <x v="26"/>
    <n v="13"/>
    <n v="0.52"/>
  </r>
  <r>
    <s v="to untangle"/>
    <s v="démêler"/>
    <d v="2019-06-17T00:00:00"/>
    <x v="26"/>
    <n v="13"/>
    <n v="0.52"/>
  </r>
  <r>
    <s v="to layoff"/>
    <s v="licencier"/>
    <d v="2019-07-27T00:00:00"/>
    <x v="26"/>
    <n v="13"/>
    <n v="0.52"/>
  </r>
  <r>
    <s v="to chop"/>
    <s v="hacher"/>
    <d v="2021-03-07T00:00:00"/>
    <x v="26"/>
    <n v="13"/>
    <n v="0.52"/>
  </r>
  <r>
    <s v="a suit"/>
    <s v="un costume / un procès"/>
    <d v="2013-12-13T00:00:00"/>
    <x v="23"/>
    <n v="12"/>
    <n v="0.52173913043478259"/>
  </r>
  <r>
    <s v="hollow"/>
    <s v="creux"/>
    <d v="2019-05-20T00:00:00"/>
    <x v="23"/>
    <n v="12"/>
    <n v="0.52173913043478259"/>
  </r>
  <r>
    <s v="betrothal (common name)"/>
    <s v="les fiançailles"/>
    <d v="2020-01-18T00:00:00"/>
    <x v="23"/>
    <n v="12"/>
    <n v="0.52173913043478259"/>
  </r>
  <r>
    <s v="to wane"/>
    <s v="décroître, décliner"/>
    <d v="2011-03-09T00:00:00"/>
    <x v="19"/>
    <n v="11"/>
    <n v="0.52380952380952384"/>
  </r>
  <r>
    <s v="a figure"/>
    <s v="un chiffre"/>
    <d v="2013-12-13T00:00:00"/>
    <x v="19"/>
    <n v="11"/>
    <n v="0.52380952380952384"/>
  </r>
  <r>
    <s v="a subscription"/>
    <s v="un abonnement"/>
    <d v="2013-12-13T00:00:00"/>
    <x v="19"/>
    <n v="11"/>
    <n v="0.52380952380952384"/>
  </r>
  <r>
    <s v="to figure out"/>
    <s v="arriver à comprendre"/>
    <d v="2013-12-13T00:00:00"/>
    <x v="19"/>
    <n v="11"/>
    <n v="0.52380952380952384"/>
  </r>
  <r>
    <s v="a quotation"/>
    <s v="une proposition de prix"/>
    <d v="2013-12-13T00:00:00"/>
    <x v="19"/>
    <n v="11"/>
    <n v="0.52380952380952384"/>
  </r>
  <r>
    <s v="a serial"/>
    <s v="un feuilleton"/>
    <d v="2013-12-13T00:00:00"/>
    <x v="19"/>
    <n v="11"/>
    <n v="0.52380952380952384"/>
  </r>
  <r>
    <s v="a slip of the tongue"/>
    <s v="un lapsus, la langue qui fourche"/>
    <d v="2018-05-17T00:00:00"/>
    <x v="19"/>
    <n v="11"/>
    <n v="0.52380952380952384"/>
  </r>
  <r>
    <s v="a compulsion"/>
    <s v="le fait d'obliger quelqu'un à faire quelque chose"/>
    <d v="2018-07-17T00:00:00"/>
    <x v="19"/>
    <n v="11"/>
    <n v="0.52380952380952384"/>
  </r>
  <r>
    <s v="a boar"/>
    <s v="un sanglier"/>
    <d v="2018-12-10T00:00:00"/>
    <x v="19"/>
    <n v="11"/>
    <n v="0.52380952380952384"/>
  </r>
  <r>
    <s v="vaunted"/>
    <s v="vanné"/>
    <d v="2019-05-18T00:00:00"/>
    <x v="19"/>
    <n v="11"/>
    <n v="0.52380952380952384"/>
  </r>
  <r>
    <s v="outermost"/>
    <s v="le plus extérieur"/>
    <d v="2019-05-20T00:00:00"/>
    <x v="19"/>
    <n v="11"/>
    <n v="0.52380952380952384"/>
  </r>
  <r>
    <s v="a bum"/>
    <s v="un clochard"/>
    <d v="2019-05-20T00:00:00"/>
    <x v="19"/>
    <n v="11"/>
    <n v="0.52380952380952384"/>
  </r>
  <r>
    <s v="a backlog"/>
    <s v="un arriéré"/>
    <d v="2019-08-12T00:00:00"/>
    <x v="19"/>
    <n v="11"/>
    <n v="0.52380952380952384"/>
  </r>
  <r>
    <s v="a churn"/>
    <s v="une baratte / une résiliation"/>
    <d v="2021-02-08T00:00:00"/>
    <x v="19"/>
    <n v="11"/>
    <n v="0.52380952380952384"/>
  </r>
  <r>
    <s v="curt (adj.)"/>
    <s v="sec, brusque"/>
    <d v="2021-04-13T00:00:00"/>
    <x v="19"/>
    <n v="11"/>
    <n v="0.52380952380952384"/>
  </r>
  <r>
    <s v="hazy"/>
    <s v="vague"/>
    <d v="2011-03-09T00:00:00"/>
    <x v="17"/>
    <n v="10"/>
    <n v="0.52631578947368418"/>
  </r>
  <r>
    <s v="to enact"/>
    <s v="décréter (une loi, …)"/>
    <d v="2011-03-09T00:00:00"/>
    <x v="17"/>
    <n v="10"/>
    <n v="0.52631578947368418"/>
  </r>
  <r>
    <s v="scaffolding (common name)"/>
    <s v="les échafaudages"/>
    <d v="2013-09-05T00:00:00"/>
    <x v="17"/>
    <n v="10"/>
    <n v="0.52631578947368418"/>
  </r>
  <r>
    <s v="on the spot"/>
    <s v="sur-le-champ /  sur place"/>
    <d v="2013-12-13T00:00:00"/>
    <x v="17"/>
    <n v="10"/>
    <n v="0.52631578947368418"/>
  </r>
  <r>
    <s v="a commercial"/>
    <s v="une publicité (radio / télévision)"/>
    <d v="2013-12-13T00:00:00"/>
    <x v="17"/>
    <n v="10"/>
    <n v="0.52631578947368418"/>
  </r>
  <r>
    <s v="to expand"/>
    <s v="se développer, s’accroître"/>
    <d v="2013-12-13T00:00:00"/>
    <x v="17"/>
    <n v="10"/>
    <n v="0.52631578947368418"/>
  </r>
  <r>
    <s v="overhead costs"/>
    <s v="les frais généraux"/>
    <d v="2018-05-17T00:00:00"/>
    <x v="17"/>
    <n v="10"/>
    <n v="0.52631578947368418"/>
  </r>
  <r>
    <s v="a dearth"/>
    <s v="une disette"/>
    <d v="2020-06-22T00:00:00"/>
    <x v="17"/>
    <n v="10"/>
    <n v="0.52631578947368418"/>
  </r>
  <r>
    <s v="a caveat"/>
    <s v="un avertissement"/>
    <d v="2020-08-03T00:00:00"/>
    <x v="17"/>
    <n v="10"/>
    <n v="0.52631578947368418"/>
  </r>
  <r>
    <s v="a stew"/>
    <s v="un ragoût, un civet"/>
    <d v="2021-03-07T00:00:00"/>
    <x v="17"/>
    <n v="10"/>
    <n v="0.52631578947368418"/>
  </r>
  <r>
    <s v="cronyism (common name)"/>
    <s v="le copinage"/>
    <d v="2021-03-16T00:00:00"/>
    <x v="17"/>
    <n v="10"/>
    <n v="0.52631578947368418"/>
  </r>
  <r>
    <s v="arrangements"/>
    <s v="les mesures, les dispositions, les préparatifs"/>
    <d v="2013-12-13T00:00:00"/>
    <x v="16"/>
    <n v="9"/>
    <n v="0.52941176470588236"/>
  </r>
  <r>
    <s v="disabled"/>
    <s v="handicapé"/>
    <d v="2013-12-13T00:00:00"/>
    <x v="16"/>
    <n v="9"/>
    <n v="0.52941176470588236"/>
  </r>
  <r>
    <s v="a tip"/>
    <s v="un conseil, un tuyau / un pourboire"/>
    <d v="2018-05-17T00:00:00"/>
    <x v="36"/>
    <n v="18"/>
    <n v="0.52941176470588236"/>
  </r>
  <r>
    <s v="a first"/>
    <s v="une mention très bien"/>
    <d v="2018-07-10T00:00:00"/>
    <x v="16"/>
    <n v="9"/>
    <n v="0.52941176470588236"/>
  </r>
  <r>
    <s v="overpowering"/>
    <s v="envahissant"/>
    <d v="2018-08-17T00:00:00"/>
    <x v="16"/>
    <n v="9"/>
    <n v="0.52941176470588236"/>
  </r>
  <r>
    <s v="a dais"/>
    <s v="une estrade"/>
    <d v="2018-12-04T00:00:00"/>
    <x v="16"/>
    <n v="9"/>
    <n v="0.52941176470588236"/>
  </r>
  <r>
    <s v="the squalor"/>
    <s v="la misère noire"/>
    <d v="2018-12-04T00:00:00"/>
    <x v="16"/>
    <n v="9"/>
    <n v="0.52941176470588236"/>
  </r>
  <r>
    <s v="to fudge"/>
    <s v="truquer / esquiver, tergiverser"/>
    <d v="2018-12-04T00:00:00"/>
    <x v="16"/>
    <n v="9"/>
    <n v="0.52941176470588236"/>
  </r>
  <r>
    <s v="to paddle"/>
    <s v="pagayer"/>
    <d v="2019-08-12T00:00:00"/>
    <x v="16"/>
    <n v="9"/>
    <n v="0.52941176470588236"/>
  </r>
  <r>
    <s v="a slope"/>
    <s v="une pente"/>
    <d v="2019-11-02T00:00:00"/>
    <x v="16"/>
    <n v="9"/>
    <n v="0.52941176470588236"/>
  </r>
  <r>
    <s v="a goodness of fit"/>
    <s v="une qualité d'ajustement"/>
    <d v="2019-12-03T00:00:00"/>
    <x v="16"/>
    <n v="9"/>
    <n v="0.52941176470588236"/>
  </r>
  <r>
    <s v="threadbare"/>
    <s v="râpé"/>
    <d v="2020-06-02T00:00:00"/>
    <x v="16"/>
    <n v="9"/>
    <n v="0.52941176470588236"/>
  </r>
  <r>
    <s v="to stocktake"/>
    <s v="faire l'inventaire"/>
    <d v="2021-06-25T00:00:00"/>
    <x v="16"/>
    <n v="9"/>
    <n v="0.52941176470588236"/>
  </r>
  <r>
    <s v="a trove"/>
    <s v="un trophée"/>
    <d v="2021-07-18T00:00:00"/>
    <x v="16"/>
    <n v="9"/>
    <n v="0.52941176470588236"/>
  </r>
  <r>
    <s v="a typo"/>
    <s v="une faute de frappe"/>
    <d v="2021-08-10T00:00:00"/>
    <x v="16"/>
    <n v="9"/>
    <n v="0.52941176470588236"/>
  </r>
  <r>
    <s v="a wake"/>
    <s v="un sillage"/>
    <d v="2021-08-19T00:00:00"/>
    <x v="16"/>
    <n v="9"/>
    <n v="0.52941176470588236"/>
  </r>
  <r>
    <s v="stock option"/>
    <s v="un droit (préférentiel) de souscription"/>
    <d v="2013-12-13T00:00:00"/>
    <x v="11"/>
    <n v="8"/>
    <n v="0.53333333333333333"/>
  </r>
  <r>
    <s v="a garbage"/>
    <s v="une ordure"/>
    <d v="2013-12-13T00:00:00"/>
    <x v="30"/>
    <n v="16"/>
    <n v="0.53333333333333333"/>
  </r>
  <r>
    <s v="a nonius"/>
    <s v="un vernier"/>
    <d v="2019-01-07T00:00:00"/>
    <x v="11"/>
    <n v="8"/>
    <n v="0.53333333333333333"/>
  </r>
  <r>
    <s v="to swap"/>
    <s v="échanger, troquer"/>
    <d v="2019-11-06T00:00:00"/>
    <x v="11"/>
    <n v="8"/>
    <n v="0.53333333333333333"/>
  </r>
  <r>
    <s v="cramped"/>
    <s v="à l'étroit"/>
    <d v="2021-04-13T00:00:00"/>
    <x v="30"/>
    <n v="16"/>
    <n v="0.53333333333333333"/>
  </r>
  <r>
    <s v="to cull"/>
    <s v="cueillir / sélectionner"/>
    <d v="2021-06-29T00:00:00"/>
    <x v="11"/>
    <n v="8"/>
    <n v="0.53333333333333333"/>
  </r>
  <r>
    <s v="seldom (adv.)"/>
    <s v="rarement"/>
    <d v="2011-03-09T00:00:00"/>
    <x v="25"/>
    <n v="15"/>
    <n v="0.5357142857142857"/>
  </r>
  <r>
    <s v="to rent"/>
    <s v="louer"/>
    <d v="2013-12-13T00:00:00"/>
    <x v="25"/>
    <n v="15"/>
    <n v="0.5357142857142857"/>
  </r>
  <r>
    <s v="lavish"/>
    <s v="prodigue, somptueux"/>
    <d v="2011-03-09T00:00:00"/>
    <x v="1"/>
    <n v="7"/>
    <n v="0.53846153846153844"/>
  </r>
  <r>
    <s v="clay (common name)"/>
    <s v="de l'argile"/>
    <d v="2013-09-05T00:00:00"/>
    <x v="24"/>
    <n v="14"/>
    <n v="0.53846153846153844"/>
  </r>
  <r>
    <s v="to show around"/>
    <s v="faire visiter"/>
    <d v="2018-05-17T00:00:00"/>
    <x v="24"/>
    <n v="14"/>
    <n v="0.53846153846153844"/>
  </r>
  <r>
    <s v="a crunch"/>
    <s v="un bruit d'écrasement"/>
    <d v="2018-08-29T00:00:00"/>
    <x v="1"/>
    <n v="7"/>
    <n v="0.53846153846153844"/>
  </r>
  <r>
    <s v="a helter-skelter"/>
    <s v="une bousculade"/>
    <d v="2018-10-30T00:00:00"/>
    <x v="24"/>
    <n v="14"/>
    <n v="0.53846153846153844"/>
  </r>
  <r>
    <s v="I passed my exam."/>
    <s v="J'ai réussi mon examen"/>
    <d v="2019-03-24T00:00:00"/>
    <x v="24"/>
    <n v="14"/>
    <n v="0.53846153846153844"/>
  </r>
  <r>
    <s v="Just you try!"/>
    <s v="Essaie un peu pour voir !"/>
    <d v="2019-04-08T00:00:00"/>
    <x v="1"/>
    <n v="7"/>
    <n v="0.53846153846153844"/>
  </r>
  <r>
    <s v="an outstanding payment"/>
    <s v="un impayé"/>
    <d v="2019-11-02T00:00:00"/>
    <x v="1"/>
    <n v="7"/>
    <n v="0.53846153846153844"/>
  </r>
  <r>
    <s v="eulogising (common name)"/>
    <s v="un éloge"/>
    <d v="2019-11-07T00:00:00"/>
    <x v="24"/>
    <n v="14"/>
    <n v="0.53846153846153844"/>
  </r>
  <r>
    <s v="a knob"/>
    <s v="un bouton / une poignée"/>
    <d v="2020-03-10T00:00:00"/>
    <x v="1"/>
    <n v="7"/>
    <n v="0.53846153846153844"/>
  </r>
  <r>
    <s v="clunky"/>
    <s v="de bric et de broc"/>
    <d v="2021-02-15T00:00:00"/>
    <x v="1"/>
    <n v="7"/>
    <n v="0.53846153846153844"/>
  </r>
  <r>
    <s v="to fit out"/>
    <s v="équiper"/>
    <d v="2021-04-13T00:00:00"/>
    <x v="24"/>
    <n v="14"/>
    <n v="0.53846153846153844"/>
  </r>
  <r>
    <s v="a swab"/>
    <s v="un écouvillon"/>
    <d v="2021-11-24T00:00:00"/>
    <x v="1"/>
    <n v="7"/>
    <n v="0.53846153846153844"/>
  </r>
  <r>
    <s v="a hummingbird"/>
    <s v="un colibri"/>
    <d v="2021-12-04T00:00:00"/>
    <x v="1"/>
    <n v="7"/>
    <n v="0.53846153846153844"/>
  </r>
  <r>
    <s v="a stanza"/>
    <s v="une strophe, un couplet"/>
    <d v="2021-12-07T00:00:00"/>
    <x v="1"/>
    <n v="7"/>
    <n v="0.53846153846153844"/>
  </r>
  <r>
    <s v="stamina (common name)"/>
    <s v="l'endurance"/>
    <d v="2013-09-05T00:00:00"/>
    <x v="21"/>
    <n v="13"/>
    <n v="0.54166666666666663"/>
  </r>
  <r>
    <s v="to blackmail somebody"/>
    <s v="faire chanter quelqu'un"/>
    <d v="2013-12-13T00:00:00"/>
    <x v="21"/>
    <n v="13"/>
    <n v="0.54166666666666663"/>
  </r>
  <r>
    <s v="He's tight with money."/>
    <s v="Il est radin."/>
    <d v="2018-05-17T00:00:00"/>
    <x v="21"/>
    <n v="13"/>
    <n v="0.54166666666666663"/>
  </r>
  <r>
    <s v="the peg"/>
    <s v="la cheville"/>
    <d v="2018-12-17T00:00:00"/>
    <x v="21"/>
    <n v="13"/>
    <n v="0.54166666666666663"/>
  </r>
  <r>
    <s v="to lecture somebody"/>
    <s v="faire la leçon à quelqu'un"/>
    <d v="2011-03-09T00:00:00"/>
    <x v="5"/>
    <n v="6"/>
    <n v="0.54545454545454541"/>
  </r>
  <r>
    <s v="the hinge"/>
    <s v="la charnière"/>
    <d v="2018-04-16T00:00:00"/>
    <x v="22"/>
    <n v="12"/>
    <n v="0.54545454545454541"/>
  </r>
  <r>
    <s v="a hindsight"/>
    <s v="la bonne connaissance d'une situation"/>
    <d v="2018-08-29T00:00:00"/>
    <x v="22"/>
    <n v="12"/>
    <n v="0.54545454545454541"/>
  </r>
  <r>
    <s v="tinned"/>
    <s v="en conserve"/>
    <d v="2018-10-04T00:00:00"/>
    <x v="22"/>
    <n v="12"/>
    <n v="0.54545454545454541"/>
  </r>
  <r>
    <s v="shards (common name)"/>
    <s v="des éclats, du tesson"/>
    <d v="2019-05-20T00:00:00"/>
    <x v="22"/>
    <n v="12"/>
    <n v="0.54545454545454541"/>
  </r>
  <r>
    <s v="to confound"/>
    <s v="donner tort"/>
    <d v="2019-08-05T00:00:00"/>
    <x v="22"/>
    <n v="12"/>
    <n v="0.54545454545454541"/>
  </r>
  <r>
    <s v="a limb"/>
    <s v="un membre"/>
    <d v="2019-08-05T00:00:00"/>
    <x v="31"/>
    <n v="18"/>
    <n v="0.54545454545454541"/>
  </r>
  <r>
    <s v="giveaways"/>
    <s v="des cadeaux"/>
    <d v="2019-12-03T00:00:00"/>
    <x v="22"/>
    <n v="12"/>
    <n v="0.54545454545454541"/>
  </r>
  <r>
    <s v="to trigger"/>
    <s v="déclencher"/>
    <d v="2011-03-09T00:00:00"/>
    <x v="20"/>
    <n v="11"/>
    <n v="0.55000000000000004"/>
  </r>
  <r>
    <s v="stead"/>
    <s v="ferme, solide"/>
    <d v="2011-03-09T00:00:00"/>
    <x v="20"/>
    <n v="11"/>
    <n v="0.55000000000000004"/>
  </r>
  <r>
    <s v="no-frills"/>
    <s v="minimum, réduit à l’essentiel"/>
    <d v="2013-12-13T00:00:00"/>
    <x v="20"/>
    <n v="11"/>
    <n v="0.55000000000000004"/>
  </r>
  <r>
    <s v="bylaws (common name)"/>
    <s v="les ordonnances locales (à côté des lois principales)"/>
    <d v="2018-05-17T00:00:00"/>
    <x v="20"/>
    <n v="11"/>
    <n v="0.55000000000000004"/>
  </r>
  <r>
    <s v="devious"/>
    <s v="sournois / détourné"/>
    <d v="2018-11-18T00:00:00"/>
    <x v="20"/>
    <n v="11"/>
    <n v="0.55000000000000004"/>
  </r>
  <r>
    <s v="the guise"/>
    <s v="l'apparence / les habits"/>
    <d v="2018-12-04T00:00:00"/>
    <x v="20"/>
    <n v="11"/>
    <n v="0.55000000000000004"/>
  </r>
  <r>
    <s v="dusty"/>
    <s v="poussiéreux"/>
    <d v="2018-12-10T00:00:00"/>
    <x v="20"/>
    <n v="11"/>
    <n v="0.55000000000000004"/>
  </r>
  <r>
    <s v="to drown"/>
    <s v="se noyer"/>
    <d v="2019-10-14T00:00:00"/>
    <x v="20"/>
    <n v="11"/>
    <n v="0.55000000000000004"/>
  </r>
  <r>
    <s v="a lap"/>
    <s v="un tour (de piste)"/>
    <d v="2020-06-22T00:00:00"/>
    <x v="20"/>
    <n v="11"/>
    <n v="0.55000000000000004"/>
  </r>
  <r>
    <s v="to havass"/>
    <s v="ravager"/>
    <d v="2021-03-21T00:00:00"/>
    <x v="20"/>
    <n v="11"/>
    <n v="0.55000000000000004"/>
  </r>
  <r>
    <s v="to bolster"/>
    <s v="renforcer, rembourrer"/>
    <d v="2021-05-18T00:00:00"/>
    <x v="20"/>
    <n v="11"/>
    <n v="0.55000000000000004"/>
  </r>
  <r>
    <s v="a concern"/>
    <s v="une entreprise"/>
    <d v="2013-12-13T00:00:00"/>
    <x v="29"/>
    <n v="16"/>
    <n v="0.55172413793103448"/>
  </r>
  <r>
    <s v="an omen"/>
    <s v="un présage"/>
    <d v="2019-12-27T00:00:00"/>
    <x v="29"/>
    <n v="16"/>
    <n v="0.55172413793103448"/>
  </r>
  <r>
    <s v="incipient (adj.)"/>
    <s v="naissant"/>
    <d v="2011-03-09T00:00:00"/>
    <x v="18"/>
    <n v="10"/>
    <n v="0.55555555555555558"/>
  </r>
  <r>
    <s v="lust (common name)"/>
    <s v="la convoitise"/>
    <d v="2011-03-09T00:00:00"/>
    <x v="18"/>
    <n v="10"/>
    <n v="0.55555555555555558"/>
  </r>
  <r>
    <s v="to be flustered"/>
    <s v="être troublé"/>
    <d v="2011-03-09T00:00:00"/>
    <x v="18"/>
    <n v="10"/>
    <n v="0.55555555555555558"/>
  </r>
  <r>
    <s v="to get a tan"/>
    <s v="bronzer"/>
    <d v="2011-03-09T00:00:00"/>
    <x v="18"/>
    <n v="10"/>
    <n v="0.55555555555555558"/>
  </r>
  <r>
    <s v="to scorn"/>
    <s v="mépriser"/>
    <d v="2011-03-09T00:00:00"/>
    <x v="18"/>
    <n v="10"/>
    <n v="0.55555555555555558"/>
  </r>
  <r>
    <s v="dubious"/>
    <s v="douteux, suspect"/>
    <d v="2013-09-05T00:00:00"/>
    <x v="28"/>
    <n v="15"/>
    <n v="0.55555555555555558"/>
  </r>
  <r>
    <s v="economical"/>
    <s v="bon marché"/>
    <d v="2013-12-13T00:00:00"/>
    <x v="18"/>
    <n v="10"/>
    <n v="0.55555555555555558"/>
  </r>
  <r>
    <s v="stocks &amp; shares"/>
    <s v="les valeurs, les titres, les actions"/>
    <d v="2013-12-13T00:00:00"/>
    <x v="18"/>
    <n v="10"/>
    <n v="0.55555555555555558"/>
  </r>
  <r>
    <s v="to level off"/>
    <s v="se stabiliser après une hausse"/>
    <d v="2013-12-13T00:00:00"/>
    <x v="18"/>
    <n v="10"/>
    <n v="0.55555555555555558"/>
  </r>
  <r>
    <s v="change (common name)"/>
    <s v="de la monnaie (pièces, billets)"/>
    <d v="2013-12-13T00:00:00"/>
    <x v="28"/>
    <n v="15"/>
    <n v="0.55555555555555558"/>
  </r>
  <r>
    <s v="a leverage"/>
    <s v="un effet de levier, une influence"/>
    <d v="2018-04-16T00:00:00"/>
    <x v="18"/>
    <n v="10"/>
    <n v="0.55555555555555558"/>
  </r>
  <r>
    <s v="by no means"/>
    <s v="en aucun cas, loin de"/>
    <d v="2018-09-30T00:00:00"/>
    <x v="18"/>
    <n v="10"/>
    <n v="0.55555555555555558"/>
  </r>
  <r>
    <s v="a flurry"/>
    <s v="une rafale"/>
    <d v="2018-11-01T00:00:00"/>
    <x v="18"/>
    <n v="10"/>
    <n v="0.55555555555555558"/>
  </r>
  <r>
    <s v="the throes"/>
    <s v="les affres de la mort"/>
    <d v="2018-11-24T00:00:00"/>
    <x v="18"/>
    <n v="10"/>
    <n v="0.55555555555555558"/>
  </r>
  <r>
    <s v="No way?!"/>
    <s v="C'est pas vrai ?!"/>
    <d v="2019-03-24T00:00:00"/>
    <x v="18"/>
    <n v="10"/>
    <n v="0.55555555555555558"/>
  </r>
  <r>
    <s v="steep"/>
    <s v="raide"/>
    <d v="2019-05-20T00:00:00"/>
    <x v="18"/>
    <n v="10"/>
    <n v="0.55555555555555558"/>
  </r>
  <r>
    <s v="to beseech"/>
    <s v="supplier"/>
    <d v="2019-08-12T00:00:00"/>
    <x v="10"/>
    <n v="5"/>
    <n v="0.55555555555555558"/>
  </r>
  <r>
    <s v="a venture loan"/>
    <s v="un prêt à risque"/>
    <d v="2019-11-02T00:00:00"/>
    <x v="18"/>
    <n v="10"/>
    <n v="0.55555555555555558"/>
  </r>
  <r>
    <s v="a bull market"/>
    <s v="un marché haussier"/>
    <d v="2019-11-06T00:00:00"/>
    <x v="18"/>
    <n v="10"/>
    <n v="0.55555555555555558"/>
  </r>
  <r>
    <s v="a stranglehold"/>
    <s v="une mainmise"/>
    <d v="2019-11-06T00:00:00"/>
    <x v="18"/>
    <n v="10"/>
    <n v="0.55555555555555558"/>
  </r>
  <r>
    <s v="to feud"/>
    <s v="se quereller"/>
    <d v="2020-01-18T00:00:00"/>
    <x v="18"/>
    <n v="10"/>
    <n v="0.55555555555555558"/>
  </r>
  <r>
    <s v="the fortitude"/>
    <s v="le courage"/>
    <d v="2020-06-02T00:00:00"/>
    <x v="28"/>
    <n v="15"/>
    <n v="0.55555555555555558"/>
  </r>
  <r>
    <s v="jagged"/>
    <s v="déchiqueté"/>
    <d v="2021-02-24T00:00:00"/>
    <x v="28"/>
    <n v="15"/>
    <n v="0.55555555555555558"/>
  </r>
  <r>
    <s v="snuff (common name)"/>
    <s v="du tabac à priser"/>
    <d v="2021-04-12T00:00:00"/>
    <x v="18"/>
    <n v="10"/>
    <n v="0.55555555555555558"/>
  </r>
  <r>
    <s v="an obfuscation"/>
    <s v="un obscurcissement"/>
    <d v="2021-08-06T00:00:00"/>
    <x v="18"/>
    <n v="10"/>
    <n v="0.55555555555555558"/>
  </r>
  <r>
    <s v="muck (common name)"/>
    <s v="la boue"/>
    <d v="2021-11-21T00:00:00"/>
    <x v="18"/>
    <n v="10"/>
    <n v="0.55555555555555558"/>
  </r>
  <r>
    <s v="a warthog"/>
    <s v="un phacochère"/>
    <d v="2021-12-22T00:00:00"/>
    <x v="10"/>
    <n v="5"/>
    <n v="0.55555555555555558"/>
  </r>
  <r>
    <s v="a capstone"/>
    <s v="une pierre angulaire"/>
    <d v="2022-02-23T00:00:00"/>
    <x v="10"/>
    <n v="5"/>
    <n v="0.55555555555555558"/>
  </r>
  <r>
    <s v="to sneeze"/>
    <s v="éternuer"/>
    <d v="2013-09-05T00:00:00"/>
    <x v="26"/>
    <n v="14"/>
    <n v="0.56000000000000005"/>
  </r>
  <r>
    <s v="the span"/>
    <s v="l'envergure / l'empan"/>
    <d v="2018-05-17T00:00:00"/>
    <x v="26"/>
    <n v="14"/>
    <n v="0.56000000000000005"/>
  </r>
  <r>
    <s v="whims (common name)"/>
    <s v="les caprices"/>
    <d v="2018-05-27T00:00:00"/>
    <x v="26"/>
    <n v="14"/>
    <n v="0.56000000000000005"/>
  </r>
  <r>
    <s v="to purport"/>
    <s v="se prétendre, se faire passer pour"/>
    <d v="2018-09-18T00:00:00"/>
    <x v="26"/>
    <n v="14"/>
    <n v="0.56000000000000005"/>
  </r>
  <r>
    <s v="perks"/>
    <s v="les avantages divers (salaires, notes de frais, CE, …)"/>
    <d v="2019-05-20T00:00:00"/>
    <x v="26"/>
    <n v="14"/>
    <n v="0.56000000000000005"/>
  </r>
  <r>
    <s v="sorely"/>
    <s v="grandement"/>
    <d v="2019-07-15T00:00:00"/>
    <x v="26"/>
    <n v="14"/>
    <n v="0.56000000000000005"/>
  </r>
  <r>
    <s v="sound (adj.)"/>
    <s v="sain"/>
    <d v="2013-09-05T00:00:00"/>
    <x v="6"/>
    <n v="9"/>
    <n v="0.5625"/>
  </r>
  <r>
    <s v="a sore throat"/>
    <s v="un mal de gorge"/>
    <d v="2013-09-05T00:00:00"/>
    <x v="6"/>
    <n v="9"/>
    <n v="0.5625"/>
  </r>
  <r>
    <s v="a tag"/>
    <s v="une étiquette"/>
    <d v="2013-12-13T00:00:00"/>
    <x v="6"/>
    <n v="9"/>
    <n v="0.5625"/>
  </r>
  <r>
    <s v="a meter reader"/>
    <s v="un releveur de compteur"/>
    <d v="2013-12-13T00:00:00"/>
    <x v="6"/>
    <n v="9"/>
    <n v="0.5625"/>
  </r>
  <r>
    <s v="meandering (adj.)"/>
    <s v="sinueux"/>
    <d v="2018-10-28T00:00:00"/>
    <x v="6"/>
    <n v="9"/>
    <n v="0.5625"/>
  </r>
  <r>
    <s v="mild"/>
    <s v="doux"/>
    <d v="2018-12-17T00:00:00"/>
    <x v="27"/>
    <n v="18"/>
    <n v="0.5625"/>
  </r>
  <r>
    <s v="power of attorney"/>
    <s v="la procuration"/>
    <d v="2019-11-02T00:00:00"/>
    <x v="6"/>
    <n v="9"/>
    <n v="0.5625"/>
  </r>
  <r>
    <s v="to plunder"/>
    <s v="piller"/>
    <d v="2020-01-18T00:00:00"/>
    <x v="27"/>
    <n v="18"/>
    <n v="0.5625"/>
  </r>
  <r>
    <s v="a rooster"/>
    <s v="un coq"/>
    <d v="2020-01-18T00:00:00"/>
    <x v="6"/>
    <n v="9"/>
    <n v="0.5625"/>
  </r>
  <r>
    <s v="a grapefruit"/>
    <s v="un pamplemousse"/>
    <d v="2020-06-22T00:00:00"/>
    <x v="6"/>
    <n v="9"/>
    <n v="0.5625"/>
  </r>
  <r>
    <s v="walk-in (adj.)"/>
    <s v="assez large pour y marcher"/>
    <d v="2021-03-01T00:00:00"/>
    <x v="6"/>
    <n v="9"/>
    <n v="0.5625"/>
  </r>
  <r>
    <s v="a dale"/>
    <s v="une vallée"/>
    <d v="2021-03-14T00:00:00"/>
    <x v="6"/>
    <n v="9"/>
    <n v="0.5625"/>
  </r>
  <r>
    <s v="to charge"/>
    <s v="facturer / accuser"/>
    <d v="2013-12-13T00:00:00"/>
    <x v="23"/>
    <n v="13"/>
    <n v="0.56521739130434778"/>
  </r>
  <r>
    <s v="a claim"/>
    <s v="une revendication / une réclamation"/>
    <d v="2013-12-13T00:00:00"/>
    <x v="23"/>
    <n v="13"/>
    <n v="0.56521739130434778"/>
  </r>
  <r>
    <s v="to alter"/>
    <s v="modifier"/>
    <d v="2013-12-13T00:00:00"/>
    <x v="23"/>
    <n v="13"/>
    <n v="0.56521739130434778"/>
  </r>
  <r>
    <s v="leasing (common name)"/>
    <s v="le crédit-bail"/>
    <d v="2018-05-17T00:00:00"/>
    <x v="23"/>
    <n v="13"/>
    <n v="0.56521739130434778"/>
  </r>
  <r>
    <s v="foursquare (adj.)"/>
    <s v="d'apparence solide"/>
    <d v="2018-08-29T00:00:00"/>
    <x v="23"/>
    <n v="13"/>
    <n v="0.56521739130434778"/>
  </r>
  <r>
    <s v="to skimp"/>
    <s v="lésiner"/>
    <d v="2019-11-18T00:00:00"/>
    <x v="23"/>
    <n v="13"/>
    <n v="0.56521739130434778"/>
  </r>
  <r>
    <s v="redcurrant (common name)"/>
    <s v="la groseille"/>
    <d v="2021-10-25T00:00:00"/>
    <x v="23"/>
    <n v="13"/>
    <n v="0.56521739130434778"/>
  </r>
  <r>
    <s v="to stumble"/>
    <s v="trébucher / broncher / tomber sur"/>
    <d v="2018-05-27T00:00:00"/>
    <x v="30"/>
    <n v="17"/>
    <n v="0.56666666666666665"/>
  </r>
  <r>
    <s v="to prompt"/>
    <s v="suggérer"/>
    <d v="2011-03-09T00:00:00"/>
    <x v="25"/>
    <n v="16"/>
    <n v="0.5714285714285714"/>
  </r>
  <r>
    <s v="brisk"/>
    <s v="vif"/>
    <d v="2011-03-09T00:00:00"/>
    <x v="19"/>
    <n v="12"/>
    <n v="0.5714285714285714"/>
  </r>
  <r>
    <s v="intoxicated"/>
    <s v="ivre"/>
    <d v="2011-03-09T00:00:00"/>
    <x v="8"/>
    <n v="8"/>
    <n v="0.5714285714285714"/>
  </r>
  <r>
    <s v="the layout"/>
    <s v="la disposition, l'arrangement"/>
    <d v="2011-03-09T00:00:00"/>
    <x v="19"/>
    <n v="12"/>
    <n v="0.5714285714285714"/>
  </r>
  <r>
    <s v="spare parts"/>
    <s v="les pièces de rechange, les pièces détachées"/>
    <d v="2013-09-05T00:00:00"/>
    <x v="19"/>
    <n v="12"/>
    <n v="0.5714285714285714"/>
  </r>
  <r>
    <s v="a sheet"/>
    <s v="une feuille, une plaque, une tôle"/>
    <d v="2013-09-05T00:00:00"/>
    <x v="8"/>
    <n v="8"/>
    <n v="0.5714285714285714"/>
  </r>
  <r>
    <s v="an industrial park"/>
    <s v="une zone industrielle"/>
    <d v="2013-12-13T00:00:00"/>
    <x v="19"/>
    <n v="12"/>
    <n v="0.5714285714285714"/>
  </r>
  <r>
    <s v="a taxpayer"/>
    <s v="un contribuable"/>
    <d v="2013-12-13T00:00:00"/>
    <x v="19"/>
    <n v="12"/>
    <n v="0.5714285714285714"/>
  </r>
  <r>
    <s v="to call for"/>
    <s v="demander, exiger / nécessiter"/>
    <d v="2013-12-13T00:00:00"/>
    <x v="19"/>
    <n v="12"/>
    <n v="0.5714285714285714"/>
  </r>
  <r>
    <s v="to heighten"/>
    <s v="augmenter"/>
    <d v="2013-12-13T00:00:00"/>
    <x v="8"/>
    <n v="8"/>
    <n v="0.5714285714285714"/>
  </r>
  <r>
    <s v="a blueprint"/>
    <s v="un plan, un projet, un schéma directeur"/>
    <d v="2013-12-13T00:00:00"/>
    <x v="19"/>
    <n v="12"/>
    <n v="0.5714285714285714"/>
  </r>
  <r>
    <s v="a service (mechanics)"/>
    <s v="une révision (mécanique, …)"/>
    <d v="2013-12-13T00:00:00"/>
    <x v="19"/>
    <n v="12"/>
    <n v="0.5714285714285714"/>
  </r>
  <r>
    <s v="a wholesaler"/>
    <s v="un grossiste"/>
    <d v="2013-12-13T00:00:00"/>
    <x v="25"/>
    <n v="16"/>
    <n v="0.5714285714285714"/>
  </r>
  <r>
    <s v="a wording"/>
    <s v="les termes, la formulation, le libellé"/>
    <d v="2013-12-13T00:00:00"/>
    <x v="25"/>
    <n v="16"/>
    <n v="0.5714285714285714"/>
  </r>
  <r>
    <s v="a lure"/>
    <s v="un appât"/>
    <d v="2018-05-17T00:00:00"/>
    <x v="8"/>
    <n v="8"/>
    <n v="0.5714285714285714"/>
  </r>
  <r>
    <s v="a cup-tie"/>
    <s v="une série de match de foot"/>
    <d v="2018-05-17T00:00:00"/>
    <x v="8"/>
    <n v="8"/>
    <n v="0.5714285714285714"/>
  </r>
  <r>
    <s v="the brawn"/>
    <s v="la force des muscles"/>
    <d v="2018-10-10T00:00:00"/>
    <x v="19"/>
    <n v="12"/>
    <n v="0.5714285714285714"/>
  </r>
  <r>
    <s v="frenzied"/>
    <s v="frénétique"/>
    <d v="2018-10-30T00:00:00"/>
    <x v="19"/>
    <n v="12"/>
    <n v="0.5714285714285714"/>
  </r>
  <r>
    <s v="rollpicking (adj.)"/>
    <s v="joyeux, bruyant"/>
    <d v="2018-11-04T00:00:00"/>
    <x v="25"/>
    <n v="16"/>
    <n v="0.5714285714285714"/>
  </r>
  <r>
    <s v="a barnacle"/>
    <s v="une bernacle (crustacée) / un crampon"/>
    <d v="2018-11-11T00:00:00"/>
    <x v="8"/>
    <n v="8"/>
    <n v="0.5714285714285714"/>
  </r>
  <r>
    <s v="As I see it, …"/>
    <s v="Selon moi, …"/>
    <d v="2019-03-24T00:00:00"/>
    <x v="19"/>
    <n v="12"/>
    <n v="0.5714285714285714"/>
  </r>
  <r>
    <s v="She's pretty chilled."/>
    <s v="Elle est très décontractée."/>
    <d v="2019-03-24T00:00:00"/>
    <x v="25"/>
    <n v="16"/>
    <n v="0.5714285714285714"/>
  </r>
  <r>
    <s v="a parrot"/>
    <s v="un perroquet"/>
    <d v="2019-05-20T00:00:00"/>
    <x v="19"/>
    <n v="12"/>
    <n v="0.5714285714285714"/>
  </r>
  <r>
    <s v="debtful"/>
    <s v="endetté"/>
    <d v="2019-08-12T00:00:00"/>
    <x v="8"/>
    <n v="8"/>
    <n v="0.5714285714285714"/>
  </r>
  <r>
    <s v="a rug"/>
    <s v="une couverture"/>
    <d v="2019-10-14T00:00:00"/>
    <x v="19"/>
    <n v="12"/>
    <n v="0.5714285714285714"/>
  </r>
  <r>
    <s v="to whiz"/>
    <s v="fuser"/>
    <d v="2019-11-03T00:00:00"/>
    <x v="19"/>
    <n v="12"/>
    <n v="0.5714285714285714"/>
  </r>
  <r>
    <s v="an air draft"/>
    <s v="un courant d'air"/>
    <d v="2019-12-16T00:00:00"/>
    <x v="19"/>
    <n v="12"/>
    <n v="0.5714285714285714"/>
  </r>
  <r>
    <s v="a buffer"/>
    <s v="un tampon"/>
    <d v="2019-12-27T00:00:00"/>
    <x v="19"/>
    <n v="12"/>
    <n v="0.5714285714285714"/>
  </r>
  <r>
    <s v="a wineskin"/>
    <s v="une outre"/>
    <d v="2020-01-18T00:00:00"/>
    <x v="19"/>
    <n v="12"/>
    <n v="0.5714285714285714"/>
  </r>
  <r>
    <s v="a twig"/>
    <s v="une brindille"/>
    <d v="2020-03-10T00:00:00"/>
    <x v="19"/>
    <n v="12"/>
    <n v="0.5714285714285714"/>
  </r>
  <r>
    <s v="a reef"/>
    <s v="un récif"/>
    <d v="2021-03-14T00:00:00"/>
    <x v="25"/>
    <n v="16"/>
    <n v="0.5714285714285714"/>
  </r>
  <r>
    <s v="on premise"/>
    <s v="sur place"/>
    <d v="2021-07-18T00:00:00"/>
    <x v="8"/>
    <n v="8"/>
    <n v="0.5714285714285714"/>
  </r>
  <r>
    <s v="an ingress"/>
    <s v="une entrée"/>
    <d v="2021-12-23T00:00:00"/>
    <x v="8"/>
    <n v="8"/>
    <n v="0.5714285714285714"/>
  </r>
  <r>
    <s v="slime (common name)"/>
    <s v="la vase, le limon"/>
    <d v="2022-01-11T00:00:00"/>
    <x v="8"/>
    <n v="8"/>
    <n v="0.5714285714285714"/>
  </r>
  <r>
    <s v="a headful of"/>
    <s v="un bon nombre de"/>
    <d v="2022-05-26T00:00:00"/>
    <x v="8"/>
    <n v="8"/>
    <n v="0.5714285714285714"/>
  </r>
  <r>
    <s v="throughout"/>
    <s v="tout au long de"/>
    <d v="2013-12-13T00:00:00"/>
    <x v="31"/>
    <n v="19"/>
    <n v="0.5757575757575758"/>
  </r>
  <r>
    <s v="to undergo"/>
    <s v="subir"/>
    <d v="2013-12-13T00:00:00"/>
    <x v="24"/>
    <n v="15"/>
    <n v="0.57692307692307687"/>
  </r>
  <r>
    <s v="Thanks, I'll make do."/>
    <s v="Merci, je ferai avec."/>
    <d v="2018-05-17T00:00:00"/>
    <x v="24"/>
    <n v="15"/>
    <n v="0.57692307692307687"/>
  </r>
  <r>
    <s v="Give my love to Diane."/>
    <s v="Embrasse Diane de ma part."/>
    <d v="2019-03-24T00:00:00"/>
    <x v="24"/>
    <n v="15"/>
    <n v="0.57692307692307687"/>
  </r>
  <r>
    <s v="detrimental"/>
    <s v="préjudiciable"/>
    <d v="2019-11-18T00:00:00"/>
    <x v="24"/>
    <n v="15"/>
    <n v="0.57692307692307687"/>
  </r>
  <r>
    <s v="to pour"/>
    <s v="verser"/>
    <d v="2020-03-10T00:00:00"/>
    <x v="24"/>
    <n v="15"/>
    <n v="0.57692307692307687"/>
  </r>
  <r>
    <s v="exhaust fumes"/>
    <s v="les gaz d’échappement"/>
    <d v="2013-12-13T00:00:00"/>
    <x v="17"/>
    <n v="11"/>
    <n v="0.57894736842105265"/>
  </r>
  <r>
    <s v="a glower"/>
    <s v="un regard noir"/>
    <d v="2018-10-09T00:00:00"/>
    <x v="17"/>
    <n v="11"/>
    <n v="0.57894736842105265"/>
  </r>
  <r>
    <s v="to parse"/>
    <s v="analyser"/>
    <d v="2018-10-21T00:00:00"/>
    <x v="17"/>
    <n v="11"/>
    <n v="0.57894736842105265"/>
  </r>
  <r>
    <s v="the nutmeg"/>
    <s v="la noix de muscade"/>
    <d v="2019-01-07T00:00:00"/>
    <x v="17"/>
    <n v="11"/>
    <n v="0.57894736842105265"/>
  </r>
  <r>
    <s v="hurdling (common name)"/>
    <s v="le saut de haie"/>
    <d v="2019-08-05T00:00:00"/>
    <x v="17"/>
    <n v="11"/>
    <n v="0.57894736842105265"/>
  </r>
  <r>
    <s v="a spark plug"/>
    <s v="une bougie d'allumage"/>
    <d v="2019-08-05T00:00:00"/>
    <x v="17"/>
    <n v="11"/>
    <n v="0.57894736842105265"/>
  </r>
  <r>
    <s v="a headgear"/>
    <s v="une coiffure"/>
    <d v="2019-10-29T00:00:00"/>
    <x v="17"/>
    <n v="11"/>
    <n v="0.57894736842105265"/>
  </r>
  <r>
    <s v="a beet"/>
    <s v="une betterave"/>
    <d v="2020-03-10T00:00:00"/>
    <x v="17"/>
    <n v="11"/>
    <n v="0.57894736842105265"/>
  </r>
  <r>
    <s v="an outlet"/>
    <s v="une sortie"/>
    <d v="2021-02-22T00:00:00"/>
    <x v="17"/>
    <n v="11"/>
    <n v="0.57894736842105265"/>
  </r>
  <r>
    <s v="a showcase"/>
    <s v="une vitrine"/>
    <d v="2021-03-01T00:00:00"/>
    <x v="17"/>
    <n v="11"/>
    <n v="0.57894736842105265"/>
  </r>
  <r>
    <s v="a level crossing"/>
    <s v="un passage à niveau"/>
    <d v="2021-04-13T00:00:00"/>
    <x v="17"/>
    <n v="11"/>
    <n v="0.57894736842105265"/>
  </r>
  <r>
    <s v="to discard"/>
    <s v="se débarrasser de, écarter"/>
    <d v="2021-09-21T00:00:00"/>
    <x v="17"/>
    <n v="11"/>
    <n v="0.57894736842105265"/>
  </r>
  <r>
    <s v="an officer"/>
    <s v="un officier / un fonctionnaire, un membre du comité directeur"/>
    <d v="2013-12-13T00:00:00"/>
    <x v="35"/>
    <n v="18"/>
    <n v="0.58064516129032262"/>
  </r>
  <r>
    <s v="a rare steak"/>
    <s v="un steak saignant"/>
    <d v="2021-03-07T00:00:00"/>
    <x v="35"/>
    <n v="18"/>
    <n v="0.58064516129032262"/>
  </r>
  <r>
    <s v="a strike"/>
    <s v="une grève"/>
    <d v="2013-12-13T00:00:00"/>
    <x v="21"/>
    <n v="14"/>
    <n v="0.58333333333333337"/>
  </r>
  <r>
    <s v="a shed"/>
    <s v="un hangar, un abri, un cabanon"/>
    <d v="2013-12-13T00:00:00"/>
    <x v="21"/>
    <n v="14"/>
    <n v="0.58333333333333337"/>
  </r>
  <r>
    <s v="to put someone out"/>
    <s v="mettre quelqu'un mal à l'aise"/>
    <d v="2018-05-17T00:00:00"/>
    <x v="21"/>
    <n v="14"/>
    <n v="0.58333333333333337"/>
  </r>
  <r>
    <s v="a hunch"/>
    <s v="un pressentiment"/>
    <d v="2018-09-29T00:00:00"/>
    <x v="21"/>
    <n v="14"/>
    <n v="0.58333333333333337"/>
  </r>
  <r>
    <s v="a belt (techn.)"/>
    <s v="une courroie"/>
    <d v="2020-02-11T00:00:00"/>
    <x v="21"/>
    <n v="14"/>
    <n v="0.58333333333333337"/>
  </r>
  <r>
    <s v="a cogwheel"/>
    <s v="une roue dentée"/>
    <d v="2020-03-05T00:00:00"/>
    <x v="21"/>
    <n v="14"/>
    <n v="0.58333333333333337"/>
  </r>
  <r>
    <s v="a vagrant"/>
    <s v="un vagabond"/>
    <d v="2020-04-13T00:00:00"/>
    <x v="21"/>
    <n v="14"/>
    <n v="0.58333333333333337"/>
  </r>
  <r>
    <s v="the scaliness"/>
    <s v="l'évolutivité"/>
    <d v="2020-05-18T00:00:00"/>
    <x v="21"/>
    <n v="14"/>
    <n v="0.58333333333333337"/>
  </r>
  <r>
    <s v="a quarter"/>
    <s v="un trimestre / une pièce de vingt-cinq cents"/>
    <d v="2013-12-13T00:00:00"/>
    <x v="29"/>
    <n v="17"/>
    <n v="0.58620689655172409"/>
  </r>
  <r>
    <s v="a watchdog"/>
    <s v="un organisme régulateur"/>
    <d v="2013-12-13T00:00:00"/>
    <x v="29"/>
    <n v="17"/>
    <n v="0.58620689655172409"/>
  </r>
  <r>
    <s v="an alienation"/>
    <s v="un éloignement, un isolement, un détachement"/>
    <d v="2018-08-29T00:00:00"/>
    <x v="29"/>
    <n v="17"/>
    <n v="0.58620689655172409"/>
  </r>
  <r>
    <s v="to tack"/>
    <s v="clouer / se faufiler, essayer une autre tactique"/>
    <d v="2018-10-28T00:00:00"/>
    <x v="29"/>
    <n v="17"/>
    <n v="0.58620689655172409"/>
  </r>
  <r>
    <s v="a sling"/>
    <s v="une élingue / une écharpe médicale"/>
    <d v="2019-12-27T00:00:00"/>
    <x v="29"/>
    <n v="17"/>
    <n v="0.58620689655172409"/>
  </r>
  <r>
    <s v="a pointer"/>
    <s v="une aiguille"/>
    <d v="2020-06-02T00:00:00"/>
    <x v="29"/>
    <n v="17"/>
    <n v="0.58620689655172409"/>
  </r>
  <r>
    <s v="to deceive"/>
    <s v="tromper"/>
    <d v="2011-03-09T00:00:00"/>
    <x v="16"/>
    <n v="10"/>
    <n v="0.58823529411764708"/>
  </r>
  <r>
    <s v="to feature"/>
    <s v="être doté de, être équipé de"/>
    <d v="2013-12-13T00:00:00"/>
    <x v="16"/>
    <n v="10"/>
    <n v="0.58823529411764708"/>
  </r>
  <r>
    <s v="a stroke"/>
    <s v="un coup / un AVC"/>
    <d v="2018-04-16T00:00:00"/>
    <x v="36"/>
    <n v="20"/>
    <n v="0.58823529411764708"/>
  </r>
  <r>
    <s v="a lookout"/>
    <s v="un poste d'observation, de vigie"/>
    <d v="2018-07-15T00:00:00"/>
    <x v="16"/>
    <n v="10"/>
    <n v="0.58823529411764708"/>
  </r>
  <r>
    <s v="woven"/>
    <s v="tissé, tricoté"/>
    <d v="2018-12-04T00:00:00"/>
    <x v="16"/>
    <n v="10"/>
    <n v="0.58823529411764708"/>
  </r>
  <r>
    <s v="All in good time."/>
    <s v="Chaque chose en son temps."/>
    <d v="2019-03-24T00:00:00"/>
    <x v="16"/>
    <n v="10"/>
    <n v="0.58823529411764708"/>
  </r>
  <r>
    <s v="colloquial"/>
    <s v="familier"/>
    <d v="2020-03-05T00:00:00"/>
    <x v="16"/>
    <n v="10"/>
    <n v="0.58823529411764708"/>
  </r>
  <r>
    <s v="a scatter"/>
    <s v="une dispersion"/>
    <d v="2020-03-10T00:00:00"/>
    <x v="16"/>
    <n v="10"/>
    <n v="0.58823529411764708"/>
  </r>
  <r>
    <s v="dim"/>
    <s v="faible"/>
    <d v="2020-05-18T00:00:00"/>
    <x v="16"/>
    <n v="10"/>
    <n v="0.58823529411764708"/>
  </r>
  <r>
    <s v="moldy"/>
    <s v="moisi"/>
    <d v="2020-07-14T00:00:00"/>
    <x v="16"/>
    <n v="10"/>
    <n v="0.58823529411764708"/>
  </r>
  <r>
    <s v="buttocks (common name)"/>
    <s v="les fesses (oh !)"/>
    <d v="2021-02-22T00:00:00"/>
    <x v="16"/>
    <n v="10"/>
    <n v="0.58823529411764708"/>
  </r>
  <r>
    <s v="the inroad"/>
    <s v="l'incursion, l'empiètement"/>
    <d v="2011-03-09T00:00:00"/>
    <x v="22"/>
    <n v="13"/>
    <n v="0.59090909090909094"/>
  </r>
  <r>
    <s v="a labourer"/>
    <s v="un manœuvre"/>
    <d v="2013-12-13T00:00:00"/>
    <x v="22"/>
    <n v="13"/>
    <n v="0.59090909090909094"/>
  </r>
  <r>
    <s v="a hearing"/>
    <s v="une audience (au tribunal, …)"/>
    <d v="2013-12-13T00:00:00"/>
    <x v="22"/>
    <n v="13"/>
    <n v="0.59090909090909094"/>
  </r>
  <r>
    <s v="a revival"/>
    <s v="une remise en vigueur"/>
    <d v="2013-12-13T00:00:00"/>
    <x v="22"/>
    <n v="13"/>
    <n v="0.59090909090909094"/>
  </r>
  <r>
    <s v="a stalemate"/>
    <s v="un marasme (écon.) / une impasse"/>
    <d v="2013-12-13T00:00:00"/>
    <x v="22"/>
    <n v="13"/>
    <n v="0.59090909090909094"/>
  </r>
  <r>
    <s v="a misdemeanour"/>
    <s v="une infraction, un délit mineur"/>
    <d v="2013-12-13T00:00:00"/>
    <x v="22"/>
    <n v="13"/>
    <n v="0.59090909090909094"/>
  </r>
  <r>
    <s v="to chatter"/>
    <s v="jacasser"/>
    <d v="2018-05-17T00:00:00"/>
    <x v="22"/>
    <n v="13"/>
    <n v="0.59090909090909094"/>
  </r>
  <r>
    <s v="secretive"/>
    <s v="secret"/>
    <d v="2018-07-14T00:00:00"/>
    <x v="22"/>
    <n v="13"/>
    <n v="0.59090909090909094"/>
  </r>
  <r>
    <s v="gilt (adj.)"/>
    <s v="doré"/>
    <d v="2018-10-24T00:00:00"/>
    <x v="22"/>
    <n v="13"/>
    <n v="0.59090909090909094"/>
  </r>
  <r>
    <s v="to defile"/>
    <s v="souillez, profaner, salir"/>
    <d v="2018-11-18T00:00:00"/>
    <x v="22"/>
    <n v="13"/>
    <n v="0.59090909090909094"/>
  </r>
  <r>
    <s v="to crop"/>
    <s v="rogner / surgir / récolter"/>
    <d v="2019-05-20T00:00:00"/>
    <x v="22"/>
    <n v="13"/>
    <n v="0.59090909090909094"/>
  </r>
  <r>
    <s v="vented"/>
    <s v="ventilé"/>
    <d v="2019-11-06T00:00:00"/>
    <x v="22"/>
    <n v="13"/>
    <n v="0.59090909090909094"/>
  </r>
  <r>
    <s v="a windfall"/>
    <s v="une aubaine"/>
    <d v="2019-11-18T00:00:00"/>
    <x v="22"/>
    <n v="13"/>
    <n v="0.59090909090909094"/>
  </r>
  <r>
    <s v="to abridge"/>
    <s v="abréger"/>
    <d v="2020-04-20T00:00:00"/>
    <x v="22"/>
    <n v="13"/>
    <n v="0.59090909090909094"/>
  </r>
  <r>
    <s v="to lurk"/>
    <s v="se cacher"/>
    <d v="2020-07-14T00:00:00"/>
    <x v="22"/>
    <n v="13"/>
    <n v="0.59090909090909094"/>
  </r>
  <r>
    <s v="a throughput"/>
    <s v="un débit"/>
    <d v="2020-07-21T00:00:00"/>
    <x v="22"/>
    <n v="13"/>
    <n v="0.59090909090909094"/>
  </r>
  <r>
    <s v="to throb"/>
    <s v="palpiter"/>
    <d v="2020-07-21T00:00:00"/>
    <x v="22"/>
    <n v="13"/>
    <n v="0.59090909090909094"/>
  </r>
  <r>
    <s v="complacent"/>
    <s v="content de soi"/>
    <d v="2011-03-09T00:00:00"/>
    <x v="28"/>
    <n v="16"/>
    <n v="0.59259259259259256"/>
  </r>
  <r>
    <s v="a general practitioner"/>
    <s v="un médecin généraliste"/>
    <d v="2011-03-09T00:00:00"/>
    <x v="28"/>
    <n v="16"/>
    <n v="0.59259259259259256"/>
  </r>
  <r>
    <s v="in turn"/>
    <s v="à son tour"/>
    <d v="2018-05-27T00:00:00"/>
    <x v="28"/>
    <n v="16"/>
    <n v="0.59259259259259256"/>
  </r>
  <r>
    <s v="grasper (adj.)"/>
    <s v="compréhensif"/>
    <d v="2018-11-20T00:00:00"/>
    <x v="28"/>
    <n v="16"/>
    <n v="0.59259259259259256"/>
  </r>
  <r>
    <s v="a rim"/>
    <s v="une jante"/>
    <d v="2018-12-10T00:00:00"/>
    <x v="28"/>
    <n v="16"/>
    <n v="0.59259259259259256"/>
  </r>
  <r>
    <s v="bromine"/>
    <s v="le brome"/>
    <d v="2019-01-28T00:00:00"/>
    <x v="28"/>
    <n v="16"/>
    <n v="0.59259259259259256"/>
  </r>
  <r>
    <s v="a token"/>
    <s v="un jeton"/>
    <d v="2019-05-20T00:00:00"/>
    <x v="28"/>
    <n v="16"/>
    <n v="0.59259259259259256"/>
  </r>
  <r>
    <s v="a timeliness"/>
    <s v="une opportunité"/>
    <d v="2019-11-18T00:00:00"/>
    <x v="28"/>
    <n v="16"/>
    <n v="0.59259259259259256"/>
  </r>
  <r>
    <s v="to trade off"/>
    <s v="troquer"/>
    <d v="2020-06-22T00:00:00"/>
    <x v="28"/>
    <n v="16"/>
    <n v="0.59259259259259256"/>
  </r>
  <r>
    <s v="a yield"/>
    <s v="une production, un rendement"/>
    <d v="2011-03-09T00:00:00"/>
    <x v="27"/>
    <n v="19"/>
    <n v="0.59375"/>
  </r>
  <r>
    <s v="a scheme"/>
    <s v="un plan, un système"/>
    <d v="2013-12-13T00:00:00"/>
    <x v="27"/>
    <n v="19"/>
    <n v="0.59375"/>
  </r>
  <r>
    <s v="galore (adv.)"/>
    <s v="en abondance"/>
    <d v="2018-08-29T00:00:00"/>
    <x v="27"/>
    <n v="19"/>
    <n v="0.59375"/>
  </r>
  <r>
    <s v="a buck"/>
    <s v="un dollar / un mâle, un mec, quelqu'un d'élégant"/>
    <d v="2018-12-04T00:00:00"/>
    <x v="27"/>
    <n v="19"/>
    <n v="0.59375"/>
  </r>
  <r>
    <s v="a blast"/>
    <s v="un jet / une rafale"/>
    <d v="2011-03-09T00:00:00"/>
    <x v="26"/>
    <n v="15"/>
    <n v="0.6"/>
  </r>
  <r>
    <s v="to recede"/>
    <s v="s'éloigner, se retirer"/>
    <d v="2011-03-09T00:00:00"/>
    <x v="11"/>
    <n v="9"/>
    <n v="0.6"/>
  </r>
  <r>
    <s v="neat"/>
    <s v="pur, ordonné"/>
    <d v="2011-03-09T00:00:00"/>
    <x v="11"/>
    <n v="9"/>
    <n v="0.6"/>
  </r>
  <r>
    <s v="to tell off"/>
    <s v="réprimander"/>
    <d v="2011-03-09T00:00:00"/>
    <x v="11"/>
    <n v="9"/>
    <n v="0.6"/>
  </r>
  <r>
    <s v="sheer (adj.)"/>
    <s v="véritable"/>
    <d v="2011-03-09T00:00:00"/>
    <x v="0"/>
    <n v="6"/>
    <n v="0.6"/>
  </r>
  <r>
    <s v="the payroll"/>
    <s v="les effectifs, la paie globale"/>
    <d v="2013-12-13T00:00:00"/>
    <x v="20"/>
    <n v="12"/>
    <n v="0.6"/>
  </r>
  <r>
    <s v="to draft"/>
    <s v="rédiger"/>
    <d v="2013-12-13T00:00:00"/>
    <x v="20"/>
    <n v="12"/>
    <n v="0.6"/>
  </r>
  <r>
    <s v="to register"/>
    <s v="s’inscrire"/>
    <d v="2013-12-13T00:00:00"/>
    <x v="26"/>
    <n v="15"/>
    <n v="0.6"/>
  </r>
  <r>
    <s v="liable"/>
    <s v="responsable"/>
    <d v="2013-12-13T00:00:00"/>
    <x v="11"/>
    <n v="9"/>
    <n v="0.6"/>
  </r>
  <r>
    <s v="to escalate"/>
    <s v="s’intensifier, monter en flèche / remonter un problème"/>
    <d v="2013-12-13T00:00:00"/>
    <x v="20"/>
    <n v="12"/>
    <n v="0.6"/>
  </r>
  <r>
    <s v="a proficiency"/>
    <s v="une grande compétence"/>
    <d v="2013-12-13T00:00:00"/>
    <x v="20"/>
    <n v="12"/>
    <n v="0.6"/>
  </r>
  <r>
    <s v="a beggar"/>
    <s v="un mendiant"/>
    <d v="2018-04-15T00:00:00"/>
    <x v="30"/>
    <n v="18"/>
    <n v="0.6"/>
  </r>
  <r>
    <s v="to glean"/>
    <s v="glaner / découvrir"/>
    <d v="2018-04-15T00:00:00"/>
    <x v="20"/>
    <n v="12"/>
    <n v="0.6"/>
  </r>
  <r>
    <s v="a nickel"/>
    <s v="une pièce de cinq cents"/>
    <d v="2018-05-17T00:00:00"/>
    <x v="26"/>
    <n v="15"/>
    <n v="0.6"/>
  </r>
  <r>
    <s v="best part of forty years"/>
    <s v="presque quarante ans"/>
    <d v="2018-08-17T00:00:00"/>
    <x v="11"/>
    <n v="9"/>
    <n v="0.6"/>
  </r>
  <r>
    <s v="a goose"/>
    <s v="une oie"/>
    <d v="2018-11-18T00:00:00"/>
    <x v="20"/>
    <n v="12"/>
    <n v="0.6"/>
  </r>
  <r>
    <s v="a workaround"/>
    <s v="une solution de contournement"/>
    <d v="2019-08-12T00:00:00"/>
    <x v="20"/>
    <n v="12"/>
    <n v="0.6"/>
  </r>
  <r>
    <s v="skewed"/>
    <s v="faussé / assymétrique"/>
    <d v="2019-10-14T00:00:00"/>
    <x v="32"/>
    <n v="21"/>
    <n v="0.6"/>
  </r>
  <r>
    <s v="the snout"/>
    <s v="le museau"/>
    <d v="2019-10-29T00:00:00"/>
    <x v="26"/>
    <n v="15"/>
    <n v="0.6"/>
  </r>
  <r>
    <s v="the mortgage balance"/>
    <s v="le solde hypothécaire"/>
    <d v="2019-11-02T00:00:00"/>
    <x v="26"/>
    <n v="15"/>
    <n v="0.6"/>
  </r>
  <r>
    <s v="the salience"/>
    <s v="la saillance"/>
    <d v="2019-11-06T00:00:00"/>
    <x v="11"/>
    <n v="9"/>
    <n v="0.6"/>
  </r>
  <r>
    <s v="to grit"/>
    <s v="grincer"/>
    <d v="2019-12-03T00:00:00"/>
    <x v="20"/>
    <n v="12"/>
    <n v="0.6"/>
  </r>
  <r>
    <s v="to squeeze"/>
    <s v="écraser"/>
    <d v="2020-01-18T00:00:00"/>
    <x v="11"/>
    <n v="9"/>
    <n v="0.6"/>
  </r>
  <r>
    <s v="a propshaft"/>
    <s v="un arbre de transmission"/>
    <d v="2020-01-27T00:00:00"/>
    <x v="11"/>
    <n v="9"/>
    <n v="0.6"/>
  </r>
  <r>
    <s v="to entitle (smbdy)"/>
    <s v="habiliter (quelqu'un)"/>
    <d v="2020-01-28T00:00:00"/>
    <x v="11"/>
    <n v="9"/>
    <n v="0.6"/>
  </r>
  <r>
    <s v="a rim"/>
    <s v="une jante"/>
    <d v="2020-03-05T00:00:00"/>
    <x v="20"/>
    <n v="12"/>
    <n v="0.6"/>
  </r>
  <r>
    <s v="trifling (adj.)"/>
    <s v="insignifiant"/>
    <d v="2020-04-20T00:00:00"/>
    <x v="26"/>
    <n v="15"/>
    <n v="0.6"/>
  </r>
  <r>
    <s v="a triteness"/>
    <s v="une banalité"/>
    <d v="2020-06-02T00:00:00"/>
    <x v="26"/>
    <n v="15"/>
    <n v="0.6"/>
  </r>
  <r>
    <s v="watery (adj.)"/>
    <s v="aqueux"/>
    <d v="2020-07-14T00:00:00"/>
    <x v="11"/>
    <n v="9"/>
    <n v="0.6"/>
  </r>
  <r>
    <s v="a hideout"/>
    <s v="une cachette"/>
    <d v="2020-07-21T00:00:00"/>
    <x v="26"/>
    <n v="15"/>
    <n v="0.6"/>
  </r>
  <r>
    <s v="a nook"/>
    <s v="un coin"/>
    <d v="2021-02-08T00:00:00"/>
    <x v="20"/>
    <n v="12"/>
    <n v="0.6"/>
  </r>
  <r>
    <s v="out of fear"/>
    <s v="par peur"/>
    <d v="2021-02-21T00:00:00"/>
    <x v="26"/>
    <n v="15"/>
    <n v="0.6"/>
  </r>
  <r>
    <s v="to withhold"/>
    <s v="retenir"/>
    <d v="2021-02-22T00:00:00"/>
    <x v="20"/>
    <n v="12"/>
    <n v="0.6"/>
  </r>
  <r>
    <s v="a weather vane"/>
    <s v="une girouette"/>
    <d v="2021-03-16T00:00:00"/>
    <x v="20"/>
    <n v="12"/>
    <n v="0.6"/>
  </r>
  <r>
    <s v="rote"/>
    <s v="par cœur"/>
    <d v="2021-07-04T00:00:00"/>
    <x v="26"/>
    <n v="15"/>
    <n v="0.6"/>
  </r>
  <r>
    <s v="a wedge"/>
    <s v="un coin, une cale"/>
    <d v="2021-07-19T00:00:00"/>
    <x v="11"/>
    <n v="9"/>
    <n v="0.6"/>
  </r>
  <r>
    <s v="a recoil"/>
    <s v="un mouvement de recul"/>
    <d v="2021-09-24T00:00:00"/>
    <x v="20"/>
    <n v="12"/>
    <n v="0.6"/>
  </r>
  <r>
    <s v="a beanstalk"/>
    <s v="une tige de haricot / un haricot magique"/>
    <d v="2021-10-28T00:00:00"/>
    <x v="11"/>
    <n v="9"/>
    <n v="0.6"/>
  </r>
  <r>
    <s v="to shrinkwrap"/>
    <s v="emballer sous papier plastique"/>
    <d v="2021-12-01T00:00:00"/>
    <x v="11"/>
    <n v="9"/>
    <n v="0.6"/>
  </r>
  <r>
    <s v="to blather"/>
    <s v="bavarder, débiter des bêtises"/>
    <d v="2022-01-03T00:00:00"/>
    <x v="0"/>
    <n v="6"/>
    <n v="0.6"/>
  </r>
  <r>
    <s v="a racoon"/>
    <s v="un raton-laveur"/>
    <d v="2022-01-05T00:00:00"/>
    <x v="11"/>
    <n v="9"/>
    <n v="0.6"/>
  </r>
  <r>
    <s v="to chisel"/>
    <s v="buriner, ciseler"/>
    <d v="2022-01-07T00:00:00"/>
    <x v="0"/>
    <n v="6"/>
    <n v="0.6"/>
  </r>
  <r>
    <s v="a vial"/>
    <s v="une fiole, une bouteille"/>
    <d v="2022-01-23T00:00:00"/>
    <x v="0"/>
    <n v="6"/>
    <n v="0.6"/>
  </r>
  <r>
    <s v="a heatsink"/>
    <s v="un dissipateur de chaleur"/>
    <d v="2022-03-10T00:00:00"/>
    <x v="0"/>
    <n v="6"/>
    <n v="0.6"/>
  </r>
  <r>
    <s v="a guestbook"/>
    <s v="un livre d'or"/>
    <d v="2022-04-11T00:00:00"/>
    <x v="9"/>
    <n v="3"/>
    <n v="0.6"/>
  </r>
  <r>
    <s v="a hedgedog"/>
    <s v="un hérisson"/>
    <d v="2022-04-22T00:00:00"/>
    <x v="9"/>
    <n v="3"/>
    <n v="0.6"/>
  </r>
  <r>
    <s v="as of this recording (expr.)"/>
    <s v="au moment où cette vidéo est enregistrée"/>
    <d v="2022-06-21T00:00:00"/>
    <x v="9"/>
    <n v="3"/>
    <n v="0.6"/>
  </r>
  <r>
    <s v="a bushel"/>
    <s v="un boisseau"/>
    <d v="2022-08-20T00:00:00"/>
    <x v="9"/>
    <n v="3"/>
    <n v="0.6"/>
  </r>
  <r>
    <s v="a dud"/>
    <s v="une pièce NOK / une nippe"/>
    <d v="2018-12-17T00:00:00"/>
    <x v="31"/>
    <n v="20"/>
    <n v="0.60606060606060608"/>
  </r>
  <r>
    <s v="hunky dory (expr.)"/>
    <s v="au poil"/>
    <d v="2021-01-25T00:00:00"/>
    <x v="31"/>
    <n v="20"/>
    <n v="0.60606060606060608"/>
  </r>
  <r>
    <s v="wares"/>
    <s v="les marchandises"/>
    <d v="2013-12-13T00:00:00"/>
    <x v="25"/>
    <n v="17"/>
    <n v="0.6071428571428571"/>
  </r>
  <r>
    <s v="a welfare system"/>
    <s v="un système de protection sociale"/>
    <d v="2013-12-13T00:00:00"/>
    <x v="25"/>
    <n v="17"/>
    <n v="0.6071428571428571"/>
  </r>
  <r>
    <s v="a closet"/>
    <s v="une armoire, un placard, une penderie"/>
    <d v="2013-12-13T00:00:00"/>
    <x v="25"/>
    <n v="17"/>
    <n v="0.6071428571428571"/>
  </r>
  <r>
    <s v="to amend"/>
    <s v="modifier"/>
    <d v="2013-12-13T00:00:00"/>
    <x v="25"/>
    <n v="17"/>
    <n v="0.6071428571428571"/>
  </r>
  <r>
    <s v="to keep to"/>
    <s v="ne pas s’écarter de, respecter"/>
    <d v="2013-12-13T00:00:00"/>
    <x v="25"/>
    <n v="17"/>
    <n v="0.6071428571428571"/>
  </r>
  <r>
    <s v="I'll be moving in."/>
    <s v="Je serai en train d'emménager."/>
    <d v="2018-08-13T00:00:00"/>
    <x v="25"/>
    <n v="17"/>
    <n v="0.6071428571428571"/>
  </r>
  <r>
    <s v="stranded"/>
    <s v="échoué / coincé"/>
    <d v="2018-10-17T00:00:00"/>
    <x v="25"/>
    <n v="17"/>
    <n v="0.6071428571428571"/>
  </r>
  <r>
    <s v="a gale"/>
    <s v="un coup de vent"/>
    <d v="2018-11-11T00:00:00"/>
    <x v="25"/>
    <n v="17"/>
    <n v="0.6071428571428571"/>
  </r>
  <r>
    <s v="towering"/>
    <s v="imposant"/>
    <d v="2019-11-07T00:00:00"/>
    <x v="25"/>
    <n v="17"/>
    <n v="0.6071428571428571"/>
  </r>
  <r>
    <s v="sleet (common name)"/>
    <s v="la neige fondue"/>
    <d v="2021-03-14T00:00:00"/>
    <x v="25"/>
    <n v="17"/>
    <n v="0.6071428571428571"/>
  </r>
  <r>
    <s v="mandatory"/>
    <s v="obligatoire"/>
    <d v="2013-12-13T00:00:00"/>
    <x v="23"/>
    <n v="14"/>
    <n v="0.60869565217391308"/>
  </r>
  <r>
    <s v="a savings bank"/>
    <s v="une caisse d’épargne"/>
    <d v="2013-12-13T00:00:00"/>
    <x v="23"/>
    <n v="14"/>
    <n v="0.60869565217391308"/>
  </r>
  <r>
    <s v="an agenda"/>
    <s v="un ordre du jour, un programme"/>
    <d v="2013-12-13T00:00:00"/>
    <x v="23"/>
    <n v="14"/>
    <n v="0.60869565217391308"/>
  </r>
  <r>
    <s v="billing (common name)"/>
    <s v="la facturation"/>
    <d v="2013-12-13T00:00:00"/>
    <x v="23"/>
    <n v="14"/>
    <n v="0.60869565217391308"/>
  </r>
  <r>
    <s v="bank holiday"/>
    <s v="un jour férié, un jour chômé légal"/>
    <d v="2013-12-13T00:00:00"/>
    <x v="23"/>
    <n v="14"/>
    <n v="0.60869565217391308"/>
  </r>
  <r>
    <s v="in mint condition"/>
    <s v="comme neuf"/>
    <d v="2018-05-17T00:00:00"/>
    <x v="23"/>
    <n v="14"/>
    <n v="0.60869565217391308"/>
  </r>
  <r>
    <s v="snuff (common name)"/>
    <s v="du tabac à priser"/>
    <d v="2018-05-17T00:00:00"/>
    <x v="23"/>
    <n v="14"/>
    <n v="0.60869565217391308"/>
  </r>
  <r>
    <s v="undisguisedly"/>
    <s v="indistinctement"/>
    <d v="2018-08-29T00:00:00"/>
    <x v="23"/>
    <n v="14"/>
    <n v="0.60869565217391308"/>
  </r>
  <r>
    <s v="spiritedness"/>
    <s v="la vivacité"/>
    <d v="2018-10-31T00:00:00"/>
    <x v="23"/>
    <n v="14"/>
    <n v="0.60869565217391308"/>
  </r>
  <r>
    <s v="a shoal"/>
    <s v="un banc (de poisson, de sable)"/>
    <d v="2019-01-07T00:00:00"/>
    <x v="23"/>
    <n v="14"/>
    <n v="0.60869565217391308"/>
  </r>
  <r>
    <s v="to takeover"/>
    <s v="prendre le contrôle"/>
    <d v="2019-01-28T00:00:00"/>
    <x v="23"/>
    <n v="14"/>
    <n v="0.60869565217391308"/>
  </r>
  <r>
    <s v="fads (common name)"/>
    <s v="des manies"/>
    <d v="2019-07-27T00:00:00"/>
    <x v="23"/>
    <n v="14"/>
    <n v="0.60869565217391308"/>
  </r>
  <r>
    <s v="an air conditioner"/>
    <s v="une climatisation"/>
    <d v="2019-07-27T00:00:00"/>
    <x v="23"/>
    <n v="14"/>
    <n v="0.60869565217391308"/>
  </r>
  <r>
    <s v="a pebble"/>
    <s v="un galet"/>
    <d v="2019-11-07T00:00:00"/>
    <x v="23"/>
    <n v="14"/>
    <n v="0.60869565217391308"/>
  </r>
  <r>
    <s v="crass (adj.)"/>
    <s v="grossier"/>
    <d v="2021-01-25T00:00:00"/>
    <x v="23"/>
    <n v="14"/>
    <n v="0.60869565217391308"/>
  </r>
  <r>
    <s v="a solicitor (UK)"/>
    <s v="un avocat (UK)"/>
    <d v="2011-03-09T00:00:00"/>
    <x v="18"/>
    <n v="11"/>
    <n v="0.61111111111111116"/>
  </r>
  <r>
    <s v="a thrust"/>
    <s v="une poussée"/>
    <d v="2011-03-09T00:00:00"/>
    <x v="18"/>
    <n v="11"/>
    <n v="0.61111111111111116"/>
  </r>
  <r>
    <s v="to wrench"/>
    <s v="tordre"/>
    <d v="2011-03-09T00:00:00"/>
    <x v="18"/>
    <n v="11"/>
    <n v="0.61111111111111116"/>
  </r>
  <r>
    <s v="manpower (common name)"/>
    <s v="la main d’œuvre"/>
    <d v="2013-12-13T00:00:00"/>
    <x v="18"/>
    <n v="11"/>
    <n v="0.61111111111111116"/>
  </r>
  <r>
    <s v="the directions"/>
    <s v="les indications, les instructions"/>
    <d v="2013-12-13T00:00:00"/>
    <x v="18"/>
    <n v="11"/>
    <n v="0.61111111111111116"/>
  </r>
  <r>
    <s v="a fudge"/>
    <s v="un caramel / une blague / les dernières nouvelles"/>
    <d v="2018-10-25T00:00:00"/>
    <x v="18"/>
    <n v="11"/>
    <n v="0.61111111111111116"/>
  </r>
  <r>
    <s v="the fang"/>
    <s v="les crocs"/>
    <d v="2019-01-07T00:00:00"/>
    <x v="18"/>
    <n v="11"/>
    <n v="0.61111111111111116"/>
  </r>
  <r>
    <s v="a fence"/>
    <s v="une clôture"/>
    <d v="2019-05-20T00:00:00"/>
    <x v="18"/>
    <n v="11"/>
    <n v="0.61111111111111116"/>
  </r>
  <r>
    <s v="a compass"/>
    <s v="une boussole"/>
    <d v="2019-08-05T00:00:00"/>
    <x v="18"/>
    <n v="11"/>
    <n v="0.61111111111111116"/>
  </r>
  <r>
    <s v="whence"/>
    <s v="d'où"/>
    <d v="2020-02-11T00:00:00"/>
    <x v="18"/>
    <n v="11"/>
    <n v="0.61111111111111116"/>
  </r>
  <r>
    <s v="hitherto"/>
    <s v="jusqu'ici"/>
    <d v="2020-02-11T00:00:00"/>
    <x v="18"/>
    <n v="11"/>
    <n v="0.61111111111111116"/>
  </r>
  <r>
    <s v="a winding"/>
    <s v="un enroulement"/>
    <d v="2020-06-22T00:00:00"/>
    <x v="18"/>
    <n v="11"/>
    <n v="0.61111111111111116"/>
  </r>
  <r>
    <s v="a hood"/>
    <s v="un capot"/>
    <d v="2020-07-02T00:00:00"/>
    <x v="18"/>
    <n v="11"/>
    <n v="0.61111111111111116"/>
  </r>
  <r>
    <s v="a caterer"/>
    <s v="un traiteur"/>
    <d v="2021-02-08T00:00:00"/>
    <x v="18"/>
    <n v="11"/>
    <n v="0.61111111111111116"/>
  </r>
  <r>
    <s v="a thankless work"/>
    <s v="un travail ingrat"/>
    <d v="2021-03-07T00:00:00"/>
    <x v="18"/>
    <n v="11"/>
    <n v="0.61111111111111116"/>
  </r>
  <r>
    <s v="Mayday!"/>
    <s v="Au secours !"/>
    <d v="2021-03-21T00:00:00"/>
    <x v="18"/>
    <n v="11"/>
    <n v="0.61111111111111116"/>
  </r>
  <r>
    <s v="to flourish"/>
    <s v="prospérer, être en plein essor"/>
    <d v="2013-12-13T00:00:00"/>
    <x v="35"/>
    <n v="19"/>
    <n v="0.61290322580645162"/>
  </r>
  <r>
    <s v="a trolley"/>
    <s v="un chariot"/>
    <d v="2013-12-13T00:00:00"/>
    <x v="35"/>
    <n v="19"/>
    <n v="0.61290322580645162"/>
  </r>
  <r>
    <s v="to condone"/>
    <s v="fermer les yeux sur / pardonner"/>
    <d v="2018-10-31T00:00:00"/>
    <x v="35"/>
    <n v="19"/>
    <n v="0.61290322580645162"/>
  </r>
  <r>
    <s v="to dangle"/>
    <s v="pendre, balancer"/>
    <d v="2018-12-16T00:00:00"/>
    <x v="35"/>
    <n v="19"/>
    <n v="0.61290322580645162"/>
  </r>
  <r>
    <s v="We found her passed out."/>
    <s v="On l'a retrouvée évanouie."/>
    <d v="2019-03-24T00:00:00"/>
    <x v="35"/>
    <n v="19"/>
    <n v="0.61290322580645162"/>
  </r>
  <r>
    <s v="blandness"/>
    <s v="la douceur / la fadeur"/>
    <d v="2019-07-27T00:00:00"/>
    <x v="35"/>
    <n v="19"/>
    <n v="0.61290322580645162"/>
  </r>
  <r>
    <s v="to sweep"/>
    <s v="balayer"/>
    <d v="2011-03-09T00:00:00"/>
    <x v="24"/>
    <n v="16"/>
    <n v="0.61538461538461542"/>
  </r>
  <r>
    <s v="ore (common name)"/>
    <s v="le minerai"/>
    <d v="2013-09-05T00:00:00"/>
    <x v="24"/>
    <n v="16"/>
    <n v="0.61538461538461542"/>
  </r>
  <r>
    <s v="to withstand"/>
    <s v="résister"/>
    <d v="2013-12-13T00:00:00"/>
    <x v="24"/>
    <n v="16"/>
    <n v="0.61538461538461542"/>
  </r>
  <r>
    <s v="domestic"/>
    <s v="national, intérieur"/>
    <d v="2013-12-13T00:00:00"/>
    <x v="24"/>
    <n v="16"/>
    <n v="0.61538461538461542"/>
  </r>
  <r>
    <s v="a severance package"/>
    <s v="une indemnité de licenciement"/>
    <d v="2013-12-13T00:00:00"/>
    <x v="24"/>
    <n v="16"/>
    <n v="0.61538461538461542"/>
  </r>
  <r>
    <s v="a factory floor"/>
    <s v="un atelier de production"/>
    <d v="2013-12-13T00:00:00"/>
    <x v="1"/>
    <n v="8"/>
    <n v="0.61538461538461542"/>
  </r>
  <r>
    <s v="to stand out"/>
    <s v="ressortir, se détacher / trancher"/>
    <d v="2013-12-13T00:00:00"/>
    <x v="24"/>
    <n v="16"/>
    <n v="0.61538461538461542"/>
  </r>
  <r>
    <s v="to cash"/>
    <s v="encaisser"/>
    <d v="2013-12-13T00:00:00"/>
    <x v="1"/>
    <n v="8"/>
    <n v="0.61538461538461542"/>
  </r>
  <r>
    <s v="to peel"/>
    <s v="peler (un légume)"/>
    <d v="2018-05-17T00:00:00"/>
    <x v="24"/>
    <n v="16"/>
    <n v="0.61538461538461542"/>
  </r>
  <r>
    <s v="a telling example"/>
    <s v="un exemple évocateur"/>
    <d v="2018-05-17T00:00:00"/>
    <x v="24"/>
    <n v="16"/>
    <n v="0.61538461538461542"/>
  </r>
  <r>
    <s v="to squirm"/>
    <s v="se tortiller"/>
    <d v="2018-08-29T00:00:00"/>
    <x v="24"/>
    <n v="16"/>
    <n v="0.61538461538461542"/>
  </r>
  <r>
    <s v="a lair"/>
    <s v="un repaire, une tanière"/>
    <d v="2018-11-17T00:00:00"/>
    <x v="1"/>
    <n v="8"/>
    <n v="0.61538461538461542"/>
  </r>
  <r>
    <s v="to topple"/>
    <s v="renverser"/>
    <d v="2019-08-12T00:00:00"/>
    <x v="24"/>
    <n v="16"/>
    <n v="0.61538461538461542"/>
  </r>
  <r>
    <s v="a peddler"/>
    <s v="un colporteur"/>
    <d v="2020-03-10T00:00:00"/>
    <x v="24"/>
    <n v="16"/>
    <n v="0.61538461538461542"/>
  </r>
  <r>
    <s v="a spike"/>
    <s v="une pointe"/>
    <d v="2020-05-18T00:00:00"/>
    <x v="24"/>
    <n v="16"/>
    <n v="0.61538461538461542"/>
  </r>
  <r>
    <s v="a blurb"/>
    <s v="une présentation"/>
    <d v="2021-02-15T00:00:00"/>
    <x v="36"/>
    <n v="21"/>
    <n v="0.61764705882352944"/>
  </r>
  <r>
    <s v="a classified advertisement"/>
    <s v="une petite annonce"/>
    <d v="2013-12-13T00:00:00"/>
    <x v="19"/>
    <n v="13"/>
    <n v="0.61904761904761907"/>
  </r>
  <r>
    <s v="word of mouth"/>
    <s v="le bouche à oreille"/>
    <d v="2013-12-13T00:00:00"/>
    <x v="19"/>
    <n v="13"/>
    <n v="0.61904761904761907"/>
  </r>
  <r>
    <s v="retail (common name)"/>
    <s v="la vente au détail"/>
    <d v="2013-12-13T00:00:00"/>
    <x v="19"/>
    <n v="13"/>
    <n v="0.61904761904761907"/>
  </r>
  <r>
    <s v="junk (common name)"/>
    <s v="un déchet, un article mis au rebut"/>
    <d v="2013-12-13T00:00:00"/>
    <x v="19"/>
    <n v="13"/>
    <n v="0.61904761904761907"/>
  </r>
  <r>
    <s v="barbed"/>
    <s v="barbelé, acéré"/>
    <d v="2018-10-10T00:00:00"/>
    <x v="19"/>
    <n v="13"/>
    <n v="0.61904761904761907"/>
  </r>
  <r>
    <s v="on the verge"/>
    <s v="sur le point de"/>
    <d v="2018-10-28T00:00:00"/>
    <x v="19"/>
    <n v="13"/>
    <n v="0.61904761904761907"/>
  </r>
  <r>
    <s v="a snippet"/>
    <s v="un extrait"/>
    <d v="2019-05-20T00:00:00"/>
    <x v="19"/>
    <n v="13"/>
    <n v="0.61904761904761907"/>
  </r>
  <r>
    <s v="a remittance"/>
    <s v="une remise"/>
    <d v="2019-07-27T00:00:00"/>
    <x v="19"/>
    <n v="13"/>
    <n v="0.61904761904761907"/>
  </r>
  <r>
    <s v="a bead"/>
    <s v="une perle"/>
    <d v="2019-12-27T00:00:00"/>
    <x v="19"/>
    <n v="13"/>
    <n v="0.61904761904761907"/>
  </r>
  <r>
    <s v="smelting (common name)"/>
    <s v="la fonte"/>
    <d v="2020-05-11T00:00:00"/>
    <x v="19"/>
    <n v="13"/>
    <n v="0.61904761904761907"/>
  </r>
  <r>
    <s v="the utmost"/>
    <s v="le maximum"/>
    <d v="2020-06-22T00:00:00"/>
    <x v="19"/>
    <n v="13"/>
    <n v="0.61904761904761907"/>
  </r>
  <r>
    <s v="a headache"/>
    <s v="un mal de tête"/>
    <d v="2021-02-14T00:00:00"/>
    <x v="19"/>
    <n v="13"/>
    <n v="0.61904761904761907"/>
  </r>
  <r>
    <s v="a handout"/>
    <s v="un polycopié"/>
    <d v="2021-02-24T00:00:00"/>
    <x v="19"/>
    <n v="13"/>
    <n v="0.61904761904761907"/>
  </r>
  <r>
    <s v="a ladder"/>
    <s v="une échelle"/>
    <d v="2021-03-07T00:00:00"/>
    <x v="19"/>
    <n v="13"/>
    <n v="0.61904761904761907"/>
  </r>
  <r>
    <s v="a crane"/>
    <s v="une grue (de chantier)"/>
    <d v="2021-03-07T00:00:00"/>
    <x v="19"/>
    <n v="13"/>
    <n v="0.61904761904761907"/>
  </r>
  <r>
    <s v="to disprove"/>
    <s v="réfuter"/>
    <d v="2021-07-22T00:00:00"/>
    <x v="19"/>
    <n v="13"/>
    <n v="0.61904761904761907"/>
  </r>
  <r>
    <s v="to pass on"/>
    <s v="transmettre"/>
    <d v="2013-09-05T00:00:00"/>
    <x v="29"/>
    <n v="18"/>
    <n v="0.62068965517241381"/>
  </r>
  <r>
    <s v="a sprain"/>
    <s v="une foulure"/>
    <d v="2013-09-05T00:00:00"/>
    <x v="29"/>
    <n v="18"/>
    <n v="0.62068965517241381"/>
  </r>
  <r>
    <s v="eventually"/>
    <s v="finalement"/>
    <d v="2013-12-13T00:00:00"/>
    <x v="29"/>
    <n v="18"/>
    <n v="0.62068965517241381"/>
  </r>
  <r>
    <s v="a clip"/>
    <s v="une agrafe, une attache"/>
    <d v="2018-11-14T00:00:00"/>
    <x v="29"/>
    <n v="18"/>
    <n v="0.62068965517241381"/>
  </r>
  <r>
    <s v="concrete (common name)"/>
    <s v="le béton"/>
    <d v="2011-03-09T00:00:00"/>
    <x v="6"/>
    <n v="10"/>
    <n v="0.625"/>
  </r>
  <r>
    <s v="selfsame"/>
    <s v="identique"/>
    <d v="2011-03-09T00:00:00"/>
    <x v="6"/>
    <n v="10"/>
    <n v="0.625"/>
  </r>
  <r>
    <s v="versatile"/>
    <s v="polyvalent"/>
    <d v="2011-03-09T00:00:00"/>
    <x v="6"/>
    <n v="10"/>
    <n v="0.625"/>
  </r>
  <r>
    <s v="to arise"/>
    <s v="survenir, se présenter, se poser"/>
    <d v="2013-12-13T00:00:00"/>
    <x v="21"/>
    <n v="15"/>
    <n v="0.625"/>
  </r>
  <r>
    <s v="an outage"/>
    <s v="une interruption de service, une coupure de courant"/>
    <d v="2013-12-13T00:00:00"/>
    <x v="6"/>
    <n v="10"/>
    <n v="0.625"/>
  </r>
  <r>
    <s v="networking"/>
    <s v="l'établissement d’un réseau de relations"/>
    <d v="2013-12-13T00:00:00"/>
    <x v="6"/>
    <n v="10"/>
    <n v="0.625"/>
  </r>
  <r>
    <s v="a charge (forensic)"/>
    <s v="une inculpation, un chef d’inculpation"/>
    <d v="2013-12-13T00:00:00"/>
    <x v="21"/>
    <n v="15"/>
    <n v="0.625"/>
  </r>
  <r>
    <s v="a dainty"/>
    <s v="une friandise"/>
    <d v="2018-04-15T00:00:00"/>
    <x v="21"/>
    <n v="15"/>
    <n v="0.625"/>
  </r>
  <r>
    <s v="shop-lifting"/>
    <s v="le chapardage"/>
    <d v="2018-05-17T00:00:00"/>
    <x v="6"/>
    <n v="10"/>
    <n v="0.625"/>
  </r>
  <r>
    <s v="to dwarf"/>
    <s v="rapetisser, faire paraître petit"/>
    <d v="2018-07-17T00:00:00"/>
    <x v="21"/>
    <n v="15"/>
    <n v="0.625"/>
  </r>
  <r>
    <s v="grim"/>
    <s v="sinistre, triste"/>
    <d v="2018-10-27T00:00:00"/>
    <x v="21"/>
    <n v="15"/>
    <n v="0.625"/>
  </r>
  <r>
    <s v="misnomer (adj.)"/>
    <s v="mal nommé"/>
    <d v="2018-11-02T00:00:00"/>
    <x v="21"/>
    <n v="15"/>
    <n v="0.625"/>
  </r>
  <r>
    <s v="a den"/>
    <s v="une tanière"/>
    <d v="2018-11-18T00:00:00"/>
    <x v="21"/>
    <n v="15"/>
    <n v="0.625"/>
  </r>
  <r>
    <s v="impervious"/>
    <s v="imperméable"/>
    <d v="2019-07-27T00:00:00"/>
    <x v="6"/>
    <n v="10"/>
    <n v="0.625"/>
  </r>
  <r>
    <s v="savvy (common name)"/>
    <s v="le bon sens, la jugeote"/>
    <d v="2019-12-27T00:00:00"/>
    <x v="6"/>
    <n v="10"/>
    <n v="0.625"/>
  </r>
  <r>
    <s v="a square deal"/>
    <s v="un arrangement équitable"/>
    <d v="2020-01-27T00:00:00"/>
    <x v="6"/>
    <n v="10"/>
    <n v="0.625"/>
  </r>
  <r>
    <s v="an axle"/>
    <s v="un essieu"/>
    <d v="2020-01-27T00:00:00"/>
    <x v="6"/>
    <n v="10"/>
    <n v="0.625"/>
  </r>
  <r>
    <s v="an ingot"/>
    <s v="un lingot"/>
    <d v="2020-02-11T00:00:00"/>
    <x v="21"/>
    <n v="15"/>
    <n v="0.625"/>
  </r>
  <r>
    <s v="the whereabouts"/>
    <s v="où"/>
    <d v="2020-03-10T00:00:00"/>
    <x v="27"/>
    <n v="20"/>
    <n v="0.625"/>
  </r>
  <r>
    <s v="a cheerleader"/>
    <s v="une pom-pom girl"/>
    <d v="2020-06-22T00:00:00"/>
    <x v="3"/>
    <n v="5"/>
    <n v="0.625"/>
  </r>
  <r>
    <s v="firsthand (adj.)"/>
    <s v="de première main"/>
    <d v="2020-06-22T00:00:00"/>
    <x v="6"/>
    <n v="10"/>
    <n v="0.625"/>
  </r>
  <r>
    <s v="a furlough"/>
    <s v="un congé, une permission"/>
    <d v="2021-02-08T00:00:00"/>
    <x v="6"/>
    <n v="10"/>
    <n v="0.625"/>
  </r>
  <r>
    <s v="a lobster"/>
    <s v="un homard"/>
    <d v="2021-03-07T00:00:00"/>
    <x v="6"/>
    <n v="10"/>
    <n v="0.625"/>
  </r>
  <r>
    <s v="to stammer"/>
    <s v="balbutier"/>
    <d v="2021-04-13T00:00:00"/>
    <x v="21"/>
    <n v="15"/>
    <n v="0.625"/>
  </r>
  <r>
    <s v="a slash"/>
    <s v="une coupure"/>
    <d v="2013-09-05T00:00:00"/>
    <x v="32"/>
    <n v="22"/>
    <n v="0.62857142857142856"/>
  </r>
  <r>
    <s v="unwieldy (adj.)"/>
    <s v="lourd"/>
    <d v="2018-11-18T00:00:00"/>
    <x v="32"/>
    <n v="22"/>
    <n v="0.62857142857142856"/>
  </r>
  <r>
    <s v="cutting-edge"/>
    <s v="dernier cri"/>
    <d v="2011-03-09T00:00:00"/>
    <x v="28"/>
    <n v="17"/>
    <n v="0.62962962962962965"/>
  </r>
  <r>
    <s v="to compel"/>
    <s v="obliger"/>
    <d v="2013-12-13T00:00:00"/>
    <x v="28"/>
    <n v="17"/>
    <n v="0.62962962962962965"/>
  </r>
  <r>
    <s v="stilted"/>
    <s v="guindé"/>
    <d v="2018-10-28T00:00:00"/>
    <x v="28"/>
    <n v="17"/>
    <n v="0.62962962962962965"/>
  </r>
  <r>
    <s v="a slot"/>
    <s v="une fente, une rainure"/>
    <d v="2019-03-16T00:00:00"/>
    <x v="28"/>
    <n v="17"/>
    <n v="0.62962962962962965"/>
  </r>
  <r>
    <s v="padded"/>
    <s v="rembourré"/>
    <d v="2019-10-23T00:00:00"/>
    <x v="28"/>
    <n v="17"/>
    <n v="0.62962962962962965"/>
  </r>
  <r>
    <s v="a shamrock"/>
    <s v="un trèfle"/>
    <d v="2019-11-02T00:00:00"/>
    <x v="28"/>
    <n v="17"/>
    <n v="0.62962962962962965"/>
  </r>
  <r>
    <s v="to vest"/>
    <s v="déléguer"/>
    <d v="2019-11-02T00:00:00"/>
    <x v="28"/>
    <n v="17"/>
    <n v="0.62962962962962965"/>
  </r>
  <r>
    <s v="a bucket"/>
    <s v="un seau"/>
    <d v="2019-12-27T00:00:00"/>
    <x v="28"/>
    <n v="17"/>
    <n v="0.62962962962962965"/>
  </r>
  <r>
    <s v="a leash"/>
    <s v="une laisse"/>
    <d v="2020-06-22T00:00:00"/>
    <x v="28"/>
    <n v="17"/>
    <n v="0.62962962962962965"/>
  </r>
  <r>
    <s v="a hardcover"/>
    <s v="une couverture rigide"/>
    <d v="2021-02-08T00:00:00"/>
    <x v="28"/>
    <n v="17"/>
    <n v="0.62962962962962965"/>
  </r>
  <r>
    <s v="a trade wind"/>
    <s v="un alizé"/>
    <d v="2021-03-14T00:00:00"/>
    <x v="28"/>
    <n v="17"/>
    <n v="0.62962962962962965"/>
  </r>
  <r>
    <s v="a crackdown"/>
    <s v="une répression"/>
    <d v="2011-03-09T00:00:00"/>
    <x v="17"/>
    <n v="12"/>
    <n v="0.63157894736842102"/>
  </r>
  <r>
    <s v="an overflow"/>
    <s v="un débordement, des inondations"/>
    <d v="2011-03-09T00:00:00"/>
    <x v="17"/>
    <n v="12"/>
    <n v="0.63157894736842102"/>
  </r>
  <r>
    <s v="a farmer"/>
    <s v="un paysan"/>
    <d v="2018-05-17T00:00:00"/>
    <x v="17"/>
    <n v="12"/>
    <n v="0.63157894736842102"/>
  </r>
  <r>
    <s v="Don't get so upset!"/>
    <s v="Ne te fâche pas !"/>
    <d v="2018-05-17T00:00:00"/>
    <x v="17"/>
    <n v="12"/>
    <n v="0.63157894736842102"/>
  </r>
  <r>
    <s v="a rake"/>
    <s v="un râteau"/>
    <d v="2018-07-09T00:00:00"/>
    <x v="17"/>
    <n v="12"/>
    <n v="0.63157894736842102"/>
  </r>
  <r>
    <s v="to rattle"/>
    <s v="ébranler, déstabiliser / agiter / crépiter"/>
    <d v="2018-09-27T00:00:00"/>
    <x v="17"/>
    <n v="12"/>
    <n v="0.63157894736842102"/>
  </r>
  <r>
    <s v="shaky"/>
    <s v="précaire, instable"/>
    <d v="2018-10-04T00:00:00"/>
    <x v="17"/>
    <n v="12"/>
    <n v="0.63157894736842102"/>
  </r>
  <r>
    <s v="a mayhem"/>
    <s v="du grabuge / une destruction"/>
    <d v="2018-11-18T00:00:00"/>
    <x v="17"/>
    <n v="12"/>
    <n v="0.63157894736842102"/>
  </r>
  <r>
    <s v="blight (common name)"/>
    <s v="la rouille / la corruption / la brûlure"/>
    <d v="2018-12-10T00:00:00"/>
    <x v="17"/>
    <n v="12"/>
    <n v="0.63157894736842102"/>
  </r>
  <r>
    <s v="Nitrogene"/>
    <s v="l'azote"/>
    <d v="2019-01-28T00:00:00"/>
    <x v="17"/>
    <n v="12"/>
    <n v="0.63157894736842102"/>
  </r>
  <r>
    <s v="approximately"/>
    <s v="environ"/>
    <d v="2019-07-27T00:00:00"/>
    <x v="17"/>
    <n v="12"/>
    <n v="0.63157894736842102"/>
  </r>
  <r>
    <s v="to team up with"/>
    <s v="faire équipe avec"/>
    <d v="2019-11-06T00:00:00"/>
    <x v="17"/>
    <n v="12"/>
    <n v="0.63157894736842102"/>
  </r>
  <r>
    <s v="on the job"/>
    <s v="sur le tas"/>
    <d v="2019-11-18T00:00:00"/>
    <x v="17"/>
    <n v="12"/>
    <n v="0.63157894736842102"/>
  </r>
  <r>
    <s v="to swell"/>
    <s v="gonfler"/>
    <d v="2020-03-10T00:00:00"/>
    <x v="17"/>
    <n v="12"/>
    <n v="0.63157894736842102"/>
  </r>
  <r>
    <s v="a brink"/>
    <s v="un bord"/>
    <d v="2020-06-22T00:00:00"/>
    <x v="17"/>
    <n v="12"/>
    <n v="0.63157894736842102"/>
  </r>
  <r>
    <s v="aching (adj.)"/>
    <s v="douloureux"/>
    <d v="2020-07-14T00:00:00"/>
    <x v="17"/>
    <n v="12"/>
    <n v="0.63157894736842102"/>
  </r>
  <r>
    <s v="dirt (common name)"/>
    <s v="la saleté"/>
    <d v="2020-07-14T00:00:00"/>
    <x v="17"/>
    <n v="12"/>
    <n v="0.63157894736842102"/>
  </r>
  <r>
    <s v="a stitch"/>
    <s v="un point de suture"/>
    <d v="2013-09-05T00:00:00"/>
    <x v="30"/>
    <n v="19"/>
    <n v="0.6333333333333333"/>
  </r>
  <r>
    <s v="to vaunt"/>
    <s v="se vanter"/>
    <d v="2018-11-26T00:00:00"/>
    <x v="30"/>
    <n v="19"/>
    <n v="0.6333333333333333"/>
  </r>
  <r>
    <s v="seemingly"/>
    <s v="apparemment"/>
    <d v="2020-07-30T00:00:00"/>
    <x v="30"/>
    <n v="19"/>
    <n v="0.6333333333333333"/>
  </r>
  <r>
    <s v="a jolt"/>
    <s v="une secousse"/>
    <d v="2011-03-09T00:00:00"/>
    <x v="31"/>
    <n v="21"/>
    <n v="0.63636363636363635"/>
  </r>
  <r>
    <s v="the forehead"/>
    <s v="le front"/>
    <d v="2011-03-09T00:00:00"/>
    <x v="5"/>
    <n v="7"/>
    <n v="0.63636363636363635"/>
  </r>
  <r>
    <s v="previous / prior (adj.)"/>
    <s v="antécédent, antérieur"/>
    <d v="2013-12-13T00:00:00"/>
    <x v="22"/>
    <n v="14"/>
    <n v="0.63636363636363635"/>
  </r>
  <r>
    <s v="a lawsuit"/>
    <s v="une poursuite judiciaire"/>
    <d v="2013-12-13T00:00:00"/>
    <x v="22"/>
    <n v="14"/>
    <n v="0.63636363636363635"/>
  </r>
  <r>
    <s v="to devise"/>
    <s v="concevoir"/>
    <d v="2013-12-13T00:00:00"/>
    <x v="22"/>
    <n v="14"/>
    <n v="0.63636363636363635"/>
  </r>
  <r>
    <s v="a cash point"/>
    <s v="un distributeur de billet"/>
    <d v="2013-12-13T00:00:00"/>
    <x v="22"/>
    <n v="14"/>
    <n v="0.63636363636363635"/>
  </r>
  <r>
    <s v="freight (common name)"/>
    <s v="le fret"/>
    <d v="2013-12-13T00:00:00"/>
    <x v="22"/>
    <n v="14"/>
    <n v="0.63636363636363635"/>
  </r>
  <r>
    <s v="to swap"/>
    <s v="échanger"/>
    <d v="2013-12-13T00:00:00"/>
    <x v="22"/>
    <n v="14"/>
    <n v="0.63636363636363635"/>
  </r>
  <r>
    <s v="The Queen Elizabeth"/>
    <s v="Le paquebot &quot;Queen Elizabeth&quot;"/>
    <d v="2018-05-17T00:00:00"/>
    <x v="22"/>
    <n v="14"/>
    <n v="0.63636363636363635"/>
  </r>
  <r>
    <s v="a business slump"/>
    <s v="un marasme économique"/>
    <d v="2018-05-17T00:00:00"/>
    <x v="22"/>
    <n v="14"/>
    <n v="0.63636363636363635"/>
  </r>
  <r>
    <s v="a gaol"/>
    <s v="une prison, une geôle"/>
    <d v="2018-08-29T00:00:00"/>
    <x v="22"/>
    <n v="14"/>
    <n v="0.63636363636363635"/>
  </r>
  <r>
    <s v="a helmsman"/>
    <s v="un timonier, un homme de barre"/>
    <d v="2018-08-29T00:00:00"/>
    <x v="22"/>
    <n v="14"/>
    <n v="0.63636363636363635"/>
  </r>
  <r>
    <s v="the bedrock"/>
    <s v="la base, le soubassement, la fondation"/>
    <d v="2018-09-27T00:00:00"/>
    <x v="22"/>
    <n v="14"/>
    <n v="0.63636363636363635"/>
  </r>
  <r>
    <s v="a spitoon"/>
    <s v="un crachoir"/>
    <d v="2018-11-02T00:00:00"/>
    <x v="22"/>
    <n v="14"/>
    <n v="0.63636363636363635"/>
  </r>
  <r>
    <s v="a closed shop"/>
    <s v="un milieu professionnel où l'adhésion à un syndicat est la condition pour être employé"/>
    <d v="2018-11-04T00:00:00"/>
    <x v="22"/>
    <n v="14"/>
    <n v="0.63636363636363635"/>
  </r>
  <r>
    <s v="a gravedigger"/>
    <s v="un fossoyeur"/>
    <d v="2018-11-11T00:00:00"/>
    <x v="22"/>
    <n v="14"/>
    <n v="0.63636363636363635"/>
  </r>
  <r>
    <s v="deprecated"/>
    <s v="obsolète"/>
    <d v="2019-05-20T00:00:00"/>
    <x v="22"/>
    <n v="14"/>
    <n v="0.63636363636363635"/>
  </r>
  <r>
    <s v="fern (common name)"/>
    <s v="la fougère"/>
    <d v="2019-10-29T00:00:00"/>
    <x v="22"/>
    <n v="14"/>
    <n v="0.63636363636363635"/>
  </r>
  <r>
    <s v="to take the leap"/>
    <s v="faire le grand saut"/>
    <d v="2019-11-02T00:00:00"/>
    <x v="22"/>
    <n v="14"/>
    <n v="0.63636363636363635"/>
  </r>
  <r>
    <s v="a shortcoming"/>
    <s v="un défaut"/>
    <d v="2019-11-06T00:00:00"/>
    <x v="22"/>
    <n v="14"/>
    <n v="0.63636363636363635"/>
  </r>
  <r>
    <s v="to scatter"/>
    <s v="disperser"/>
    <d v="2020-05-11T00:00:00"/>
    <x v="22"/>
    <n v="14"/>
    <n v="0.63636363636363635"/>
  </r>
  <r>
    <s v="poultry (common name)"/>
    <s v="la volaille"/>
    <d v="2020-05-11T00:00:00"/>
    <x v="22"/>
    <n v="14"/>
    <n v="0.63636363636363635"/>
  </r>
  <r>
    <s v="to read out"/>
    <s v="lire à haute voix"/>
    <d v="2020-05-11T00:00:00"/>
    <x v="22"/>
    <n v="14"/>
    <n v="0.63636363636363635"/>
  </r>
  <r>
    <s v="a prank"/>
    <s v="une farce"/>
    <d v="2020-06-02T00:00:00"/>
    <x v="5"/>
    <n v="7"/>
    <n v="0.63636363636363635"/>
  </r>
  <r>
    <s v="twofold"/>
    <s v="double"/>
    <d v="2020-06-22T00:00:00"/>
    <x v="22"/>
    <n v="14"/>
    <n v="0.63636363636363635"/>
  </r>
  <r>
    <s v="a craftsman"/>
    <s v="un artisan"/>
    <d v="2021-02-14T00:00:00"/>
    <x v="5"/>
    <n v="7"/>
    <n v="0.63636363636363635"/>
  </r>
  <r>
    <s v="a parlour"/>
    <s v="un parloir / un petit salon, une arrière-salle"/>
    <d v="2021-02-24T00:00:00"/>
    <x v="22"/>
    <n v="14"/>
    <n v="0.63636363636363635"/>
  </r>
  <r>
    <s v="to rein in"/>
    <s v="maîtriser"/>
    <d v="2021-07-18T00:00:00"/>
    <x v="22"/>
    <n v="14"/>
    <n v="0.63636363636363635"/>
  </r>
  <r>
    <s v="a war chest"/>
    <s v="un coffre de guerre"/>
    <d v="2021-07-18T00:00:00"/>
    <x v="5"/>
    <n v="7"/>
    <n v="0.63636363636363635"/>
  </r>
  <r>
    <s v="to evade"/>
    <s v="éviter"/>
    <d v="2011-03-09T00:00:00"/>
    <x v="26"/>
    <n v="16"/>
    <n v="0.64"/>
  </r>
  <r>
    <s v="merely"/>
    <s v="seulement"/>
    <d v="2011-03-09T00:00:00"/>
    <x v="26"/>
    <n v="16"/>
    <n v="0.64"/>
  </r>
  <r>
    <s v="an alloy"/>
    <s v="un alliage"/>
    <d v="2013-09-05T00:00:00"/>
    <x v="26"/>
    <n v="16"/>
    <n v="0.64"/>
  </r>
  <r>
    <s v="a counter"/>
    <s v="un comptoir, un guichet"/>
    <d v="2013-12-13T00:00:00"/>
    <x v="26"/>
    <n v="16"/>
    <n v="0.64"/>
  </r>
  <r>
    <s v="matter-of-fact (adj.)"/>
    <s v="neutre, qui se limite aux faits"/>
    <d v="2013-12-13T00:00:00"/>
    <x v="26"/>
    <n v="16"/>
    <n v="0.64"/>
  </r>
  <r>
    <s v="the M.O.T."/>
    <s v="Ministry of Transport (contrôle automobile annuel)"/>
    <d v="2018-05-17T00:00:00"/>
    <x v="26"/>
    <n v="16"/>
    <n v="0.64"/>
  </r>
  <r>
    <s v="a bulwark"/>
    <s v="un rempart, des fortifications"/>
    <d v="2018-10-05T00:00:00"/>
    <x v="26"/>
    <n v="16"/>
    <n v="0.64"/>
  </r>
  <r>
    <s v="to pespire"/>
    <s v="transpirer"/>
    <d v="2018-11-21T00:00:00"/>
    <x v="26"/>
    <n v="16"/>
    <n v="0.64"/>
  </r>
  <r>
    <s v="well-heeled"/>
    <s v="bien nantis"/>
    <d v="2018-12-17T00:00:00"/>
    <x v="26"/>
    <n v="16"/>
    <n v="0.64"/>
  </r>
  <r>
    <s v="an underwriting"/>
    <s v="une souscription"/>
    <d v="2019-05-20T00:00:00"/>
    <x v="26"/>
    <n v="16"/>
    <n v="0.64"/>
  </r>
  <r>
    <s v="unrelenting"/>
    <s v="implacable"/>
    <d v="2019-07-27T00:00:00"/>
    <x v="26"/>
    <n v="16"/>
    <n v="0.64"/>
  </r>
  <r>
    <s v="to come into being"/>
    <s v="naître"/>
    <d v="2020-06-22T00:00:00"/>
    <x v="26"/>
    <n v="16"/>
    <n v="0.64"/>
  </r>
  <r>
    <s v="a mallet"/>
    <s v="un maillet"/>
    <d v="2021-03-28T00:00:00"/>
    <x v="26"/>
    <n v="16"/>
    <n v="0.64"/>
  </r>
  <r>
    <s v="to maim"/>
    <s v="estropier, mutiler"/>
    <d v="2013-09-05T00:00:00"/>
    <x v="25"/>
    <n v="18"/>
    <n v="0.6428571428571429"/>
  </r>
  <r>
    <s v="a load"/>
    <s v="un poids, une charge, une pression"/>
    <d v="2013-12-13T00:00:00"/>
    <x v="8"/>
    <n v="9"/>
    <n v="0.6428571428571429"/>
  </r>
  <r>
    <s v="dire"/>
    <s v="terrible"/>
    <d v="2018-12-10T00:00:00"/>
    <x v="25"/>
    <n v="18"/>
    <n v="0.6428571428571429"/>
  </r>
  <r>
    <s v="to hold true"/>
    <s v="être vrai"/>
    <d v="2019-11-18T00:00:00"/>
    <x v="25"/>
    <n v="18"/>
    <n v="0.6428571428571429"/>
  </r>
  <r>
    <s v="a cookbook"/>
    <s v="un livre de recettes"/>
    <d v="2020-05-11T00:00:00"/>
    <x v="25"/>
    <n v="18"/>
    <n v="0.6428571428571429"/>
  </r>
  <r>
    <s v="a leap year"/>
    <s v="une année bissextile"/>
    <d v="2020-05-18T00:00:00"/>
    <x v="8"/>
    <n v="9"/>
    <n v="0.6428571428571429"/>
  </r>
  <r>
    <s v="a weirdo"/>
    <s v="un type bizarre"/>
    <d v="2020-07-14T00:00:00"/>
    <x v="8"/>
    <n v="9"/>
    <n v="0.6428571428571429"/>
  </r>
  <r>
    <s v="to clutter"/>
    <s v="encombrer"/>
    <d v="2011-03-09T00:00:00"/>
    <x v="35"/>
    <n v="20"/>
    <n v="0.64516129032258063"/>
  </r>
  <r>
    <s v="open-ended"/>
    <s v="qui n'a pas de limite clairement déterminée"/>
    <d v="2018-09-25T00:00:00"/>
    <x v="35"/>
    <n v="20"/>
    <n v="0.64516129032258063"/>
  </r>
  <r>
    <s v="to shudder"/>
    <s v="frémir"/>
    <d v="2019-07-27T00:00:00"/>
    <x v="35"/>
    <n v="20"/>
    <n v="0.64516129032258063"/>
  </r>
  <r>
    <s v="a horse sense"/>
    <s v="du bon sens"/>
    <d v="2020-01-27T00:00:00"/>
    <x v="35"/>
    <n v="20"/>
    <n v="0.64516129032258063"/>
  </r>
  <r>
    <s v="a nuke"/>
    <s v="une arme nucléaire"/>
    <d v="2011-03-09T00:00:00"/>
    <x v="16"/>
    <n v="11"/>
    <n v="0.6470588235294118"/>
  </r>
  <r>
    <s v="a venture"/>
    <s v="un risque"/>
    <d v="2011-03-09T00:00:00"/>
    <x v="16"/>
    <n v="11"/>
    <n v="0.6470588235294118"/>
  </r>
  <r>
    <s v="electrical appliances"/>
    <s v="les appareils électro-ménagers"/>
    <d v="2011-03-09T00:00:00"/>
    <x v="16"/>
    <n v="11"/>
    <n v="0.6470588235294118"/>
  </r>
  <r>
    <s v="a framework"/>
    <s v="une charpente"/>
    <d v="2013-09-05T00:00:00"/>
    <x v="16"/>
    <n v="11"/>
    <n v="0.6470588235294118"/>
  </r>
  <r>
    <s v="off-peak"/>
    <s v="en heures creuses"/>
    <d v="2013-12-13T00:00:00"/>
    <x v="16"/>
    <n v="11"/>
    <n v="0.6470588235294118"/>
  </r>
  <r>
    <s v="to sag"/>
    <s v="dégringoler, fléchir"/>
    <d v="2013-12-13T00:00:00"/>
    <x v="36"/>
    <n v="22"/>
    <n v="0.6470588235294118"/>
  </r>
  <r>
    <s v="a caption"/>
    <s v="une légende, un sous-titre"/>
    <d v="2013-12-13T00:00:00"/>
    <x v="16"/>
    <n v="11"/>
    <n v="0.6470588235294118"/>
  </r>
  <r>
    <s v="a cleaner"/>
    <s v="une dame de ménage / un teinturier"/>
    <d v="2013-12-13T00:00:00"/>
    <x v="16"/>
    <n v="11"/>
    <n v="0.6470588235294118"/>
  </r>
  <r>
    <s v="to swell"/>
    <s v="se gonfler"/>
    <d v="2018-04-15T00:00:00"/>
    <x v="16"/>
    <n v="11"/>
    <n v="0.6470588235294118"/>
  </r>
  <r>
    <s v="a voucher"/>
    <s v="une pièce justificative"/>
    <d v="2018-07-17T00:00:00"/>
    <x v="16"/>
    <n v="11"/>
    <n v="0.6470588235294118"/>
  </r>
  <r>
    <s v="frantic"/>
    <s v="frénétique"/>
    <d v="2018-07-30T00:00:00"/>
    <x v="36"/>
    <n v="22"/>
    <n v="0.6470588235294118"/>
  </r>
  <r>
    <s v="appalled"/>
    <s v="consterné, épouvanté, scandalisé"/>
    <d v="2018-08-29T00:00:00"/>
    <x v="16"/>
    <n v="11"/>
    <n v="0.6470588235294118"/>
  </r>
  <r>
    <s v="carpentry (common name)"/>
    <s v="la charpenterie"/>
    <d v="2018-10-17T00:00:00"/>
    <x v="16"/>
    <n v="11"/>
    <n v="0.6470588235294118"/>
  </r>
  <r>
    <s v="unabashed"/>
    <s v="nullement intimidé"/>
    <d v="2018-11-02T00:00:00"/>
    <x v="16"/>
    <n v="11"/>
    <n v="0.6470588235294118"/>
  </r>
  <r>
    <s v="a saddle"/>
    <s v="une selle / un col"/>
    <d v="2018-11-19T00:00:00"/>
    <x v="16"/>
    <n v="11"/>
    <n v="0.6470588235294118"/>
  </r>
  <r>
    <s v="prattling"/>
    <s v="des babillages"/>
    <d v="2018-11-23T00:00:00"/>
    <x v="16"/>
    <n v="11"/>
    <n v="0.6470588235294118"/>
  </r>
  <r>
    <s v="barren"/>
    <s v="stérile, aride / ingrat"/>
    <d v="2018-11-26T00:00:00"/>
    <x v="16"/>
    <n v="11"/>
    <n v="0.6470588235294118"/>
  </r>
  <r>
    <s v="far cry (expr.)"/>
    <s v="en être loin"/>
    <d v="2018-12-10T00:00:00"/>
    <x v="16"/>
    <n v="11"/>
    <n v="0.6470588235294118"/>
  </r>
  <r>
    <s v="the asbestos"/>
    <s v="l'amiante"/>
    <d v="2018-12-10T00:00:00"/>
    <x v="16"/>
    <n v="11"/>
    <n v="0.6470588235294118"/>
  </r>
  <r>
    <s v="peculiar"/>
    <s v="particulier"/>
    <d v="2019-05-20T00:00:00"/>
    <x v="16"/>
    <n v="11"/>
    <n v="0.6470588235294118"/>
  </r>
  <r>
    <s v="linen"/>
    <s v="le lin"/>
    <d v="2019-10-23T00:00:00"/>
    <x v="16"/>
    <n v="11"/>
    <n v="0.6470588235294118"/>
  </r>
  <r>
    <s v="tool wear (common name)"/>
    <s v="l'usure des outils"/>
    <d v="2019-12-03T00:00:00"/>
    <x v="16"/>
    <n v="11"/>
    <n v="0.6470588235294118"/>
  </r>
  <r>
    <s v="to tromp"/>
    <s v="marcher sur un terrain difficile"/>
    <d v="2020-02-11T00:00:00"/>
    <x v="16"/>
    <n v="11"/>
    <n v="0.6470588235294118"/>
  </r>
  <r>
    <s v="to get stable"/>
    <s v="pourrir, devenir périmé"/>
    <d v="2020-08-03T00:00:00"/>
    <x v="16"/>
    <n v="11"/>
    <n v="0.6470588235294118"/>
  </r>
  <r>
    <s v="to mimic"/>
    <s v="imiter"/>
    <d v="2021-02-25T00:00:00"/>
    <x v="16"/>
    <n v="11"/>
    <n v="0.6470588235294118"/>
  </r>
  <r>
    <s v="to tone down"/>
    <s v="atténuer"/>
    <d v="2021-03-28T00:00:00"/>
    <x v="16"/>
    <n v="11"/>
    <n v="0.6470588235294118"/>
  </r>
  <r>
    <s v="froth (common name)"/>
    <s v="la mousse, l'écume"/>
    <d v="2021-10-02T00:00:00"/>
    <x v="16"/>
    <n v="11"/>
    <n v="0.6470588235294118"/>
  </r>
  <r>
    <s v="a pit"/>
    <s v="une fosse"/>
    <d v="2011-03-09T00:00:00"/>
    <x v="20"/>
    <n v="13"/>
    <n v="0.65"/>
  </r>
  <r>
    <s v="besides (adv.)"/>
    <s v="d’ailleurs, du reste, en outre"/>
    <d v="2013-12-13T00:00:00"/>
    <x v="20"/>
    <n v="13"/>
    <n v="0.65"/>
  </r>
  <r>
    <s v="to rap"/>
    <s v="donner un coup sec, frapper"/>
    <d v="2018-04-15T00:00:00"/>
    <x v="20"/>
    <n v="13"/>
    <n v="0.65"/>
  </r>
  <r>
    <s v="He slumped in his chair."/>
    <s v="Il s'affala dans son fauteuil."/>
    <d v="2018-05-17T00:00:00"/>
    <x v="20"/>
    <n v="13"/>
    <n v="0.65"/>
  </r>
  <r>
    <s v="a soulmate"/>
    <s v="une âme sœur"/>
    <d v="2018-08-29T00:00:00"/>
    <x v="20"/>
    <n v="13"/>
    <n v="0.65"/>
  </r>
  <r>
    <s v="a weasel"/>
    <s v="une belette, une fouine"/>
    <d v="2018-11-14T00:00:00"/>
    <x v="20"/>
    <n v="13"/>
    <n v="0.65"/>
  </r>
  <r>
    <s v="a trail"/>
    <s v="un sentier, une piste"/>
    <d v="2018-11-18T00:00:00"/>
    <x v="20"/>
    <n v="13"/>
    <n v="0.65"/>
  </r>
  <r>
    <s v="the breath"/>
    <s v="l'haleine"/>
    <d v="2019-06-17T00:00:00"/>
    <x v="20"/>
    <n v="13"/>
    <n v="0.65"/>
  </r>
  <r>
    <s v="desperation (common name)"/>
    <s v="le désespoir"/>
    <d v="2019-07-15T00:00:00"/>
    <x v="20"/>
    <n v="13"/>
    <n v="0.65"/>
  </r>
  <r>
    <s v="a lawn"/>
    <s v="une pelouse"/>
    <d v="2019-07-27T00:00:00"/>
    <x v="20"/>
    <n v="13"/>
    <n v="0.65"/>
  </r>
  <r>
    <s v="inching (expr.)"/>
    <s v="pas à pas"/>
    <d v="2019-08-12T00:00:00"/>
    <x v="20"/>
    <n v="13"/>
    <n v="0.65"/>
  </r>
  <r>
    <s v="a conch"/>
    <s v="une conque (coquillage)"/>
    <d v="2019-11-02T00:00:00"/>
    <x v="20"/>
    <n v="13"/>
    <n v="0.65"/>
  </r>
  <r>
    <s v="a reed"/>
    <s v="un roseau"/>
    <d v="2020-05-18T00:00:00"/>
    <x v="20"/>
    <n v="13"/>
    <n v="0.65"/>
  </r>
  <r>
    <s v="a maze"/>
    <s v="un labyrinthe"/>
    <d v="2020-07-14T00:00:00"/>
    <x v="20"/>
    <n v="13"/>
    <n v="0.65"/>
  </r>
  <r>
    <s v="a tow truck"/>
    <s v="une dépanneuse"/>
    <d v="2021-04-13T00:00:00"/>
    <x v="20"/>
    <n v="13"/>
    <n v="0.65"/>
  </r>
  <r>
    <s v="to comply with"/>
    <s v="être conforme à, respecter"/>
    <d v="2013-12-13T00:00:00"/>
    <x v="23"/>
    <n v="15"/>
    <n v="0.65217391304347827"/>
  </r>
  <r>
    <s v="a downtown"/>
    <s v="un centre-ville, un centre commerçant"/>
    <d v="2013-12-13T00:00:00"/>
    <x v="23"/>
    <n v="15"/>
    <n v="0.65217391304347827"/>
  </r>
  <r>
    <s v="a scope"/>
    <s v="une portée, une étendue, un champ d’action, un domaine"/>
    <d v="2013-12-13T00:00:00"/>
    <x v="23"/>
    <n v="15"/>
    <n v="0.65217391304347827"/>
  </r>
  <r>
    <s v="a turnkey project"/>
    <s v="un projet clés en main"/>
    <d v="2013-12-13T00:00:00"/>
    <x v="23"/>
    <n v="15"/>
    <n v="0.65217391304347827"/>
  </r>
  <r>
    <s v="bankable"/>
    <s v="fiable, sûr de rapporter du succès dans les affaires"/>
    <d v="2018-08-29T00:00:00"/>
    <x v="23"/>
    <n v="15"/>
    <n v="0.65217391304347827"/>
  </r>
  <r>
    <s v="a mish mash"/>
    <s v="un méli-mélo"/>
    <d v="2018-12-04T00:00:00"/>
    <x v="23"/>
    <n v="15"/>
    <n v="0.65217391304347827"/>
  </r>
  <r>
    <s v="to clamp down"/>
    <s v="réprimer"/>
    <d v="2019-01-07T00:00:00"/>
    <x v="23"/>
    <n v="15"/>
    <n v="0.65217391304347827"/>
  </r>
  <r>
    <s v="the kinship"/>
    <s v="la parenté"/>
    <d v="2019-01-07T00:00:00"/>
    <x v="23"/>
    <n v="15"/>
    <n v="0.65217391304347827"/>
  </r>
  <r>
    <s v="a cap"/>
    <s v="une casquette"/>
    <d v="2019-03-24T00:00:00"/>
    <x v="23"/>
    <n v="15"/>
    <n v="0.65217391304347827"/>
  </r>
  <r>
    <s v="a hull"/>
    <s v="une coque"/>
    <d v="2019-05-18T00:00:00"/>
    <x v="23"/>
    <n v="15"/>
    <n v="0.65217391304347827"/>
  </r>
  <r>
    <s v="to slacken"/>
    <s v="ralentir, se relâcher"/>
    <d v="2019-05-20T00:00:00"/>
    <x v="23"/>
    <n v="15"/>
    <n v="0.65217391304347827"/>
  </r>
  <r>
    <s v="to indwell"/>
    <s v="habiter"/>
    <d v="2019-05-20T00:00:00"/>
    <x v="23"/>
    <n v="15"/>
    <n v="0.65217391304347827"/>
  </r>
  <r>
    <s v="stiff (adj.)"/>
    <s v="rigide"/>
    <d v="2019-05-20T00:00:00"/>
    <x v="23"/>
    <n v="15"/>
    <n v="0.65217391304347827"/>
  </r>
  <r>
    <s v="deceptively"/>
    <s v="trompeusement"/>
    <d v="2019-11-07T00:00:00"/>
    <x v="23"/>
    <n v="15"/>
    <n v="0.65217391304347827"/>
  </r>
  <r>
    <s v="to encompass"/>
    <s v="englober"/>
    <d v="2019-12-27T00:00:00"/>
    <x v="23"/>
    <n v="15"/>
    <n v="0.65217391304347827"/>
  </r>
  <r>
    <s v="glistening"/>
    <s v="brillant"/>
    <d v="2021-07-18T00:00:00"/>
    <x v="23"/>
    <n v="15"/>
    <n v="0.65217391304347827"/>
  </r>
  <r>
    <s v="affordable"/>
    <s v="abordable"/>
    <d v="2013-12-13T00:00:00"/>
    <x v="24"/>
    <n v="17"/>
    <n v="0.65384615384615385"/>
  </r>
  <r>
    <s v="a representative"/>
    <s v="un représentant de commerce / un sénateur (U.S.A.)"/>
    <d v="2013-12-13T00:00:00"/>
    <x v="24"/>
    <n v="17"/>
    <n v="0.65384615384615385"/>
  </r>
  <r>
    <s v="a haulier"/>
    <s v="un transporteur"/>
    <d v="2013-12-13T00:00:00"/>
    <x v="24"/>
    <n v="17"/>
    <n v="0.65384615384615385"/>
  </r>
  <r>
    <s v="a zipper"/>
    <s v="une fermeture éclair"/>
    <d v="2013-12-13T00:00:00"/>
    <x v="24"/>
    <n v="17"/>
    <n v="0.65384615384615385"/>
  </r>
  <r>
    <s v="The Secretary of State"/>
    <s v="le Premier Ministre américain"/>
    <d v="2018-05-17T00:00:00"/>
    <x v="24"/>
    <n v="17"/>
    <n v="0.65384615384615385"/>
  </r>
  <r>
    <s v="to uphold"/>
    <s v="maintenir, défendre"/>
    <d v="2018-07-17T00:00:00"/>
    <x v="24"/>
    <n v="17"/>
    <n v="0.65384615384615385"/>
  </r>
  <r>
    <s v="a prowess"/>
    <s v="une prouesse"/>
    <d v="2018-11-21T00:00:00"/>
    <x v="24"/>
    <n v="17"/>
    <n v="0.65384615384615385"/>
  </r>
  <r>
    <s v="meshed"/>
    <s v="maillé"/>
    <d v="2019-07-27T00:00:00"/>
    <x v="24"/>
    <n v="17"/>
    <n v="0.65384615384615385"/>
  </r>
  <r>
    <s v="a trough"/>
    <s v="un creux"/>
    <d v="2019-10-18T00:00:00"/>
    <x v="24"/>
    <n v="17"/>
    <n v="0.65384615384615385"/>
  </r>
  <r>
    <s v="a hotgoblin"/>
    <s v="un lutin"/>
    <d v="2020-06-02T00:00:00"/>
    <x v="24"/>
    <n v="17"/>
    <n v="0.65384615384615385"/>
  </r>
  <r>
    <s v="a sheath"/>
    <s v="une gaine"/>
    <d v="2021-03-07T00:00:00"/>
    <x v="24"/>
    <n v="17"/>
    <n v="0.65384615384615385"/>
  </r>
  <r>
    <s v="advanced"/>
    <s v="supérieur, poussé, de pointe"/>
    <d v="2013-12-13T00:00:00"/>
    <x v="29"/>
    <n v="19"/>
    <n v="0.65517241379310343"/>
  </r>
  <r>
    <s v="ruffled"/>
    <s v="ébouriffé, froissé / troublé"/>
    <d v="2018-10-17T00:00:00"/>
    <x v="29"/>
    <n v="19"/>
    <n v="0.65517241379310343"/>
  </r>
  <r>
    <s v="a wayward"/>
    <s v="un rebelle"/>
    <d v="2018-11-18T00:00:00"/>
    <x v="29"/>
    <n v="19"/>
    <n v="0.65517241379310343"/>
  </r>
  <r>
    <s v="to bode"/>
    <s v="présager, augurer"/>
    <d v="2018-11-24T00:00:00"/>
    <x v="29"/>
    <n v="19"/>
    <n v="0.65517241379310343"/>
  </r>
  <r>
    <s v="a shrapnel"/>
    <s v="un éclat d'obus"/>
    <d v="2018-12-17T00:00:00"/>
    <x v="29"/>
    <n v="19"/>
    <n v="0.65517241379310343"/>
  </r>
  <r>
    <s v="a nexus"/>
    <s v="un lien"/>
    <d v="2019-01-07T00:00:00"/>
    <x v="29"/>
    <n v="19"/>
    <n v="0.65517241379310343"/>
  </r>
  <r>
    <s v="a pea"/>
    <s v="un pois"/>
    <d v="2020-07-30T00:00:00"/>
    <x v="29"/>
    <n v="19"/>
    <n v="0.65517241379310343"/>
  </r>
  <r>
    <s v="caution (common name)"/>
    <s v="la prudence"/>
    <d v="2013-12-13T00:00:00"/>
    <x v="27"/>
    <n v="21"/>
    <n v="0.65625"/>
  </r>
  <r>
    <s v="mainstream (adj.)"/>
    <s v="majoritaire"/>
    <d v="2013-12-13T00:00:00"/>
    <x v="27"/>
    <n v="21"/>
    <n v="0.65625"/>
  </r>
  <r>
    <s v="I fell over."/>
    <s v="Je suis tombé."/>
    <d v="2019-03-24T00:00:00"/>
    <x v="27"/>
    <n v="21"/>
    <n v="0.65625"/>
  </r>
  <r>
    <s v="a leap"/>
    <s v="un saut"/>
    <d v="2020-05-18T00:00:00"/>
    <x v="32"/>
    <n v="23"/>
    <n v="0.65714285714285714"/>
  </r>
  <r>
    <s v="an outbreak"/>
    <s v="une éruption, une explosion"/>
    <d v="2011-03-09T00:00:00"/>
    <x v="21"/>
    <n v="16"/>
    <n v="0.66666666666666663"/>
  </r>
  <r>
    <s v="an armchair"/>
    <s v="un fauteuil"/>
    <d v="2011-03-09T00:00:00"/>
    <x v="19"/>
    <n v="14"/>
    <n v="0.66666666666666663"/>
  </r>
  <r>
    <s v="a syllabus"/>
    <s v="un programme scolaire"/>
    <d v="2011-03-09T00:00:00"/>
    <x v="30"/>
    <n v="20"/>
    <n v="0.66666666666666663"/>
  </r>
  <r>
    <s v="a joint (anat.)"/>
    <s v="une articulation"/>
    <d v="2013-09-05T00:00:00"/>
    <x v="28"/>
    <n v="18"/>
    <n v="0.66666666666666663"/>
  </r>
  <r>
    <s v="to market"/>
    <s v="commercialiser"/>
    <d v="2013-12-13T00:00:00"/>
    <x v="21"/>
    <n v="16"/>
    <n v="0.66666666666666663"/>
  </r>
  <r>
    <s v="dealings (common name)"/>
    <s v="des transactions"/>
    <d v="2013-12-13T00:00:00"/>
    <x v="18"/>
    <n v="12"/>
    <n v="0.66666666666666663"/>
  </r>
  <r>
    <s v="a discount"/>
    <s v="une réduction, un rabais"/>
    <d v="2013-12-13T00:00:00"/>
    <x v="19"/>
    <n v="14"/>
    <n v="0.66666666666666663"/>
  </r>
  <r>
    <s v="a stage"/>
    <s v="une étape, un stade (d’un processus, …) / une scène de théâtre"/>
    <d v="2013-12-13T00:00:00"/>
    <x v="19"/>
    <n v="14"/>
    <n v="0.66666666666666663"/>
  </r>
  <r>
    <s v="income tax"/>
    <s v="l'impôt sur le revenu"/>
    <d v="2013-12-13T00:00:00"/>
    <x v="19"/>
    <n v="14"/>
    <n v="0.66666666666666663"/>
  </r>
  <r>
    <s v="a billboard"/>
    <s v="un panneau d’affichage"/>
    <d v="2013-12-13T00:00:00"/>
    <x v="19"/>
    <n v="14"/>
    <n v="0.66666666666666663"/>
  </r>
  <r>
    <s v="cordless"/>
    <s v="sans fil"/>
    <d v="2013-12-13T00:00:00"/>
    <x v="19"/>
    <n v="14"/>
    <n v="0.66666666666666663"/>
  </r>
  <r>
    <s v="to forward"/>
    <s v="expédier, envoyer / transférer"/>
    <d v="2013-12-13T00:00:00"/>
    <x v="21"/>
    <n v="16"/>
    <n v="0.66666666666666663"/>
  </r>
  <r>
    <s v="a background"/>
    <s v="un fond, un arrière-plan"/>
    <d v="2013-12-13T00:00:00"/>
    <x v="19"/>
    <n v="14"/>
    <n v="0.66666666666666663"/>
  </r>
  <r>
    <s v="a libel"/>
    <s v="une diffamation, une calomnie"/>
    <d v="2013-12-13T00:00:00"/>
    <x v="18"/>
    <n v="12"/>
    <n v="0.66666666666666663"/>
  </r>
  <r>
    <s v="an invoice"/>
    <s v="une facture"/>
    <d v="2013-12-13T00:00:00"/>
    <x v="28"/>
    <n v="18"/>
    <n v="0.66666666666666663"/>
  </r>
  <r>
    <s v="a bond"/>
    <s v="un lien / un titre, une obligation (fin.)"/>
    <d v="2013-12-13T00:00:00"/>
    <x v="21"/>
    <n v="16"/>
    <n v="0.66666666666666663"/>
  </r>
  <r>
    <s v="customs duty"/>
    <s v="les droits de douane"/>
    <d v="2013-12-13T00:00:00"/>
    <x v="21"/>
    <n v="16"/>
    <n v="0.66666666666666663"/>
  </r>
  <r>
    <s v="knitting"/>
    <s v="le tricot, le tricotage"/>
    <d v="2018-04-15T00:00:00"/>
    <x v="11"/>
    <n v="10"/>
    <n v="0.66666666666666663"/>
  </r>
  <r>
    <s v="a sorrow"/>
    <s v="un chagrin, une douleur"/>
    <d v="2018-04-15T00:00:00"/>
    <x v="19"/>
    <n v="14"/>
    <n v="0.66666666666666663"/>
  </r>
  <r>
    <s v="timid"/>
    <s v="craintif"/>
    <d v="2018-05-17T00:00:00"/>
    <x v="21"/>
    <n v="16"/>
    <n v="0.66666666666666663"/>
  </r>
  <r>
    <s v="a flea market"/>
    <s v="un marché aux puces"/>
    <d v="2018-05-27T00:00:00"/>
    <x v="21"/>
    <n v="16"/>
    <n v="0.66666666666666663"/>
  </r>
  <r>
    <s v="to suffuse"/>
    <s v="se répander sur, colorer, pigmenter"/>
    <d v="2018-08-29T00:00:00"/>
    <x v="19"/>
    <n v="14"/>
    <n v="0.66666666666666663"/>
  </r>
  <r>
    <s v="a fledgling"/>
    <s v="un débutant / un oisillon"/>
    <d v="2018-08-29T00:00:00"/>
    <x v="18"/>
    <n v="12"/>
    <n v="0.66666666666666663"/>
  </r>
  <r>
    <s v="a lifeline"/>
    <s v="une ligne de vie"/>
    <d v="2018-08-29T00:00:00"/>
    <x v="18"/>
    <n v="12"/>
    <n v="0.66666666666666663"/>
  </r>
  <r>
    <s v="to reap"/>
    <s v="recueillir, moissonner"/>
    <d v="2018-08-29T00:00:00"/>
    <x v="34"/>
    <n v="24"/>
    <n v="0.66666666666666663"/>
  </r>
  <r>
    <s v="petty"/>
    <s v="petit, insignifiant, simple"/>
    <d v="2018-09-12T00:00:00"/>
    <x v="11"/>
    <n v="10"/>
    <n v="0.66666666666666663"/>
  </r>
  <r>
    <s v="whetted"/>
    <s v="aiguisé, stimulé"/>
    <d v="2018-10-27T00:00:00"/>
    <x v="11"/>
    <n v="10"/>
    <n v="0.66666666666666663"/>
  </r>
  <r>
    <s v="to spew"/>
    <s v="vomir / cracher"/>
    <d v="2018-10-28T00:00:00"/>
    <x v="11"/>
    <n v="10"/>
    <n v="0.66666666666666663"/>
  </r>
  <r>
    <s v="gaunt (adj.)"/>
    <s v="décharné, émacié"/>
    <d v="2018-11-02T00:00:00"/>
    <x v="19"/>
    <n v="14"/>
    <n v="0.66666666666666663"/>
  </r>
  <r>
    <s v="frail (adj.)"/>
    <s v="frêle, fragile"/>
    <d v="2018-11-04T00:00:00"/>
    <x v="21"/>
    <n v="16"/>
    <n v="0.66666666666666663"/>
  </r>
  <r>
    <s v="a shredder"/>
    <s v="une déchiqueteuse"/>
    <d v="2018-11-18T00:00:00"/>
    <x v="11"/>
    <n v="10"/>
    <n v="0.66666666666666663"/>
  </r>
  <r>
    <s v="yonder"/>
    <s v="là-bas"/>
    <d v="2018-11-18T00:00:00"/>
    <x v="18"/>
    <n v="12"/>
    <n v="0.66666666666666663"/>
  </r>
  <r>
    <s v="a fisticuffs"/>
    <s v="un accrochage, une bagarre"/>
    <d v="2018-11-21T00:00:00"/>
    <x v="21"/>
    <n v="16"/>
    <n v="0.66666666666666663"/>
  </r>
  <r>
    <s v="a crucible"/>
    <s v="un creuset / une épreuve"/>
    <d v="2018-11-21T00:00:00"/>
    <x v="19"/>
    <n v="14"/>
    <n v="0.66666666666666663"/>
  </r>
  <r>
    <s v="the dread"/>
    <s v="la crainte"/>
    <d v="2018-12-04T00:00:00"/>
    <x v="21"/>
    <n v="16"/>
    <n v="0.66666666666666663"/>
  </r>
  <r>
    <s v="mire (common name)"/>
    <s v="de la boue"/>
    <d v="2018-12-10T00:00:00"/>
    <x v="30"/>
    <n v="20"/>
    <n v="0.66666666666666663"/>
  </r>
  <r>
    <s v="the sow"/>
    <s v="la truie"/>
    <d v="2018-12-10T00:00:00"/>
    <x v="28"/>
    <n v="18"/>
    <n v="0.66666666666666663"/>
  </r>
  <r>
    <s v="a brink"/>
    <s v="un bord"/>
    <d v="2018-12-10T00:00:00"/>
    <x v="28"/>
    <n v="18"/>
    <n v="0.66666666666666663"/>
  </r>
  <r>
    <s v="doubly"/>
    <s v="doublement"/>
    <d v="2018-12-10T00:00:00"/>
    <x v="21"/>
    <n v="16"/>
    <n v="0.66666666666666663"/>
  </r>
  <r>
    <s v="frying (common name)"/>
    <s v="la friture"/>
    <d v="2019-01-07T00:00:00"/>
    <x v="30"/>
    <n v="20"/>
    <n v="0.66666666666666663"/>
  </r>
  <r>
    <s v="a pan"/>
    <s v="une poêle"/>
    <d v="2019-01-07T00:00:00"/>
    <x v="21"/>
    <n v="16"/>
    <n v="0.66666666666666663"/>
  </r>
  <r>
    <s v="to mutter"/>
    <s v="murmurer"/>
    <d v="2019-05-20T00:00:00"/>
    <x v="28"/>
    <n v="18"/>
    <n v="0.66666666666666663"/>
  </r>
  <r>
    <s v="a pigeonhole"/>
    <s v="un casier"/>
    <d v="2019-08-05T00:00:00"/>
    <x v="7"/>
    <n v="8"/>
    <n v="0.66666666666666663"/>
  </r>
  <r>
    <s v="a stove"/>
    <s v="un fourneau, un four vapeur"/>
    <d v="2019-10-14T00:00:00"/>
    <x v="21"/>
    <n v="16"/>
    <n v="0.66666666666666663"/>
  </r>
  <r>
    <s v="ear plugs"/>
    <s v="des bouchons d'oreille"/>
    <d v="2019-10-29T00:00:00"/>
    <x v="11"/>
    <n v="10"/>
    <n v="0.66666666666666663"/>
  </r>
  <r>
    <s v="an ewer"/>
    <s v="une aiguière"/>
    <d v="2019-10-29T00:00:00"/>
    <x v="19"/>
    <n v="14"/>
    <n v="0.66666666666666663"/>
  </r>
  <r>
    <s v="a thug"/>
    <s v="un voyou"/>
    <d v="2019-11-07T00:00:00"/>
    <x v="19"/>
    <n v="14"/>
    <n v="0.66666666666666663"/>
  </r>
  <r>
    <s v="nefarious"/>
    <s v="infâme"/>
    <d v="2019-11-07T00:00:00"/>
    <x v="19"/>
    <n v="14"/>
    <n v="0.66666666666666663"/>
  </r>
  <r>
    <s v="a buy-off"/>
    <s v="un rachat"/>
    <d v="2019-12-16T00:00:00"/>
    <x v="28"/>
    <n v="18"/>
    <n v="0.66666666666666663"/>
  </r>
  <r>
    <s v="strapping (common name)"/>
    <s v="le cerclage"/>
    <d v="2020-02-11T00:00:00"/>
    <x v="28"/>
    <n v="18"/>
    <n v="0.66666666666666663"/>
  </r>
  <r>
    <s v="to screen out"/>
    <s v="filtrer"/>
    <d v="2020-02-11T00:00:00"/>
    <x v="18"/>
    <n v="12"/>
    <n v="0.66666666666666663"/>
  </r>
  <r>
    <s v="budding"/>
    <s v="bourgeonnant"/>
    <d v="2020-03-10T00:00:00"/>
    <x v="21"/>
    <n v="16"/>
    <n v="0.66666666666666663"/>
  </r>
  <r>
    <s v="a glitch"/>
    <s v="un dysfonctionnement soudain (un bug)"/>
    <d v="2020-06-22T00:00:00"/>
    <x v="28"/>
    <n v="18"/>
    <n v="0.66666666666666663"/>
  </r>
  <r>
    <s v="to squelch"/>
    <s v="écraser"/>
    <d v="2020-07-14T00:00:00"/>
    <x v="18"/>
    <n v="12"/>
    <n v="0.66666666666666663"/>
  </r>
  <r>
    <s v="mating parts"/>
    <s v="des pièces d'accouplement"/>
    <d v="2020-07-21T00:00:00"/>
    <x v="19"/>
    <n v="14"/>
    <n v="0.66666666666666663"/>
  </r>
  <r>
    <s v="to hand out"/>
    <s v="distribuer"/>
    <d v="2021-03-21T00:00:00"/>
    <x v="21"/>
    <n v="16"/>
    <n v="0.66666666666666663"/>
  </r>
  <r>
    <s v="a witticism"/>
    <s v="un mot d'esprit"/>
    <d v="2021-03-28T00:00:00"/>
    <x v="19"/>
    <n v="14"/>
    <n v="0.66666666666666663"/>
  </r>
  <r>
    <s v="to giggle"/>
    <s v="pouffer de rire"/>
    <d v="2021-04-13T00:00:00"/>
    <x v="18"/>
    <n v="12"/>
    <n v="0.66666666666666663"/>
  </r>
  <r>
    <s v="a shack"/>
    <s v="une cabane"/>
    <d v="2021-05-18T00:00:00"/>
    <x v="11"/>
    <n v="10"/>
    <n v="0.66666666666666663"/>
  </r>
  <r>
    <s v="a disbursement"/>
    <s v="un décaissement"/>
    <d v="2021-07-22T00:00:00"/>
    <x v="11"/>
    <n v="10"/>
    <n v="0.66666666666666663"/>
  </r>
  <r>
    <s v="a speed bump"/>
    <s v="un dos-d'âne"/>
    <d v="2021-09-18T00:00:00"/>
    <x v="7"/>
    <n v="8"/>
    <n v="0.66666666666666663"/>
  </r>
  <r>
    <s v="to grind"/>
    <s v="moudre / grincer"/>
    <d v="2021-10-03T00:00:00"/>
    <x v="7"/>
    <n v="8"/>
    <n v="0.66666666666666663"/>
  </r>
  <r>
    <s v="a hand cracking"/>
    <s v="une manivelle"/>
    <d v="2021-11-21T00:00:00"/>
    <x v="18"/>
    <n v="12"/>
    <n v="0.66666666666666663"/>
  </r>
  <r>
    <s v="to hack"/>
    <s v="pirater / tailler / tousser sans arrêt"/>
    <d v="2021-11-24T00:00:00"/>
    <x v="7"/>
    <n v="8"/>
    <n v="0.66666666666666663"/>
  </r>
  <r>
    <s v="at the outskirts"/>
    <s v="en périphérie"/>
    <d v="2021-12-30T00:00:00"/>
    <x v="4"/>
    <n v="4"/>
    <n v="0.66666666666666663"/>
  </r>
  <r>
    <s v="a drove of cattle"/>
    <s v="un troupeau de bétail"/>
    <d v="2022-01-03T00:00:00"/>
    <x v="4"/>
    <n v="4"/>
    <n v="0.66666666666666663"/>
  </r>
  <r>
    <s v="covertly"/>
    <s v="secrètement"/>
    <d v="2022-01-03T00:00:00"/>
    <x v="4"/>
    <n v="4"/>
    <n v="0.66666666666666663"/>
  </r>
  <r>
    <s v="a dork (coll.)"/>
    <s v="un blaireau (insulte)"/>
    <d v="2022-01-23T00:00:00"/>
    <x v="7"/>
    <n v="8"/>
    <n v="0.66666666666666663"/>
  </r>
  <r>
    <s v="and you name it (expr.)"/>
    <s v="et tout ce que vous pouvez imaginer"/>
    <d v="2022-02-02T00:00:00"/>
    <x v="7"/>
    <n v="8"/>
    <n v="0.66666666666666663"/>
  </r>
  <r>
    <s v="to deface"/>
    <s v="rendre illisible, effacer"/>
    <d v="2022-02-03T00:00:00"/>
    <x v="7"/>
    <n v="8"/>
    <n v="0.66666666666666663"/>
  </r>
  <r>
    <s v="a flee"/>
    <s v="une puce"/>
    <d v="2022-02-22T00:00:00"/>
    <x v="4"/>
    <n v="4"/>
    <n v="0.66666666666666663"/>
  </r>
  <r>
    <s v="an incumbent"/>
    <s v="un titulaire"/>
    <d v="2022-03-22T00:00:00"/>
    <x v="7"/>
    <n v="8"/>
    <n v="0.66666666666666663"/>
  </r>
  <r>
    <s v="a mermaid"/>
    <s v="une sirène"/>
    <d v="2022-06-12T00:00:00"/>
    <x v="4"/>
    <n v="4"/>
    <n v="0.66666666666666663"/>
  </r>
  <r>
    <s v="a bailiff"/>
    <s v="un huissier"/>
    <d v="2022-10-28T00:00:00"/>
    <x v="4"/>
    <n v="4"/>
    <n v="0.66666666666666663"/>
  </r>
  <r>
    <s v="to keen"/>
    <s v="désirer"/>
    <d v="2011-03-09T00:00:00"/>
    <x v="36"/>
    <n v="23"/>
    <n v="0.67647058823529416"/>
  </r>
  <r>
    <s v="to err"/>
    <s v="se tromper / pécher"/>
    <d v="2018-09-12T00:00:00"/>
    <x v="36"/>
    <n v="23"/>
    <n v="0.67647058823529416"/>
  </r>
  <r>
    <s v="looting (common name)"/>
    <s v="le pillage"/>
    <d v="2019-01-07T00:00:00"/>
    <x v="36"/>
    <n v="23"/>
    <n v="0.67647058823529416"/>
  </r>
  <r>
    <s v="lagging (adv. / adj.)"/>
    <s v="en retard / isolant"/>
    <d v="2018-08-29T00:00:00"/>
    <x v="35"/>
    <n v="21"/>
    <n v="0.67741935483870963"/>
  </r>
  <r>
    <s v="a yam"/>
    <s v="une igname"/>
    <d v="2020-05-26T00:00:00"/>
    <x v="35"/>
    <n v="21"/>
    <n v="0.67741935483870963"/>
  </r>
  <r>
    <s v="to enroll"/>
    <s v="s’inscrire"/>
    <d v="2013-12-13T00:00:00"/>
    <x v="25"/>
    <n v="19"/>
    <n v="0.6785714285714286"/>
  </r>
  <r>
    <s v="dull"/>
    <s v="terne, mat, ennuyeux"/>
    <d v="2018-10-28T00:00:00"/>
    <x v="25"/>
    <n v="19"/>
    <n v="0.6785714285714286"/>
  </r>
  <r>
    <s v="the wreath"/>
    <s v="la couronne, la guirlande"/>
    <d v="2018-11-01T00:00:00"/>
    <x v="25"/>
    <n v="19"/>
    <n v="0.6785714285714286"/>
  </r>
  <r>
    <s v="to marshal"/>
    <s v="rassembler / canaliser"/>
    <d v="2019-02-05T00:00:00"/>
    <x v="25"/>
    <n v="19"/>
    <n v="0.6785714285714286"/>
  </r>
  <r>
    <s v="the vicinity"/>
    <s v="les environs, les alentours"/>
    <d v="2019-05-20T00:00:00"/>
    <x v="25"/>
    <n v="19"/>
    <n v="0.6785714285714286"/>
  </r>
  <r>
    <s v="to tout"/>
    <s v="vendre, racoler"/>
    <d v="2019-11-02T00:00:00"/>
    <x v="25"/>
    <n v="19"/>
    <n v="0.6785714285714286"/>
  </r>
  <r>
    <s v="seamless"/>
    <s v="sans couture"/>
    <d v="2019-11-02T00:00:00"/>
    <x v="25"/>
    <n v="19"/>
    <n v="0.6785714285714286"/>
  </r>
  <r>
    <s v="featuring with"/>
    <s v="&quot;mettant en vedette avec&quot;"/>
    <d v="2019-12-03T00:00:00"/>
    <x v="25"/>
    <n v="19"/>
    <n v="0.6785714285714286"/>
  </r>
  <r>
    <s v="a doldrum"/>
    <s v="un marasme"/>
    <d v="2021-03-16T00:00:00"/>
    <x v="25"/>
    <n v="19"/>
    <n v="0.6785714285714286"/>
  </r>
  <r>
    <s v="chain stores"/>
    <s v="les grands magasins à succursales"/>
    <d v="2013-12-13T00:00:00"/>
    <x v="26"/>
    <n v="17"/>
    <n v="0.68"/>
  </r>
  <r>
    <s v="a casualty"/>
    <s v="un accident, un sinistre / une perte humaine"/>
    <d v="2013-12-13T00:00:00"/>
    <x v="26"/>
    <n v="17"/>
    <n v="0.68"/>
  </r>
  <r>
    <s v="premises (adj.) (prèmissiz)"/>
    <s v="locaux"/>
    <d v="2013-12-13T00:00:00"/>
    <x v="26"/>
    <n v="17"/>
    <n v="0.68"/>
  </r>
  <r>
    <s v="a parochial outlook"/>
    <s v="une attitude bornée / un esprit de clocher"/>
    <d v="2018-05-17T00:00:00"/>
    <x v="26"/>
    <n v="17"/>
    <n v="0.68"/>
  </r>
  <r>
    <s v="dog-eared"/>
    <s v="écorné"/>
    <d v="2018-05-27T00:00:00"/>
    <x v="26"/>
    <n v="17"/>
    <n v="0.68"/>
  </r>
  <r>
    <s v="to disrupt"/>
    <s v="perturber"/>
    <d v="2018-08-19T00:00:00"/>
    <x v="26"/>
    <n v="17"/>
    <n v="0.68"/>
  </r>
  <r>
    <s v="an upheaval"/>
    <s v="un bouleversement, un soulèvement, une agitation"/>
    <d v="2018-11-02T00:00:00"/>
    <x v="26"/>
    <n v="17"/>
    <n v="0.68"/>
  </r>
  <r>
    <s v="a plaintiff"/>
    <s v="un plaignant"/>
    <d v="2019-08-05T00:00:00"/>
    <x v="26"/>
    <n v="17"/>
    <n v="0.68"/>
  </r>
  <r>
    <s v="overdone"/>
    <s v="exagéré"/>
    <d v="2019-08-12T00:00:00"/>
    <x v="26"/>
    <n v="17"/>
    <n v="0.68"/>
  </r>
  <r>
    <s v="a mainstay"/>
    <s v="un pilier"/>
    <d v="2021-02-15T00:00:00"/>
    <x v="26"/>
    <n v="17"/>
    <n v="0.68"/>
  </r>
  <r>
    <s v="the hability"/>
    <s v=" la capacité"/>
    <d v="2011-03-09T00:00:00"/>
    <x v="22"/>
    <n v="15"/>
    <n v="0.68181818181818177"/>
  </r>
  <r>
    <s v="a broker"/>
    <s v="un courtier en bourse"/>
    <d v="2013-12-13T00:00:00"/>
    <x v="22"/>
    <n v="15"/>
    <n v="0.68181818181818177"/>
  </r>
  <r>
    <s v="household appliances"/>
    <s v="les appareils ménagers"/>
    <d v="2013-12-13T00:00:00"/>
    <x v="22"/>
    <n v="15"/>
    <n v="0.68181818181818177"/>
  </r>
  <r>
    <s v="to be stuck"/>
    <s v="être coincé"/>
    <d v="2013-12-13T00:00:00"/>
    <x v="22"/>
    <n v="15"/>
    <n v="0.68181818181818177"/>
  </r>
  <r>
    <s v="a bundle"/>
    <s v="un paquet, une liasse"/>
    <d v="2018-07-30T00:00:00"/>
    <x v="22"/>
    <n v="15"/>
    <n v="0.68181818181818177"/>
  </r>
  <r>
    <s v="beforehand"/>
    <s v="au préalable, auparavant"/>
    <d v="2018-10-27T00:00:00"/>
    <x v="22"/>
    <n v="15"/>
    <n v="0.68181818181818177"/>
  </r>
  <r>
    <s v="a heap"/>
    <s v="un tas, un amas, un monceau"/>
    <d v="2018-11-23T00:00:00"/>
    <x v="22"/>
    <n v="15"/>
    <n v="0.68181818181818177"/>
  </r>
  <r>
    <s v="a tin of beans"/>
    <s v="une boîte de conserve de haricots"/>
    <d v="2019-03-24T00:00:00"/>
    <x v="22"/>
    <n v="15"/>
    <n v="0.68181818181818177"/>
  </r>
  <r>
    <s v="a boilerplate"/>
    <s v="une plaque de cuisson"/>
    <d v="2019-05-20T00:00:00"/>
    <x v="22"/>
    <n v="15"/>
    <n v="0.68181818181818177"/>
  </r>
  <r>
    <s v="a moth"/>
    <s v="un papillon de nuit"/>
    <d v="2019-10-14T00:00:00"/>
    <x v="22"/>
    <n v="15"/>
    <n v="0.68181818181818177"/>
  </r>
  <r>
    <s v="the swine"/>
    <s v="le porc"/>
    <d v="2019-10-29T00:00:00"/>
    <x v="22"/>
    <n v="15"/>
    <n v="0.68181818181818177"/>
  </r>
  <r>
    <s v="a dwelling"/>
    <s v="une habitation"/>
    <d v="2019-11-02T00:00:00"/>
    <x v="22"/>
    <n v="15"/>
    <n v="0.68181818181818177"/>
  </r>
  <r>
    <s v="a quarry"/>
    <s v="une carrière (sens propre)"/>
    <d v="2019-11-02T00:00:00"/>
    <x v="22"/>
    <n v="15"/>
    <n v="0.68181818181818177"/>
  </r>
  <r>
    <s v="to hand back"/>
    <s v="rendre"/>
    <d v="2019-11-06T00:00:00"/>
    <x v="22"/>
    <n v="15"/>
    <n v="0.68181818181818177"/>
  </r>
  <r>
    <s v="chirping (common name)"/>
    <s v="un gazouillement, un pépiement"/>
    <d v="2019-11-07T00:00:00"/>
    <x v="22"/>
    <n v="15"/>
    <n v="0.68181818181818177"/>
  </r>
  <r>
    <s v="measles (common name)"/>
    <s v="la rougeole"/>
    <d v="2020-02-26T00:00:00"/>
    <x v="22"/>
    <n v="15"/>
    <n v="0.68181818181818177"/>
  </r>
  <r>
    <s v="tinder (common name)"/>
    <s v="de l'amadou, du petit bois"/>
    <d v="2020-04-13T00:00:00"/>
    <x v="22"/>
    <n v="15"/>
    <n v="0.68181818181818177"/>
  </r>
  <r>
    <s v="a jetty (in a haven)"/>
    <s v="une jetée (dans un port)"/>
    <d v="2020-05-18T00:00:00"/>
    <x v="22"/>
    <n v="15"/>
    <n v="0.68181818181818177"/>
  </r>
  <r>
    <s v="to go nuts"/>
    <s v="devenir fou"/>
    <d v="2020-07-14T00:00:00"/>
    <x v="22"/>
    <n v="15"/>
    <n v="0.68181818181818177"/>
  </r>
  <r>
    <s v="a breadcrumb"/>
    <s v="une miette de pain"/>
    <d v="2021-01-25T00:00:00"/>
    <x v="22"/>
    <n v="15"/>
    <n v="0.68181818181818177"/>
  </r>
  <r>
    <s v="extraneous"/>
    <s v="étranger"/>
    <d v="2021-02-15T00:00:00"/>
    <x v="22"/>
    <n v="15"/>
    <n v="0.68181818181818177"/>
  </r>
  <r>
    <s v="dairy products"/>
    <s v="les produits laitiers"/>
    <d v="2021-03-07T00:00:00"/>
    <x v="22"/>
    <n v="15"/>
    <n v="0.68181818181818177"/>
  </r>
  <r>
    <s v="overhanging"/>
    <s v="surplombant"/>
    <d v="2021-03-14T00:00:00"/>
    <x v="22"/>
    <n v="15"/>
    <n v="0.68181818181818177"/>
  </r>
  <r>
    <s v="watertight"/>
    <s v="étanche"/>
    <d v="2021-04-13T00:00:00"/>
    <x v="22"/>
    <n v="15"/>
    <n v="0.68181818181818177"/>
  </r>
  <r>
    <s v="the rib cage"/>
    <s v="la cage thoracique"/>
    <d v="2013-09-05T00:00:00"/>
    <x v="17"/>
    <n v="13"/>
    <n v="0.68421052631578949"/>
  </r>
  <r>
    <s v="a collection"/>
    <s v="une perception, un ramassage, une collecte"/>
    <d v="2013-12-13T00:00:00"/>
    <x v="17"/>
    <n v="13"/>
    <n v="0.68421052631578949"/>
  </r>
  <r>
    <s v="complimentary"/>
    <s v="à titre gracieux"/>
    <d v="2013-12-13T00:00:00"/>
    <x v="17"/>
    <n v="13"/>
    <n v="0.68421052631578949"/>
  </r>
  <r>
    <s v="to attend"/>
    <s v="assister à, aller à"/>
    <d v="2013-12-13T00:00:00"/>
    <x v="17"/>
    <n v="13"/>
    <n v="0.68421052631578949"/>
  </r>
  <r>
    <s v="outsourcing"/>
    <s v="l'externalisation"/>
    <d v="2013-12-13T00:00:00"/>
    <x v="17"/>
    <n v="13"/>
    <n v="0.68421052631578949"/>
  </r>
  <r>
    <s v="a buyout"/>
    <s v="un rachat"/>
    <d v="2013-12-13T00:00:00"/>
    <x v="17"/>
    <n v="13"/>
    <n v="0.68421052631578949"/>
  </r>
  <r>
    <s v="a shop steward"/>
    <s v="un délégué syndical"/>
    <d v="2013-12-13T00:00:00"/>
    <x v="17"/>
    <n v="13"/>
    <n v="0.68421052631578949"/>
  </r>
  <r>
    <s v="a creditor"/>
    <s v="un créancier"/>
    <d v="2013-12-13T00:00:00"/>
    <x v="17"/>
    <n v="13"/>
    <n v="0.68421052631578949"/>
  </r>
  <r>
    <s v="money supply (common name)"/>
    <s v="la masse monétaire"/>
    <d v="2013-12-13T00:00:00"/>
    <x v="17"/>
    <n v="13"/>
    <n v="0.68421052631578949"/>
  </r>
  <r>
    <s v="to despise"/>
    <s v="mépriser"/>
    <d v="2018-04-15T00:00:00"/>
    <x v="17"/>
    <n v="13"/>
    <n v="0.68421052631578949"/>
  </r>
  <r>
    <s v="a chilling"/>
    <s v="un refroidissement"/>
    <d v="2018-07-17T00:00:00"/>
    <x v="17"/>
    <n v="13"/>
    <n v="0.68421052631578949"/>
  </r>
  <r>
    <s v="the precincts"/>
    <s v="les environs, les alentours / l'enceinte"/>
    <d v="2018-11-14T00:00:00"/>
    <x v="17"/>
    <n v="13"/>
    <n v="0.68421052631578949"/>
  </r>
  <r>
    <s v="to refund"/>
    <s v="rembourser (soutenu)"/>
    <d v="2019-03-24T00:00:00"/>
    <x v="17"/>
    <n v="13"/>
    <n v="0.68421052631578949"/>
  </r>
  <r>
    <s v="from scratch"/>
    <s v="à partir de rien"/>
    <d v="2019-07-15T00:00:00"/>
    <x v="17"/>
    <n v="13"/>
    <n v="0.68421052631578949"/>
  </r>
  <r>
    <s v="all-out war"/>
    <s v="la guerre totale"/>
    <d v="2019-07-27T00:00:00"/>
    <x v="17"/>
    <n v="13"/>
    <n v="0.68421052631578949"/>
  </r>
  <r>
    <s v="a geezer"/>
    <s v="un type"/>
    <d v="2020-07-14T00:00:00"/>
    <x v="17"/>
    <n v="13"/>
    <n v="0.68421052631578949"/>
  </r>
  <r>
    <s v="a steering wheel"/>
    <s v="un volant de voiture"/>
    <d v="2021-01-25T00:00:00"/>
    <x v="17"/>
    <n v="13"/>
    <n v="0.68421052631578949"/>
  </r>
  <r>
    <s v="to toggle"/>
    <s v="basculer"/>
    <d v="2021-05-18T00:00:00"/>
    <x v="17"/>
    <n v="13"/>
    <n v="0.68421052631578949"/>
  </r>
  <r>
    <s v="hawking (common name)"/>
    <s v="le colportage"/>
    <d v="2021-07-18T00:00:00"/>
    <x v="17"/>
    <n v="13"/>
    <n v="0.68421052631578949"/>
  </r>
  <r>
    <s v="a firehose"/>
    <s v="une lance à incendie"/>
    <d v="2022-01-07T00:00:00"/>
    <x v="17"/>
    <n v="13"/>
    <n v="0.68421052631578949"/>
  </r>
  <r>
    <s v="a lad"/>
    <s v="un gamin, un jeune homme"/>
    <d v="2020-01-18T00:00:00"/>
    <x v="32"/>
    <n v="24"/>
    <n v="0.68571428571428572"/>
  </r>
  <r>
    <s v="hasty"/>
    <s v="précipité, sommaire"/>
    <d v="2011-03-09T00:00:00"/>
    <x v="6"/>
    <n v="11"/>
    <n v="0.6875"/>
  </r>
  <r>
    <s v="upcoming"/>
    <s v="imminent, prochain"/>
    <d v="2013-12-13T00:00:00"/>
    <x v="6"/>
    <n v="11"/>
    <n v="0.6875"/>
  </r>
  <r>
    <s v="a shipyard"/>
    <s v="un chantier naval"/>
    <d v="2013-12-13T00:00:00"/>
    <x v="6"/>
    <n v="11"/>
    <n v="0.6875"/>
  </r>
  <r>
    <s v="a bull market"/>
    <s v="un marché optimiste"/>
    <d v="2018-05-17T00:00:00"/>
    <x v="6"/>
    <n v="11"/>
    <n v="0.6875"/>
  </r>
  <r>
    <s v="artful"/>
    <s v="astucieux"/>
    <d v="2018-08-29T00:00:00"/>
    <x v="6"/>
    <n v="11"/>
    <n v="0.6875"/>
  </r>
  <r>
    <s v="a whelp"/>
    <s v="un petit (animal)"/>
    <d v="2018-12-10T00:00:00"/>
    <x v="6"/>
    <n v="11"/>
    <n v="0.6875"/>
  </r>
  <r>
    <s v="a fart"/>
    <s v="un pet"/>
    <d v="2019-01-07T00:00:00"/>
    <x v="6"/>
    <n v="11"/>
    <n v="0.6875"/>
  </r>
  <r>
    <s v="a keyhole"/>
    <s v="un trou de serrure"/>
    <d v="2019-01-28T00:00:00"/>
    <x v="27"/>
    <n v="22"/>
    <n v="0.6875"/>
  </r>
  <r>
    <s v="to parse"/>
    <s v="analyser"/>
    <d v="2019-08-12T00:00:00"/>
    <x v="6"/>
    <n v="11"/>
    <n v="0.6875"/>
  </r>
  <r>
    <s v="with respect to"/>
    <s v="par rapport à"/>
    <d v="2019-12-03T00:00:00"/>
    <x v="6"/>
    <n v="11"/>
    <n v="0.6875"/>
  </r>
  <r>
    <s v="the headdress"/>
    <s v="la coiffure"/>
    <d v="2019-12-27T00:00:00"/>
    <x v="6"/>
    <n v="11"/>
    <n v="0.6875"/>
  </r>
  <r>
    <s v="a hardship"/>
    <s v="une fatigue, une épreuve"/>
    <d v="2011-03-09T00:00:00"/>
    <x v="29"/>
    <n v="20"/>
    <n v="0.68965517241379315"/>
  </r>
  <r>
    <s v="high-flown"/>
    <s v="ampoulé, (faussement) de haute volée"/>
    <d v="2018-10-27T00:00:00"/>
    <x v="29"/>
    <n v="20"/>
    <n v="0.68965517241379315"/>
  </r>
  <r>
    <s v="to forswear"/>
    <s v="renoncer / parjurer"/>
    <d v="2018-12-04T00:00:00"/>
    <x v="29"/>
    <n v="20"/>
    <n v="0.68965517241379315"/>
  </r>
  <r>
    <s v="painstaking (adj.)"/>
    <s v="soigneux"/>
    <d v="2020-02-26T00:00:00"/>
    <x v="29"/>
    <n v="20"/>
    <n v="0.68965517241379315"/>
  </r>
  <r>
    <s v="jammed"/>
    <s v="coincé"/>
    <d v="2021-02-22T00:00:00"/>
    <x v="29"/>
    <n v="20"/>
    <n v="0.68965517241379315"/>
  </r>
  <r>
    <s v="a sell-by date"/>
    <s v="une date de péremption"/>
    <d v="2021-03-07T00:00:00"/>
    <x v="29"/>
    <n v="20"/>
    <n v="0.68965517241379315"/>
  </r>
  <r>
    <s v="havoc (common name)"/>
    <s v="un ravage, un dégat"/>
    <d v="2011-03-09T00:00:00"/>
    <x v="1"/>
    <n v="9"/>
    <n v="0.69230769230769229"/>
  </r>
  <r>
    <s v="a hacksaw"/>
    <s v="une scie à métaux"/>
    <d v="2013-09-05T00:00:00"/>
    <x v="24"/>
    <n v="18"/>
    <n v="0.69230769230769229"/>
  </r>
  <r>
    <s v="a checkbook"/>
    <s v="un chéquier"/>
    <d v="2013-12-13T00:00:00"/>
    <x v="1"/>
    <n v="9"/>
    <n v="0.69230769230769229"/>
  </r>
  <r>
    <s v="a pink slip"/>
    <s v="une lettre de licenciement"/>
    <d v="2013-12-13T00:00:00"/>
    <x v="24"/>
    <n v="18"/>
    <n v="0.69230769230769229"/>
  </r>
  <r>
    <s v="a route"/>
    <s v="un itinéraire"/>
    <d v="2013-12-13T00:00:00"/>
    <x v="24"/>
    <n v="18"/>
    <n v="0.69230769230769229"/>
  </r>
  <r>
    <s v="a scammer"/>
    <s v="un escroc"/>
    <d v="2018-05-27T00:00:00"/>
    <x v="24"/>
    <n v="18"/>
    <n v="0.69230769230769229"/>
  </r>
  <r>
    <s v="a chum"/>
    <s v="un ami"/>
    <d v="2018-12-17T00:00:00"/>
    <x v="24"/>
    <n v="18"/>
    <n v="0.69230769230769229"/>
  </r>
  <r>
    <s v="haphazard"/>
    <s v="au hasard"/>
    <d v="2019-07-15T00:00:00"/>
    <x v="1"/>
    <n v="9"/>
    <n v="0.69230769230769229"/>
  </r>
  <r>
    <s v="to surround"/>
    <s v="entourer"/>
    <d v="2019-07-15T00:00:00"/>
    <x v="1"/>
    <n v="9"/>
    <n v="0.69230769230769229"/>
  </r>
  <r>
    <s v="shoddy"/>
    <s v="de mauvaise qualité"/>
    <d v="2019-07-15T00:00:00"/>
    <x v="24"/>
    <n v="18"/>
    <n v="0.69230769230769229"/>
  </r>
  <r>
    <s v="the vertex (plural: vertices)"/>
    <s v="le sommet"/>
    <d v="2019-07-27T00:00:00"/>
    <x v="24"/>
    <n v="18"/>
    <n v="0.69230769230769229"/>
  </r>
  <r>
    <s v="the soulmate"/>
    <s v="l'âme sœur"/>
    <d v="2019-11-18T00:00:00"/>
    <x v="1"/>
    <n v="9"/>
    <n v="0.69230769230769229"/>
  </r>
  <r>
    <s v="a hemline"/>
    <s v="un ourlet"/>
    <d v="2020-05-18T00:00:00"/>
    <x v="24"/>
    <n v="18"/>
    <n v="0.69230769230769229"/>
  </r>
  <r>
    <s v="a payout"/>
    <s v="un paiement"/>
    <d v="2021-02-08T00:00:00"/>
    <x v="24"/>
    <n v="18"/>
    <n v="0.69230769230769229"/>
  </r>
  <r>
    <s v="a flint"/>
    <s v="un silex"/>
    <d v="2021-02-08T00:00:00"/>
    <x v="24"/>
    <n v="18"/>
    <n v="0.69230769230769229"/>
  </r>
  <r>
    <s v="a forgery"/>
    <s v="une falsification, une contrefaçon"/>
    <d v="2021-03-28T00:00:00"/>
    <x v="24"/>
    <n v="18"/>
    <n v="0.69230769230769229"/>
  </r>
  <r>
    <s v="astute"/>
    <s v="astucieux"/>
    <d v="2021-06-10T00:00:00"/>
    <x v="1"/>
    <n v="9"/>
    <n v="0.69230769230769229"/>
  </r>
  <r>
    <s v="a kitten"/>
    <s v="un chaton"/>
    <d v="2021-09-17T00:00:00"/>
    <x v="1"/>
    <n v="9"/>
    <n v="0.69230769230769229"/>
  </r>
  <r>
    <s v="pebbledash, roughcast"/>
    <s v="le crépi, la cendre de galet"/>
    <d v="2021-11-15T00:00:00"/>
    <x v="1"/>
    <n v="9"/>
    <n v="0.69230769230769229"/>
  </r>
  <r>
    <s v="a cakewalk"/>
    <s v="une promenade"/>
    <d v="2021-11-22T00:00:00"/>
    <x v="1"/>
    <n v="9"/>
    <n v="0.69230769230769229"/>
  </r>
  <r>
    <s v="timely (adj.)"/>
    <s v="opportun"/>
    <d v="2022-01-19T00:00:00"/>
    <x v="1"/>
    <n v="9"/>
    <n v="0.69230769230769229"/>
  </r>
  <r>
    <s v="blimey (expr.)"/>
    <s v="utilisé pour exprimer la surprise, l'excitation ou l'alarme"/>
    <d v="2022-02-01T00:00:00"/>
    <x v="1"/>
    <n v="9"/>
    <n v="0.69230769230769229"/>
  </r>
  <r>
    <s v="a crib"/>
    <s v="un lit de bébé / une cage"/>
    <d v="2022-09-01T00:00:00"/>
    <x v="1"/>
    <n v="9"/>
    <n v="0.69230769230769229"/>
  </r>
  <r>
    <s v="scarcely"/>
    <s v="à peine"/>
    <d v="2011-03-09T00:00:00"/>
    <x v="23"/>
    <n v="16"/>
    <n v="0.69565217391304346"/>
  </r>
  <r>
    <s v="red tape (expr.)"/>
    <s v="la bureaucratie, la paperasserie"/>
    <d v="2013-12-13T00:00:00"/>
    <x v="23"/>
    <n v="16"/>
    <n v="0.69565217391304346"/>
  </r>
  <r>
    <s v="to put through"/>
    <s v="conclure, mener à bien / mettre en communication"/>
    <d v="2013-12-13T00:00:00"/>
    <x v="23"/>
    <n v="16"/>
    <n v="0.69565217391304346"/>
  </r>
  <r>
    <s v="the coverage"/>
    <s v="la couverture (sociale ou médiatique)"/>
    <d v="2013-12-13T00:00:00"/>
    <x v="23"/>
    <n v="16"/>
    <n v="0.69565217391304346"/>
  </r>
  <r>
    <s v="to uphold"/>
    <s v="défendre, maintenir"/>
    <d v="2018-08-29T00:00:00"/>
    <x v="23"/>
    <n v="16"/>
    <n v="0.69565217391304346"/>
  </r>
  <r>
    <s v="a foray"/>
    <s v="une incursion, une razzia"/>
    <d v="2018-10-10T00:00:00"/>
    <x v="23"/>
    <n v="16"/>
    <n v="0.69565217391304346"/>
  </r>
  <r>
    <s v="clad"/>
    <s v="habillé"/>
    <d v="2018-10-28T00:00:00"/>
    <x v="23"/>
    <n v="16"/>
    <n v="0.69565217391304346"/>
  </r>
  <r>
    <s v="a haddock"/>
    <s v="un églefin"/>
    <d v="2018-11-04T00:00:00"/>
    <x v="23"/>
    <n v="16"/>
    <n v="0.69565217391304346"/>
  </r>
  <r>
    <s v="shambolic"/>
    <s v="chaotique, désorganisé, mal organisé"/>
    <d v="2018-11-11T00:00:00"/>
    <x v="23"/>
    <n v="16"/>
    <n v="0.69565217391304346"/>
  </r>
  <r>
    <s v="a locust"/>
    <s v="un criquet, une sauterelle, une caroube"/>
    <d v="2018-11-21T00:00:00"/>
    <x v="23"/>
    <n v="16"/>
    <n v="0.69565217391304346"/>
  </r>
  <r>
    <s v="brash (adj.)"/>
    <s v="impétueux"/>
    <d v="2019-01-07T00:00:00"/>
    <x v="23"/>
    <n v="16"/>
    <n v="0.69565217391304346"/>
  </r>
  <r>
    <s v="despicable"/>
    <s v="méprisable"/>
    <d v="2019-05-20T00:00:00"/>
    <x v="23"/>
    <n v="16"/>
    <n v="0.69565217391304346"/>
  </r>
  <r>
    <s v="custard (cooking)"/>
    <s v="de la crème pâtissière"/>
    <d v="2019-11-02T00:00:00"/>
    <x v="23"/>
    <n v="16"/>
    <n v="0.69565217391304346"/>
  </r>
  <r>
    <s v="a skin rash"/>
    <s v="une démangeaison de la peau"/>
    <d v="2020-05-18T00:00:00"/>
    <x v="23"/>
    <n v="16"/>
    <n v="0.69565217391304346"/>
  </r>
  <r>
    <s v="a key lime"/>
    <s v="un citron vert"/>
    <d v="2020-05-26T00:00:00"/>
    <x v="23"/>
    <n v="16"/>
    <n v="0.69565217391304346"/>
  </r>
  <r>
    <s v="a spigot"/>
    <s v="un robinet"/>
    <d v="2020-06-22T00:00:00"/>
    <x v="23"/>
    <n v="16"/>
    <n v="0.69565217391304346"/>
  </r>
  <r>
    <s v="alight"/>
    <s v="en feu, en train de brûler"/>
    <d v="2020-06-22T00:00:00"/>
    <x v="23"/>
    <n v="16"/>
    <n v="0.69565217391304346"/>
  </r>
  <r>
    <s v="to sing-song"/>
    <s v="chantonner, répéter d'une voix chantante (tables de multiplications, …)"/>
    <d v="2020-07-02T00:00:00"/>
    <x v="23"/>
    <n v="16"/>
    <n v="0.69565217391304346"/>
  </r>
  <r>
    <s v="the skids"/>
    <s v="les patins"/>
    <d v="2020-07-14T00:00:00"/>
    <x v="23"/>
    <n v="16"/>
    <n v="0.69565217391304346"/>
  </r>
  <r>
    <s v="a stroll"/>
    <s v="une promenade"/>
    <d v="2021-02-08T00:00:00"/>
    <x v="23"/>
    <n v="16"/>
    <n v="0.69565217391304346"/>
  </r>
  <r>
    <s v="to refine"/>
    <s v="peaufiner"/>
    <d v="2021-02-22T00:00:00"/>
    <x v="23"/>
    <n v="16"/>
    <n v="0.69565217391304346"/>
  </r>
  <r>
    <s v="charred"/>
    <s v="carbonisé"/>
    <d v="2021-02-22T00:00:00"/>
    <x v="23"/>
    <n v="16"/>
    <n v="0.69565217391304346"/>
  </r>
  <r>
    <s v="a wavelet"/>
    <s v="une vaguelette"/>
    <d v="2021-03-02T00:00:00"/>
    <x v="23"/>
    <n v="16"/>
    <n v="0.69565217391304346"/>
  </r>
  <r>
    <s v="parsley (common name)"/>
    <s v="le persil"/>
    <d v="2021-03-07T00:00:00"/>
    <x v="23"/>
    <n v="16"/>
    <n v="0.69565217391304346"/>
  </r>
  <r>
    <s v="a wasteland"/>
    <s v="une terre desolée"/>
    <d v="2021-04-13T00:00:00"/>
    <x v="23"/>
    <n v="16"/>
    <n v="0.69565217391304346"/>
  </r>
  <r>
    <s v="the bladder"/>
    <s v="la vessie"/>
    <d v="2013-09-05T00:00:00"/>
    <x v="30"/>
    <n v="21"/>
    <n v="0.7"/>
  </r>
  <r>
    <s v="an assembly line"/>
    <s v="une chaîne de montage"/>
    <d v="2013-12-13T00:00:00"/>
    <x v="20"/>
    <n v="14"/>
    <n v="0.7"/>
  </r>
  <r>
    <s v="supply &amp; demand"/>
    <s v="l’offre &amp; la demande"/>
    <d v="2013-12-13T00:00:00"/>
    <x v="20"/>
    <n v="14"/>
    <n v="0.7"/>
  </r>
  <r>
    <s v="a mileage"/>
    <s v="un kilométrage"/>
    <d v="2013-12-13T00:00:00"/>
    <x v="20"/>
    <n v="14"/>
    <n v="0.7"/>
  </r>
  <r>
    <s v="a meter (techn.)"/>
    <s v="un compteur (EDF, taxi, …)"/>
    <d v="2013-12-13T00:00:00"/>
    <x v="20"/>
    <n v="14"/>
    <n v="0.7"/>
  </r>
  <r>
    <s v="a culture vulture"/>
    <s v="une personne avide de culture"/>
    <d v="2018-05-17T00:00:00"/>
    <x v="20"/>
    <n v="14"/>
    <n v="0.7"/>
  </r>
  <r>
    <s v="pertaining"/>
    <s v="se rapportant"/>
    <d v="2018-05-27T00:00:00"/>
    <x v="20"/>
    <n v="14"/>
    <n v="0.7"/>
  </r>
  <r>
    <s v="subsequently"/>
    <s v="par la suite"/>
    <d v="2018-07-09T00:00:00"/>
    <x v="20"/>
    <n v="14"/>
    <n v="0.7"/>
  </r>
  <r>
    <s v="to be taken aback"/>
    <s v="être surpris, déconcerté, décontenancé"/>
    <d v="2018-08-17T00:00:00"/>
    <x v="20"/>
    <n v="14"/>
    <n v="0.7"/>
  </r>
  <r>
    <s v="embroidered"/>
    <s v="brodé"/>
    <d v="2019-01-07T00:00:00"/>
    <x v="20"/>
    <n v="14"/>
    <n v="0.7"/>
  </r>
  <r>
    <s v="a rug"/>
    <s v="une couverture"/>
    <d v="2019-01-28T00:00:00"/>
    <x v="20"/>
    <n v="14"/>
    <n v="0.7"/>
  </r>
  <r>
    <s v="Can you gift-wrap it?"/>
    <s v="Pouvez-vous me faire un paquet-cadeau ?"/>
    <d v="2019-03-24T00:00:00"/>
    <x v="30"/>
    <n v="21"/>
    <n v="0.7"/>
  </r>
  <r>
    <s v="scruffy"/>
    <s v="débraillé"/>
    <d v="2019-05-20T00:00:00"/>
    <x v="20"/>
    <n v="14"/>
    <n v="0.7"/>
  </r>
  <r>
    <s v="to plead"/>
    <s v="plaider"/>
    <d v="2019-10-14T00:00:00"/>
    <x v="20"/>
    <n v="14"/>
    <n v="0.7"/>
  </r>
  <r>
    <s v="heirs"/>
    <s v="les héritiers"/>
    <d v="2019-11-01T00:00:00"/>
    <x v="20"/>
    <n v="14"/>
    <n v="0.7"/>
  </r>
  <r>
    <s v="tampering (common name)"/>
    <s v="la falsification"/>
    <d v="2019-12-16T00:00:00"/>
    <x v="20"/>
    <n v="14"/>
    <n v="0.7"/>
  </r>
  <r>
    <s v="a loan word"/>
    <s v="un mot d'emprunt"/>
    <d v="2020-03-10T00:00:00"/>
    <x v="20"/>
    <n v="14"/>
    <n v="0.7"/>
  </r>
  <r>
    <s v="to hover"/>
    <s v="flotter / voltiger"/>
    <d v="2020-06-02T00:00:00"/>
    <x v="20"/>
    <n v="14"/>
    <n v="0.7"/>
  </r>
  <r>
    <s v="a business day"/>
    <s v="un jour ouvré"/>
    <d v="2021-02-05T00:00:00"/>
    <x v="20"/>
    <n v="14"/>
    <n v="0.7"/>
  </r>
  <r>
    <s v="a downpour"/>
    <s v="une averse"/>
    <d v="2021-03-14T00:00:00"/>
    <x v="20"/>
    <n v="14"/>
    <n v="0.7"/>
  </r>
  <r>
    <s v="a war of attrition"/>
    <s v="une guerre à l'usure"/>
    <d v="2021-03-21T00:00:00"/>
    <x v="20"/>
    <n v="14"/>
    <n v="0.7"/>
  </r>
  <r>
    <s v="to mumble"/>
    <s v="marmonner"/>
    <d v="2021-03-28T00:00:00"/>
    <x v="20"/>
    <n v="14"/>
    <n v="0.7"/>
  </r>
  <r>
    <s v="a wheelbarrow"/>
    <s v="une brouette"/>
    <d v="2021-07-05T00:00:00"/>
    <x v="20"/>
    <n v="14"/>
    <n v="0.7"/>
  </r>
  <r>
    <s v="overwhelming"/>
    <s v="écrasant"/>
    <d v="2021-08-26T00:00:00"/>
    <x v="20"/>
    <n v="14"/>
    <n v="0.7"/>
  </r>
  <r>
    <s v="a streak"/>
    <s v="une rayure, une trace"/>
    <d v="2011-03-09T00:00:00"/>
    <x v="28"/>
    <n v="19"/>
    <n v="0.70370370370370372"/>
  </r>
  <r>
    <s v="to thump"/>
    <s v="palpiter"/>
    <d v="2013-09-05T00:00:00"/>
    <x v="28"/>
    <n v="19"/>
    <n v="0.70370370370370372"/>
  </r>
  <r>
    <s v="a balance-sheet"/>
    <s v="un bilan"/>
    <d v="2013-12-13T00:00:00"/>
    <x v="28"/>
    <n v="19"/>
    <n v="0.70370370370370372"/>
  </r>
  <r>
    <s v="to allocate"/>
    <s v="allouer, attribuer"/>
    <d v="2013-12-13T00:00:00"/>
    <x v="28"/>
    <n v="19"/>
    <n v="0.70370370370370372"/>
  </r>
  <r>
    <s v="stock taking (common name)"/>
    <s v="un inventaire"/>
    <d v="2013-12-13T00:00:00"/>
    <x v="28"/>
    <n v="19"/>
    <n v="0.70370370370370372"/>
  </r>
  <r>
    <s v="a desktop"/>
    <s v="un ordinateur de bureau"/>
    <d v="2013-12-13T00:00:00"/>
    <x v="28"/>
    <n v="19"/>
    <n v="0.70370370370370372"/>
  </r>
  <r>
    <s v="an auction sale"/>
    <s v="une vente aux enchères"/>
    <d v="2018-05-17T00:00:00"/>
    <x v="28"/>
    <n v="19"/>
    <n v="0.70370370370370372"/>
  </r>
  <r>
    <s v="lengthy"/>
    <s v="long, interminable"/>
    <d v="2018-08-29T00:00:00"/>
    <x v="28"/>
    <n v="19"/>
    <n v="0.70370370370370372"/>
  </r>
  <r>
    <s v="throwaway (adj.)"/>
    <s v="jetable / désinvolte"/>
    <d v="2018-10-30T00:00:00"/>
    <x v="28"/>
    <n v="19"/>
    <n v="0.70370370370370372"/>
  </r>
  <r>
    <s v="a flail (weapon)"/>
    <s v="un fléau (l'arme)"/>
    <d v="2019-01-07T00:00:00"/>
    <x v="28"/>
    <n v="19"/>
    <n v="0.70370370370370372"/>
  </r>
  <r>
    <s v="to pinpoint"/>
    <s v="préciser, mettre le doigt sur"/>
    <d v="2020-06-02T00:00:00"/>
    <x v="28"/>
    <n v="19"/>
    <n v="0.70370370370370372"/>
  </r>
  <r>
    <s v="dismayed"/>
    <s v="consterné"/>
    <d v="2020-07-14T00:00:00"/>
    <x v="28"/>
    <n v="19"/>
    <n v="0.70370370370370372"/>
  </r>
  <r>
    <s v="well-to-do"/>
    <s v="aisé, riche"/>
    <d v="2011-03-09T00:00:00"/>
    <x v="16"/>
    <n v="12"/>
    <n v="0.70588235294117652"/>
  </r>
  <r>
    <s v="allegedly"/>
    <s v="prétendument"/>
    <d v="2011-03-09T00:00:00"/>
    <x v="16"/>
    <n v="12"/>
    <n v="0.70588235294117652"/>
  </r>
  <r>
    <s v="to wither"/>
    <s v="se dessécher, se faner"/>
    <d v="2011-03-09T00:00:00"/>
    <x v="36"/>
    <n v="24"/>
    <n v="0.70588235294117652"/>
  </r>
  <r>
    <s v="an expense"/>
    <s v="une dépense"/>
    <d v="2013-12-13T00:00:00"/>
    <x v="16"/>
    <n v="12"/>
    <n v="0.70588235294117652"/>
  </r>
  <r>
    <s v="an outflow"/>
    <s v="une sortie / une évasion (fisc.)"/>
    <d v="2013-12-13T00:00:00"/>
    <x v="16"/>
    <n v="12"/>
    <n v="0.70588235294117652"/>
  </r>
  <r>
    <s v="health care"/>
    <s v="l'assurance maladie"/>
    <d v="2013-12-13T00:00:00"/>
    <x v="16"/>
    <n v="12"/>
    <n v="0.70588235294117652"/>
  </r>
  <r>
    <s v="itemization (common name)"/>
    <s v="l'énumération, le fait de lister"/>
    <d v="2013-12-13T00:00:00"/>
    <x v="16"/>
    <n v="12"/>
    <n v="0.70588235294117652"/>
  </r>
  <r>
    <s v="quite a few of"/>
    <s v="pas mal de "/>
    <d v="2018-07-15T00:00:00"/>
    <x v="16"/>
    <n v="12"/>
    <n v="0.70588235294117652"/>
  </r>
  <r>
    <s v="an exculpation"/>
    <s v="une disculpation"/>
    <d v="2018-08-29T00:00:00"/>
    <x v="16"/>
    <n v="12"/>
    <n v="0.70588235294117652"/>
  </r>
  <r>
    <s v="an overkill"/>
    <s v="une exagération, une surestimation"/>
    <d v="2018-12-10T00:00:00"/>
    <x v="16"/>
    <n v="12"/>
    <n v="0.70588235294117652"/>
  </r>
  <r>
    <s v="a nosedive"/>
    <s v="un plongeon, un piqué"/>
    <d v="2018-12-16T00:00:00"/>
    <x v="16"/>
    <n v="12"/>
    <n v="0.70588235294117652"/>
  </r>
  <r>
    <s v="flush (adj.)"/>
    <s v="abondant"/>
    <d v="2019-04-28T00:00:00"/>
    <x v="16"/>
    <n v="12"/>
    <n v="0.70588235294117652"/>
  </r>
  <r>
    <s v="a pull-back device"/>
    <s v="un dispositif de rappel"/>
    <d v="2019-07-15T00:00:00"/>
    <x v="16"/>
    <n v="12"/>
    <n v="0.70588235294117652"/>
  </r>
  <r>
    <s v="a beaver"/>
    <s v="un castor"/>
    <d v="2019-11-02T00:00:00"/>
    <x v="16"/>
    <n v="12"/>
    <n v="0.70588235294117652"/>
  </r>
  <r>
    <s v="in his premises"/>
    <s v="chez lui"/>
    <d v="2020-05-18T00:00:00"/>
    <x v="36"/>
    <n v="24"/>
    <n v="0.70588235294117652"/>
  </r>
  <r>
    <s v="arcane (adj.)"/>
    <s v="ésotérique"/>
    <d v="2020-06-02T00:00:00"/>
    <x v="16"/>
    <n v="12"/>
    <n v="0.70588235294117652"/>
  </r>
  <r>
    <s v="a sequel"/>
    <s v="une suite"/>
    <d v="2020-06-22T00:00:00"/>
    <x v="16"/>
    <n v="12"/>
    <n v="0.70588235294117652"/>
  </r>
  <r>
    <s v="a litter"/>
    <s v="une litière"/>
    <d v="2021-02-22T00:00:00"/>
    <x v="16"/>
    <n v="12"/>
    <n v="0.70588235294117652"/>
  </r>
  <r>
    <s v="sandstone (common name)"/>
    <s v="le grès"/>
    <d v="2021-04-13T00:00:00"/>
    <x v="16"/>
    <n v="12"/>
    <n v="0.70588235294117652"/>
  </r>
  <r>
    <s v="a thumbnail"/>
    <s v="un ongle de pouce / une vignette"/>
    <d v="2021-09-01T00:00:00"/>
    <x v="16"/>
    <n v="12"/>
    <n v="0.70588235294117652"/>
  </r>
  <r>
    <s v="a department store"/>
    <s v="un grand magasin"/>
    <d v="2013-12-13T00:00:00"/>
    <x v="21"/>
    <n v="17"/>
    <n v="0.70833333333333337"/>
  </r>
  <r>
    <s v="a score of men"/>
    <s v="une vingtaine d'hommes"/>
    <d v="2018-05-17T00:00:00"/>
    <x v="21"/>
    <n v="17"/>
    <n v="0.70833333333333337"/>
  </r>
  <r>
    <s v="a beater (hunting)"/>
    <s v="un rabatteur (chasse)"/>
    <d v="2018-05-17T00:00:00"/>
    <x v="21"/>
    <n v="17"/>
    <n v="0.70833333333333337"/>
  </r>
  <r>
    <s v="intermingled"/>
    <s v="entremêlé"/>
    <d v="2018-05-27T00:00:00"/>
    <x v="21"/>
    <n v="17"/>
    <n v="0.70833333333333337"/>
  </r>
  <r>
    <s v="rubicond"/>
    <s v="rouge (particulièrement du visage d'une personne)"/>
    <d v="2018-08-29T00:00:00"/>
    <x v="21"/>
    <n v="17"/>
    <n v="0.70833333333333337"/>
  </r>
  <r>
    <s v="beaten tracks"/>
    <s v="les sentiers battus"/>
    <d v="2018-11-02T00:00:00"/>
    <x v="21"/>
    <n v="17"/>
    <n v="0.70833333333333337"/>
  </r>
  <r>
    <s v="to squirm"/>
    <s v="se tortiller"/>
    <d v="2019-05-20T00:00:00"/>
    <x v="21"/>
    <n v="17"/>
    <n v="0.70833333333333337"/>
  </r>
  <r>
    <s v="a spark"/>
    <s v="une étincelle"/>
    <d v="2019-08-05T00:00:00"/>
    <x v="21"/>
    <n v="17"/>
    <n v="0.70833333333333337"/>
  </r>
  <r>
    <s v="the storyline"/>
    <s v="le scénario"/>
    <d v="2019-11-06T00:00:00"/>
    <x v="21"/>
    <n v="17"/>
    <n v="0.70833333333333337"/>
  </r>
  <r>
    <s v="a lid"/>
    <s v="un couvercle"/>
    <d v="2020-03-10T00:00:00"/>
    <x v="21"/>
    <n v="17"/>
    <n v="0.70833333333333337"/>
  </r>
  <r>
    <s v="a strait"/>
    <s v="un détroit"/>
    <d v="2020-06-22T00:00:00"/>
    <x v="21"/>
    <n v="17"/>
    <n v="0.70833333333333337"/>
  </r>
  <r>
    <s v="a glimmer"/>
    <s v="une lueur"/>
    <d v="2020-07-14T00:00:00"/>
    <x v="21"/>
    <n v="17"/>
    <n v="0.70833333333333337"/>
  </r>
  <r>
    <s v="a spade, a shovel"/>
    <s v="une pelle"/>
    <d v="2013-09-05T00:00:00"/>
    <x v="35"/>
    <n v="22"/>
    <n v="0.70967741935483875"/>
  </r>
  <r>
    <s v="to fancy"/>
    <s v="s'imaginer"/>
    <d v="2011-03-09T00:00:00"/>
    <x v="19"/>
    <n v="15"/>
    <n v="0.7142857142857143"/>
  </r>
  <r>
    <s v="a rating"/>
    <s v="une estimation, une évaluation, un taux"/>
    <d v="2013-12-13T00:00:00"/>
    <x v="19"/>
    <n v="15"/>
    <n v="0.7142857142857143"/>
  </r>
  <r>
    <s v="a rally"/>
    <s v="un évènement, une réunion"/>
    <d v="2013-12-13T00:00:00"/>
    <x v="19"/>
    <n v="15"/>
    <n v="0.7142857142857143"/>
  </r>
  <r>
    <s v="a household"/>
    <s v="un ménage (écon.)"/>
    <d v="2013-12-13T00:00:00"/>
    <x v="8"/>
    <n v="10"/>
    <n v="0.7142857142857143"/>
  </r>
  <r>
    <s v="an accountant"/>
    <s v="un comptable"/>
    <d v="2013-12-13T00:00:00"/>
    <x v="19"/>
    <n v="15"/>
    <n v="0.7142857142857143"/>
  </r>
  <r>
    <s v="a junk mail"/>
    <s v="un courrier publicitaire"/>
    <d v="2013-12-13T00:00:00"/>
    <x v="19"/>
    <n v="15"/>
    <n v="0.7142857142857143"/>
  </r>
  <r>
    <s v="a publisher"/>
    <s v="un éditeur"/>
    <d v="2013-12-13T00:00:00"/>
    <x v="19"/>
    <n v="15"/>
    <n v="0.7142857142857143"/>
  </r>
  <r>
    <s v="sneakers"/>
    <s v="des chaussures de sport"/>
    <d v="2013-12-13T00:00:00"/>
    <x v="25"/>
    <n v="20"/>
    <n v="0.7142857142857143"/>
  </r>
  <r>
    <s v="to ape"/>
    <s v="singer, imiter"/>
    <d v="2018-04-15T00:00:00"/>
    <x v="19"/>
    <n v="15"/>
    <n v="0.7142857142857143"/>
  </r>
  <r>
    <s v="a dial"/>
    <s v="un cadran"/>
    <d v="2018-05-17T00:00:00"/>
    <x v="19"/>
    <n v="15"/>
    <n v="0.7142857142857143"/>
  </r>
  <r>
    <s v="He has lofty ideas."/>
    <s v="Il a des idéaux élevés."/>
    <d v="2018-05-17T00:00:00"/>
    <x v="8"/>
    <n v="10"/>
    <n v="0.7142857142857143"/>
  </r>
  <r>
    <s v="relished"/>
    <s v="ravi"/>
    <d v="2018-05-27T00:00:00"/>
    <x v="19"/>
    <n v="15"/>
    <n v="0.7142857142857143"/>
  </r>
  <r>
    <s v="ousted"/>
    <s v="évincé, chassé, expulsé"/>
    <d v="2018-11-02T00:00:00"/>
    <x v="19"/>
    <n v="15"/>
    <n v="0.7142857142857143"/>
  </r>
  <r>
    <s v="a slug"/>
    <s v="une limace"/>
    <d v="2018-11-02T00:00:00"/>
    <x v="19"/>
    <n v="15"/>
    <n v="0.7142857142857143"/>
  </r>
  <r>
    <s v="chopsticks (common name)"/>
    <s v="des baguettes (chinoises)"/>
    <d v="2018-11-02T00:00:00"/>
    <x v="19"/>
    <n v="15"/>
    <n v="0.7142857142857143"/>
  </r>
  <r>
    <s v="torpid"/>
    <s v="engourdi"/>
    <d v="2018-11-04T00:00:00"/>
    <x v="25"/>
    <n v="20"/>
    <n v="0.7142857142857143"/>
  </r>
  <r>
    <s v="the unflappability"/>
    <s v="l'impuissance"/>
    <d v="2018-11-11T00:00:00"/>
    <x v="19"/>
    <n v="15"/>
    <n v="0.7142857142857143"/>
  </r>
  <r>
    <s v="ilk"/>
    <s v="ceux-là mêmes"/>
    <d v="2018-11-17T00:00:00"/>
    <x v="19"/>
    <n v="15"/>
    <n v="0.7142857142857143"/>
  </r>
  <r>
    <s v="overarching"/>
    <s v="global"/>
    <d v="2018-12-04T00:00:00"/>
    <x v="19"/>
    <n v="15"/>
    <n v="0.7142857142857143"/>
  </r>
  <r>
    <s v="a nook"/>
    <s v="un coin"/>
    <d v="2018-12-10T00:00:00"/>
    <x v="19"/>
    <n v="15"/>
    <n v="0.7142857142857143"/>
  </r>
  <r>
    <s v="an eon"/>
    <s v="un temps, une période"/>
    <d v="2019-01-07T00:00:00"/>
    <x v="8"/>
    <n v="10"/>
    <n v="0.7142857142857143"/>
  </r>
  <r>
    <s v="heretofore"/>
    <s v="jusqu'ici"/>
    <d v="2019-07-27T00:00:00"/>
    <x v="25"/>
    <n v="20"/>
    <n v="0.7142857142857143"/>
  </r>
  <r>
    <s v="drapes (common name)"/>
    <s v="les teintures"/>
    <d v="2019-10-23T00:00:00"/>
    <x v="19"/>
    <n v="15"/>
    <n v="0.7142857142857143"/>
  </r>
  <r>
    <s v="a brothel"/>
    <s v="une maison close"/>
    <d v="2019-10-23T00:00:00"/>
    <x v="19"/>
    <n v="15"/>
    <n v="0.7142857142857143"/>
  </r>
  <r>
    <s v="a feud"/>
    <s v="une querelle"/>
    <d v="2019-10-29T00:00:00"/>
    <x v="19"/>
    <n v="15"/>
    <n v="0.7142857142857143"/>
  </r>
  <r>
    <s v="tusks"/>
    <s v="les défenses (d'un animal)"/>
    <d v="2019-10-29T00:00:00"/>
    <x v="19"/>
    <n v="15"/>
    <n v="0.7142857142857143"/>
  </r>
  <r>
    <s v="tar (common name)"/>
    <s v="le goudron"/>
    <d v="2020-01-18T00:00:00"/>
    <x v="19"/>
    <n v="15"/>
    <n v="0.7142857142857143"/>
  </r>
  <r>
    <s v="to tweak"/>
    <s v="tordre"/>
    <d v="2020-05-18T00:00:00"/>
    <x v="25"/>
    <n v="20"/>
    <n v="0.7142857142857143"/>
  </r>
  <r>
    <s v="sworn in"/>
    <s v="assermenté"/>
    <d v="2020-05-18T00:00:00"/>
    <x v="8"/>
    <n v="10"/>
    <n v="0.7142857142857143"/>
  </r>
  <r>
    <s v="a hyphen"/>
    <s v="un trait-d'union"/>
    <d v="2020-06-02T00:00:00"/>
    <x v="19"/>
    <n v="15"/>
    <n v="0.7142857142857143"/>
  </r>
  <r>
    <s v="a gurgle"/>
    <s v="un gargouillis"/>
    <d v="2020-07-14T00:00:00"/>
    <x v="19"/>
    <n v="15"/>
    <n v="0.7142857142857143"/>
  </r>
  <r>
    <s v="the beak"/>
    <s v="le bec"/>
    <d v="2020-07-14T00:00:00"/>
    <x v="8"/>
    <n v="10"/>
    <n v="0.7142857142857143"/>
  </r>
  <r>
    <s v="to swallow"/>
    <s v="déglutir"/>
    <d v="2021-04-22T00:00:00"/>
    <x v="8"/>
    <n v="10"/>
    <n v="0.7142857142857143"/>
  </r>
  <r>
    <s v="to doze"/>
    <s v="sommeiller"/>
    <d v="2021-07-18T00:00:00"/>
    <x v="19"/>
    <n v="15"/>
    <n v="0.7142857142857143"/>
  </r>
  <r>
    <s v="incidentally"/>
    <s v="accidentellement"/>
    <d v="2021-09-26T00:00:00"/>
    <x v="8"/>
    <n v="10"/>
    <n v="0.7142857142857143"/>
  </r>
  <r>
    <s v="a slit"/>
    <s v="une fente, une incision"/>
    <d v="2021-11-24T00:00:00"/>
    <x v="8"/>
    <n v="10"/>
    <n v="0.7142857142857143"/>
  </r>
  <r>
    <s v="deer antler"/>
    <s v="la ramure d'un cerf"/>
    <d v="2022-01-30T00:00:00"/>
    <x v="2"/>
    <n v="5"/>
    <n v="0.7142857142857143"/>
  </r>
  <r>
    <s v="a proclivity"/>
    <s v="une propension, une inclination"/>
    <d v="2022-02-01T00:00:00"/>
    <x v="2"/>
    <n v="5"/>
    <n v="0.7142857142857143"/>
  </r>
  <r>
    <s v="a shooting star"/>
    <s v="une étoile filante"/>
    <d v="2022-02-17T00:00:00"/>
    <x v="8"/>
    <n v="10"/>
    <n v="0.7142857142857143"/>
  </r>
  <r>
    <s v="southpaw (adj.)"/>
    <s v="gaucher"/>
    <d v="2022-11-20T00:00:00"/>
    <x v="2"/>
    <n v="5"/>
    <n v="0.7142857142857143"/>
  </r>
  <r>
    <s v="to epitomise"/>
    <s v="incarner, résumer"/>
    <d v="2018-10-17T00:00:00"/>
    <x v="27"/>
    <n v="23"/>
    <n v="0.71875"/>
  </r>
  <r>
    <s v="degreasing (common name)"/>
    <s v="le dégraissage"/>
    <d v="2019-01-28T00:00:00"/>
    <x v="27"/>
    <n v="23"/>
    <n v="0.71875"/>
  </r>
  <r>
    <s v="a blurb"/>
    <s v="une présentation"/>
    <d v="2020-06-02T00:00:00"/>
    <x v="27"/>
    <n v="23"/>
    <n v="0.71875"/>
  </r>
  <r>
    <s v="vintage (adj.)"/>
    <s v="cru / ancien"/>
    <d v="2021-03-07T00:00:00"/>
    <x v="27"/>
    <n v="23"/>
    <n v="0.71875"/>
  </r>
  <r>
    <s v="liability"/>
    <s v="la responsabilité (jurid.)"/>
    <d v="2013-12-13T00:00:00"/>
    <x v="26"/>
    <n v="18"/>
    <n v="0.72"/>
  </r>
  <r>
    <s v="towed"/>
    <s v="remorqué"/>
    <d v="2018-04-16T00:00:00"/>
    <x v="26"/>
    <n v="18"/>
    <n v="0.72"/>
  </r>
  <r>
    <s v="classical"/>
    <s v="célèbre, référence / qui relève soit de l'antiquité, soit du XVIIIème siècle"/>
    <d v="2018-05-17T00:00:00"/>
    <x v="26"/>
    <n v="18"/>
    <n v="0.72"/>
  </r>
  <r>
    <s v="The last frontier"/>
    <s v="La frontière de l'espace (métaphorique)"/>
    <d v="2018-05-17T00:00:00"/>
    <x v="26"/>
    <n v="18"/>
    <n v="0.72"/>
  </r>
  <r>
    <s v="pungent"/>
    <s v="mordant, acerbe"/>
    <d v="2018-11-04T00:00:00"/>
    <x v="26"/>
    <n v="18"/>
    <n v="0.72"/>
  </r>
  <r>
    <s v="a slumbering"/>
    <s v="une sieste, un somme"/>
    <d v="2018-11-25T00:00:00"/>
    <x v="26"/>
    <n v="18"/>
    <n v="0.72"/>
  </r>
  <r>
    <s v="a ploy"/>
    <s v="un stratagème"/>
    <d v="2018-12-04T00:00:00"/>
    <x v="26"/>
    <n v="18"/>
    <n v="0.72"/>
  </r>
  <r>
    <s v="a scam"/>
    <s v="une arnaque"/>
    <d v="2020-06-02T00:00:00"/>
    <x v="26"/>
    <n v="18"/>
    <n v="0.72"/>
  </r>
  <r>
    <s v="to flag down"/>
    <s v="héler, faire signe de s'arrêter"/>
    <d v="2021-02-17T00:00:00"/>
    <x v="26"/>
    <n v="18"/>
    <n v="0.72"/>
  </r>
  <r>
    <s v="to season"/>
    <s v="assaisonner"/>
    <d v="2021-03-07T00:00:00"/>
    <x v="26"/>
    <n v="18"/>
    <n v="0.72"/>
  </r>
  <r>
    <s v="the windpipe"/>
    <s v="la trachée"/>
    <d v="2021-03-07T00:00:00"/>
    <x v="26"/>
    <n v="18"/>
    <n v="0.72"/>
  </r>
  <r>
    <s v="a hard currency"/>
    <s v="une devise forte"/>
    <d v="2013-12-13T00:00:00"/>
    <x v="18"/>
    <n v="13"/>
    <n v="0.72222222222222221"/>
  </r>
  <r>
    <s v="a manslaughter"/>
    <s v="un homicide involontaire"/>
    <d v="2013-12-13T00:00:00"/>
    <x v="18"/>
    <n v="13"/>
    <n v="0.72222222222222221"/>
  </r>
  <r>
    <s v="sales (common name)"/>
    <s v="les soldes / le chiffre d’affaire / le départment commercial"/>
    <d v="2013-12-13T00:00:00"/>
    <x v="18"/>
    <n v="13"/>
    <n v="0.72222222222222221"/>
  </r>
  <r>
    <s v="to drop off"/>
    <s v="déposer, laisser"/>
    <d v="2013-12-13T00:00:00"/>
    <x v="18"/>
    <n v="13"/>
    <n v="0.72222222222222221"/>
  </r>
  <r>
    <s v="a leaflet"/>
    <s v="un prospectus"/>
    <d v="2013-12-13T00:00:00"/>
    <x v="18"/>
    <n v="13"/>
    <n v="0.72222222222222221"/>
  </r>
  <r>
    <s v="the profitability"/>
    <s v="la rentabilité"/>
    <d v="2013-12-13T00:00:00"/>
    <x v="18"/>
    <n v="13"/>
    <n v="0.72222222222222221"/>
  </r>
  <r>
    <s v="to post"/>
    <s v="annoncer"/>
    <d v="2013-12-13T00:00:00"/>
    <x v="18"/>
    <n v="13"/>
    <n v="0.72222222222222221"/>
  </r>
  <r>
    <s v="creed (common name)"/>
    <s v="des principes, un credo"/>
    <d v="2018-08-29T00:00:00"/>
    <x v="18"/>
    <n v="13"/>
    <n v="0.72222222222222221"/>
  </r>
  <r>
    <s v="a fillip"/>
    <s v="un coup de fouet, une pichenette, un coup sur la main"/>
    <d v="2018-09-27T00:00:00"/>
    <x v="18"/>
    <n v="13"/>
    <n v="0.72222222222222221"/>
  </r>
  <r>
    <s v="a reaper"/>
    <s v="une moissonneuse"/>
    <d v="2018-11-18T00:00:00"/>
    <x v="18"/>
    <n v="13"/>
    <n v="0.72222222222222221"/>
  </r>
  <r>
    <s v="to squeeze"/>
    <s v="écraser"/>
    <d v="2018-12-10T00:00:00"/>
    <x v="18"/>
    <n v="13"/>
    <n v="0.72222222222222221"/>
  </r>
  <r>
    <s v="nosy"/>
    <s v="curieux, fouineur"/>
    <d v="2021-08-25T00:00:00"/>
    <x v="18"/>
    <n v="13"/>
    <n v="0.72222222222222221"/>
  </r>
  <r>
    <s v="to monitor"/>
    <s v="surveiller"/>
    <d v="2011-03-09T00:00:00"/>
    <x v="29"/>
    <n v="21"/>
    <n v="0.72413793103448276"/>
  </r>
  <r>
    <s v="a lane"/>
    <s v="une voie d'autoroute"/>
    <d v="2011-03-09T00:00:00"/>
    <x v="29"/>
    <n v="21"/>
    <n v="0.72413793103448276"/>
  </r>
  <r>
    <s v="to hint"/>
    <s v="insinuer, suggérer"/>
    <d v="2011-03-09T00:00:00"/>
    <x v="29"/>
    <n v="21"/>
    <n v="0.72413793103448276"/>
  </r>
  <r>
    <s v="an equity"/>
    <s v="une action (finance)"/>
    <d v="2013-12-13T00:00:00"/>
    <x v="29"/>
    <n v="21"/>
    <n v="0.72413793103448276"/>
  </r>
  <r>
    <s v="foodstuffs"/>
    <s v="les denrées alimentaires"/>
    <d v="2013-12-13T00:00:00"/>
    <x v="29"/>
    <n v="21"/>
    <n v="0.72413793103448276"/>
  </r>
  <r>
    <s v="subsidized"/>
    <s v="subventionné"/>
    <d v="2013-12-13T00:00:00"/>
    <x v="29"/>
    <n v="21"/>
    <n v="0.72413793103448276"/>
  </r>
  <r>
    <s v="to walk-out / a walk-out"/>
    <s v="se promener / une grève / un retrait"/>
    <d v="2018-07-17T00:00:00"/>
    <x v="29"/>
    <n v="21"/>
    <n v="0.72413793103448276"/>
  </r>
  <r>
    <s v="virtually"/>
    <s v="virtuellement / en pratique"/>
    <d v="2020-06-22T00:00:00"/>
    <x v="29"/>
    <n v="21"/>
    <n v="0.72413793103448276"/>
  </r>
  <r>
    <s v="squarely (adv.)"/>
    <s v="carrément"/>
    <d v="2020-07-14T00:00:00"/>
    <x v="29"/>
    <n v="21"/>
    <n v="0.72413793103448276"/>
  </r>
  <r>
    <s v="brass (common name)"/>
    <s v="le laiton"/>
    <d v="2013-09-05T00:00:00"/>
    <x v="22"/>
    <n v="16"/>
    <n v="0.72727272727272729"/>
  </r>
  <r>
    <s v="the liver"/>
    <s v="le foie"/>
    <d v="2013-09-05T00:00:00"/>
    <x v="22"/>
    <n v="16"/>
    <n v="0.72727272727272729"/>
  </r>
  <r>
    <s v="junior"/>
    <s v="de grade inférieur"/>
    <d v="2013-12-13T00:00:00"/>
    <x v="22"/>
    <n v="16"/>
    <n v="0.72727272727272729"/>
  </r>
  <r>
    <s v="staggering"/>
    <s v="incroyable, saisissant"/>
    <d v="2013-12-13T00:00:00"/>
    <x v="22"/>
    <n v="16"/>
    <n v="0.72727272727272729"/>
  </r>
  <r>
    <s v="a clerical work"/>
    <s v="un travail de bureau"/>
    <d v="2013-12-13T00:00:00"/>
    <x v="22"/>
    <n v="16"/>
    <n v="0.72727272727272729"/>
  </r>
  <r>
    <s v="to fund"/>
    <s v="financer"/>
    <d v="2013-12-13T00:00:00"/>
    <x v="22"/>
    <n v="16"/>
    <n v="0.72727272727272729"/>
  </r>
  <r>
    <s v="a mortgage"/>
    <s v="une hypothèque"/>
    <d v="2013-12-13T00:00:00"/>
    <x v="22"/>
    <n v="16"/>
    <n v="0.72727272727272729"/>
  </r>
  <r>
    <s v="the acumen"/>
    <s v="la perspicacité, la finesse, le sens"/>
    <d v="2013-12-13T00:00:00"/>
    <x v="22"/>
    <n v="16"/>
    <n v="0.72727272727272729"/>
  </r>
  <r>
    <s v="to skim"/>
    <s v="parcourir, feuilleter"/>
    <d v="2018-04-16T00:00:00"/>
    <x v="22"/>
    <n v="16"/>
    <n v="0.72727272727272729"/>
  </r>
  <r>
    <s v="colour-blind"/>
    <s v="daltonien"/>
    <d v="2018-05-17T00:00:00"/>
    <x v="22"/>
    <n v="16"/>
    <n v="0.72727272727272729"/>
  </r>
  <r>
    <s v="a dish-washer"/>
    <s v="un lave-vaisselle"/>
    <d v="2018-05-17T00:00:00"/>
    <x v="22"/>
    <n v="16"/>
    <n v="0.72727272727272729"/>
  </r>
  <r>
    <s v="ill-mannered"/>
    <s v="mal élevé"/>
    <d v="2018-07-17T00:00:00"/>
    <x v="22"/>
    <n v="16"/>
    <n v="0.72727272727272729"/>
  </r>
  <r>
    <s v="loose"/>
    <s v="en vrac / relâché"/>
    <d v="2018-08-29T00:00:00"/>
    <x v="22"/>
    <n v="16"/>
    <n v="0.72727272727272729"/>
  </r>
  <r>
    <s v="avuncular"/>
    <s v="relatif à un oncle"/>
    <d v="2018-10-24T00:00:00"/>
    <x v="22"/>
    <n v="16"/>
    <n v="0.72727272727272729"/>
  </r>
  <r>
    <s v="sly (adj.)"/>
    <s v="sournois, rusé"/>
    <d v="2018-11-02T00:00:00"/>
    <x v="22"/>
    <n v="16"/>
    <n v="0.72727272727272729"/>
  </r>
  <r>
    <s v="a joggle"/>
    <s v="une légère secousse"/>
    <d v="2018-11-05T00:00:00"/>
    <x v="22"/>
    <n v="16"/>
    <n v="0.72727272727272729"/>
  </r>
  <r>
    <s v="astatine"/>
    <s v="l'astate"/>
    <d v="2019-01-28T00:00:00"/>
    <x v="22"/>
    <n v="16"/>
    <n v="0.72727272727272729"/>
  </r>
  <r>
    <s v="a necklace"/>
    <s v="un collier"/>
    <d v="2019-03-24T00:00:00"/>
    <x v="22"/>
    <n v="16"/>
    <n v="0.72727272727272729"/>
  </r>
  <r>
    <s v="a clam"/>
    <s v="une palourde / un bavard"/>
    <d v="2019-10-18T00:00:00"/>
    <x v="22"/>
    <n v="16"/>
    <n v="0.72727272727272729"/>
  </r>
  <r>
    <s v="a ditch"/>
    <s v="un fossé"/>
    <d v="2019-11-02T00:00:00"/>
    <x v="22"/>
    <n v="16"/>
    <n v="0.72727272727272729"/>
  </r>
  <r>
    <s v="utterly"/>
    <s v="tout à fait, totalement"/>
    <d v="2019-12-03T00:00:00"/>
    <x v="22"/>
    <n v="16"/>
    <n v="0.72727272727272729"/>
  </r>
  <r>
    <s v="a nightgown"/>
    <s v="une chemise de nuit"/>
    <d v="2020-04-13T00:00:00"/>
    <x v="22"/>
    <n v="16"/>
    <n v="0.72727272727272729"/>
  </r>
  <r>
    <s v="traffic lights"/>
    <s v="les feux de circulation"/>
    <d v="2020-04-13T00:00:00"/>
    <x v="22"/>
    <n v="16"/>
    <n v="0.72727272727272729"/>
  </r>
  <r>
    <s v="a spool"/>
    <s v="une bobine"/>
    <d v="2020-05-11T00:00:00"/>
    <x v="22"/>
    <n v="16"/>
    <n v="0.72727272727272729"/>
  </r>
  <r>
    <s v="a califlower"/>
    <s v="un chou-fleur"/>
    <d v="2020-05-26T00:00:00"/>
    <x v="22"/>
    <n v="16"/>
    <n v="0.72727272727272729"/>
  </r>
  <r>
    <s v="base (adjective)"/>
    <s v="vil, ignoble"/>
    <d v="2020-06-22T00:00:00"/>
    <x v="22"/>
    <n v="16"/>
    <n v="0.72727272727272729"/>
  </r>
  <r>
    <s v="an innuendo"/>
    <s v="une insinuation"/>
    <d v="2021-03-28T00:00:00"/>
    <x v="22"/>
    <n v="16"/>
    <n v="0.72727272727272729"/>
  </r>
  <r>
    <s v="edible"/>
    <s v="comestible"/>
    <d v="2021-07-27T00:00:00"/>
    <x v="5"/>
    <n v="8"/>
    <n v="0.72727272727272729"/>
  </r>
  <r>
    <s v="a wart"/>
    <s v="une verrue"/>
    <d v="2021-08-24T00:00:00"/>
    <x v="5"/>
    <n v="8"/>
    <n v="0.72727272727272729"/>
  </r>
  <r>
    <s v="a bargain"/>
    <s v="un marché, une affaire"/>
    <d v="2011-03-09T00:00:00"/>
    <x v="24"/>
    <n v="19"/>
    <n v="0.73076923076923073"/>
  </r>
  <r>
    <s v="to sting"/>
    <s v="piquer"/>
    <d v="2013-09-05T00:00:00"/>
    <x v="24"/>
    <n v="19"/>
    <n v="0.73076923076923073"/>
  </r>
  <r>
    <s v="to spill"/>
    <s v="se renverser, se répandre"/>
    <d v="2013-12-13T00:00:00"/>
    <x v="24"/>
    <n v="19"/>
    <n v="0.73076923076923073"/>
  </r>
  <r>
    <s v="gross"/>
    <s v="brut (écon.)"/>
    <d v="2013-12-13T00:00:00"/>
    <x v="24"/>
    <n v="19"/>
    <n v="0.73076923076923073"/>
  </r>
  <r>
    <s v="professionnal people"/>
    <s v="les personnes de profession libérale"/>
    <d v="2013-12-13T00:00:00"/>
    <x v="24"/>
    <n v="19"/>
    <n v="0.73076923076923073"/>
  </r>
  <r>
    <s v="critical"/>
    <s v="crucial"/>
    <d v="2013-12-13T00:00:00"/>
    <x v="24"/>
    <n v="19"/>
    <n v="0.73076923076923073"/>
  </r>
  <r>
    <s v="hustings (common name)"/>
    <s v="une campagne électorale"/>
    <d v="2018-08-29T00:00:00"/>
    <x v="24"/>
    <n v="19"/>
    <n v="0.73076923076923073"/>
  </r>
  <r>
    <s v="the leniency"/>
    <s v="la clémence, l'indulgence"/>
    <d v="2019-05-18T00:00:00"/>
    <x v="24"/>
    <n v="19"/>
    <n v="0.73076923076923073"/>
  </r>
  <r>
    <s v="a dwelling"/>
    <s v="une habitation"/>
    <d v="2019-08-05T00:00:00"/>
    <x v="24"/>
    <n v="19"/>
    <n v="0.73076923076923073"/>
  </r>
  <r>
    <s v="a vanload (expression)"/>
    <s v="Le nombre de personnes pouvant être transportées dans un van (une dizaine)"/>
    <d v="2019-10-23T00:00:00"/>
    <x v="24"/>
    <n v="19"/>
    <n v="0.73076923076923073"/>
  </r>
  <r>
    <s v="likeness (common name)"/>
    <s v="la ressemblance"/>
    <d v="2020-06-22T00:00:00"/>
    <x v="24"/>
    <n v="19"/>
    <n v="0.73076923076923073"/>
  </r>
  <r>
    <s v="the counterpart"/>
    <s v="l'homologue, l'équivalent"/>
    <d v="2020-07-14T00:00:00"/>
    <x v="24"/>
    <n v="19"/>
    <n v="0.73076923076923073"/>
  </r>
  <r>
    <s v="a borough"/>
    <s v="un arrondissement, une municipalité"/>
    <d v="2021-04-13T00:00:00"/>
    <x v="24"/>
    <n v="19"/>
    <n v="0.73076923076923073"/>
  </r>
  <r>
    <s v="blinds (common name)"/>
    <s v="des aveugles / des stores"/>
    <d v="2021-04-13T00:00:00"/>
    <x v="24"/>
    <n v="19"/>
    <n v="0.73076923076923073"/>
  </r>
  <r>
    <s v="a misconception"/>
    <s v="une idée fausse"/>
    <d v="2011-03-09T00:00:00"/>
    <x v="30"/>
    <n v="22"/>
    <n v="0.73333333333333328"/>
  </r>
  <r>
    <s v="the inflow"/>
    <s v="l'afflux"/>
    <d v="2013-12-13T00:00:00"/>
    <x v="11"/>
    <n v="11"/>
    <n v="0.73333333333333328"/>
  </r>
  <r>
    <s v="knowledg(e)able"/>
    <s v="bien informé, compétent"/>
    <d v="2013-12-13T00:00:00"/>
    <x v="30"/>
    <n v="22"/>
    <n v="0.73333333333333328"/>
  </r>
  <r>
    <s v="leatherware"/>
    <s v="la maroquinerie"/>
    <d v="2018-05-17T00:00:00"/>
    <x v="30"/>
    <n v="22"/>
    <n v="0.73333333333333328"/>
  </r>
  <r>
    <s v="wholly-owned subsidiary"/>
    <s v="filiale dont la totalité du capital a été rachetée par la société mère"/>
    <d v="2018-08-13T00:00:00"/>
    <x v="30"/>
    <n v="22"/>
    <n v="0.73333333333333328"/>
  </r>
  <r>
    <s v="the dean"/>
    <s v="le doyen"/>
    <d v="2019-07-27T00:00:00"/>
    <x v="30"/>
    <n v="22"/>
    <n v="0.73333333333333328"/>
  </r>
  <r>
    <s v="nonsensical"/>
    <s v="absurde"/>
    <d v="2020-01-27T00:00:00"/>
    <x v="11"/>
    <n v="11"/>
    <n v="0.73333333333333328"/>
  </r>
  <r>
    <s v="the bowels"/>
    <s v="les intestins"/>
    <d v="2021-03-07T00:00:00"/>
    <x v="11"/>
    <n v="11"/>
    <n v="0.73333333333333328"/>
  </r>
  <r>
    <s v="a gust of wind"/>
    <s v="un coup de vent"/>
    <d v="2021-03-16T00:00:00"/>
    <x v="11"/>
    <n v="11"/>
    <n v="0.73333333333333328"/>
  </r>
  <r>
    <s v="a conundrum"/>
    <s v="une énigme"/>
    <d v="2022-01-03T00:00:00"/>
    <x v="11"/>
    <n v="11"/>
    <n v="0.73333333333333328"/>
  </r>
  <r>
    <s v="regulatory"/>
    <s v="réglementaire"/>
    <d v="2013-12-13T00:00:00"/>
    <x v="17"/>
    <n v="14"/>
    <n v="0.73684210526315785"/>
  </r>
  <r>
    <s v="a branch (firm)"/>
    <s v="une succursale, une agence"/>
    <d v="2013-12-13T00:00:00"/>
    <x v="17"/>
    <n v="14"/>
    <n v="0.73684210526315785"/>
  </r>
  <r>
    <s v="to issue"/>
    <s v="publier, faire paraître, émettre"/>
    <d v="2013-12-13T00:00:00"/>
    <x v="17"/>
    <n v="14"/>
    <n v="0.73684210526315785"/>
  </r>
  <r>
    <s v="the Lent"/>
    <s v="le Carême"/>
    <d v="2018-04-15T00:00:00"/>
    <x v="17"/>
    <n v="14"/>
    <n v="0.73684210526315785"/>
  </r>
  <r>
    <s v="to point out"/>
    <s v="signaler"/>
    <d v="2018-05-17T00:00:00"/>
    <x v="17"/>
    <n v="14"/>
    <n v="0.73684210526315785"/>
  </r>
  <r>
    <s v="claret (common name)"/>
    <s v="du (vin de) bordeaux"/>
    <d v="2018-10-09T00:00:00"/>
    <x v="17"/>
    <n v="14"/>
    <n v="0.73684210526315785"/>
  </r>
  <r>
    <s v="a pawn"/>
    <s v="un pion / un gage"/>
    <d v="2018-11-21T00:00:00"/>
    <x v="17"/>
    <n v="14"/>
    <n v="0.73684210526315785"/>
  </r>
  <r>
    <s v="a balance sheet"/>
    <s v="un bilan comptable"/>
    <d v="2019-08-05T00:00:00"/>
    <x v="17"/>
    <n v="14"/>
    <n v="0.73684210526315785"/>
  </r>
  <r>
    <s v="a hedge-trimmer"/>
    <s v="un taille-haie"/>
    <d v="2019-11-18T00:00:00"/>
    <x v="17"/>
    <n v="14"/>
    <n v="0.73684210526315785"/>
  </r>
  <r>
    <s v="a surrogate"/>
    <s v="un substitut"/>
    <d v="2019-12-03T00:00:00"/>
    <x v="17"/>
    <n v="14"/>
    <n v="0.73684210526315785"/>
  </r>
  <r>
    <s v="a hue"/>
    <s v="une teinte"/>
    <d v="2020-05-18T00:00:00"/>
    <x v="17"/>
    <n v="14"/>
    <n v="0.73684210526315785"/>
  </r>
  <r>
    <s v="to buttress"/>
    <s v="soutenir, épauler"/>
    <d v="2020-06-22T00:00:00"/>
    <x v="17"/>
    <n v="14"/>
    <n v="0.73684210526315785"/>
  </r>
  <r>
    <s v="dimly"/>
    <s v="faiblement"/>
    <d v="2020-07-30T00:00:00"/>
    <x v="17"/>
    <n v="14"/>
    <n v="0.73684210526315785"/>
  </r>
  <r>
    <s v="terracotta (common name)"/>
    <s v="une terre cuite"/>
    <d v="2021-03-28T00:00:00"/>
    <x v="17"/>
    <n v="14"/>
    <n v="0.73684210526315785"/>
  </r>
  <r>
    <s v="a shelf"/>
    <s v="un rayon (d’une étagère, …)"/>
    <d v="2013-12-13T00:00:00"/>
    <x v="23"/>
    <n v="17"/>
    <n v="0.73913043478260865"/>
  </r>
  <r>
    <s v="power (common name)"/>
    <s v="le pouvoir / l'énergie, l'électricité"/>
    <d v="2013-12-13T00:00:00"/>
    <x v="23"/>
    <n v="17"/>
    <n v="0.73913043478260865"/>
  </r>
  <r>
    <s v="a warranty"/>
    <s v="une garantie"/>
    <d v="2013-12-13T00:00:00"/>
    <x v="23"/>
    <n v="17"/>
    <n v="0.73913043478260865"/>
  </r>
  <r>
    <s v="a pool"/>
    <s v="une piscine / un billard américain"/>
    <d v="2013-12-13T00:00:00"/>
    <x v="23"/>
    <n v="17"/>
    <n v="0.73913043478260865"/>
  </r>
  <r>
    <s v="bygone (adj.)"/>
    <s v="(évènement) passé"/>
    <d v="2019-10-29T00:00:00"/>
    <x v="23"/>
    <n v="17"/>
    <n v="0.73913043478260865"/>
  </r>
  <r>
    <s v="a carrion"/>
    <s v="une charogne"/>
    <d v="2020-07-14T00:00:00"/>
    <x v="23"/>
    <n v="17"/>
    <n v="0.73913043478260865"/>
  </r>
  <r>
    <s v="a relapse (medic.)"/>
    <s v="une rechute"/>
    <d v="2021-03-07T00:00:00"/>
    <x v="23"/>
    <n v="17"/>
    <n v="0.73913043478260865"/>
  </r>
  <r>
    <s v="to pledge"/>
    <s v="promettre (solennellement)"/>
    <d v="2011-03-09T00:00:00"/>
    <x v="28"/>
    <n v="20"/>
    <n v="0.7407407407407407"/>
  </r>
  <r>
    <s v="to tighten the brakes"/>
    <s v="resserrer les freins (automobile)"/>
    <d v="2018-05-17T00:00:00"/>
    <x v="28"/>
    <n v="20"/>
    <n v="0.7407407407407407"/>
  </r>
  <r>
    <s v="Don't argue with me!"/>
    <s v="Ne me contredisez pas !"/>
    <d v="2018-05-17T00:00:00"/>
    <x v="28"/>
    <n v="20"/>
    <n v="0.7407407407407407"/>
  </r>
  <r>
    <s v="admittedly"/>
    <s v="de l'aveu de tous"/>
    <d v="2018-10-24T00:00:00"/>
    <x v="28"/>
    <n v="20"/>
    <n v="0.7407407407407407"/>
  </r>
  <r>
    <s v="standalone"/>
    <s v="autonome"/>
    <d v="2021-02-22T00:00:00"/>
    <x v="28"/>
    <n v="20"/>
    <n v="0.7407407407407407"/>
  </r>
  <r>
    <s v="a stub"/>
    <s v="une extrémité / un talon / une souche"/>
    <d v="2021-02-24T00:00:00"/>
    <x v="28"/>
    <n v="20"/>
    <n v="0.7407407407407407"/>
  </r>
  <r>
    <s v="a watercolour"/>
    <s v="une aquarelle"/>
    <d v="2021-03-28T00:00:00"/>
    <x v="28"/>
    <n v="20"/>
    <n v="0.7407407407407407"/>
  </r>
  <r>
    <s v="a curfew"/>
    <s v="un couvre-feu"/>
    <d v="2021-04-12T00:00:00"/>
    <x v="28"/>
    <n v="20"/>
    <n v="0.7407407407407407"/>
  </r>
  <r>
    <s v="a kidney"/>
    <s v="un rein"/>
    <d v="2013-09-05T00:00:00"/>
    <x v="35"/>
    <n v="23"/>
    <n v="0.74193548387096775"/>
  </r>
  <r>
    <s v="an endeavour"/>
    <s v="un effort"/>
    <d v="2013-12-13T00:00:00"/>
    <x v="35"/>
    <n v="23"/>
    <n v="0.74193548387096775"/>
  </r>
  <r>
    <s v="to search"/>
    <s v="fouiller"/>
    <d v="2018-05-17T00:00:00"/>
    <x v="35"/>
    <n v="23"/>
    <n v="0.74193548387096775"/>
  </r>
  <r>
    <s v="to make for"/>
    <s v="se diriger vers, aller à"/>
    <d v="2011-03-09T00:00:00"/>
    <x v="6"/>
    <n v="12"/>
    <n v="0.75"/>
  </r>
  <r>
    <s v="a dam"/>
    <s v="un barrage"/>
    <d v="2011-03-09T00:00:00"/>
    <x v="21"/>
    <n v="18"/>
    <n v="0.75"/>
  </r>
  <r>
    <s v="the sewage system"/>
    <s v="les égouts"/>
    <d v="2013-09-05T00:00:00"/>
    <x v="25"/>
    <n v="21"/>
    <n v="0.75"/>
  </r>
  <r>
    <s v="a beverage"/>
    <s v="une boisson, un breuvage"/>
    <d v="2013-12-13T00:00:00"/>
    <x v="20"/>
    <n v="15"/>
    <n v="0.75"/>
  </r>
  <r>
    <s v="a convict"/>
    <s v="un condamné (dr.)"/>
    <d v="2013-12-13T00:00:00"/>
    <x v="25"/>
    <n v="21"/>
    <n v="0.75"/>
  </r>
  <r>
    <s v="rubber (common name)"/>
    <s v="le caoutchouc"/>
    <d v="2013-12-13T00:00:00"/>
    <x v="21"/>
    <n v="18"/>
    <n v="0.75"/>
  </r>
  <r>
    <s v="to sue"/>
    <s v="poursuivre en justice"/>
    <d v="2013-12-13T00:00:00"/>
    <x v="21"/>
    <n v="18"/>
    <n v="0.75"/>
  </r>
  <r>
    <s v="a pension"/>
    <s v="une pension de retraite"/>
    <d v="2013-12-13T00:00:00"/>
    <x v="6"/>
    <n v="12"/>
    <n v="0.75"/>
  </r>
  <r>
    <s v="a redeployment"/>
    <s v="une reconversion"/>
    <d v="2013-12-13T00:00:00"/>
    <x v="21"/>
    <n v="18"/>
    <n v="0.75"/>
  </r>
  <r>
    <s v="to disclose"/>
    <s v="divulguer, dévoiler"/>
    <d v="2013-12-13T00:00:00"/>
    <x v="21"/>
    <n v="18"/>
    <n v="0.75"/>
  </r>
  <r>
    <s v="a remainder"/>
    <s v="un reste"/>
    <d v="2013-12-13T00:00:00"/>
    <x v="6"/>
    <n v="12"/>
    <n v="0.75"/>
  </r>
  <r>
    <s v="peak time"/>
    <s v="l'heure de pointe"/>
    <d v="2013-12-13T00:00:00"/>
    <x v="6"/>
    <n v="12"/>
    <n v="0.75"/>
  </r>
  <r>
    <s v="thorough"/>
    <s v="complet, détaillé"/>
    <d v="2013-12-13T00:00:00"/>
    <x v="6"/>
    <n v="12"/>
    <n v="0.75"/>
  </r>
  <r>
    <s v="to draw up"/>
    <s v="établir, rédiger"/>
    <d v="2013-12-13T00:00:00"/>
    <x v="20"/>
    <n v="15"/>
    <n v="0.75"/>
  </r>
  <r>
    <s v="to find out"/>
    <s v="se renseigner, trouver, découvrir"/>
    <d v="2013-12-13T00:00:00"/>
    <x v="25"/>
    <n v="21"/>
    <n v="0.75"/>
  </r>
  <r>
    <s v="pervasive"/>
    <s v="envahissant"/>
    <d v="2013-12-13T00:00:00"/>
    <x v="25"/>
    <n v="21"/>
    <n v="0.75"/>
  </r>
  <r>
    <s v="to be in good shape"/>
    <s v="être en bonne forme"/>
    <d v="2018-05-17T00:00:00"/>
    <x v="21"/>
    <n v="18"/>
    <n v="0.75"/>
  </r>
  <r>
    <s v="a youngling"/>
    <s v="un jeune garçon"/>
    <d v="2018-07-14T00:00:00"/>
    <x v="20"/>
    <n v="15"/>
    <n v="0.75"/>
  </r>
  <r>
    <s v="a trial period"/>
    <s v="une période d'essai"/>
    <d v="2018-07-15T00:00:00"/>
    <x v="20"/>
    <n v="15"/>
    <n v="0.75"/>
  </r>
  <r>
    <s v="to stitch up"/>
    <s v="recoudre / mettre quelqu'un en porte-à-faux"/>
    <d v="2018-08-29T00:00:00"/>
    <x v="21"/>
    <n v="18"/>
    <n v="0.75"/>
  </r>
  <r>
    <s v="to defuse"/>
    <s v="désamorcer"/>
    <d v="2018-08-29T00:00:00"/>
    <x v="21"/>
    <n v="18"/>
    <n v="0.75"/>
  </r>
  <r>
    <s v="to disgruntle"/>
    <s v="contrarier, décevoir"/>
    <d v="2018-10-03T00:00:00"/>
    <x v="25"/>
    <n v="21"/>
    <n v="0.75"/>
  </r>
  <r>
    <s v="feral"/>
    <s v="sauvage"/>
    <d v="2018-11-01T00:00:00"/>
    <x v="20"/>
    <n v="15"/>
    <n v="0.75"/>
  </r>
  <r>
    <s v="to hatch"/>
    <s v="faire éclore / couver"/>
    <d v="2018-11-17T00:00:00"/>
    <x v="21"/>
    <n v="18"/>
    <n v="0.75"/>
  </r>
  <r>
    <s v="a hound"/>
    <s v="un chien de chasse"/>
    <d v="2018-11-18T00:00:00"/>
    <x v="7"/>
    <n v="9"/>
    <n v="0.75"/>
  </r>
  <r>
    <s v="the apex"/>
    <s v="le sommet, le point culminant"/>
    <d v="2018-11-18T00:00:00"/>
    <x v="6"/>
    <n v="12"/>
    <n v="0.75"/>
  </r>
  <r>
    <s v="a landslide"/>
    <s v="un glissement de terrain, un éboulement"/>
    <d v="2018-11-21T00:00:00"/>
    <x v="20"/>
    <n v="15"/>
    <n v="0.75"/>
  </r>
  <r>
    <s v="a spear"/>
    <s v="une lance, une pointe"/>
    <d v="2018-11-24T00:00:00"/>
    <x v="25"/>
    <n v="21"/>
    <n v="0.75"/>
  </r>
  <r>
    <s v="the clove"/>
    <s v="le clou de girofle"/>
    <d v="2019-01-07T00:00:00"/>
    <x v="21"/>
    <n v="18"/>
    <n v="0.75"/>
  </r>
  <r>
    <s v="the chalk"/>
    <s v="la craie"/>
    <d v="2019-01-14T00:00:00"/>
    <x v="6"/>
    <n v="12"/>
    <n v="0.75"/>
  </r>
  <r>
    <s v="innermost"/>
    <s v="intime"/>
    <d v="2019-05-20T00:00:00"/>
    <x v="25"/>
    <n v="21"/>
    <n v="0.75"/>
  </r>
  <r>
    <s v="a hoax"/>
    <s v="un canular"/>
    <d v="2019-07-15T00:00:00"/>
    <x v="6"/>
    <n v="12"/>
    <n v="0.75"/>
  </r>
  <r>
    <s v="a millwright"/>
    <s v="un mécanicien de chantier"/>
    <d v="2019-08-05T00:00:00"/>
    <x v="21"/>
    <n v="18"/>
    <n v="0.75"/>
  </r>
  <r>
    <s v="a telescope"/>
    <s v="une longue-vue"/>
    <d v="2019-08-05T00:00:00"/>
    <x v="21"/>
    <n v="18"/>
    <n v="0.75"/>
  </r>
  <r>
    <s v="beveled"/>
    <s v="biseauté"/>
    <d v="2019-08-12T00:00:00"/>
    <x v="20"/>
    <n v="15"/>
    <n v="0.75"/>
  </r>
  <r>
    <s v="pleated"/>
    <s v="plissé"/>
    <d v="2019-10-23T00:00:00"/>
    <x v="25"/>
    <n v="21"/>
    <n v="0.75"/>
  </r>
  <r>
    <s v="ensuing"/>
    <s v="qui s'ensuit"/>
    <d v="2019-10-29T00:00:00"/>
    <x v="20"/>
    <n v="15"/>
    <n v="0.75"/>
  </r>
  <r>
    <s v="hooves"/>
    <s v="les sabots"/>
    <d v="2020-01-27T00:00:00"/>
    <x v="25"/>
    <n v="21"/>
    <n v="0.75"/>
  </r>
  <r>
    <s v="cumbersome"/>
    <s v="lourd"/>
    <d v="2020-03-05T00:00:00"/>
    <x v="6"/>
    <n v="12"/>
    <n v="0.75"/>
  </r>
  <r>
    <s v="wanting (adj.)"/>
    <s v="manquant"/>
    <d v="2020-06-22T00:00:00"/>
    <x v="21"/>
    <n v="18"/>
    <n v="0.75"/>
  </r>
  <r>
    <s v="destitution (common name)"/>
    <s v="la misère"/>
    <d v="2020-06-22T00:00:00"/>
    <x v="20"/>
    <n v="15"/>
    <n v="0.75"/>
  </r>
  <r>
    <s v="a hovercraft"/>
    <s v="un aéroglisseur"/>
    <d v="2020-07-02T00:00:00"/>
    <x v="7"/>
    <n v="9"/>
    <n v="0.75"/>
  </r>
  <r>
    <s v="tangled up"/>
    <s v="emmêlé"/>
    <d v="2020-07-14T00:00:00"/>
    <x v="6"/>
    <n v="12"/>
    <n v="0.75"/>
  </r>
  <r>
    <s v="to snap"/>
    <s v="casser / mordre / lâcher"/>
    <d v="2020-07-14T00:00:00"/>
    <x v="25"/>
    <n v="21"/>
    <n v="0.75"/>
  </r>
  <r>
    <s v="a tile"/>
    <s v="une tuile"/>
    <d v="2021-04-13T00:00:00"/>
    <x v="25"/>
    <n v="21"/>
    <n v="0.75"/>
  </r>
  <r>
    <s v="to stutter"/>
    <s v="bégayer"/>
    <d v="2021-04-13T00:00:00"/>
    <x v="6"/>
    <n v="12"/>
    <n v="0.75"/>
  </r>
  <r>
    <s v="a wallop"/>
    <s v="un coup, une rossée"/>
    <d v="2021-07-01T00:00:00"/>
    <x v="6"/>
    <n v="12"/>
    <n v="0.75"/>
  </r>
  <r>
    <s v="a down payment"/>
    <s v="un acompte / le premier versement"/>
    <d v="2021-07-22T00:00:00"/>
    <x v="21"/>
    <n v="18"/>
    <n v="0.75"/>
  </r>
  <r>
    <s v="IMO"/>
    <s v="in my opinion"/>
    <d v="2021-09-25T00:00:00"/>
    <x v="6"/>
    <n v="12"/>
    <n v="0.75"/>
  </r>
  <r>
    <s v="a sprig"/>
    <s v="un brin, une branchette"/>
    <d v="2021-11-09T00:00:00"/>
    <x v="6"/>
    <n v="12"/>
    <n v="0.75"/>
  </r>
  <r>
    <s v="overtly"/>
    <s v="ouvertement"/>
    <d v="2022-01-22T00:00:00"/>
    <x v="3"/>
    <n v="6"/>
    <n v="0.75"/>
  </r>
  <r>
    <s v="the tummy (coll.)"/>
    <s v="le ventre (fam.)"/>
    <d v="2022-04-05T00:00:00"/>
    <x v="3"/>
    <n v="6"/>
    <n v="0.75"/>
  </r>
  <r>
    <s v="cornucopia (common name)"/>
    <s v="la corne d'abondance"/>
    <d v="2022-05-25T00:00:00"/>
    <x v="3"/>
    <n v="6"/>
    <n v="0.75"/>
  </r>
  <r>
    <s v="a rhombus"/>
    <s v="un losange"/>
    <d v="2022-05-26T00:00:00"/>
    <x v="3"/>
    <n v="6"/>
    <n v="0.75"/>
  </r>
  <r>
    <s v="to start back at square one"/>
    <s v="revenir à la case départ"/>
    <d v="2022-05-27T00:00:00"/>
    <x v="3"/>
    <n v="6"/>
    <n v="0.75"/>
  </r>
  <r>
    <s v="a ballpark"/>
    <s v="un stade de baseball"/>
    <d v="2022-07-19T00:00:00"/>
    <x v="3"/>
    <n v="6"/>
    <n v="0.75"/>
  </r>
  <r>
    <s v="wheel spokes"/>
    <s v="les rayons d'une roue"/>
    <d v="2022-08-07T00:00:00"/>
    <x v="3"/>
    <n v="6"/>
    <n v="0.75"/>
  </r>
  <r>
    <s v="to spot"/>
    <s v="repérer"/>
    <d v="2013-12-13T00:00:00"/>
    <x v="29"/>
    <n v="22"/>
    <n v="0.75862068965517238"/>
  </r>
  <r>
    <s v="to scatter"/>
    <s v="éparpiller, disperser"/>
    <d v="2013-12-13T00:00:00"/>
    <x v="29"/>
    <n v="22"/>
    <n v="0.75862068965517238"/>
  </r>
  <r>
    <s v="a shelter"/>
    <s v="un abri"/>
    <d v="2013-12-13T00:00:00"/>
    <x v="26"/>
    <n v="19"/>
    <n v="0.76"/>
  </r>
  <r>
    <s v="a night shift"/>
    <s v="une équipe de nuit / un poste de nuit"/>
    <d v="2013-12-13T00:00:00"/>
    <x v="26"/>
    <n v="19"/>
    <n v="0.76"/>
  </r>
  <r>
    <s v="on the whole"/>
    <s v="dans l'ensemble"/>
    <d v="2018-08-29T00:00:00"/>
    <x v="26"/>
    <n v="19"/>
    <n v="0.76"/>
  </r>
  <r>
    <s v="a retort"/>
    <s v="une réplique, une riposte"/>
    <d v="2018-09-12T00:00:00"/>
    <x v="26"/>
    <n v="19"/>
    <n v="0.76"/>
  </r>
  <r>
    <s v="the backbench"/>
    <s v="In the UK: the benches behind the front benches on either side of the House of Commons, occupied by Members of Parliament who do not hold office in the government or the opposition"/>
    <d v="2018-09-24T00:00:00"/>
    <x v="26"/>
    <n v="19"/>
    <n v="0.76"/>
  </r>
  <r>
    <s v="torn"/>
    <s v="déchiré"/>
    <d v="2018-11-18T00:00:00"/>
    <x v="26"/>
    <n v="19"/>
    <n v="0.76"/>
  </r>
  <r>
    <s v="sellotape"/>
    <s v="du scotch"/>
    <d v="2018-11-24T00:00:00"/>
    <x v="26"/>
    <n v="19"/>
    <n v="0.76"/>
  </r>
  <r>
    <s v="a pond"/>
    <s v="un étang"/>
    <d v="2019-05-20T00:00:00"/>
    <x v="26"/>
    <n v="19"/>
    <n v="0.76"/>
  </r>
  <r>
    <s v="a kiln"/>
    <s v="un four"/>
    <d v="2019-11-02T00:00:00"/>
    <x v="26"/>
    <n v="19"/>
    <n v="0.76"/>
  </r>
  <r>
    <s v="a girdle"/>
    <s v="une ceinture / une circonférence"/>
    <d v="2020-05-18T00:00:00"/>
    <x v="26"/>
    <n v="19"/>
    <n v="0.76"/>
  </r>
  <r>
    <s v="a friar"/>
    <s v="un frère (moine)"/>
    <d v="2020-06-02T00:00:00"/>
    <x v="26"/>
    <n v="19"/>
    <n v="0.76"/>
  </r>
  <r>
    <s v="The bang for the buck"/>
    <s v="Le rapport qualité-prix, le retour sur investissement"/>
    <d v="2020-08-03T00:00:00"/>
    <x v="26"/>
    <n v="19"/>
    <n v="0.76"/>
  </r>
  <r>
    <s v="an auction"/>
    <s v="une vente aux enchères"/>
    <d v="2013-12-13T00:00:00"/>
    <x v="19"/>
    <n v="16"/>
    <n v="0.76190476190476186"/>
  </r>
  <r>
    <s v="the deposit"/>
    <s v="les arrhes"/>
    <d v="2013-12-13T00:00:00"/>
    <x v="19"/>
    <n v="16"/>
    <n v="0.76190476190476186"/>
  </r>
  <r>
    <s v="a fair"/>
    <s v="une foire d’exposition, un salon"/>
    <d v="2013-12-13T00:00:00"/>
    <x v="19"/>
    <n v="16"/>
    <n v="0.76190476190476186"/>
  </r>
  <r>
    <s v="to donate"/>
    <s v="faire don de"/>
    <d v="2013-12-13T00:00:00"/>
    <x v="19"/>
    <n v="16"/>
    <n v="0.76190476190476186"/>
  </r>
  <r>
    <s v="a middle man"/>
    <s v="un intermédiaire"/>
    <d v="2013-12-13T00:00:00"/>
    <x v="19"/>
    <n v="16"/>
    <n v="0.76190476190476186"/>
  </r>
  <r>
    <s v="awhile"/>
    <s v="quelque temps, un moment"/>
    <d v="2018-04-15T00:00:00"/>
    <x v="19"/>
    <n v="16"/>
    <n v="0.76190476190476186"/>
  </r>
  <r>
    <s v="The chair's in the way."/>
    <s v="La chaise est dans le passage."/>
    <d v="2018-05-17T00:00:00"/>
    <x v="19"/>
    <n v="16"/>
    <n v="0.76190476190476186"/>
  </r>
  <r>
    <s v="picketing (common name)"/>
    <s v="des piquets de grève"/>
    <d v="2018-08-29T00:00:00"/>
    <x v="19"/>
    <n v="16"/>
    <n v="0.76190476190476186"/>
  </r>
  <r>
    <s v="foes (common name)"/>
    <s v="les ennemis"/>
    <d v="2018-11-17T00:00:00"/>
    <x v="19"/>
    <n v="16"/>
    <n v="0.76190476190476186"/>
  </r>
  <r>
    <s v="to treble"/>
    <s v="tripler"/>
    <d v="2018-12-04T00:00:00"/>
    <x v="19"/>
    <n v="16"/>
    <n v="0.76190476190476186"/>
  </r>
  <r>
    <s v="shoddy"/>
    <s v="de mauvaise qualité"/>
    <d v="2018-12-17T00:00:00"/>
    <x v="19"/>
    <n v="16"/>
    <n v="0.76190476190476186"/>
  </r>
  <r>
    <s v="chequered"/>
    <s v="à carreau"/>
    <d v="2019-01-07T00:00:00"/>
    <x v="19"/>
    <n v="16"/>
    <n v="0.76190476190476186"/>
  </r>
  <r>
    <s v="stranded"/>
    <s v="échoué"/>
    <d v="2019-05-20T00:00:00"/>
    <x v="19"/>
    <n v="16"/>
    <n v="0.76190476190476186"/>
  </r>
  <r>
    <s v="veneer, varnish (common name)"/>
    <s v="du vernis"/>
    <d v="2019-07-15T00:00:00"/>
    <x v="19"/>
    <n v="16"/>
    <n v="0.76190476190476186"/>
  </r>
  <r>
    <s v="a markup"/>
    <s v="un balisage"/>
    <d v="2019-08-12T00:00:00"/>
    <x v="19"/>
    <n v="16"/>
    <n v="0.76190476190476186"/>
  </r>
  <r>
    <s v="a schoolboy"/>
    <s v="un écolier"/>
    <d v="2019-11-18T00:00:00"/>
    <x v="19"/>
    <n v="16"/>
    <n v="0.76190476190476186"/>
  </r>
  <r>
    <s v="a seizure"/>
    <s v="une saisie / une crise d'épilepsie"/>
    <d v="2020-01-18T00:00:00"/>
    <x v="19"/>
    <n v="16"/>
    <n v="0.76190476190476186"/>
  </r>
  <r>
    <s v="cinnamon (common name)"/>
    <s v="la cannelle"/>
    <d v="2021-03-07T00:00:00"/>
    <x v="19"/>
    <n v="16"/>
    <n v="0.76190476190476186"/>
  </r>
  <r>
    <s v="to jeer"/>
    <s v="railler"/>
    <d v="2021-03-28T00:00:00"/>
    <x v="19"/>
    <n v="16"/>
    <n v="0.76190476190476186"/>
  </r>
  <r>
    <s v="a sob"/>
    <s v="un sanglot"/>
    <d v="2021-04-13T00:00:00"/>
    <x v="19"/>
    <n v="16"/>
    <n v="0.76190476190476186"/>
  </r>
  <r>
    <s v="controls (common name)"/>
    <s v="les boutons de commande"/>
    <d v="2013-12-13T00:00:00"/>
    <x v="16"/>
    <n v="13"/>
    <n v="0.76470588235294112"/>
  </r>
  <r>
    <s v="enticing"/>
    <s v="séduisant, alléchant, attrayant"/>
    <d v="2018-10-04T00:00:00"/>
    <x v="16"/>
    <n v="13"/>
    <n v="0.76470588235294112"/>
  </r>
  <r>
    <s v="a scourge"/>
    <s v="un fléau, un fouet"/>
    <d v="2018-10-25T00:00:00"/>
    <x v="16"/>
    <n v="13"/>
    <n v="0.76470588235294112"/>
  </r>
  <r>
    <s v="the lore (plur.)"/>
    <s v="les traditions"/>
    <d v="2019-01-07T00:00:00"/>
    <x v="16"/>
    <n v="13"/>
    <n v="0.76470588235294112"/>
  </r>
  <r>
    <s v="a snail"/>
    <s v="un escargot"/>
    <d v="2019-10-18T00:00:00"/>
    <x v="16"/>
    <n v="13"/>
    <n v="0.76470588235294112"/>
  </r>
  <r>
    <s v="rough"/>
    <s v="rude"/>
    <d v="2019-10-18T00:00:00"/>
    <x v="16"/>
    <n v="13"/>
    <n v="0.76470588235294112"/>
  </r>
  <r>
    <s v="twirls"/>
    <s v="des tourbillons"/>
    <d v="2019-11-02T00:00:00"/>
    <x v="16"/>
    <n v="13"/>
    <n v="0.76470588235294112"/>
  </r>
  <r>
    <s v="a whip"/>
    <s v="un fouet"/>
    <d v="2020-05-11T00:00:00"/>
    <x v="16"/>
    <n v="13"/>
    <n v="0.76470588235294112"/>
  </r>
  <r>
    <s v="a breakwater"/>
    <s v="une digue"/>
    <d v="2020-06-02T00:00:00"/>
    <x v="16"/>
    <n v="13"/>
    <n v="0.76470588235294112"/>
  </r>
  <r>
    <s v="to run afoul"/>
    <s v="se heurter"/>
    <d v="2021-10-02T00:00:00"/>
    <x v="16"/>
    <n v="13"/>
    <n v="0.76470588235294112"/>
  </r>
  <r>
    <s v="household goods"/>
    <s v="les produits ménagers"/>
    <d v="2013-12-13T00:00:00"/>
    <x v="24"/>
    <n v="20"/>
    <n v="0.76923076923076927"/>
  </r>
  <r>
    <s v="disposal of waste"/>
    <s v="l'élimination des déchets"/>
    <d v="2013-12-13T00:00:00"/>
    <x v="1"/>
    <n v="10"/>
    <n v="0.76923076923076927"/>
  </r>
  <r>
    <s v="commensurate with"/>
    <s v="de même mesure que, proportionné à"/>
    <d v="2013-12-13T00:00:00"/>
    <x v="24"/>
    <n v="20"/>
    <n v="0.76923076923076927"/>
  </r>
  <r>
    <s v="a dealer"/>
    <s v="un marchand, un concessionnaire"/>
    <d v="2013-12-13T00:00:00"/>
    <x v="24"/>
    <n v="20"/>
    <n v="0.76923076923076927"/>
  </r>
  <r>
    <s v="lots of (coll.)"/>
    <s v="des tas de"/>
    <d v="2018-04-16T00:00:00"/>
    <x v="24"/>
    <n v="20"/>
    <n v="0.76923076923076927"/>
  </r>
  <r>
    <s v="nostrum (common name)"/>
    <s v="la panacée"/>
    <d v="2018-08-29T00:00:00"/>
    <x v="24"/>
    <n v="20"/>
    <n v="0.76923076923076927"/>
  </r>
  <r>
    <s v="arm twisting"/>
    <s v="une clé de bras / le forceps (figuré)"/>
    <d v="2018-08-29T00:00:00"/>
    <x v="24"/>
    <n v="20"/>
    <n v="0.76923076923076927"/>
  </r>
  <r>
    <s v="overarching"/>
    <s v="global"/>
    <d v="2018-12-10T00:00:00"/>
    <x v="1"/>
    <n v="10"/>
    <n v="0.76923076923076927"/>
  </r>
  <r>
    <s v="lush"/>
    <s v="luxuriant"/>
    <d v="2019-01-13T00:00:00"/>
    <x v="1"/>
    <n v="10"/>
    <n v="0.76923076923076927"/>
  </r>
  <r>
    <s v="a scarf"/>
    <s v="une écharpe, un foulard"/>
    <d v="2019-03-24T00:00:00"/>
    <x v="24"/>
    <n v="20"/>
    <n v="0.76923076923076927"/>
  </r>
  <r>
    <s v="goofing (verb)"/>
    <s v="gaffer"/>
    <d v="2019-08-12T00:00:00"/>
    <x v="24"/>
    <n v="20"/>
    <n v="0.76923076923076927"/>
  </r>
  <r>
    <s v="a floral pattern"/>
    <s v="un motif floral"/>
    <d v="2019-08-12T00:00:00"/>
    <x v="24"/>
    <n v="20"/>
    <n v="0.76923076923076927"/>
  </r>
  <r>
    <s v="a potter"/>
    <s v="un potier"/>
    <d v="2019-10-23T00:00:00"/>
    <x v="24"/>
    <n v="20"/>
    <n v="0.76923076923076927"/>
  </r>
  <r>
    <s v="disheartened"/>
    <s v="découragé"/>
    <d v="2019-11-02T00:00:00"/>
    <x v="24"/>
    <n v="20"/>
    <n v="0.76923076923076927"/>
  </r>
  <r>
    <s v="the wardrobe"/>
    <s v="la garde-robe"/>
    <d v="2019-11-07T00:00:00"/>
    <x v="24"/>
    <n v="20"/>
    <n v="0.76923076923076927"/>
  </r>
  <r>
    <s v="nigh"/>
    <s v="près"/>
    <d v="2020-01-27T00:00:00"/>
    <x v="24"/>
    <n v="20"/>
    <n v="0.76923076923076927"/>
  </r>
  <r>
    <s v="to knock out"/>
    <s v="assommer"/>
    <d v="2020-08-03T00:00:00"/>
    <x v="24"/>
    <n v="20"/>
    <n v="0.76923076923076927"/>
  </r>
  <r>
    <s v="lawfullness (common name)"/>
    <s v="la régularité"/>
    <d v="2021-03-21T00:00:00"/>
    <x v="1"/>
    <n v="10"/>
    <n v="0.76923076923076927"/>
  </r>
  <r>
    <s v="to deliver"/>
    <s v="distribuer"/>
    <d v="2011-03-09T00:00:00"/>
    <x v="22"/>
    <n v="17"/>
    <n v="0.77272727272727271"/>
  </r>
  <r>
    <s v="hectic"/>
    <s v="(rythme) effréné"/>
    <d v="2011-03-09T00:00:00"/>
    <x v="22"/>
    <n v="17"/>
    <n v="0.77272727272727271"/>
  </r>
  <r>
    <s v="the membership"/>
    <s v="l'adhésion / le nombre des membres"/>
    <d v="2013-12-13T00:00:00"/>
    <x v="22"/>
    <n v="17"/>
    <n v="0.77272727272727271"/>
  </r>
  <r>
    <s v="to run out"/>
    <s v="expirer, s’épuiser, venir à manquer"/>
    <d v="2013-12-13T00:00:00"/>
    <x v="22"/>
    <n v="17"/>
    <n v="0.77272727272727271"/>
  </r>
  <r>
    <s v="the greenhouse effect"/>
    <s v="l'effet de serre"/>
    <d v="2018-04-19T00:00:00"/>
    <x v="22"/>
    <n v="17"/>
    <n v="0.77272727272727271"/>
  </r>
  <r>
    <s v="a chatterbox"/>
    <s v="un moulin à paroles / une personne intarissable"/>
    <d v="2018-05-17T00:00:00"/>
    <x v="22"/>
    <n v="17"/>
    <n v="0.77272727272727271"/>
  </r>
  <r>
    <s v="a muster"/>
    <s v="un rassemblement, une réunion"/>
    <d v="2018-09-27T00:00:00"/>
    <x v="22"/>
    <n v="17"/>
    <n v="0.77272727272727271"/>
  </r>
  <r>
    <s v="protean (adj.)"/>
    <s v="protéiforme, changeant, inconstant"/>
    <d v="2018-10-24T00:00:00"/>
    <x v="22"/>
    <n v="17"/>
    <n v="0.77272727272727271"/>
  </r>
  <r>
    <s v="duly"/>
    <s v="dûment, comme prévu, comme il faut"/>
    <d v="2018-12-10T00:00:00"/>
    <x v="22"/>
    <n v="17"/>
    <n v="0.77272727272727271"/>
  </r>
  <r>
    <s v="a slice of ham"/>
    <s v="une tranche de jambon"/>
    <d v="2019-03-24T00:00:00"/>
    <x v="22"/>
    <n v="17"/>
    <n v="0.77272727272727271"/>
  </r>
  <r>
    <s v="a dye"/>
    <s v="un colorant"/>
    <d v="2019-05-20T00:00:00"/>
    <x v="22"/>
    <n v="17"/>
    <n v="0.77272727272727271"/>
  </r>
  <r>
    <s v="slippery"/>
    <s v="glissant"/>
    <d v="2019-10-14T00:00:00"/>
    <x v="22"/>
    <n v="17"/>
    <n v="0.77272727272727271"/>
  </r>
  <r>
    <s v="a wasp"/>
    <s v="une guêpe"/>
    <d v="2019-12-03T00:00:00"/>
    <x v="22"/>
    <n v="17"/>
    <n v="0.77272727272727271"/>
  </r>
  <r>
    <s v="a backache"/>
    <s v="un mal de dos"/>
    <d v="2021-02-14T00:00:00"/>
    <x v="22"/>
    <n v="17"/>
    <n v="0.77272727272727271"/>
  </r>
  <r>
    <s v="the spinal cord"/>
    <s v="la moëlle épinière"/>
    <d v="2021-03-07T00:00:00"/>
    <x v="22"/>
    <n v="17"/>
    <n v="0.77272727272727271"/>
  </r>
  <r>
    <s v="a muskrat"/>
    <s v="un rat musqué"/>
    <d v="2021-03-14T00:00:00"/>
    <x v="22"/>
    <n v="17"/>
    <n v="0.77272727272727271"/>
  </r>
  <r>
    <s v="a warhead"/>
    <s v="une ogive"/>
    <d v="2021-03-16T00:00:00"/>
    <x v="22"/>
    <n v="17"/>
    <n v="0.77272727272727271"/>
  </r>
  <r>
    <s v="warring (adj.)"/>
    <s v="en guerre"/>
    <d v="2021-03-21T00:00:00"/>
    <x v="22"/>
    <n v="17"/>
    <n v="0.77272727272727271"/>
  </r>
  <r>
    <s v="a shanty town"/>
    <s v="un bidonville"/>
    <d v="2021-04-13T00:00:00"/>
    <x v="22"/>
    <n v="17"/>
    <n v="0.77272727272727271"/>
  </r>
  <r>
    <s v="bed-ridden"/>
    <s v="alité"/>
    <d v="2021-06-04T00:00:00"/>
    <x v="22"/>
    <n v="17"/>
    <n v="0.77272727272727271"/>
  </r>
  <r>
    <s v="a comb"/>
    <s v="un peigne"/>
    <d v="2011-03-09T00:00:00"/>
    <x v="28"/>
    <n v="21"/>
    <n v="0.77777777777777779"/>
  </r>
  <r>
    <s v="deluxe"/>
    <s v="somptueux, de grand standing"/>
    <d v="2013-12-13T00:00:00"/>
    <x v="18"/>
    <n v="14"/>
    <n v="0.77777777777777779"/>
  </r>
  <r>
    <s v="a grant"/>
    <s v="une subvention, une allocation, une bourse"/>
    <d v="2013-12-13T00:00:00"/>
    <x v="18"/>
    <n v="14"/>
    <n v="0.77777777777777779"/>
  </r>
  <r>
    <s v="a debtor"/>
    <s v="un débiteur"/>
    <d v="2013-12-13T00:00:00"/>
    <x v="18"/>
    <n v="14"/>
    <n v="0.77777777777777779"/>
  </r>
  <r>
    <s v="a registered mail"/>
    <s v="un courrier recommandé"/>
    <d v="2013-12-13T00:00:00"/>
    <x v="18"/>
    <n v="14"/>
    <n v="0.77777777777777779"/>
  </r>
  <r>
    <s v="a supervisor"/>
    <s v="un agent de maîtrise, un chef d’atelier"/>
    <d v="2013-12-13T00:00:00"/>
    <x v="18"/>
    <n v="14"/>
    <n v="0.77777777777777779"/>
  </r>
  <r>
    <s v="a peasant"/>
    <s v="un péquenot (péjoratif)"/>
    <d v="2018-05-17T00:00:00"/>
    <x v="18"/>
    <n v="14"/>
    <n v="0.77777777777777779"/>
  </r>
  <r>
    <s v="a prey"/>
    <s v="une proie"/>
    <d v="2018-05-27T00:00:00"/>
    <x v="28"/>
    <n v="21"/>
    <n v="0.77777777777777779"/>
  </r>
  <r>
    <s v="generally speaking"/>
    <s v="en principe"/>
    <d v="2018-08-13T00:00:00"/>
    <x v="18"/>
    <n v="14"/>
    <n v="0.77777777777777779"/>
  </r>
  <r>
    <s v="in dissent"/>
    <s v="en désaccord"/>
    <d v="2018-08-29T00:00:00"/>
    <x v="28"/>
    <n v="21"/>
    <n v="0.77777777777777779"/>
  </r>
  <r>
    <s v="aies and noes"/>
    <s v="les oui et les non d'un vote"/>
    <d v="2018-10-28T00:00:00"/>
    <x v="28"/>
    <n v="21"/>
    <n v="0.77777777777777779"/>
  </r>
  <r>
    <s v="a rubbing"/>
    <s v="un frottement / un massage"/>
    <d v="2018-11-11T00:00:00"/>
    <x v="28"/>
    <n v="21"/>
    <n v="0.77777777777777779"/>
  </r>
  <r>
    <s v="to backstab"/>
    <s v="poignarder dans le dos"/>
    <d v="2018-11-18T00:00:00"/>
    <x v="18"/>
    <n v="14"/>
    <n v="0.77777777777777779"/>
  </r>
  <r>
    <s v="half baked"/>
    <s v="(fig.) mal dégrossi"/>
    <d v="2018-12-04T00:00:00"/>
    <x v="28"/>
    <n v="21"/>
    <n v="0.77777777777777779"/>
  </r>
  <r>
    <s v="a keep"/>
    <s v="un donjon / une pension"/>
    <d v="2018-12-10T00:00:00"/>
    <x v="18"/>
    <n v="14"/>
    <n v="0.77777777777777779"/>
  </r>
  <r>
    <s v="a rope"/>
    <s v="une corde"/>
    <d v="2019-01-07T00:00:00"/>
    <x v="18"/>
    <n v="14"/>
    <n v="0.77777777777777779"/>
  </r>
  <r>
    <s v="terse"/>
    <s v="laconique, concis"/>
    <d v="2019-05-01T00:00:00"/>
    <x v="28"/>
    <n v="21"/>
    <n v="0.77777777777777779"/>
  </r>
  <r>
    <s v="the way to go"/>
    <s v="la marche à suivre"/>
    <d v="2019-05-20T00:00:00"/>
    <x v="28"/>
    <n v="21"/>
    <n v="0.77777777777777779"/>
  </r>
  <r>
    <s v="upwind"/>
    <s v="au vent"/>
    <d v="2019-05-20T00:00:00"/>
    <x v="28"/>
    <n v="21"/>
    <n v="0.77777777777777779"/>
  </r>
  <r>
    <s v="meager"/>
    <s v="maigre"/>
    <d v="2019-11-07T00:00:00"/>
    <x v="18"/>
    <n v="14"/>
    <n v="0.77777777777777779"/>
  </r>
  <r>
    <s v="pertaining"/>
    <s v="se rapportant"/>
    <d v="2019-12-03T00:00:00"/>
    <x v="18"/>
    <n v="14"/>
    <n v="0.77777777777777779"/>
  </r>
  <r>
    <s v="to wobble"/>
    <s v="osciller"/>
    <d v="2020-03-10T00:00:00"/>
    <x v="28"/>
    <n v="21"/>
    <n v="0.77777777777777779"/>
  </r>
  <r>
    <s v="to entice"/>
    <s v="attirer"/>
    <d v="2021-02-15T00:00:00"/>
    <x v="18"/>
    <n v="14"/>
    <n v="0.77777777777777779"/>
  </r>
  <r>
    <s v="to cough"/>
    <s v="tousser"/>
    <d v="2021-03-07T00:00:00"/>
    <x v="18"/>
    <n v="14"/>
    <n v="0.77777777777777779"/>
  </r>
  <r>
    <s v="a lollipop"/>
    <s v="une sucette"/>
    <d v="2021-03-07T00:00:00"/>
    <x v="18"/>
    <n v="14"/>
    <n v="0.77777777777777779"/>
  </r>
  <r>
    <s v="tithe (common name)"/>
    <s v="la dîme"/>
    <d v="2022-01-11T00:00:00"/>
    <x v="18"/>
    <n v="14"/>
    <n v="0.77777777777777779"/>
  </r>
  <r>
    <s v="the loo"/>
    <s v="les toilettes"/>
    <d v="2022-01-23T00:00:00"/>
    <x v="10"/>
    <n v="7"/>
    <n v="0.77777777777777779"/>
  </r>
  <r>
    <s v="my in-laws"/>
    <s v="ma belle-famille"/>
    <d v="2022-01-28T00:00:00"/>
    <x v="10"/>
    <n v="7"/>
    <n v="0.77777777777777779"/>
  </r>
  <r>
    <s v="to rave"/>
    <s v="délirer / parler avec enthousiasme"/>
    <d v="2022-05-21T00:00:00"/>
    <x v="10"/>
    <n v="7"/>
    <n v="0.77777777777777779"/>
  </r>
  <r>
    <s v="a paper trail"/>
    <s v="un série de documents apportant la preuve de l'activité d'une personne ou d'une organisation"/>
    <d v="2022-07-11T00:00:00"/>
    <x v="10"/>
    <n v="7"/>
    <n v="0.77777777777777779"/>
  </r>
  <r>
    <s v="go-ahead"/>
    <s v="actif"/>
    <d v="2011-03-09T00:00:00"/>
    <x v="23"/>
    <n v="18"/>
    <n v="0.78260869565217395"/>
  </r>
  <r>
    <s v="in the limelight"/>
    <s v="sous les feux de la rampe"/>
    <d v="2011-03-09T00:00:00"/>
    <x v="23"/>
    <n v="18"/>
    <n v="0.78260869565217395"/>
  </r>
  <r>
    <s v="a corporate lawyer"/>
    <s v="un juriste d’entreprise"/>
    <d v="2013-12-13T00:00:00"/>
    <x v="23"/>
    <n v="18"/>
    <n v="0.78260869565217395"/>
  </r>
  <r>
    <s v="regardless of"/>
    <s v="sans tenir compte de"/>
    <d v="2013-12-13T00:00:00"/>
    <x v="23"/>
    <n v="18"/>
    <n v="0.78260869565217395"/>
  </r>
  <r>
    <s v="to dispatch"/>
    <s v="expédier, envoyer"/>
    <d v="2013-12-13T00:00:00"/>
    <x v="23"/>
    <n v="18"/>
    <n v="0.78260869565217395"/>
  </r>
  <r>
    <s v="to chat"/>
    <s v="causer, bavarder"/>
    <d v="2018-05-17T00:00:00"/>
    <x v="23"/>
    <n v="18"/>
    <n v="0.78260869565217395"/>
  </r>
  <r>
    <s v="wrapper (common name)"/>
    <s v="du papier d'emballage"/>
    <d v="2018-05-17T00:00:00"/>
    <x v="23"/>
    <n v="18"/>
    <n v="0.78260869565217395"/>
  </r>
  <r>
    <s v="a subsidy"/>
    <s v="une subvention"/>
    <d v="2018-09-25T00:00:00"/>
    <x v="23"/>
    <n v="18"/>
    <n v="0.78260869565217395"/>
  </r>
  <r>
    <s v="ebb and flow"/>
    <s v="le flux et reflux"/>
    <d v="2018-10-30T00:00:00"/>
    <x v="23"/>
    <n v="18"/>
    <n v="0.78260869565217395"/>
  </r>
  <r>
    <s v="the markups"/>
    <s v="les balisages / la marge"/>
    <d v="2018-12-17T00:00:00"/>
    <x v="23"/>
    <n v="18"/>
    <n v="0.78260869565217395"/>
  </r>
  <r>
    <s v="to wring"/>
    <s v="essorer"/>
    <d v="2020-03-10T00:00:00"/>
    <x v="23"/>
    <n v="18"/>
    <n v="0.78260869565217395"/>
  </r>
  <r>
    <s v="to rebounce"/>
    <s v="rebondir"/>
    <d v="2020-05-18T00:00:00"/>
    <x v="23"/>
    <n v="18"/>
    <n v="0.78260869565217395"/>
  </r>
  <r>
    <s v="downright"/>
    <s v="carrément"/>
    <d v="2020-06-02T00:00:00"/>
    <x v="23"/>
    <n v="18"/>
    <n v="0.78260869565217395"/>
  </r>
  <r>
    <s v="the takeoff"/>
    <s v="le décollage"/>
    <d v="2020-06-22T00:00:00"/>
    <x v="23"/>
    <n v="18"/>
    <n v="0.78260869565217395"/>
  </r>
  <r>
    <s v="a locksmith"/>
    <s v="un serrurier"/>
    <d v="2021-03-07T00:00:00"/>
    <x v="23"/>
    <n v="18"/>
    <n v="0.78260869565217395"/>
  </r>
  <r>
    <s v="a civil servant"/>
    <s v="un fonctionnaire"/>
    <d v="2013-12-13T00:00:00"/>
    <x v="8"/>
    <n v="11"/>
    <n v="0.7857142857142857"/>
  </r>
  <r>
    <s v="in bulk"/>
    <s v="en gros"/>
    <d v="2013-12-13T00:00:00"/>
    <x v="8"/>
    <n v="11"/>
    <n v="0.7857142857142857"/>
  </r>
  <r>
    <s v="a dormitory"/>
    <s v="un dortoir"/>
    <d v="2021-01-05T00:00:00"/>
    <x v="8"/>
    <n v="11"/>
    <n v="0.7857142857142857"/>
  </r>
  <r>
    <s v="a mice"/>
    <s v="une souris"/>
    <d v="2021-06-19T00:00:00"/>
    <x v="8"/>
    <n v="11"/>
    <n v="0.7857142857142857"/>
  </r>
  <r>
    <s v="pushups (common name)"/>
    <s v="des pompes (musculation)"/>
    <d v="2021-07-14T00:00:00"/>
    <x v="8"/>
    <n v="11"/>
    <n v="0.7857142857142857"/>
  </r>
  <r>
    <s v="a shipment"/>
    <s v="une cargaison, un fret, une expédition"/>
    <d v="2013-12-13T00:00:00"/>
    <x v="17"/>
    <n v="15"/>
    <n v="0.78947368421052633"/>
  </r>
  <r>
    <s v="a release"/>
    <s v="une publication, une parution / une libération"/>
    <d v="2013-12-13T00:00:00"/>
    <x v="17"/>
    <n v="15"/>
    <n v="0.78947368421052633"/>
  </r>
  <r>
    <s v="a vocational training"/>
    <s v="une formation professionnelle"/>
    <d v="2013-12-13T00:00:00"/>
    <x v="17"/>
    <n v="15"/>
    <n v="0.78947368421052633"/>
  </r>
  <r>
    <s v="perks"/>
    <s v="les avantages divers"/>
    <d v="2013-12-13T00:00:00"/>
    <x v="17"/>
    <n v="15"/>
    <n v="0.78947368421052633"/>
  </r>
  <r>
    <s v="the inception"/>
    <s v="le commencement, le début"/>
    <d v="2013-12-13T00:00:00"/>
    <x v="17"/>
    <n v="15"/>
    <n v="0.78947368421052633"/>
  </r>
  <r>
    <s v="overtime (common name)"/>
    <s v="les heures supplémentaires"/>
    <d v="2018-05-17T00:00:00"/>
    <x v="17"/>
    <n v="15"/>
    <n v="0.78947368421052633"/>
  </r>
  <r>
    <s v="a funnel"/>
    <s v="un entonnoir"/>
    <d v="2018-05-27T00:00:00"/>
    <x v="17"/>
    <n v="15"/>
    <n v="0.78947368421052633"/>
  </r>
  <r>
    <s v="to reciprocate"/>
    <s v="rendre"/>
    <d v="2018-07-17T00:00:00"/>
    <x v="17"/>
    <n v="15"/>
    <n v="0.78947368421052633"/>
  </r>
  <r>
    <s v="a hothouse"/>
    <s v="une serre / un foyer de décadence"/>
    <d v="2018-10-24T00:00:00"/>
    <x v="17"/>
    <n v="15"/>
    <n v="0.78947368421052633"/>
  </r>
  <r>
    <s v="gubernatorial"/>
    <s v="du gouverneur"/>
    <d v="2018-10-30T00:00:00"/>
    <x v="17"/>
    <n v="15"/>
    <n v="0.78947368421052633"/>
  </r>
  <r>
    <s v="the elbow room"/>
    <s v="l'espace vital"/>
    <d v="2018-11-19T00:00:00"/>
    <x v="17"/>
    <n v="15"/>
    <n v="0.78947368421052633"/>
  </r>
  <r>
    <s v="a straitjacket"/>
    <s v="une camisole de force"/>
    <d v="2018-12-04T00:00:00"/>
    <x v="17"/>
    <n v="15"/>
    <n v="0.78947368421052633"/>
  </r>
  <r>
    <s v="a dimwit"/>
    <s v="une bête / une personne ignorante"/>
    <d v="2018-12-17T00:00:00"/>
    <x v="17"/>
    <n v="15"/>
    <n v="0.78947368421052633"/>
  </r>
  <r>
    <s v="the chest"/>
    <s v="la poitrine / le coffre (propre et figuré)"/>
    <d v="2019-01-07T00:00:00"/>
    <x v="17"/>
    <n v="15"/>
    <n v="0.78947368421052633"/>
  </r>
  <r>
    <s v="a punnet"/>
    <s v="une barquette"/>
    <d v="2019-03-24T00:00:00"/>
    <x v="17"/>
    <n v="15"/>
    <n v="0.78947368421052633"/>
  </r>
  <r>
    <s v="a pun"/>
    <s v="un calembour"/>
    <d v="2019-05-20T00:00:00"/>
    <x v="17"/>
    <n v="15"/>
    <n v="0.78947368421052633"/>
  </r>
  <r>
    <s v="a nipple"/>
    <s v="un mamelon"/>
    <d v="2019-12-27T00:00:00"/>
    <x v="17"/>
    <n v="15"/>
    <n v="0.78947368421052633"/>
  </r>
  <r>
    <s v="a cleat"/>
    <s v="un tasseau"/>
    <d v="2020-03-10T00:00:00"/>
    <x v="17"/>
    <n v="15"/>
    <n v="0.78947368421052633"/>
  </r>
  <r>
    <s v="the foresight"/>
    <s v="la prévoyance"/>
    <d v="2021-07-18T00:00:00"/>
    <x v="17"/>
    <n v="15"/>
    <n v="0.78947368421052633"/>
  </r>
  <r>
    <s v="mock (adj.)"/>
    <s v="faux"/>
    <d v="2021-08-31T00:00:00"/>
    <x v="17"/>
    <n v="15"/>
    <n v="0.78947368421052633"/>
  </r>
  <r>
    <s v="an ignoramuse"/>
    <s v="un ignorant, un ignare"/>
    <d v="2021-09-05T00:00:00"/>
    <x v="17"/>
    <n v="15"/>
    <n v="0.78947368421052633"/>
  </r>
  <r>
    <s v="social security benefits"/>
    <s v="les prestations sociales"/>
    <d v="2013-12-13T00:00:00"/>
    <x v="21"/>
    <n v="19"/>
    <n v="0.79166666666666663"/>
  </r>
  <r>
    <s v="credit rating (common name)"/>
    <s v="la solvabilité"/>
    <d v="2013-12-13T00:00:00"/>
    <x v="21"/>
    <n v="19"/>
    <n v="0.79166666666666663"/>
  </r>
  <r>
    <s v="a landmark"/>
    <s v="un point de repère"/>
    <d v="2013-12-13T00:00:00"/>
    <x v="21"/>
    <n v="19"/>
    <n v="0.79166666666666663"/>
  </r>
  <r>
    <s v="a fortnight"/>
    <s v="une quinzaine de jours"/>
    <d v="2018-08-13T00:00:00"/>
    <x v="21"/>
    <n v="19"/>
    <n v="0.79166666666666663"/>
  </r>
  <r>
    <s v="the brainchild"/>
    <s v="l'invention due à une personne"/>
    <d v="2018-11-11T00:00:00"/>
    <x v="21"/>
    <n v="19"/>
    <n v="0.79166666666666663"/>
  </r>
  <r>
    <s v="an endeavor"/>
    <s v="un effort"/>
    <d v="2019-05-20T00:00:00"/>
    <x v="21"/>
    <n v="19"/>
    <n v="0.79166666666666663"/>
  </r>
  <r>
    <s v="piece work"/>
    <s v="le travail à la pièce"/>
    <d v="2019-07-15T00:00:00"/>
    <x v="21"/>
    <n v="19"/>
    <n v="0.79166666666666663"/>
  </r>
  <r>
    <s v="a mower"/>
    <s v="une tondeuse"/>
    <d v="2019-07-27T00:00:00"/>
    <x v="21"/>
    <n v="19"/>
    <n v="0.79166666666666663"/>
  </r>
  <r>
    <s v="Go figure!"/>
    <s v="Allez comprendre !"/>
    <d v="2020-06-22T00:00:00"/>
    <x v="21"/>
    <n v="19"/>
    <n v="0.79166666666666663"/>
  </r>
  <r>
    <s v="black ice (common name)"/>
    <s v="le verglas"/>
    <d v="2021-03-14T00:00:00"/>
    <x v="21"/>
    <n v="19"/>
    <n v="0.79166666666666663"/>
  </r>
  <r>
    <s v="divisive"/>
    <s v="qui sème la discorde"/>
    <d v="2011-03-09T00:00:00"/>
    <x v="26"/>
    <n v="20"/>
    <n v="0.8"/>
  </r>
  <r>
    <s v="a legal limbo"/>
    <s v="un vide juridique"/>
    <d v="2013-09-05T00:00:00"/>
    <x v="20"/>
    <n v="16"/>
    <n v="0.8"/>
  </r>
  <r>
    <s v="a merger"/>
    <s v="une fusion (écon.)"/>
    <d v="2013-12-13T00:00:00"/>
    <x v="20"/>
    <n v="16"/>
    <n v="0.8"/>
  </r>
  <r>
    <s v="affluence"/>
    <s v="l'abondance, la richesse"/>
    <d v="2013-12-13T00:00:00"/>
    <x v="26"/>
    <n v="20"/>
    <n v="0.8"/>
  </r>
  <r>
    <s v="a remote control"/>
    <s v="une télécommande"/>
    <d v="2013-12-13T00:00:00"/>
    <x v="11"/>
    <n v="12"/>
    <n v="0.8"/>
  </r>
  <r>
    <s v="long-range"/>
    <s v="à long terme"/>
    <d v="2013-12-13T00:00:00"/>
    <x v="20"/>
    <n v="16"/>
    <n v="0.8"/>
  </r>
  <r>
    <s v="a joint-venture"/>
    <s v="une co-entreprise"/>
    <d v="2013-12-13T00:00:00"/>
    <x v="20"/>
    <n v="16"/>
    <n v="0.8"/>
  </r>
  <r>
    <s v="accordingly"/>
    <s v="en conséquence"/>
    <d v="2013-12-13T00:00:00"/>
    <x v="20"/>
    <n v="16"/>
    <n v="0.8"/>
  </r>
  <r>
    <s v="presently"/>
    <s v="tout à l’heure / à présent (USA)"/>
    <d v="2013-12-13T00:00:00"/>
    <x v="26"/>
    <n v="20"/>
    <n v="0.8"/>
  </r>
  <r>
    <s v="a directory"/>
    <s v="un dossier / un annuaire, les renseignements"/>
    <d v="2013-12-13T00:00:00"/>
    <x v="20"/>
    <n v="16"/>
    <n v="0.8"/>
  </r>
  <r>
    <s v="The Royal Mint"/>
    <s v="L'Hôtel de la Monnaie"/>
    <d v="2018-05-17T00:00:00"/>
    <x v="11"/>
    <n v="12"/>
    <n v="0.8"/>
  </r>
  <r>
    <s v="Work that out!"/>
    <s v="Débrouille-toi !"/>
    <d v="2018-05-17T00:00:00"/>
    <x v="20"/>
    <n v="16"/>
    <n v="0.8"/>
  </r>
  <r>
    <s v="a socialite"/>
    <s v="une personne mondaine"/>
    <d v="2018-05-17T00:00:00"/>
    <x v="26"/>
    <n v="20"/>
    <n v="0.8"/>
  </r>
  <r>
    <s v="chilly"/>
    <s v="froid (figuré) / frais"/>
    <d v="2018-10-28T00:00:00"/>
    <x v="20"/>
    <n v="16"/>
    <n v="0.8"/>
  </r>
  <r>
    <s v="the insight"/>
    <s v="la perspicacité"/>
    <d v="2018-12-04T00:00:00"/>
    <x v="26"/>
    <n v="20"/>
    <n v="0.8"/>
  </r>
  <r>
    <s v="My pleasure."/>
    <s v="Je vous en prie."/>
    <d v="2019-03-24T00:00:00"/>
    <x v="26"/>
    <n v="20"/>
    <n v="0.8"/>
  </r>
  <r>
    <s v="a wildcard"/>
    <s v="une carte joker"/>
    <d v="2019-04-29T00:00:00"/>
    <x v="11"/>
    <n v="12"/>
    <n v="0.8"/>
  </r>
  <r>
    <s v="a wrinkle"/>
    <s v="une ride"/>
    <d v="2019-08-05T00:00:00"/>
    <x v="26"/>
    <n v="20"/>
    <n v="0.8"/>
  </r>
  <r>
    <s v="Tow away zone"/>
    <s v="Interdiction de stationner (zone d'enlèvement de voiture) / zone de remorquage maritime"/>
    <d v="2019-10-18T00:00:00"/>
    <x v="20"/>
    <n v="16"/>
    <n v="0.8"/>
  </r>
  <r>
    <s v="subsequently"/>
    <s v="par la suite"/>
    <d v="2019-11-02T00:00:00"/>
    <x v="26"/>
    <n v="20"/>
    <n v="0.8"/>
  </r>
  <r>
    <s v="a cutaway"/>
    <s v="un plan de coupe (dessin technique)"/>
    <d v="2019-12-27T00:00:00"/>
    <x v="11"/>
    <n v="12"/>
    <n v="0.8"/>
  </r>
  <r>
    <s v="nested"/>
    <s v="imbriqué"/>
    <d v="2020-03-05T00:00:00"/>
    <x v="20"/>
    <n v="16"/>
    <n v="0.8"/>
  </r>
  <r>
    <s v="a spinney"/>
    <s v="un bosquet"/>
    <d v="2020-05-18T00:00:00"/>
    <x v="26"/>
    <n v="20"/>
    <n v="0.8"/>
  </r>
  <r>
    <s v="a girth"/>
    <s v="une ceinture / une circonférence"/>
    <d v="2020-05-18T00:00:00"/>
    <x v="20"/>
    <n v="16"/>
    <n v="0.8"/>
  </r>
  <r>
    <s v="a logging"/>
    <s v="un enregistrement / une exploitation forestière"/>
    <d v="2020-06-02T00:00:00"/>
    <x v="20"/>
    <n v="16"/>
    <n v="0.8"/>
  </r>
  <r>
    <s v="a grasshopper"/>
    <s v="une sauterelle"/>
    <d v="2020-07-14T00:00:00"/>
    <x v="11"/>
    <n v="12"/>
    <n v="0.8"/>
  </r>
  <r>
    <s v="to report on"/>
    <s v="faire un rapport sur"/>
    <d v="2021-02-21T00:00:00"/>
    <x v="20"/>
    <n v="16"/>
    <n v="0.8"/>
  </r>
  <r>
    <s v="a pitchfork"/>
    <s v="une fourche à foin"/>
    <d v="2021-09-08T00:00:00"/>
    <x v="11"/>
    <n v="12"/>
    <n v="0.8"/>
  </r>
  <r>
    <s v="a periwinkle"/>
    <s v="une pervenche"/>
    <d v="2021-12-29T00:00:00"/>
    <x v="0"/>
    <n v="8"/>
    <n v="0.8"/>
  </r>
  <r>
    <s v="tiresome"/>
    <s v="fatigant"/>
    <d v="2022-01-17T00:00:00"/>
    <x v="0"/>
    <n v="8"/>
    <n v="0.8"/>
  </r>
  <r>
    <s v="willy-nilly (expr.)"/>
    <s v="bon gré mal gré"/>
    <d v="2022-01-20T00:00:00"/>
    <x v="0"/>
    <n v="8"/>
    <n v="0.8"/>
  </r>
  <r>
    <s v="a sticker"/>
    <s v="un autocollant"/>
    <d v="2022-03-01T00:00:00"/>
    <x v="0"/>
    <n v="8"/>
    <n v="0.8"/>
  </r>
  <r>
    <s v="gruff (adj.)"/>
    <s v="bourru, brusque, grossier"/>
    <d v="2022-03-18T00:00:00"/>
    <x v="0"/>
    <n v="8"/>
    <n v="0.8"/>
  </r>
  <r>
    <s v="a pallbearer"/>
    <s v="un porteur funéraire"/>
    <d v="2022-05-28T00:00:00"/>
    <x v="0"/>
    <n v="8"/>
    <n v="0.8"/>
  </r>
  <r>
    <s v="a loaf of (sliced) bread"/>
    <s v="une miche de pain (généralement tranché)"/>
    <d v="2019-03-24T00:00:00"/>
    <x v="24"/>
    <n v="21"/>
    <n v="0.80769230769230771"/>
  </r>
  <r>
    <s v="an apron"/>
    <s v="un tablier"/>
    <d v="2011-03-09T00:00:00"/>
    <x v="19"/>
    <n v="17"/>
    <n v="0.80952380952380953"/>
  </r>
  <r>
    <s v="a compensation"/>
    <s v="une indemnité, une rémunération"/>
    <d v="2013-12-13T00:00:00"/>
    <x v="19"/>
    <n v="17"/>
    <n v="0.80952380952380953"/>
  </r>
  <r>
    <s v="to overcome"/>
    <s v="surmonter"/>
    <d v="2013-12-13T00:00:00"/>
    <x v="19"/>
    <n v="17"/>
    <n v="0.80952380952380953"/>
  </r>
  <r>
    <s v="rates and taxes"/>
    <s v="les impôts et contributions"/>
    <d v="2013-12-13T00:00:00"/>
    <x v="19"/>
    <n v="17"/>
    <n v="0.80952380952380953"/>
  </r>
  <r>
    <s v="to look forward"/>
    <s v="avoir hâte"/>
    <d v="2019-07-15T00:00:00"/>
    <x v="19"/>
    <n v="17"/>
    <n v="0.80952380952380953"/>
  </r>
  <r>
    <s v="rickety"/>
    <s v="rachitique"/>
    <d v="2019-08-12T00:00:00"/>
    <x v="19"/>
    <n v="17"/>
    <n v="0.80952380952380953"/>
  </r>
  <r>
    <s v="hay (common name)"/>
    <s v="les foins"/>
    <d v="2020-02-11T00:00:00"/>
    <x v="19"/>
    <n v="17"/>
    <n v="0.80952380952380953"/>
  </r>
  <r>
    <s v="sparingly"/>
    <s v="avec parcimonie"/>
    <d v="2020-05-11T00:00:00"/>
    <x v="19"/>
    <n v="17"/>
    <n v="0.80952380952380953"/>
  </r>
  <r>
    <s v="a whirlpool"/>
    <s v="un tourbillon"/>
    <d v="2021-03-14T00:00:00"/>
    <x v="19"/>
    <n v="17"/>
    <n v="0.80952380952380953"/>
  </r>
  <r>
    <s v="a steward"/>
    <s v="un intendant"/>
    <d v="2021-08-14T00:00:00"/>
    <x v="19"/>
    <n v="17"/>
    <n v="0.80952380952380953"/>
  </r>
  <r>
    <s v="namely"/>
    <s v="à savoir"/>
    <d v="2011-03-09T00:00:00"/>
    <x v="6"/>
    <n v="13"/>
    <n v="0.8125"/>
  </r>
  <r>
    <s v="round the clock"/>
    <s v="24h/24"/>
    <d v="2013-12-13T00:00:00"/>
    <x v="6"/>
    <n v="13"/>
    <n v="0.8125"/>
  </r>
  <r>
    <s v="subcontracting (common name)"/>
    <s v="la sous-traitance"/>
    <d v="2013-12-13T00:00:00"/>
    <x v="6"/>
    <n v="13"/>
    <n v="0.8125"/>
  </r>
  <r>
    <s v="pennyworth"/>
    <s v="pour un penny"/>
    <d v="2018-04-15T00:00:00"/>
    <x v="6"/>
    <n v="13"/>
    <n v="0.8125"/>
  </r>
  <r>
    <s v="a packaging"/>
    <s v="un emballage"/>
    <d v="2018-05-17T00:00:00"/>
    <x v="6"/>
    <n v="13"/>
    <n v="0.8125"/>
  </r>
  <r>
    <s v="How are you enjoying it?"/>
    <s v="Ca te plaît ?"/>
    <d v="2018-08-17T00:00:00"/>
    <x v="6"/>
    <n v="13"/>
    <n v="0.8125"/>
  </r>
  <r>
    <s v="asunder"/>
    <s v="en morceaux, écartés / éloignés"/>
    <d v="2018-11-18T00:00:00"/>
    <x v="6"/>
    <n v="13"/>
    <n v="0.8125"/>
  </r>
  <r>
    <s v="a hamlet"/>
    <s v="un hameau"/>
    <d v="2019-11-07T00:00:00"/>
    <x v="6"/>
    <n v="13"/>
    <n v="0.8125"/>
  </r>
  <r>
    <s v="Whack!"/>
    <s v="Vlan !"/>
    <d v="2020-07-14T00:00:00"/>
    <x v="6"/>
    <n v="13"/>
    <n v="0.8125"/>
  </r>
  <r>
    <s v="a still life"/>
    <s v="une nature morte"/>
    <d v="2021-03-28T00:00:00"/>
    <x v="6"/>
    <n v="13"/>
    <n v="0.8125"/>
  </r>
  <r>
    <s v="rot proof (adj.)"/>
    <s v="imputrescible"/>
    <d v="2021-04-13T00:00:00"/>
    <x v="6"/>
    <n v="13"/>
    <n v="0.8125"/>
  </r>
  <r>
    <s v="an anchor"/>
    <s v="une ancre"/>
    <d v="2021-05-18T00:00:00"/>
    <x v="6"/>
    <n v="13"/>
    <n v="0.8125"/>
  </r>
  <r>
    <s v="incoming mail"/>
    <s v="le courrier du jour"/>
    <d v="2013-12-13T00:00:00"/>
    <x v="22"/>
    <n v="18"/>
    <n v="0.81818181818181823"/>
  </r>
  <r>
    <s v="to buttress"/>
    <s v="soutenir, épauler"/>
    <d v="2018-12-10T00:00:00"/>
    <x v="22"/>
    <n v="18"/>
    <n v="0.81818181818181823"/>
  </r>
  <r>
    <s v="a wall socket"/>
    <s v="une prise électrique murale"/>
    <d v="2019-03-16T00:00:00"/>
    <x v="22"/>
    <n v="18"/>
    <n v="0.81818181818181823"/>
  </r>
  <r>
    <s v="to bode"/>
    <s v="présager"/>
    <d v="2020-06-22T00:00:00"/>
    <x v="22"/>
    <n v="18"/>
    <n v="0.81818181818181823"/>
  </r>
  <r>
    <s v="a game (hunt.)"/>
    <s v="un gibier"/>
    <d v="2021-02-14T00:00:00"/>
    <x v="22"/>
    <n v="18"/>
    <n v="0.81818181818181823"/>
  </r>
  <r>
    <s v="a ripple"/>
    <s v="une ondulation, une ride"/>
    <d v="2021-11-24T00:00:00"/>
    <x v="5"/>
    <n v="9"/>
    <n v="0.81818181818181823"/>
  </r>
  <r>
    <s v="dewy"/>
    <s v="frais / couvert de rosée"/>
    <d v="2022-02-01T00:00:00"/>
    <x v="5"/>
    <n v="9"/>
    <n v="0.81818181818181823"/>
  </r>
  <r>
    <s v="genuine"/>
    <s v="authentique"/>
    <d v="2011-03-09T00:00:00"/>
    <x v="16"/>
    <n v="14"/>
    <n v="0.82352941176470584"/>
  </r>
  <r>
    <s v="an estate"/>
    <s v="une propriété, un patrimoine"/>
    <d v="2013-12-13T00:00:00"/>
    <x v="16"/>
    <n v="14"/>
    <n v="0.82352941176470584"/>
  </r>
  <r>
    <s v="to pile up"/>
    <s v="s’accumuler"/>
    <d v="2013-12-13T00:00:00"/>
    <x v="16"/>
    <n v="14"/>
    <n v="0.82352941176470584"/>
  </r>
  <r>
    <s v="a gobbledegook"/>
    <s v="un charabia"/>
    <d v="2018-05-17T00:00:00"/>
    <x v="16"/>
    <n v="14"/>
    <n v="0.82352941176470584"/>
  </r>
  <r>
    <s v="canny"/>
    <s v="prudent, malin"/>
    <d v="2018-11-11T00:00:00"/>
    <x v="16"/>
    <n v="14"/>
    <n v="0.82352941176470584"/>
  </r>
  <r>
    <s v="a stench"/>
    <s v="une puanteur, une odeur nauséabonde, un relent"/>
    <d v="2018-12-10T00:00:00"/>
    <x v="16"/>
    <n v="14"/>
    <n v="0.82352941176470584"/>
  </r>
  <r>
    <s v="the immediate next of kin"/>
    <s v="le parent le plus proche"/>
    <d v="2019-11-02T00:00:00"/>
    <x v="16"/>
    <n v="14"/>
    <n v="0.82352941176470584"/>
  </r>
  <r>
    <s v="colorfast"/>
    <s v="teint dans une couleur qui ne fadit pas au lavage"/>
    <d v="2020-06-22T00:00:00"/>
    <x v="16"/>
    <n v="14"/>
    <n v="0.82352941176470584"/>
  </r>
  <r>
    <s v="to earmark smthg to smthg"/>
    <s v="destiner qqch à un usage particulier"/>
    <d v="2021-07-05T00:00:00"/>
    <x v="16"/>
    <n v="14"/>
    <n v="0.82352941176470584"/>
  </r>
  <r>
    <s v="a rationale"/>
    <s v="un raisonnement"/>
    <d v="2021-07-15T00:00:00"/>
    <x v="16"/>
    <n v="14"/>
    <n v="0.82352941176470584"/>
  </r>
  <r>
    <s v="a refund"/>
    <s v="un remboursement"/>
    <d v="2013-12-13T00:00:00"/>
    <x v="23"/>
    <n v="19"/>
    <n v="0.82608695652173914"/>
  </r>
  <r>
    <s v="health benefits"/>
    <s v="les indemnités maladie"/>
    <d v="2013-12-13T00:00:00"/>
    <x v="23"/>
    <n v="19"/>
    <n v="0.82608695652173914"/>
  </r>
  <r>
    <s v="to lay off"/>
    <s v="licencier"/>
    <d v="2013-12-13T00:00:00"/>
    <x v="23"/>
    <n v="19"/>
    <n v="0.82608695652173914"/>
  </r>
  <r>
    <s v="to ship"/>
    <s v="expédier"/>
    <d v="2013-12-13T00:00:00"/>
    <x v="23"/>
    <n v="19"/>
    <n v="0.82608695652173914"/>
  </r>
  <r>
    <s v="an announcement"/>
    <s v="un avis, une annonce"/>
    <d v="2013-12-13T00:00:00"/>
    <x v="23"/>
    <n v="19"/>
    <n v="0.82608695652173914"/>
  </r>
  <r>
    <s v="a brushwork"/>
    <s v="un pinceau"/>
    <d v="2019-10-23T00:00:00"/>
    <x v="23"/>
    <n v="19"/>
    <n v="0.82608695652173914"/>
  </r>
  <r>
    <s v="a laundromat"/>
    <s v="une laverie"/>
    <d v="2019-10-29T00:00:00"/>
    <x v="23"/>
    <n v="19"/>
    <n v="0.82608695652173914"/>
  </r>
  <r>
    <s v="to cover"/>
    <s v="recouvrir"/>
    <d v="2019-12-16T00:00:00"/>
    <x v="23"/>
    <n v="19"/>
    <n v="0.82608695652173914"/>
  </r>
  <r>
    <s v="to knit"/>
    <s v="tricoter"/>
    <d v="2020-06-22T00:00:00"/>
    <x v="23"/>
    <n v="19"/>
    <n v="0.82608695652173914"/>
  </r>
  <r>
    <s v="constabulary (common name)"/>
    <s v="les forces de police"/>
    <d v="2021-09-04T00:00:00"/>
    <x v="23"/>
    <n v="19"/>
    <n v="0.82608695652173914"/>
  </r>
  <r>
    <s v="a conveyor"/>
    <s v="un transporteur, un tapis roulant"/>
    <d v="2013-12-13T00:00:00"/>
    <x v="18"/>
    <n v="15"/>
    <n v="0.83333333333333337"/>
  </r>
  <r>
    <s v="to qualify"/>
    <s v="remplir les conditions"/>
    <d v="2013-12-13T00:00:00"/>
    <x v="18"/>
    <n v="15"/>
    <n v="0.83333333333333337"/>
  </r>
  <r>
    <s v="a return (écon.)"/>
    <s v="un rendement"/>
    <d v="2013-12-13T00:00:00"/>
    <x v="18"/>
    <n v="15"/>
    <n v="0.83333333333333337"/>
  </r>
  <r>
    <s v="fiery"/>
    <s v="ardent, enflammé"/>
    <d v="2018-05-17T00:00:00"/>
    <x v="18"/>
    <n v="15"/>
    <n v="0.83333333333333337"/>
  </r>
  <r>
    <s v="Queen Elizabeth"/>
    <s v="La Reine d'Angleterre Elizabeth II"/>
    <d v="2018-05-17T00:00:00"/>
    <x v="18"/>
    <n v="15"/>
    <n v="0.83333333333333337"/>
  </r>
  <r>
    <s v="by and large"/>
    <s v="dans l'ensemble / en tout cas, de toute façon"/>
    <d v="2018-08-29T00:00:00"/>
    <x v="18"/>
    <n v="15"/>
    <n v="0.83333333333333337"/>
  </r>
  <r>
    <s v="a blueprint"/>
    <s v="un plan, un projet"/>
    <d v="2018-12-04T00:00:00"/>
    <x v="7"/>
    <n v="10"/>
    <n v="0.83333333333333337"/>
  </r>
  <r>
    <s v="I'm a size 12."/>
    <s v="Je fais du 40 (en taille)"/>
    <d v="2019-03-24T00:00:00"/>
    <x v="18"/>
    <n v="15"/>
    <n v="0.83333333333333337"/>
  </r>
  <r>
    <s v="unity bills"/>
    <s v="les factures d'électricité"/>
    <d v="2019-11-02T00:00:00"/>
    <x v="18"/>
    <n v="15"/>
    <n v="0.83333333333333337"/>
  </r>
  <r>
    <s v="a thigh"/>
    <s v="une cuisse"/>
    <d v="2021-02-22T00:00:00"/>
    <x v="18"/>
    <n v="15"/>
    <n v="0.83333333333333337"/>
  </r>
  <r>
    <s v="a recress"/>
    <s v="une récréation"/>
    <d v="2021-02-24T00:00:00"/>
    <x v="18"/>
    <n v="15"/>
    <n v="0.83333333333333337"/>
  </r>
  <r>
    <s v="a raft"/>
    <s v="un radeau"/>
    <d v="2021-06-10T00:00:00"/>
    <x v="18"/>
    <n v="15"/>
    <n v="0.83333333333333337"/>
  </r>
  <r>
    <s v="a stork"/>
    <s v="une cigogne"/>
    <d v="2021-06-24T00:00:00"/>
    <x v="7"/>
    <n v="10"/>
    <n v="0.83333333333333337"/>
  </r>
  <r>
    <s v="in awe (expr.)"/>
    <s v="en admiration"/>
    <d v="2021-07-18T00:00:00"/>
    <x v="18"/>
    <n v="15"/>
    <n v="0.83333333333333337"/>
  </r>
  <r>
    <s v="every so often"/>
    <s v="de temps en temps"/>
    <d v="2021-10-14T00:00:00"/>
    <x v="7"/>
    <n v="10"/>
    <n v="0.83333333333333337"/>
  </r>
  <r>
    <s v="litmus paper"/>
    <s v="le papier pH"/>
    <d v="2022-03-13T00:00:00"/>
    <x v="7"/>
    <n v="10"/>
    <n v="0.83333333333333337"/>
  </r>
  <r>
    <s v="capital goods"/>
    <s v="les biens d’équipement"/>
    <d v="2013-12-13T00:00:00"/>
    <x v="17"/>
    <n v="16"/>
    <n v="0.84210526315789469"/>
  </r>
  <r>
    <s v="moonlighting (common name)"/>
    <s v="du travail non déclaré, un cumul d’emploi"/>
    <d v="2013-12-13T00:00:00"/>
    <x v="17"/>
    <n v="16"/>
    <n v="0.84210526315789469"/>
  </r>
  <r>
    <s v="a crust"/>
    <s v="une croûte (de pâte)"/>
    <d v="2018-05-17T00:00:00"/>
    <x v="17"/>
    <n v="16"/>
    <n v="0.84210526315789469"/>
  </r>
  <r>
    <s v="forensic"/>
    <s v="relatif au barreau"/>
    <d v="2018-10-27T00:00:00"/>
    <x v="17"/>
    <n v="16"/>
    <n v="0.84210526315789469"/>
  </r>
  <r>
    <s v="a guinea pig"/>
    <s v="un cochon d'inde / un cobaye"/>
    <d v="2018-10-31T00:00:00"/>
    <x v="17"/>
    <n v="16"/>
    <n v="0.84210526315789469"/>
  </r>
  <r>
    <s v="diehard (adj.)"/>
    <s v="conservateur / pur et dur"/>
    <d v="2018-12-17T00:00:00"/>
    <x v="17"/>
    <n v="16"/>
    <n v="0.84210526315789469"/>
  </r>
  <r>
    <s v="the causeway"/>
    <s v="la chaussée"/>
    <d v="2019-12-27T00:00:00"/>
    <x v="17"/>
    <n v="16"/>
    <n v="0.84210526315789469"/>
  </r>
  <r>
    <s v="a slider"/>
    <s v="une glissière"/>
    <d v="2021-08-26T00:00:00"/>
    <x v="1"/>
    <n v="11"/>
    <n v="0.84615384615384615"/>
  </r>
  <r>
    <s v="aptly"/>
    <s v="pertinemment, avec justesse, à propos"/>
    <d v="2021-09-08T00:00:00"/>
    <x v="1"/>
    <n v="11"/>
    <n v="0.84615384615384615"/>
  </r>
  <r>
    <s v="a sieve"/>
    <s v="un tamis"/>
    <d v="2022-03-06T00:00:00"/>
    <x v="1"/>
    <n v="11"/>
    <n v="0.84615384615384615"/>
  </r>
  <r>
    <s v="It turns out that ..."/>
    <s v="Il semble que …"/>
    <d v="2011-03-09T00:00:00"/>
    <x v="20"/>
    <n v="17"/>
    <n v="0.85"/>
  </r>
  <r>
    <s v="lead (common name)"/>
    <s v="le plomb"/>
    <d v="2011-03-09T00:00:00"/>
    <x v="20"/>
    <n v="17"/>
    <n v="0.85"/>
  </r>
  <r>
    <s v="a feat"/>
    <s v="un exploit"/>
    <d v="2019-01-28T00:00:00"/>
    <x v="20"/>
    <n v="17"/>
    <n v="0.85"/>
  </r>
  <r>
    <s v="verbose"/>
    <s v="prolixe"/>
    <d v="2019-05-20T00:00:00"/>
    <x v="20"/>
    <n v="17"/>
    <n v="0.85"/>
  </r>
  <r>
    <s v="sintered"/>
    <s v="fritté"/>
    <d v="2019-11-18T00:00:00"/>
    <x v="20"/>
    <n v="17"/>
    <n v="0.85"/>
  </r>
  <r>
    <s v="a repository"/>
    <s v="un dépôt, un entrepôt"/>
    <d v="2020-01-27T00:00:00"/>
    <x v="20"/>
    <n v="17"/>
    <n v="0.85"/>
  </r>
  <r>
    <s v="pruning (common name)"/>
    <s v="la taille (d'un arbuste)"/>
    <d v="2021-01-05T00:00:00"/>
    <x v="20"/>
    <n v="17"/>
    <n v="0.85"/>
  </r>
  <r>
    <s v="an occupational disease"/>
    <s v="une maladie professionnelle"/>
    <d v="2021-03-07T00:00:00"/>
    <x v="20"/>
    <n v="17"/>
    <n v="0.85"/>
  </r>
  <r>
    <s v="to fetch"/>
    <s v="venir chercher quelqu'un"/>
    <d v="2011-03-09T00:00:00"/>
    <x v="19"/>
    <n v="18"/>
    <n v="0.8571428571428571"/>
  </r>
  <r>
    <s v="a scent"/>
    <s v="un parfum, une odeur"/>
    <d v="2018-12-10T00:00:00"/>
    <x v="8"/>
    <n v="12"/>
    <n v="0.8571428571428571"/>
  </r>
  <r>
    <s v="the juniper"/>
    <s v="le genévrier"/>
    <d v="2019-10-29T00:00:00"/>
    <x v="19"/>
    <n v="18"/>
    <n v="0.8571428571428571"/>
  </r>
  <r>
    <s v="a probe"/>
    <s v="une sonde"/>
    <d v="2019-12-16T00:00:00"/>
    <x v="19"/>
    <n v="18"/>
    <n v="0.8571428571428571"/>
  </r>
  <r>
    <s v="a viewfinder"/>
    <s v="un viseur"/>
    <d v="2021-03-28T00:00:00"/>
    <x v="8"/>
    <n v="12"/>
    <n v="0.8571428571428571"/>
  </r>
  <r>
    <s v="fictitious"/>
    <s v="fictif"/>
    <d v="2021-09-26T00:00:00"/>
    <x v="8"/>
    <n v="12"/>
    <n v="0.8571428571428571"/>
  </r>
  <r>
    <s v="a keystroke"/>
    <s v="une frappe de touche d'ordinateur"/>
    <d v="2021-11-15T00:00:00"/>
    <x v="8"/>
    <n v="12"/>
    <n v="0.8571428571428571"/>
  </r>
  <r>
    <s v="a crate"/>
    <s v="une caisse, un cageot"/>
    <d v="2022-01-16T00:00:00"/>
    <x v="8"/>
    <n v="12"/>
    <n v="0.8571428571428571"/>
  </r>
  <r>
    <s v="a doe"/>
    <s v="une biche"/>
    <d v="2022-01-30T00:00:00"/>
    <x v="8"/>
    <n v="12"/>
    <n v="0.8571428571428571"/>
  </r>
  <r>
    <s v="a dish"/>
    <s v="un plat, une assiette / une antenne parabolique"/>
    <d v="2013-12-13T00:00:00"/>
    <x v="11"/>
    <n v="13"/>
    <n v="0.8666666666666667"/>
  </r>
  <r>
    <s v="Fancy that!"/>
    <s v="Vous m'en direz tant !"/>
    <d v="2018-05-17T00:00:00"/>
    <x v="11"/>
    <n v="13"/>
    <n v="0.8666666666666667"/>
  </r>
  <r>
    <s v="glassware"/>
    <s v="la verrerie"/>
    <d v="2018-05-17T00:00:00"/>
    <x v="11"/>
    <n v="13"/>
    <n v="0.8666666666666667"/>
  </r>
  <r>
    <s v="a whim"/>
    <s v="un caprice"/>
    <d v="2019-07-27T00:00:00"/>
    <x v="11"/>
    <n v="13"/>
    <n v="0.8666666666666667"/>
  </r>
  <r>
    <s v="a foray"/>
    <s v="une incursion"/>
    <d v="2019-11-06T00:00:00"/>
    <x v="11"/>
    <n v="13"/>
    <n v="0.8666666666666667"/>
  </r>
  <r>
    <s v="finicky"/>
    <s v="pointilleux"/>
    <d v="2020-03-05T00:00:00"/>
    <x v="11"/>
    <n v="13"/>
    <n v="0.8666666666666667"/>
  </r>
  <r>
    <s v="gore-flecked"/>
    <s v="maculé de sang"/>
    <d v="2021-08-17T00:00:00"/>
    <x v="11"/>
    <n v="13"/>
    <n v="0.8666666666666667"/>
  </r>
  <r>
    <s v="a gnat"/>
    <s v="un moucheron"/>
    <d v="2022-01-17T00:00:00"/>
    <x v="11"/>
    <n v="13"/>
    <n v="0.8666666666666667"/>
  </r>
  <r>
    <s v="scorched-earth policy"/>
    <s v="la politique de la terre brûlée"/>
    <d v="2022-02-15T00:00:00"/>
    <x v="11"/>
    <n v="13"/>
    <n v="0.8666666666666667"/>
  </r>
  <r>
    <s v="the vanguard"/>
    <s v="l'avant-garde"/>
    <d v="2019-05-20T00:00:00"/>
    <x v="6"/>
    <n v="14"/>
    <n v="0.875"/>
  </r>
  <r>
    <s v="odd jobs"/>
    <s v="des petits boulots"/>
    <d v="2021-03-07T00:00:00"/>
    <x v="6"/>
    <n v="14"/>
    <n v="0.875"/>
  </r>
  <r>
    <s v="shrill"/>
    <s v="aigu"/>
    <d v="2021-03-28T00:00:00"/>
    <x v="3"/>
    <n v="7"/>
    <n v="0.875"/>
  </r>
  <r>
    <s v="to brag"/>
    <s v="se vanter, fanfaronner"/>
    <d v="2021-09-21T00:00:00"/>
    <x v="6"/>
    <n v="14"/>
    <n v="0.875"/>
  </r>
  <r>
    <s v="apace (adv.)"/>
    <s v="rapidement, vite"/>
    <d v="2021-12-03T00:00:00"/>
    <x v="6"/>
    <n v="14"/>
    <n v="0.875"/>
  </r>
  <r>
    <s v="hiccup (common name)"/>
    <s v="le hoquet"/>
    <d v="2021-12-19T00:00:00"/>
    <x v="6"/>
    <n v="14"/>
    <n v="0.875"/>
  </r>
  <r>
    <s v="idiosyncrasy (common name)"/>
    <s v="la particularité"/>
    <d v="2022-05-21T00:00:00"/>
    <x v="6"/>
    <n v="14"/>
    <n v="0.875"/>
  </r>
  <r>
    <s v="tongue-in-cheek"/>
    <s v="ironique"/>
    <d v="2018-07-30T00:00:00"/>
    <x v="16"/>
    <n v="15"/>
    <n v="0.88235294117647056"/>
  </r>
  <r>
    <s v="to cull"/>
    <s v="cueillir / sélectionner / élire"/>
    <d v="2018-11-01T00:00:00"/>
    <x v="16"/>
    <n v="15"/>
    <n v="0.88235294117647056"/>
  </r>
  <r>
    <s v="manly (adj.)"/>
    <s v="viril"/>
    <d v="2021-03-21T00:00:00"/>
    <x v="16"/>
    <n v="15"/>
    <n v="0.88235294117647056"/>
  </r>
  <r>
    <s v="a tab"/>
    <s v="un onglet / une étiquette"/>
    <d v="2021-10-14T00:00:00"/>
    <x v="16"/>
    <n v="15"/>
    <n v="0.88235294117647056"/>
  </r>
  <r>
    <s v="a boulder"/>
    <s v="un rocher, un bloc de pierre"/>
    <d v="2021-11-10T00:00:00"/>
    <x v="16"/>
    <n v="15"/>
    <n v="0.88235294117647056"/>
  </r>
  <r>
    <s v="a crank"/>
    <s v="une manivelle"/>
    <d v="2021-11-24T00:00:00"/>
    <x v="16"/>
    <n v="15"/>
    <n v="0.88235294117647056"/>
  </r>
  <r>
    <s v="gingerbread (common name)"/>
    <s v="le pain d'épice"/>
    <d v="2021-08-04T00:00:00"/>
    <x v="0"/>
    <n v="9"/>
    <n v="0.9"/>
  </r>
  <r>
    <s v="frenzied"/>
    <s v="frénétique, désespéré"/>
    <d v="2018-11-18T00:00:00"/>
    <x v="5"/>
    <n v="10"/>
    <n v="0.90909090909090906"/>
  </r>
  <r>
    <s v="a deadlock"/>
    <s v="une impasse"/>
    <d v="2021-03-07T00:00:00"/>
    <x v="7"/>
    <n v="11"/>
    <n v="0.91666666666666663"/>
  </r>
  <r>
    <s v="as opposed to"/>
    <s v="contrairement à"/>
    <d v="2021-08-25T00:00:00"/>
    <x v="3"/>
    <n v="8"/>
    <n v="1"/>
  </r>
  <r>
    <s v="without further ado"/>
    <s v="sans plus tarder"/>
    <d v="2021-09-01T00:00:00"/>
    <x v="3"/>
    <n v="8"/>
    <n v="1"/>
  </r>
  <r>
    <s v="a fraudster"/>
    <s v="un fraudeur"/>
    <d v="2021-11-21T00:00:00"/>
    <x v="10"/>
    <n v="9"/>
    <n v="1"/>
  </r>
  <r>
    <s v="seaweed (common name)"/>
    <s v="une algue"/>
    <d v="2021-11-23T00:00:00"/>
    <x v="2"/>
    <n v="7"/>
    <n v="1"/>
  </r>
  <r>
    <s v="with a fingersnip"/>
    <s v="en un claquement de doigt"/>
    <d v="2021-12-04T00:00:00"/>
    <x v="10"/>
    <n v="9"/>
    <n v="1"/>
  </r>
  <r>
    <s v="the seascape"/>
    <s v="le paysage marin"/>
    <d v="2021-12-05T00:00:00"/>
    <x v="10"/>
    <n v="9"/>
    <n v="1"/>
  </r>
  <r>
    <s v="to grind to a halt"/>
    <s v="s'arrêter"/>
    <d v="2021-12-30T00:00:00"/>
    <x v="10"/>
    <n v="9"/>
    <n v="1"/>
  </r>
  <r>
    <s v="feces (common name)"/>
    <s v="des excréments"/>
    <d v="2022-01-11T00:00:00"/>
    <x v="3"/>
    <n v="8"/>
    <n v="1"/>
  </r>
  <r>
    <s v="a backwater"/>
    <s v="de l'eau stagnante / un coin perdu"/>
    <d v="2022-01-23T00:00:00"/>
    <x v="2"/>
    <n v="7"/>
    <n v="1"/>
  </r>
  <r>
    <s v="a thud"/>
    <s v="un bruit sourd"/>
    <d v="2022-01-30T00:00:00"/>
    <x v="2"/>
    <n v="7"/>
    <n v="1"/>
  </r>
  <r>
    <s v="to power up"/>
    <s v="mettre sous tension"/>
    <d v="2022-02-28T00:00:00"/>
    <x v="3"/>
    <n v="8"/>
    <n v="1"/>
  </r>
  <r>
    <s v="wads of cash"/>
    <s v="des liasses de billets"/>
    <d v="2022-02-28T00:00:00"/>
    <x v="10"/>
    <n v="9"/>
    <n v="1"/>
  </r>
  <r>
    <s v="No time to dillydally!"/>
    <s v="Pas le temps de lanterner ! / Pas de temps à perdre !"/>
    <d v="2022-03-13T00:00:00"/>
    <x v="3"/>
    <n v="8"/>
    <n v="1"/>
  </r>
  <r>
    <s v="on and on"/>
    <s v="encore et encore"/>
    <d v="2022-03-16T00:00:00"/>
    <x v="4"/>
    <n v="6"/>
    <n v="1"/>
  </r>
  <r>
    <s v="a snowflake"/>
    <s v="un flocon de neige"/>
    <d v="2022-03-18T00:00:00"/>
    <x v="9"/>
    <n v="5"/>
    <n v="1"/>
  </r>
  <r>
    <s v="a jiffy"/>
    <s v="un instant, une seconde"/>
    <d v="2022-03-20T00:00:00"/>
    <x v="10"/>
    <n v="9"/>
    <n v="1"/>
  </r>
  <r>
    <s v="deflated"/>
    <s v="dégonflé"/>
    <d v="2022-03-26T00:00:00"/>
    <x v="10"/>
    <n v="9"/>
    <n v="1"/>
  </r>
  <r>
    <s v="to gloss"/>
    <s v="briller, faire briller / commenter, interpréter"/>
    <d v="2022-04-05T00:00:00"/>
    <x v="9"/>
    <n v="5"/>
    <n v="1"/>
  </r>
  <r>
    <s v="to sow"/>
    <s v="semer"/>
    <d v="2022-04-18T00:00:00"/>
    <x v="9"/>
    <n v="5"/>
    <n v="1"/>
  </r>
  <r>
    <s v="a water tower"/>
    <s v="un château d'eau"/>
    <d v="2022-04-19T00:00:00"/>
    <x v="12"/>
    <n v="4"/>
    <n v="1"/>
  </r>
  <r>
    <s v="a sickle"/>
    <s v="une faucille"/>
    <d v="2022-04-24T00:00:00"/>
    <x v="3"/>
    <n v="8"/>
    <n v="1"/>
  </r>
  <r>
    <s v="a thread"/>
    <s v="un fil / un filetage"/>
    <d v="2022-05-01T00:00:00"/>
    <x v="2"/>
    <n v="7"/>
    <n v="1"/>
  </r>
  <r>
    <s v="to embolden"/>
    <s v="enhardir"/>
    <d v="2022-05-10T00:00:00"/>
    <x v="3"/>
    <n v="8"/>
    <n v="1"/>
  </r>
  <r>
    <s v="a peephole"/>
    <s v="un judas"/>
    <d v="2022-05-11T00:00:00"/>
    <x v="15"/>
    <n v="2"/>
    <n v="1"/>
  </r>
  <r>
    <s v="a pod"/>
    <s v="une nacelle, une capsule / une sacoche"/>
    <d v="2022-05-17T00:00:00"/>
    <x v="4"/>
    <n v="6"/>
    <n v="1"/>
  </r>
  <r>
    <s v="fungible"/>
    <s v="interchangeable"/>
    <d v="2022-05-25T00:00:00"/>
    <x v="10"/>
    <n v="9"/>
    <n v="1"/>
  </r>
  <r>
    <s v="ampersand"/>
    <s v="le caractère &quot;&amp;&quot;"/>
    <d v="2022-06-01T00:00:00"/>
    <x v="13"/>
    <n v="3"/>
    <n v="1"/>
  </r>
  <r>
    <s v="an abbot"/>
    <s v="un abbé"/>
    <d v="2022-06-11T00:00:00"/>
    <x v="3"/>
    <n v="8"/>
    <n v="1"/>
  </r>
  <r>
    <s v="an egress"/>
    <s v="une sortie, une issue"/>
    <d v="2022-06-13T00:00:00"/>
    <x v="10"/>
    <n v="9"/>
    <n v="1"/>
  </r>
  <r>
    <s v="HVAC"/>
    <s v="Heating, ventilation, and air conditioning"/>
    <d v="2022-06-14T00:00:00"/>
    <x v="4"/>
    <n v="6"/>
    <n v="1"/>
  </r>
  <r>
    <s v="a rod"/>
    <s v="une baguette / une tringle"/>
    <d v="2022-07-09T00:00:00"/>
    <x v="4"/>
    <n v="6"/>
    <n v="1"/>
  </r>
  <r>
    <s v="a timing belt (tech.)"/>
    <s v="une courroie crantée"/>
    <d v="2022-07-09T00:00:00"/>
    <x v="12"/>
    <n v="4"/>
    <n v="1"/>
  </r>
  <r>
    <s v="And Bob's your uncle!"/>
    <s v="Et voilà !"/>
    <d v="2022-07-21T00:00:00"/>
    <x v="13"/>
    <n v="3"/>
    <n v="1"/>
  </r>
  <r>
    <s v="a fire hydrant"/>
    <s v="une bouche d'incendie"/>
    <d v="2022-08-10T00:00:00"/>
    <x v="12"/>
    <n v="4"/>
    <n v="1"/>
  </r>
  <r>
    <s v="unary minus"/>
    <s v="le signe moins &quot;-&quot;"/>
    <d v="2022-08-25T00:00:00"/>
    <x v="9"/>
    <n v="5"/>
    <n v="1"/>
  </r>
  <r>
    <s v="a speeding ticket"/>
    <s v="une amende pour excès de vitesse"/>
    <d v="2022-08-29T00:00:00"/>
    <x v="9"/>
    <n v="5"/>
    <n v="1"/>
  </r>
  <r>
    <s v="an appendage"/>
    <s v="un appendice"/>
    <d v="2022-09-02T00:00:00"/>
    <x v="9"/>
    <n v="5"/>
    <n v="1"/>
  </r>
  <r>
    <s v="a yard sale"/>
    <s v="un vide-grenier"/>
    <d v="2022-09-09T00:00:00"/>
    <x v="4"/>
    <n v="6"/>
    <n v="1"/>
  </r>
  <r>
    <s v="tweezers (common name)"/>
    <s v="une pince à épiler"/>
    <d v="2022-09-13T00:00:00"/>
    <x v="10"/>
    <n v="9"/>
    <n v="1"/>
  </r>
  <r>
    <s v="acute accent (common name)"/>
    <s v="l'accent aigu"/>
    <d v="2022-10-14T00:00:00"/>
    <x v="9"/>
    <n v="5"/>
    <n v="1"/>
  </r>
  <r>
    <s v="to grapple with"/>
    <s v="lutter avec"/>
    <d v="2022-10-18T00:00:00"/>
    <x v="13"/>
    <n v="3"/>
    <n v="1"/>
  </r>
  <r>
    <s v="a toll plaza"/>
    <s v="un péage"/>
    <d v="2022-11-01T00:00:00"/>
    <x v="15"/>
    <n v="2"/>
    <n v="1"/>
  </r>
  <r>
    <s v="ruggedly"/>
    <s v="durement"/>
    <d v="2022-11-01T00:00:00"/>
    <x v="13"/>
    <n v="3"/>
    <n v="1"/>
  </r>
  <r>
    <s v="wye (common name)"/>
    <s v="le y grec"/>
    <d v="2022-11-05T00:00:00"/>
    <x v="12"/>
    <n v="4"/>
    <n v="1"/>
  </r>
  <r>
    <s v="grouchy (adj.)"/>
    <s v="grognon, grincheux"/>
    <d v="2022-11-13T00:00:00"/>
    <x v="15"/>
    <n v="2"/>
    <n v="1"/>
  </r>
  <r>
    <s v="jabbering (common name)"/>
    <s v="le bavardage"/>
    <d v="2022-11-13T00:00:00"/>
    <x v="4"/>
    <n v="6"/>
    <n v="1"/>
  </r>
  <r>
    <s v="a blind alley"/>
    <s v="une impasse"/>
    <d v="2022-11-20T00:00:00"/>
    <x v="9"/>
    <n v="5"/>
    <n v="1"/>
  </r>
  <r>
    <s v="For all my brave talk, ..."/>
    <s v="Malgré tous mes discours courageux, …"/>
    <d v="2022-11-20T00:00:00"/>
    <x v="4"/>
    <n v="6"/>
    <n v="1"/>
  </r>
  <r>
    <s v="skyline (common name)"/>
    <s v="la ligne d'horizon"/>
    <d v="2022-11-28T00:00:00"/>
    <x v="15"/>
    <n v="2"/>
    <n v="1"/>
  </r>
  <r>
    <s v="back to the kennel"/>
    <s v="de retour à la niche"/>
    <d v="2022-12-04T00:00:00"/>
    <x v="15"/>
    <n v="2"/>
    <n v="1"/>
  </r>
  <r>
    <s v="sophomore"/>
    <s v="la deuxième année d'étude"/>
    <d v="2022-12-23T00:00:00"/>
    <x v="13"/>
    <n v="3"/>
    <n v="1"/>
  </r>
  <r>
    <s v="a skunk"/>
    <s v="une moufette"/>
    <d v="2023-01-02T00:00:00"/>
    <x v="15"/>
    <n v="2"/>
    <n v="1"/>
  </r>
  <r>
    <s v="blabber (commmon name)"/>
    <s v="des bavardages"/>
    <d v="2023-01-09T00:00:00"/>
    <x v="14"/>
    <n v="1"/>
    <n v="1"/>
  </r>
  <r>
    <s v="to read the fine print"/>
    <s v="lire les astérisques d'un contrat"/>
    <d v="2023-01-22T00:00:00"/>
    <x v="15"/>
    <n v="2"/>
    <n v="1"/>
  </r>
  <r>
    <s v="Suit yourself."/>
    <s v="Comme tu voudras."/>
    <d v="2023-01-24T00:00:00"/>
    <x v="14"/>
    <n v="1"/>
    <n v="1"/>
  </r>
  <r>
    <s v="a partridge"/>
    <s v="la perdrix"/>
    <d v="2023-02-06T00:00:00"/>
    <x v="15"/>
    <n v="2"/>
    <n v="1"/>
  </r>
  <r>
    <s v="to whelm"/>
    <s v="déferler"/>
    <d v="2023-02-10T00:00:00"/>
    <x v="15"/>
    <n v="2"/>
    <n v="1"/>
  </r>
  <r>
    <s v="stretches of code"/>
    <s v="des tronçons de code"/>
    <d v="2023-02-19T00:00:00"/>
    <x v="14"/>
    <n v="1"/>
    <n v="1"/>
  </r>
  <r>
    <s v="a grab bag"/>
    <s v="un sac à main"/>
    <d v="2023-02-22T00:00:00"/>
    <x v="14"/>
    <n v="1"/>
    <n v="1"/>
  </r>
  <r>
    <s v="toothless "/>
    <s v="édenté / impuissant"/>
    <d v="2023-02-23T00:00:00"/>
    <x v="14"/>
    <n v="1"/>
    <n v="1"/>
  </r>
  <r>
    <s v="by luck of the draw (expr.)"/>
    <s v="par chance (expr.)"/>
    <d v="2023-02-25T00:00:00"/>
    <x v="15"/>
    <n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1">
  <r>
    <s v="a proficiency"/>
    <s v="une capacité (p…)"/>
    <d v="2011-03-09T00:00:00"/>
    <x v="0"/>
    <n v="0"/>
    <n v="0"/>
  </r>
  <r>
    <s v="utter"/>
    <s v="complet, absolu"/>
    <d v="2011-03-09T00:00:00"/>
    <x v="1"/>
    <n v="0"/>
    <n v="0"/>
  </r>
  <r>
    <s v="to catch a glimpse of"/>
    <s v="entrevoir"/>
    <d v="2011-03-09T00:00:00"/>
    <x v="1"/>
    <n v="0"/>
    <n v="0"/>
  </r>
  <r>
    <s v="to wrestle with"/>
    <s v="lutter contre (w…)"/>
    <d v="2011-03-09T00:00:00"/>
    <x v="2"/>
    <n v="-1"/>
    <n v="-1"/>
  </r>
  <r>
    <s v="up to scratch"/>
    <s v="à la hauteur"/>
    <d v="2011-03-09T00:00:00"/>
    <x v="2"/>
    <n v="1"/>
    <n v="1"/>
  </r>
  <r>
    <s v="Paying John a visit"/>
    <s v="Rendre visite à John"/>
    <d v="2011-03-09T00:00:00"/>
    <x v="0"/>
    <n v="0"/>
    <n v="0"/>
  </r>
  <r>
    <s v="How far is it from here?"/>
    <s v="Est-ce que c'est loin d'ici ?"/>
    <d v="2011-03-09T00:00:00"/>
    <x v="0"/>
    <n v="-2"/>
    <n v="-1"/>
  </r>
  <r>
    <s v="from now on"/>
    <s v="à partir de maintenant"/>
    <d v="2011-03-09T00:00:00"/>
    <x v="0"/>
    <n v="-2"/>
    <n v="-1"/>
  </r>
  <r>
    <s v="a realm"/>
    <s v="un domaine (r…))"/>
    <d v="2011-03-09T00:00:00"/>
    <x v="0"/>
    <n v="0"/>
    <n v="0"/>
  </r>
  <r>
    <s v="an affair"/>
    <s v="une liaison (amoureuse)"/>
    <d v="2011-03-09T00:00:00"/>
    <x v="0"/>
    <n v="2"/>
    <n v="1"/>
  </r>
  <r>
    <s v="That's a tall order (expr.)"/>
    <s v="C'est beaucoup demander"/>
    <d v="2011-03-09T00:00:00"/>
    <x v="3"/>
    <n v="3"/>
    <n v="1"/>
  </r>
  <r>
    <s v="How about a cup of tea?"/>
    <s v="Que dirais-tu d'une tasse de thé ?"/>
    <d v="2011-03-09T00:00:00"/>
    <x v="3"/>
    <n v="-1"/>
    <n v="-0.33333333333333331"/>
  </r>
  <r>
    <s v="Would you mind if …?"/>
    <s v="Cela vous dérangerait-il si … ?"/>
    <d v="2011-03-09T00:00:00"/>
    <x v="3"/>
    <n v="3"/>
    <n v="1"/>
  </r>
  <r>
    <s v="What good is …?"/>
    <s v="A quoi sert … ?"/>
    <d v="2011-03-09T00:00:00"/>
    <x v="3"/>
    <n v="-1"/>
    <n v="-0.33333333333333331"/>
  </r>
  <r>
    <s v="to lurk"/>
    <s v="se cacher (to l…)"/>
    <d v="2011-03-09T00:00:00"/>
    <x v="4"/>
    <n v="0"/>
    <n v="0"/>
  </r>
  <r>
    <s v="to give a lift"/>
    <s v="amener à … (en véhicule)"/>
    <d v="2011-03-09T00:00:00"/>
    <x v="3"/>
    <n v="3"/>
    <n v="1"/>
  </r>
  <r>
    <s v="the opportunity"/>
    <s v="l'occasion"/>
    <d v="2011-03-09T00:00:00"/>
    <x v="3"/>
    <n v="3"/>
    <n v="1"/>
  </r>
  <r>
    <s v="whereas"/>
    <s v="tandis que"/>
    <d v="2011-03-09T00:00:00"/>
    <x v="3"/>
    <n v="3"/>
    <n v="1"/>
  </r>
  <r>
    <s v="to yearn for"/>
    <s v="désirer (to y…)"/>
    <d v="2011-03-09T00:00:00"/>
    <x v="3"/>
    <n v="3"/>
    <n v="1"/>
  </r>
  <r>
    <s v="How long does it take?"/>
    <s v="Combien de temps cela dure-t-il ?"/>
    <d v="2011-03-09T00:00:00"/>
    <x v="4"/>
    <n v="0"/>
    <n v="0"/>
  </r>
  <r>
    <s v="a dump"/>
    <s v="un tas, un amas, un dépôt"/>
    <d v="2011-03-09T00:00:00"/>
    <x v="4"/>
    <n v="2"/>
    <n v="0.5"/>
  </r>
  <r>
    <s v="a drawer"/>
    <s v="un tiroir"/>
    <d v="2011-03-09T00:00:00"/>
    <x v="4"/>
    <n v="4"/>
    <n v="1"/>
  </r>
  <r>
    <s v="to put one's money where one's mouth is"/>
    <s v="joindre l'acte à la parole"/>
    <d v="2011-03-09T00:00:00"/>
    <x v="5"/>
    <n v="5"/>
    <n v="1"/>
  </r>
  <r>
    <s v="Needless to say that …"/>
    <s v="Inutile de dire que …"/>
    <d v="2011-03-09T00:00:00"/>
    <x v="5"/>
    <n v="5"/>
    <n v="1"/>
  </r>
  <r>
    <s v="native to"/>
    <s v="originaire de"/>
    <d v="2011-03-09T00:00:00"/>
    <x v="5"/>
    <n v="5"/>
    <n v="1"/>
  </r>
  <r>
    <s v="a swarm"/>
    <s v="un essaim, une nuée"/>
    <d v="2011-03-09T00:00:00"/>
    <x v="5"/>
    <n v="5"/>
    <n v="1"/>
  </r>
  <r>
    <s v="a foreman"/>
    <s v="un contremaître"/>
    <d v="2013-09-05T00:00:00"/>
    <x v="2"/>
    <n v="-1"/>
    <n v="-1"/>
  </r>
  <r>
    <s v="a recipient"/>
    <s v="un destinataire / un bénéfice / un rabais, une remise, un remboursement / un receveur (d’organe)"/>
    <d v="2013-09-05T00:00:00"/>
    <x v="2"/>
    <n v="-1"/>
    <n v="-1"/>
  </r>
  <r>
    <s v="crutches (plural common name)"/>
    <s v="les béquilles"/>
    <d v="2013-09-05T00:00:00"/>
    <x v="3"/>
    <n v="-1"/>
    <n v="-0.33333333333333331"/>
  </r>
  <r>
    <s v="the navel"/>
    <s v="le nombril"/>
    <d v="2013-09-05T00:00:00"/>
    <x v="4"/>
    <n v="4"/>
    <n v="1"/>
  </r>
  <r>
    <s v="a bump"/>
    <s v="une bosse"/>
    <d v="2013-09-05T00:00:00"/>
    <x v="5"/>
    <n v="1"/>
    <n v="0.2"/>
  </r>
  <r>
    <s v="an overdraft"/>
    <s v="un découvert"/>
    <d v="2013-12-13T00:00:00"/>
    <x v="1"/>
    <n v="0"/>
    <n v="0"/>
  </r>
  <r>
    <s v="to shrink"/>
    <s v="se réduire"/>
    <d v="2013-12-13T00:00:00"/>
    <x v="1"/>
    <n v="0"/>
    <n v="0"/>
  </r>
  <r>
    <s v="an extension"/>
    <s v="un report d’échéance"/>
    <d v="2013-12-13T00:00:00"/>
    <x v="1"/>
    <n v="0"/>
    <n v="0"/>
  </r>
  <r>
    <s v="to award"/>
    <s v="accorder, décerner (to a…)"/>
    <d v="2013-12-13T00:00:00"/>
    <x v="2"/>
    <n v="-1"/>
    <n v="-1"/>
  </r>
  <r>
    <s v="a portfolio"/>
    <s v="un portefeuille (fin.)"/>
    <d v="2013-12-13T00:00:00"/>
    <x v="1"/>
    <n v="0"/>
    <n v="0"/>
  </r>
  <r>
    <s v="the corporate image"/>
    <s v="l'image de marque d’une société"/>
    <d v="2013-12-13T00:00:00"/>
    <x v="2"/>
    <n v="-1"/>
    <n v="-1"/>
  </r>
  <r>
    <s v="an occupation"/>
    <s v="une profession"/>
    <d v="2013-12-13T00:00:00"/>
    <x v="1"/>
    <n v="0"/>
    <n v="0"/>
  </r>
  <r>
    <s v="to have a day off"/>
    <s v="avoir une journée de congé"/>
    <d v="2013-12-13T00:00:00"/>
    <x v="1"/>
    <n v="0"/>
    <n v="0"/>
  </r>
  <r>
    <s v="a contribution"/>
    <s v="une cotisation"/>
    <d v="2013-12-13T00:00:00"/>
    <x v="1"/>
    <n v="0"/>
    <n v="0"/>
  </r>
  <r>
    <s v="an assignment"/>
    <s v="une mission, une affectation, une attribution"/>
    <d v="2013-12-13T00:00:00"/>
    <x v="2"/>
    <n v="-1"/>
    <n v="-1"/>
  </r>
  <r>
    <s v="back-up (adj.)"/>
    <s v="supplémentaire, de réserve"/>
    <d v="2013-12-13T00:00:00"/>
    <x v="2"/>
    <n v="1"/>
    <n v="1"/>
  </r>
  <r>
    <s v="to skyrocket"/>
    <s v="monter en flèche"/>
    <d v="2013-12-13T00:00:00"/>
    <x v="2"/>
    <n v="1"/>
    <n v="1"/>
  </r>
  <r>
    <s v="to remodel"/>
    <s v="réorganiser, remanier"/>
    <d v="2013-12-13T00:00:00"/>
    <x v="2"/>
    <n v="-1"/>
    <n v="-1"/>
  </r>
  <r>
    <s v="by proxy"/>
    <s v="par procuration"/>
    <d v="2013-12-13T00:00:00"/>
    <x v="2"/>
    <n v="1"/>
    <n v="1"/>
  </r>
  <r>
    <s v="to dive"/>
    <s v="plonger, faire de la plongée"/>
    <d v="2013-12-13T00:00:00"/>
    <x v="2"/>
    <n v="1"/>
    <n v="1"/>
  </r>
  <r>
    <s v="to enhance"/>
    <s v="accroître, augmenter / mettre en valeur"/>
    <d v="2013-12-13T00:00:00"/>
    <x v="0"/>
    <n v="2"/>
    <n v="1"/>
  </r>
  <r>
    <s v="to match"/>
    <s v="égaler"/>
    <d v="2013-12-13T00:00:00"/>
    <x v="2"/>
    <n v="1"/>
    <n v="1"/>
  </r>
  <r>
    <s v="a threshold"/>
    <s v="un seuil"/>
    <d v="2013-12-13T00:00:00"/>
    <x v="2"/>
    <n v="1"/>
    <n v="1"/>
  </r>
  <r>
    <s v="well-off"/>
    <s v="aisé, riche (w…)"/>
    <d v="2013-12-13T00:00:00"/>
    <x v="2"/>
    <n v="-1"/>
    <n v="-1"/>
  </r>
  <r>
    <s v="a board"/>
    <s v="un comité, un conseil, une commission"/>
    <d v="2013-12-13T00:00:00"/>
    <x v="2"/>
    <n v="1"/>
    <n v="1"/>
  </r>
  <r>
    <s v="gas (common name)"/>
    <s v="l'essence (US English)"/>
    <d v="2013-12-13T00:00:00"/>
    <x v="2"/>
    <n v="1"/>
    <n v="1"/>
  </r>
  <r>
    <s v="fuel"/>
    <s v="du carburant, du combustible (f…)"/>
    <d v="2013-12-13T00:00:00"/>
    <x v="2"/>
    <n v="-1"/>
    <n v="-1"/>
  </r>
  <r>
    <s v="an Automated Teller Machine (ATM)"/>
    <s v="un distributeur automatique"/>
    <d v="2013-12-13T00:00:00"/>
    <x v="0"/>
    <n v="2"/>
    <n v="1"/>
  </r>
  <r>
    <s v="reengineering (common name)"/>
    <s v="une reconfiguration"/>
    <d v="2013-12-13T00:00:00"/>
    <x v="0"/>
    <n v="-2"/>
    <n v="-1"/>
  </r>
  <r>
    <s v="refillable"/>
    <s v="rechargeable, réutilisable"/>
    <d v="2013-12-13T00:00:00"/>
    <x v="0"/>
    <n v="2"/>
    <n v="1"/>
  </r>
  <r>
    <s v="mail-order (common name)"/>
    <s v="l'achat par correspondance"/>
    <d v="2013-12-13T00:00:00"/>
    <x v="0"/>
    <n v="-2"/>
    <n v="-1"/>
  </r>
  <r>
    <s v="a back-packer"/>
    <s v="un randonneur"/>
    <d v="2013-12-13T00:00:00"/>
    <x v="0"/>
    <n v="2"/>
    <n v="1"/>
  </r>
  <r>
    <s v="to get through"/>
    <s v="obtenir la communication / achever, venir à bout de"/>
    <d v="2013-12-13T00:00:00"/>
    <x v="0"/>
    <n v="2"/>
    <n v="1"/>
  </r>
  <r>
    <s v="an executive board"/>
    <s v="un conseil de direction"/>
    <d v="2013-12-13T00:00:00"/>
    <x v="0"/>
    <n v="2"/>
    <n v="1"/>
  </r>
  <r>
    <s v="in effect"/>
    <s v="en vigueur"/>
    <d v="2013-12-13T00:00:00"/>
    <x v="0"/>
    <n v="0"/>
    <n v="0"/>
  </r>
  <r>
    <s v="per capita"/>
    <s v="par habitant"/>
    <d v="2013-12-13T00:00:00"/>
    <x v="3"/>
    <n v="3"/>
    <n v="1"/>
  </r>
  <r>
    <s v="remote"/>
    <s v="lointain, éloigné / ancien"/>
    <d v="2013-12-13T00:00:00"/>
    <x v="4"/>
    <n v="0"/>
    <n v="0"/>
  </r>
  <r>
    <s v="to reschedule"/>
    <s v="reporter"/>
    <d v="2013-12-13T00:00:00"/>
    <x v="3"/>
    <n v="1"/>
    <n v="0.33333333333333331"/>
  </r>
  <r>
    <s v="a will"/>
    <s v="une volonté / un testament"/>
    <d v="2013-12-13T00:00:00"/>
    <x v="3"/>
    <n v="3"/>
    <n v="1"/>
  </r>
  <r>
    <s v="a bribe"/>
    <s v="un pot-de-vin"/>
    <d v="2013-12-13T00:00:00"/>
    <x v="5"/>
    <n v="3"/>
    <n v="0.6"/>
  </r>
  <r>
    <s v="to scrap"/>
    <s v="mettre au rebut"/>
    <d v="2013-12-13T00:00:00"/>
    <x v="5"/>
    <n v="5"/>
    <n v="1"/>
  </r>
  <r>
    <s v="to step up"/>
    <s v="augmenter le rythme"/>
    <d v="2013-12-13T00:00:00"/>
    <x v="5"/>
    <n v="3"/>
    <n v="0.6"/>
  </r>
  <r>
    <s v="a renewal"/>
    <s v="un renouvellement"/>
    <d v="2013-12-13T00:00:00"/>
    <x v="6"/>
    <n v="6"/>
    <n v="1"/>
  </r>
  <r>
    <s v="tax"/>
    <s v="les impôts"/>
    <d v="2013-12-13T00:00:00"/>
    <x v="6"/>
    <n v="6"/>
    <n v="1"/>
  </r>
  <r>
    <s v="I wish Paul had told them the truth."/>
    <s v="J'aurais aimé que Paul leur dise la vérité."/>
    <d v="2018-04-16T00:00:00"/>
    <x v="2"/>
    <n v="-1"/>
    <n v="-1"/>
  </r>
  <r>
    <s v="I smoked a lot when I was young (I was smoking)."/>
    <s v="J'ai beaucoup fumé dans ma jeunesse."/>
    <d v="2018-04-16T00:00:00"/>
    <x v="2"/>
    <n v="1"/>
    <n v="1"/>
  </r>
  <r>
    <s v="We need a few more chairs."/>
    <s v="Nous avons besoin de quelques chaises supplémentaires"/>
    <d v="2018-04-16T00:00:00"/>
    <x v="0"/>
    <n v="2"/>
    <n v="1"/>
  </r>
  <r>
    <s v="a plough"/>
    <s v="une charrue"/>
    <d v="2018-04-16T00:00:00"/>
    <x v="2"/>
    <n v="1"/>
    <n v="1"/>
  </r>
  <r>
    <s v="I'm seeing Pat tonight."/>
    <s v="Je passe voir Patrick ce soir."/>
    <d v="2018-04-16T00:00:00"/>
    <x v="2"/>
    <n v="1"/>
    <n v="1"/>
  </r>
  <r>
    <s v="She's hoarse, she's been singing all night."/>
    <s v="Elle est enrouée, elle a chanté toute la nuit."/>
    <d v="2018-04-16T00:00:00"/>
    <x v="0"/>
    <n v="1"/>
    <n v="0.5"/>
  </r>
  <r>
    <s v="I was glad I got a letter from him yesterday."/>
    <s v="J'ai été content de recevoir une lettre de sa part hier."/>
    <d v="2018-04-16T00:00:00"/>
    <x v="0"/>
    <n v="-1"/>
    <n v="-0.5"/>
  </r>
  <r>
    <s v="to hearken"/>
    <s v="écouter"/>
    <d v="2018-04-16T00:00:00"/>
    <x v="0"/>
    <n v="2"/>
    <n v="1"/>
  </r>
  <r>
    <s v="Hilary was sitting at the dressing table, brushing her hair."/>
    <s v="Hilary était assise à la coiffeuse, peignant ses cheveux."/>
    <d v="2018-04-16T00:00:00"/>
    <x v="4"/>
    <n v="-2"/>
    <n v="-0.5"/>
  </r>
  <r>
    <s v="He has taken to stay in bed till noon."/>
    <s v="Il s'est mis à rester au lit jusqu'à midi."/>
    <d v="2018-04-16T00:00:00"/>
    <x v="3"/>
    <n v="3"/>
    <n v="1"/>
  </r>
  <r>
    <s v="We look forward to seeing you soon."/>
    <s v="Nous nous réjouissons à l'idée de vous voir bientôt."/>
    <d v="2018-04-16T00:00:00"/>
    <x v="3"/>
    <n v="3"/>
    <n v="1"/>
  </r>
  <r>
    <s v="I would rather you hadn't told me."/>
    <s v="J'aurais préféré que tu ne me le dises pas."/>
    <d v="2018-04-16T00:00:00"/>
    <x v="3"/>
    <n v="1"/>
    <n v="0.33333333333333331"/>
  </r>
  <r>
    <s v="Having eaten more than usual, I felt sick."/>
    <s v="Ayant mangé plus que d'habitude, je suis tombé malade."/>
    <d v="2018-04-16T00:00:00"/>
    <x v="4"/>
    <n v="3"/>
    <n v="0.75"/>
  </r>
  <r>
    <s v="We had a lot of difficulty finding this house."/>
    <s v="Nous avons eu de nombreuses difficultés à trouver cette maison."/>
    <d v="2018-04-16T00:00:00"/>
    <x v="4"/>
    <n v="4"/>
    <n v="1"/>
  </r>
  <r>
    <s v="a burden"/>
    <s v=" une charge, un fardeau"/>
    <d v="2018-04-16T00:00:00"/>
    <x v="5"/>
    <n v="3"/>
    <n v="0.6"/>
  </r>
  <r>
    <s v="At that time, my father had known my mother for six years."/>
    <s v="A ce moment-là, mon père connaissait ma mère depuis six ans"/>
    <d v="2018-04-16T00:00:00"/>
    <x v="7"/>
    <n v="7"/>
    <n v="1"/>
  </r>
  <r>
    <s v="She could have won the beauty contest, only she didn't give a damn."/>
    <s v="Elle aurait pu gagner le concours de beauté, si seulement elle n'en avait pas qu'à sa tête."/>
    <d v="2018-04-16T00:00:00"/>
    <x v="8"/>
    <n v="6"/>
    <n v="0.75"/>
  </r>
  <r>
    <s v="His negative attitude put me off completely."/>
    <s v="Son attitude négative m'a complètement refroidi."/>
    <d v="2018-05-17T00:00:00"/>
    <x v="1"/>
    <n v="0"/>
    <n v="0"/>
  </r>
  <r>
    <s v="Share prices are beginning to pick up rapidly."/>
    <s v="Les prix des actions commencent à remonter rapidement."/>
    <d v="2018-05-17T00:00:00"/>
    <x v="1"/>
    <n v="0"/>
    <n v="0"/>
  </r>
  <r>
    <s v="Would you mind paying for your drink? I'll get this, Mike."/>
    <s v="Voulez-vous bien régler vos consommations ? C'est moi qui t'invite, Mike."/>
    <d v="2018-05-17T00:00:00"/>
    <x v="1"/>
    <n v="0"/>
    <n v="0"/>
  </r>
  <r>
    <s v="We stopped over in Los Angeles on our way to Hawaii."/>
    <s v="Nous avons fait escale à Los Angeles dans notre voyage pour Hawaii."/>
    <d v="2018-05-17T00:00:00"/>
    <x v="1"/>
    <n v="0"/>
    <n v="0"/>
  </r>
  <r>
    <s v="You can't rule out this possibility."/>
    <s v="Tu ne peux pas exclure cette possibilité."/>
    <d v="2018-05-17T00:00:00"/>
    <x v="1"/>
    <n v="0"/>
    <n v="0"/>
  </r>
  <r>
    <s v="What time is the news on?"/>
    <s v="A quelle heure passent les informations ?"/>
    <d v="2018-05-17T00:00:00"/>
    <x v="1"/>
    <n v="0"/>
    <n v="0"/>
  </r>
  <r>
    <s v="a penny"/>
    <s v="une pièce d'un cent"/>
    <d v="2018-05-17T00:00:00"/>
    <x v="1"/>
    <n v="0"/>
    <n v="0"/>
  </r>
  <r>
    <s v="a gallup poll"/>
    <s v="un sondage d'opinion"/>
    <d v="2018-05-17T00:00:00"/>
    <x v="1"/>
    <n v="0"/>
    <n v="0"/>
  </r>
  <r>
    <s v="It happens all too often."/>
    <s v="Cela arrive bien trop souvent."/>
    <d v="2018-05-17T00:00:00"/>
    <x v="2"/>
    <n v="1"/>
    <n v="1"/>
  </r>
  <r>
    <s v="&quot;You take the Tube but you ride the Subway&quot;"/>
    <s v="Métros londonien et new-yorkais"/>
    <d v="2018-05-17T00:00:00"/>
    <x v="2"/>
    <n v="-1"/>
    <n v="-1"/>
  </r>
  <r>
    <s v="to make a mountain out of a molehill"/>
    <s v="exagérer l'importance de qq chose"/>
    <d v="2018-05-17T00:00:00"/>
    <x v="2"/>
    <n v="-1"/>
    <n v="-1"/>
  </r>
  <r>
    <s v="to wield a bat"/>
    <s v="manier une batte (de cricket)"/>
    <d v="2018-05-17T00:00:00"/>
    <x v="2"/>
    <n v="1"/>
    <n v="1"/>
  </r>
  <r>
    <s v="What do you think about the plan to build a by-pass around the village?"/>
    <s v="Que pensez-vous du projet de construire une rocade autour du village ?"/>
    <d v="2018-05-17T00:00:00"/>
    <x v="2"/>
    <n v="1"/>
    <n v="1"/>
  </r>
  <r>
    <s v="He was a child prodigy."/>
    <s v="Il était un enfant prodige."/>
    <d v="2018-05-17T00:00:00"/>
    <x v="0"/>
    <n v="2"/>
    <n v="1"/>
  </r>
  <r>
    <s v="I've almost finished packing. There are just a few odds and ends to finish."/>
    <s v="J'ai presque fini de faire les valises. Il reste juste deux-trois bricoles à finir."/>
    <d v="2018-05-17T00:00:00"/>
    <x v="2"/>
    <n v="-1"/>
    <n v="-1"/>
  </r>
  <r>
    <s v="We had to trudge three miles across the fields into the pouring rain."/>
    <s v="Nous avons dû marcher péniblement pendant 5 km à travers champs sous une pluie battante."/>
    <d v="2018-05-17T00:00:00"/>
    <x v="2"/>
    <n v="-1"/>
    <n v="-1"/>
  </r>
  <r>
    <s v="The MP for Birmingham North polled 20% of the votes."/>
    <s v="Le député de Birmingham Nord a recueilli 20% des voix."/>
    <d v="2018-05-17T00:00:00"/>
    <x v="2"/>
    <n v="1"/>
    <n v="1"/>
  </r>
  <r>
    <s v="Don't decide now. Think it over for a few days."/>
    <s v="Ne décide pas maintenant. Réfléchis-y pendant quelques jours."/>
    <d v="2018-05-17T00:00:00"/>
    <x v="2"/>
    <n v="1"/>
    <n v="1"/>
  </r>
  <r>
    <s v="The information is updated every three months."/>
    <s v="Les informations sont mises à jour tous les trois mois."/>
    <d v="2018-05-17T00:00:00"/>
    <x v="2"/>
    <n v="1"/>
    <n v="1"/>
  </r>
  <r>
    <s v="We will round off this lesson with a story."/>
    <s v="Nous terminerons cette leçon avec une histoire."/>
    <d v="2018-05-17T00:00:00"/>
    <x v="0"/>
    <n v="2"/>
    <n v="1"/>
  </r>
  <r>
    <s v="Neologisms enter the language on tiptoe."/>
    <s v="Les néologismes entrent dans la langue sur la pointe des pieds."/>
    <d v="2018-05-17T00:00:00"/>
    <x v="2"/>
    <n v="-1"/>
    <n v="-1"/>
  </r>
  <r>
    <s v="And now for item seven on the agenda…"/>
    <s v="Et maintenant, le septième point de l'ordre du jour ..."/>
    <d v="2018-05-17T00:00:00"/>
    <x v="0"/>
    <n v="0"/>
    <n v="0"/>
  </r>
  <r>
    <s v="He was convicted of embezzlement."/>
    <s v="Il a été condamné pour détournement de fonds."/>
    <d v="2018-05-17T00:00:00"/>
    <x v="2"/>
    <n v="1"/>
    <n v="1"/>
  </r>
  <r>
    <s v="interest repayment on a bank loan"/>
    <s v="le remboursement des intérêts sur un prêt bancaire"/>
    <d v="2018-05-17T00:00:00"/>
    <x v="2"/>
    <n v="-1"/>
    <n v="-1"/>
  </r>
  <r>
    <s v="to see the writing on the wall"/>
    <s v="prévoir quelque chose de menaçant, la fin de quelque chose"/>
    <d v="2018-05-17T00:00:00"/>
    <x v="2"/>
    <n v="-1"/>
    <n v="-1"/>
  </r>
  <r>
    <s v="to stay half-board in a hotel"/>
    <s v="prendre une demi-pension dans un hôtel"/>
    <d v="2018-05-17T00:00:00"/>
    <x v="2"/>
    <n v="1"/>
    <n v="1"/>
  </r>
  <r>
    <s v="to soak up the sun"/>
    <s v="prendre un bain de soleil"/>
    <d v="2018-05-17T00:00:00"/>
    <x v="2"/>
    <n v="-1"/>
    <n v="-1"/>
  </r>
  <r>
    <s v="millions of people"/>
    <s v="des millions de personnes"/>
    <d v="2018-05-17T00:00:00"/>
    <x v="2"/>
    <n v="1"/>
    <n v="1"/>
  </r>
  <r>
    <s v="a turnover"/>
    <s v="un chiffre d'affaire / une rotation (de personnel ou de matériel)"/>
    <d v="2018-05-17T00:00:00"/>
    <x v="2"/>
    <n v="1"/>
    <n v="1"/>
  </r>
  <r>
    <s v="a waffle"/>
    <s v="une gauffre / un baratin"/>
    <d v="2018-05-17T00:00:00"/>
    <x v="0"/>
    <n v="-2"/>
    <n v="-1"/>
  </r>
  <r>
    <s v="What was it like?"/>
    <s v="Comment est-ce que c'était ?"/>
    <d v="2018-05-17T00:00:00"/>
    <x v="2"/>
    <n v="-1"/>
    <n v="-1"/>
  </r>
  <r>
    <s v="a by-product"/>
    <s v="un produit dérivé"/>
    <d v="2018-05-17T00:00:00"/>
    <x v="2"/>
    <n v="1"/>
    <n v="1"/>
  </r>
  <r>
    <s v="Put on some warm clothes."/>
    <s v="Mettez des vêtements chauds."/>
    <d v="2018-05-17T00:00:00"/>
    <x v="2"/>
    <n v="1"/>
    <n v="1"/>
  </r>
  <r>
    <s v="popular"/>
    <s v="qui a du succès"/>
    <d v="2018-05-17T00:00:00"/>
    <x v="2"/>
    <n v="1"/>
    <n v="1"/>
  </r>
  <r>
    <s v="an ox / two oxen"/>
    <s v="un bœuf / deux bœufs"/>
    <d v="2018-05-17T00:00:00"/>
    <x v="2"/>
    <n v="1"/>
    <n v="1"/>
  </r>
  <r>
    <s v="off-key, out of tune"/>
    <s v="faux (musique)"/>
    <d v="2018-05-17T00:00:00"/>
    <x v="2"/>
    <n v="-1"/>
    <n v="-1"/>
  </r>
  <r>
    <s v="I don't want a cat. You get hairs everywhere."/>
    <s v="Je ne veux pas de chat. On a des poils partout."/>
    <d v="2018-05-17T00:00:00"/>
    <x v="0"/>
    <n v="2"/>
    <n v="1"/>
  </r>
  <r>
    <s v="Lord Hinkley is definitely upper crust."/>
    <s v="Lord Hinkley fait vraiment partie du gratin."/>
    <d v="2018-05-17T00:00:00"/>
    <x v="0"/>
    <n v="2"/>
    <n v="1"/>
  </r>
  <r>
    <s v="I have to drop off my wife at the airport at nine."/>
    <s v="Je dois déposer ma femme à l'aéroport à 9 heures."/>
    <d v="2018-05-17T00:00:00"/>
    <x v="0"/>
    <n v="2"/>
    <n v="1"/>
  </r>
  <r>
    <s v="The security guards searched the suitcases thoroughly."/>
    <s v="Les gardes de sécurité ont fouillé les valises à fond."/>
    <d v="2018-05-17T00:00:00"/>
    <x v="0"/>
    <n v="2"/>
    <n v="1"/>
  </r>
  <r>
    <s v="Last night, I dreamed of the house we used to spend our holiday in."/>
    <s v="La nuit dernière, j'ai rêvé de la maison dans laquelle nous passions nos vacances, dans le temps."/>
    <d v="2018-05-17T00:00:00"/>
    <x v="0"/>
    <n v="1"/>
    <n v="0.5"/>
  </r>
  <r>
    <s v="If you don't pay the bill, they'll cut off the electricity."/>
    <s v="Si tu ne paies pas ta facture, ils vont te couper l'électricité."/>
    <d v="2018-05-17T00:00:00"/>
    <x v="0"/>
    <n v="2"/>
    <n v="1"/>
  </r>
  <r>
    <s v="How about that for economical use of the langage?"/>
    <s v="N'est-ce pas un emploi économe de la langue ?"/>
    <d v="2018-05-17T00:00:00"/>
    <x v="0"/>
    <n v="2"/>
    <n v="1"/>
  </r>
  <r>
    <s v="The Soviet Union was in position of inferiority."/>
    <s v="L'URSS était en position d'infériorité."/>
    <d v="2018-05-17T00:00:00"/>
    <x v="0"/>
    <n v="2"/>
    <n v="1"/>
  </r>
  <r>
    <s v="Hamilton agreed to give up on one condition."/>
    <s v="Hamilton accepta de renoncer à une seule condition."/>
    <d v="2018-05-17T00:00:00"/>
    <x v="0"/>
    <n v="2"/>
    <n v="1"/>
  </r>
  <r>
    <s v="Why don't you call in on your way back?"/>
    <s v="Pourquoi ne ferais-tu pas un saut [chez moi] en revenant ?"/>
    <d v="2018-05-17T00:00:00"/>
    <x v="3"/>
    <n v="-3"/>
    <n v="-1"/>
  </r>
  <r>
    <s v="The mob stabbed the policeman to death."/>
    <s v="La foule a poignardé le policier à mort."/>
    <d v="2018-05-17T00:00:00"/>
    <x v="0"/>
    <n v="2"/>
    <n v="1"/>
  </r>
  <r>
    <s v="Do you have anything on this evening?"/>
    <s v="As-tu quelque chose de prévu ce soir ?"/>
    <d v="2018-05-17T00:00:00"/>
    <x v="0"/>
    <n v="2"/>
    <n v="1"/>
  </r>
  <r>
    <s v="We can put you up in David's room."/>
    <s v="Nous pouvons t'héberger dans la chambre de David."/>
    <d v="2018-05-17T00:00:00"/>
    <x v="0"/>
    <n v="1"/>
    <n v="0.5"/>
  </r>
  <r>
    <s v="I'm afraid the news is quite bad."/>
    <s v="J'ai bien peur que les nouvelles soient plutôt mauvaises"/>
    <d v="2018-05-17T00:00:00"/>
    <x v="0"/>
    <n v="2"/>
    <n v="1"/>
  </r>
  <r>
    <s v="a Limited Liability Company (UK)"/>
    <s v="une S.A.R.L."/>
    <d v="2018-05-17T00:00:00"/>
    <x v="0"/>
    <n v="2"/>
    <n v="1"/>
  </r>
  <r>
    <s v="to let the cat out of the bag"/>
    <s v="vendre la mèche"/>
    <d v="2018-05-17T00:00:00"/>
    <x v="0"/>
    <n v="0"/>
    <n v="0"/>
  </r>
  <r>
    <s v="Matters have come to a head."/>
    <s v="Les choses en sont venues à un point critique."/>
    <d v="2018-05-17T00:00:00"/>
    <x v="0"/>
    <n v="0"/>
    <n v="0"/>
  </r>
  <r>
    <s v="I don't believe in fairies!"/>
    <s v="Je ne crois pas aux contes de fée !"/>
    <d v="2018-05-17T00:00:00"/>
    <x v="0"/>
    <n v="2"/>
    <n v="1"/>
  </r>
  <r>
    <s v="I'm snowed under with work."/>
    <s v="Je suis débordé de travail."/>
    <d v="2018-05-17T00:00:00"/>
    <x v="0"/>
    <n v="-2"/>
    <n v="-1"/>
  </r>
  <r>
    <s v="You won't get much sleep."/>
    <s v="Tu ne dormiras pas beaucoup."/>
    <d v="2018-05-17T00:00:00"/>
    <x v="3"/>
    <n v="1"/>
    <n v="0.33333333333333331"/>
  </r>
  <r>
    <s v="one million people"/>
    <s v="un million de personnes"/>
    <d v="2018-05-17T00:00:00"/>
    <x v="0"/>
    <n v="2"/>
    <n v="1"/>
  </r>
  <r>
    <s v="It's all over between us."/>
    <s v="Tout est fini entre nous."/>
    <d v="2018-05-17T00:00:00"/>
    <x v="3"/>
    <n v="3"/>
    <n v="1"/>
  </r>
  <r>
    <s v="a seaside resort"/>
    <s v="une station balnéaire"/>
    <d v="2018-05-17T00:00:00"/>
    <x v="0"/>
    <n v="2"/>
    <n v="1"/>
  </r>
  <r>
    <s v="Britain's old colonial empire spanned at one time one-third of the surface of the globe"/>
    <s v="L'empire colonial britannique a couvert à une époque un tiers de la surface du globe"/>
    <d v="2018-05-17T00:00:00"/>
    <x v="3"/>
    <n v="3"/>
    <n v="1"/>
  </r>
  <r>
    <s v="Cricket is looked on as an institution in Australia."/>
    <s v="Le cricket est considéré comme une institution en Australie."/>
    <d v="2018-05-17T00:00:00"/>
    <x v="3"/>
    <n v="2"/>
    <n v="0.66666666666666663"/>
  </r>
  <r>
    <s v="Governments expenditures have been brought down."/>
    <s v="Les dépenses gouvernementales ont été réduites."/>
    <d v="2018-05-17T00:00:00"/>
    <x v="4"/>
    <n v="2"/>
    <n v="0.5"/>
  </r>
  <r>
    <s v="The new law and order act makes further inroads on individual freedom."/>
    <s v="La nouvelle législation sur l'ordre public empiète encore plus sur les libertés individuelles."/>
    <d v="2018-05-17T00:00:00"/>
    <x v="3"/>
    <n v="1"/>
    <n v="0.33333333333333331"/>
  </r>
  <r>
    <s v="The odd cigarette or two won't do you any harm."/>
    <s v="Une cigarette par-ci par-là ne vous fera pas de mal."/>
    <d v="2018-05-17T00:00:00"/>
    <x v="3"/>
    <n v="3"/>
    <n v="1"/>
  </r>
  <r>
    <s v="washing up liquid (UK) / dish-soap (USA)"/>
    <s v="le liquide vaisselle"/>
    <d v="2018-05-17T00:00:00"/>
    <x v="3"/>
    <n v="1"/>
    <n v="0.33333333333333331"/>
  </r>
  <r>
    <s v="How are you making out at your new job?"/>
    <s v="Comment te débrouilles-tu dans ton nouveau boulot ?"/>
    <d v="2018-05-17T00:00:00"/>
    <x v="3"/>
    <n v="3"/>
    <n v="1"/>
  </r>
  <r>
    <s v="I worked my way up from the bottom."/>
    <s v="Je suis parti du bas de l'échelle."/>
    <d v="2018-05-17T00:00:00"/>
    <x v="3"/>
    <n v="-3"/>
    <n v="-1"/>
  </r>
  <r>
    <s v="He was pushing for a pay rise."/>
    <s v="Il insistait pour avoir une augmentation de salaire."/>
    <d v="2018-05-17T00:00:00"/>
    <x v="4"/>
    <n v="2"/>
    <n v="0.5"/>
  </r>
  <r>
    <s v="I will retire when I'm thirty."/>
    <s v="Je prendrai ma retraite quand j'aurai 30 ans."/>
    <d v="2018-05-17T00:00:00"/>
    <x v="3"/>
    <n v="3"/>
    <n v="1"/>
  </r>
  <r>
    <s v="I hate living out a suitcase."/>
    <s v="Je déteste avoir peu d'affaires"/>
    <d v="2018-05-17T00:00:00"/>
    <x v="3"/>
    <n v="-1"/>
    <n v="-0.33333333333333331"/>
  </r>
  <r>
    <s v="He's not exactly hard up."/>
    <s v="Il n'est pas vraiment fauché."/>
    <d v="2018-05-17T00:00:00"/>
    <x v="3"/>
    <n v="3"/>
    <n v="1"/>
  </r>
  <r>
    <s v="There's a lot to be done."/>
    <s v="Il y a beaucoup à faire."/>
    <d v="2018-05-17T00:00:00"/>
    <x v="3"/>
    <n v="-3"/>
    <n v="-1"/>
  </r>
  <r>
    <s v="It slipped my mind."/>
    <s v="Ca m'est sorti de la tête."/>
    <d v="2018-05-17T00:00:00"/>
    <x v="3"/>
    <n v="1"/>
    <n v="0.33333333333333331"/>
  </r>
  <r>
    <s v="to wash up (USA)"/>
    <s v="se laver"/>
    <d v="2018-05-17T00:00:00"/>
    <x v="3"/>
    <n v="3"/>
    <n v="1"/>
  </r>
  <r>
    <s v="to wash up (UK)"/>
    <s v="faire la vaisselle"/>
    <d v="2018-05-17T00:00:00"/>
    <x v="3"/>
    <n v="-1"/>
    <n v="-0.33333333333333331"/>
  </r>
  <r>
    <s v="One person in three in Birmingham ends up before the courts."/>
    <s v="Une personne sur trois à Birmingham se retrouve devant la justice."/>
    <d v="2018-05-17T00:00:00"/>
    <x v="4"/>
    <n v="2"/>
    <n v="0.5"/>
  </r>
  <r>
    <s v="Henson was interested in the deal, but he pulled out at the last minute."/>
    <s v="Henson était intéressé par l'affaire, mais il s'est retiré à la dernière minute."/>
    <d v="2018-05-17T00:00:00"/>
    <x v="4"/>
    <n v="1"/>
    <n v="0.25"/>
  </r>
  <r>
    <s v="They helped me out with a loan when I had problems with the tax people."/>
    <s v="Ils m'ont dépanné quand j'ai eu des problèmes avec le fisc."/>
    <d v="2018-05-17T00:00:00"/>
    <x v="4"/>
    <n v="3"/>
    <n v="0.75"/>
  </r>
  <r>
    <s v="There was a small dent in the casing, so the salesman knocked off 10%."/>
    <s v="Il y avait une petite bosse dans le carter, et le vendeur a fait un rabais de 10%."/>
    <d v="2018-05-17T00:00:00"/>
    <x v="4"/>
    <n v="4"/>
    <n v="1"/>
  </r>
  <r>
    <s v="Don't make up your mind straight away. Think about it for a bit."/>
    <s v="Ne vous faites pas votre avis sur la question tout de suite. Réfléchissez-y un moment."/>
    <d v="2018-05-17T00:00:00"/>
    <x v="4"/>
    <n v="4"/>
    <n v="1"/>
  </r>
  <r>
    <s v="Churchill was a great wielder of the english language, and this overly formal style annoyed him."/>
    <s v="Churchill maniait formidablement bien la langue anglaise, et ce style trop formel l'agaça."/>
    <d v="2018-05-17T00:00:00"/>
    <x v="4"/>
    <n v="3"/>
    <n v="0.75"/>
  </r>
  <r>
    <s v="Could you go over your explanation again, please?"/>
    <s v="Pourriez-vous répéter votre explication, s'il vous plaît ?"/>
    <d v="2018-05-17T00:00:00"/>
    <x v="4"/>
    <n v="4"/>
    <n v="1"/>
  </r>
  <r>
    <s v="She has the information at her fingertips."/>
    <s v="Elle connaît son sujet sur le bout des doigts."/>
    <d v="2018-05-17T00:00:00"/>
    <x v="4"/>
    <n v="2"/>
    <n v="0.5"/>
  </r>
  <r>
    <s v="Lord Young is to lead the enquiry."/>
    <s v="Lord Young va mener l'enquête (journalistique)."/>
    <d v="2018-05-17T00:00:00"/>
    <x v="5"/>
    <n v="5"/>
    <n v="1"/>
  </r>
  <r>
    <s v="Be quiet and don't get in my way."/>
    <s v="Reste tranquille et ne me gêne pas."/>
    <d v="2018-05-17T00:00:00"/>
    <x v="4"/>
    <n v="4"/>
    <n v="1"/>
  </r>
  <r>
    <s v="to buy sthg on hire purchase"/>
    <s v="acheter quelque chose à crédit"/>
    <d v="2018-05-17T00:00:00"/>
    <x v="4"/>
    <n v="3"/>
    <n v="0.75"/>
  </r>
  <r>
    <s v="The Chancellor of the Exchequer"/>
    <s v="Le Ministre anglais des Finances"/>
    <d v="2018-05-17T00:00:00"/>
    <x v="4"/>
    <n v="0"/>
    <n v="0"/>
  </r>
  <r>
    <s v="She really put her foot in it!"/>
    <s v="Elle a vraiment fait une gaffe !"/>
    <d v="2018-05-17T00:00:00"/>
    <x v="4"/>
    <n v="4"/>
    <n v="1"/>
  </r>
  <r>
    <s v="Don't shout at your employees."/>
    <s v="Ne criez pas sur vos employés."/>
    <d v="2018-05-17T00:00:00"/>
    <x v="4"/>
    <n v="0"/>
    <n v="0"/>
  </r>
  <r>
    <s v="He stopped smoking last week."/>
    <s v="Il a arrêté de fumer la semaine dernière."/>
    <d v="2018-05-17T00:00:00"/>
    <x v="4"/>
    <n v="4"/>
    <n v="1"/>
  </r>
  <r>
    <s v="Don't hit me, he whimpered."/>
    <s v="Ne me frappez pas, dit-il d'une voix pleurnicharde."/>
    <d v="2018-05-17T00:00:00"/>
    <x v="4"/>
    <n v="-2"/>
    <n v="-0.5"/>
  </r>
  <r>
    <s v="You're telling me!"/>
    <s v="Tu parles !"/>
    <d v="2018-05-17T00:00:00"/>
    <x v="5"/>
    <n v="1"/>
    <n v="0.2"/>
  </r>
  <r>
    <s v="He played two encores."/>
    <s v="Il joua deux &quot;bis&quot;."/>
    <d v="2018-05-17T00:00:00"/>
    <x v="4"/>
    <n v="4"/>
    <n v="1"/>
  </r>
  <r>
    <s v="Did you know that Simon got married last month? No, who to?"/>
    <s v="Savais-tu que Simon s'était marié le mois dernier ? Non, avec qui ?"/>
    <d v="2018-05-17T00:00:00"/>
    <x v="6"/>
    <n v="5"/>
    <n v="0.83333333333333337"/>
  </r>
  <r>
    <s v="I've had many an appreciative audience, but never anything like this."/>
    <s v="J'ai eu de nombreux publics enthousiastes, mais jamais encore comme celui-ci."/>
    <d v="2018-05-17T00:00:00"/>
    <x v="5"/>
    <n v="4"/>
    <n v="0.8"/>
  </r>
  <r>
    <s v="The information is misleading."/>
    <s v="Les informations sont trompeuses."/>
    <d v="2018-05-17T00:00:00"/>
    <x v="5"/>
    <n v="5"/>
    <n v="1"/>
  </r>
  <r>
    <s v="The manager has been sick with the flu' for a week."/>
    <s v="Le directeur souffre d'une grippe depuis une semaine."/>
    <d v="2018-05-17T00:00:00"/>
    <x v="5"/>
    <n v="1"/>
    <n v="0.2"/>
  </r>
  <r>
    <s v="Fancy driving sixty miles just to go to a party!"/>
    <s v="On a pas idée de faire 60 miles juste pour aller faire la fête !"/>
    <d v="2018-05-17T00:00:00"/>
    <x v="5"/>
    <n v="5"/>
    <n v="1"/>
  </r>
  <r>
    <s v="The children are awake. There goes our lie-in."/>
    <s v="Les enfants sont réveillés. Adieu notre grasse matinée."/>
    <d v="2018-05-17T00:00:00"/>
    <x v="5"/>
    <n v="5"/>
    <n v="1"/>
  </r>
  <r>
    <s v="They charged us well over the odds."/>
    <s v="Ils nous ont fait payer bien au dessus de la normale."/>
    <d v="2018-05-17T00:00:00"/>
    <x v="6"/>
    <n v="6"/>
    <n v="1"/>
  </r>
  <r>
    <s v="His hair is brown."/>
    <s v="Ses cheveux sont bruns."/>
    <d v="2018-05-17T00:00:00"/>
    <x v="5"/>
    <n v="5"/>
    <n v="1"/>
  </r>
  <r>
    <s v="I sold them at a profit."/>
    <s v="Je les ai revendus avec un bénéfice."/>
    <d v="2018-05-17T00:00:00"/>
    <x v="5"/>
    <n v="5"/>
    <n v="1"/>
  </r>
  <r>
    <s v="I'm trying to give up."/>
    <s v="J'essaie d'arrêter."/>
    <d v="2018-05-17T00:00:00"/>
    <x v="5"/>
    <n v="5"/>
    <n v="1"/>
  </r>
  <r>
    <s v="You can buy your clothes here if you want, but you'll through the nose."/>
    <s v="Tu peux acheter tes vêtements ici si tu veux, mais tu va payer le prix fort."/>
    <d v="2018-05-17T00:00:00"/>
    <x v="6"/>
    <n v="4"/>
    <n v="0.66666666666666663"/>
  </r>
  <r>
    <s v="The United States is on home ground."/>
    <s v="Les Etats-Unis sont chez eux."/>
    <d v="2018-05-17T00:00:00"/>
    <x v="6"/>
    <n v="3"/>
    <n v="0.5"/>
  </r>
  <r>
    <s v="I can't put up with his selfishness any longer."/>
    <s v="Je ne peux tolérer son égoïsme plus longtemps."/>
    <d v="2018-05-17T00:00:00"/>
    <x v="6"/>
    <n v="2"/>
    <n v="0.33333333333333331"/>
  </r>
  <r>
    <s v="The last time we ate there, we got ripped off."/>
    <s v="La dernière fois que nous avons mangé là-bas, nous nous sommes fait roulés (argot)."/>
    <d v="2018-05-17T00:00:00"/>
    <x v="6"/>
    <n v="6"/>
    <n v="1"/>
  </r>
  <r>
    <s v="You can't tell them apart."/>
    <s v="Tu ne peux pas les distinguer."/>
    <d v="2018-05-17T00:00:00"/>
    <x v="6"/>
    <n v="6"/>
    <n v="1"/>
  </r>
  <r>
    <s v="The fight was called off."/>
    <s v="Le combat a été annulé."/>
    <d v="2018-05-17T00:00:00"/>
    <x v="6"/>
    <n v="6"/>
    <n v="1"/>
  </r>
  <r>
    <s v="Fancy Michael getting married so quickly!"/>
    <s v="Qui aurait pu imaginer que Michael se mariereait si vite !"/>
    <d v="2018-05-17T00:00:00"/>
    <x v="7"/>
    <n v="1"/>
    <n v="0.14285714285714285"/>
  </r>
  <r>
    <s v="There wasn't a crust to eat in the house."/>
    <s v="Il n'y avait rien à manger dans la maison."/>
    <d v="2018-05-17T00:00:00"/>
    <x v="7"/>
    <n v="7"/>
    <n v="1"/>
  </r>
  <r>
    <s v="I'll look after the kids."/>
    <s v="Je garderai les enfants."/>
    <d v="2018-05-17T00:00:00"/>
    <x v="7"/>
    <n v="3"/>
    <n v="0.42857142857142855"/>
  </r>
  <r>
    <s v="Cheaper still is to hitch-hike."/>
    <s v="Encore moins cher : faire de l'auto-stop."/>
    <d v="2018-05-17T00:00:00"/>
    <x v="7"/>
    <n v="4"/>
    <n v="0.5714285714285714"/>
  </r>
  <r>
    <s v="The mayor and corporation (UK)"/>
    <s v="Le maire et ses conseillers"/>
    <d v="2018-05-17T00:00:00"/>
    <x v="7"/>
    <n v="5"/>
    <n v="0.7142857142857143"/>
  </r>
  <r>
    <s v="Could you put the meeting off until ten o'clock?"/>
    <s v="Pourriez-vous remettre le rendez-vous à 10 heures ?"/>
    <d v="2018-05-17T00:00:00"/>
    <x v="8"/>
    <n v="0"/>
    <n v="0"/>
  </r>
  <r>
    <s v="This meat's too tough to cut."/>
    <s v="Cette viande est trop coriace pour être coupée."/>
    <d v="2018-05-17T00:00:00"/>
    <x v="9"/>
    <n v="9"/>
    <n v="1"/>
  </r>
  <r>
    <s v="The batsman threw the ball at the wicket."/>
    <s v="Le batteur lança la balle au guichet (cricket)."/>
    <d v="2018-05-17T00:00:00"/>
    <x v="10"/>
    <n v="3"/>
    <n v="0.3"/>
  </r>
  <r>
    <s v="When the rugby team arrived, the situation really got out of hand."/>
    <s v="Lorsque l'équipe de rugby est arrivée, la situation est devenue incontrôlable."/>
    <d v="2018-05-17T00:00:00"/>
    <x v="11"/>
    <n v="7"/>
    <n v="0.58333333333333337"/>
  </r>
  <r>
    <s v="figuratively"/>
    <s v="métaphoriquement"/>
    <d v="2018-05-27T00:00:00"/>
    <x v="2"/>
    <n v="-1"/>
    <n v="-1"/>
  </r>
  <r>
    <s v="high-end"/>
    <s v="haut de gamme"/>
    <d v="2018-05-27T00:00:00"/>
    <x v="2"/>
    <n v="-1"/>
    <n v="-1"/>
  </r>
  <r>
    <s v="to mellow"/>
    <s v="mûrir, s'adoucir, rendre moelleux"/>
    <d v="2018-05-27T00:00:00"/>
    <x v="2"/>
    <n v="1"/>
    <n v="1"/>
  </r>
  <r>
    <s v="an inference"/>
    <s v="une déduction, une conclusion (i…)"/>
    <d v="2018-05-27T00:00:00"/>
    <x v="5"/>
    <n v="5"/>
    <n v="1"/>
  </r>
  <r>
    <s v="finals"/>
    <s v="les examens de fin d'année"/>
    <d v="2018-07-09T00:00:00"/>
    <x v="1"/>
    <n v="0"/>
    <n v="0"/>
  </r>
  <r>
    <s v="I'm reading computer studies."/>
    <s v="J'étudie l'informatique."/>
    <d v="2018-07-10T00:00:00"/>
    <x v="0"/>
    <n v="2"/>
    <n v="1"/>
  </r>
  <r>
    <s v="When you work in HR management, you'll be raking in it."/>
    <s v="Quand tu travailleras dans le management des RH, tu gagneras plein d'argent."/>
    <d v="2018-07-10T00:00:00"/>
    <x v="5"/>
    <n v="3"/>
    <n v="0.6"/>
  </r>
  <r>
    <s v="It's been very nice speaking to you."/>
    <s v="Ca m'a fait plaisir de discuter avec vous."/>
    <d v="2018-07-15T00:00:00"/>
    <x v="0"/>
    <n v="-2"/>
    <n v="-1"/>
  </r>
  <r>
    <s v="to come to an end"/>
    <s v="toucher à sa fin"/>
    <d v="2018-07-15T00:00:00"/>
    <x v="3"/>
    <n v="3"/>
    <n v="1"/>
  </r>
  <r>
    <s v="thaw (common name)"/>
    <s v="le dégel"/>
    <d v="2018-07-17T00:00:00"/>
    <x v="0"/>
    <n v="0"/>
    <n v="0"/>
  </r>
  <r>
    <s v="I must fly."/>
    <s v="Je dois y aller."/>
    <d v="2018-07-30T00:00:00"/>
    <x v="0"/>
    <n v="2"/>
    <n v="1"/>
  </r>
  <r>
    <s v="on the lookout for opportunities"/>
    <s v="en quête d'opportunités"/>
    <d v="2018-08-05T00:00:00"/>
    <x v="3"/>
    <n v="1"/>
    <n v="0.33333333333333331"/>
  </r>
  <r>
    <s v="operations"/>
    <s v="une unité de production, les sites de production"/>
    <d v="2018-08-05T00:00:00"/>
    <x v="0"/>
    <n v="2"/>
    <n v="1"/>
  </r>
  <r>
    <s v="The name of a product will often change from a market to another throughout the world."/>
    <s v="Le nom d'un produit change souvent d'un pays à l'autre."/>
    <d v="2018-08-05T00:00:00"/>
    <x v="7"/>
    <n v="6"/>
    <n v="0.8571428571428571"/>
  </r>
  <r>
    <s v="The junior managers won't begin until next Wednesday."/>
    <s v="Les cadres juniors ne commenceront que mercredi prochain."/>
    <d v="2018-08-07T00:00:00"/>
    <x v="1"/>
    <n v="0"/>
    <n v="0"/>
  </r>
  <r>
    <s v="Better to reserve a hotel room"/>
    <s v="Mieux vaut réserver une chambre d'hôtel"/>
    <d v="2018-08-07T00:00:00"/>
    <x v="1"/>
    <n v="0"/>
    <n v="0"/>
  </r>
  <r>
    <s v="It's not enough to hold a few of the company's shares to become a member of the board of directors."/>
    <s v="Il ne suffit pas de détenir quelques actions de la société pour devenir membre du conseil d'administration."/>
    <d v="2018-08-07T00:00:00"/>
    <x v="2"/>
    <n v="-1"/>
    <n v="-1"/>
  </r>
  <r>
    <s v="I was hoping to be able to see you next week."/>
    <s v="J'espérais pouvoir te voir la semaine prochaine."/>
    <d v="2018-08-07T00:00:00"/>
    <x v="2"/>
    <n v="1"/>
    <n v="1"/>
  </r>
  <r>
    <s v="It's David Robinson's turn."/>
    <s v="C'est au tour de David Robinson."/>
    <d v="2018-08-07T00:00:00"/>
    <x v="2"/>
    <n v="1"/>
    <n v="1"/>
  </r>
  <r>
    <s v="In six months, the training will be coming to an end."/>
    <s v="Dans six mois, la période de formation touchera à sa fin."/>
    <d v="2018-08-07T00:00:00"/>
    <x v="3"/>
    <n v="1"/>
    <n v="0.33333333333333331"/>
  </r>
  <r>
    <s v="I'm going to be absent from work for several months."/>
    <s v="Je vais être absent du travail pendant plusieurs mois."/>
    <d v="2018-08-07T00:00:00"/>
    <x v="6"/>
    <n v="4"/>
    <n v="0.66666666666666663"/>
  </r>
  <r>
    <s v="Fortunately, Leeds is not far away."/>
    <s v="Heureusement, Leeds n'est pas loin."/>
    <d v="2018-08-07T00:00:00"/>
    <x v="8"/>
    <n v="7"/>
    <n v="0.875"/>
  </r>
  <r>
    <s v="It's a household name."/>
    <s v="C'est un nom connu de tous."/>
    <d v="2018-08-13T00:00:00"/>
    <x v="2"/>
    <n v="1"/>
    <n v="1"/>
  </r>
  <r>
    <s v="There was not much left for her to tell him."/>
    <s v="Elle n'avait plus rien à lui dire."/>
    <d v="2018-08-13T00:00:00"/>
    <x v="2"/>
    <n v="1"/>
    <n v="1"/>
  </r>
  <r>
    <s v="I'll introduce you to her later on."/>
    <s v="Je vais vous la présenter plus tard."/>
    <d v="2018-08-13T00:00:00"/>
    <x v="2"/>
    <n v="-1"/>
    <n v="-1"/>
  </r>
  <r>
    <s v="He still drops in quite often to say hello to everyone."/>
    <s v="Il passe assez souvent pour dire bonjour à tout le monde."/>
    <d v="2018-08-13T00:00:00"/>
    <x v="0"/>
    <n v="0"/>
    <n v="0"/>
  </r>
  <r>
    <s v="Unlike Mr Smith, ..."/>
    <s v="Contrairement à M. Smith, ..."/>
    <d v="2018-08-13T00:00:00"/>
    <x v="0"/>
    <n v="2"/>
    <n v="1"/>
  </r>
  <r>
    <s v="What would happen if Freddie Birtwhistle were to disappear?"/>
    <s v="Que se passerait-il si Freddie Birtwhistle venait à disparaître ?"/>
    <d v="2018-08-13T00:00:00"/>
    <x v="3"/>
    <n v="1"/>
    <n v="0.33333333333333331"/>
  </r>
  <r>
    <s v="She met first with Bill Hayward."/>
    <s v="Elle a d'abord rencontré Bill Hayward."/>
    <d v="2018-08-13T00:00:00"/>
    <x v="4"/>
    <n v="4"/>
    <n v="1"/>
  </r>
  <r>
    <s v="to all intents and purposes"/>
    <s v="pratiquement, en fait (expr.)"/>
    <d v="2018-08-13T00:00:00"/>
    <x v="4"/>
    <n v="-4"/>
    <n v="-1"/>
  </r>
  <r>
    <s v="Saturday doesn't suit me."/>
    <s v="Samedi ne me convient pas."/>
    <d v="2018-08-13T00:00:00"/>
    <x v="4"/>
    <n v="4"/>
    <n v="1"/>
  </r>
  <r>
    <s v="Kate has arrived in Norwich."/>
    <s v="Kate est arrivée à Norwich."/>
    <d v="2018-08-13T00:00:00"/>
    <x v="5"/>
    <n v="4"/>
    <n v="0.8"/>
  </r>
  <r>
    <s v="When I'm 84 years old,  …"/>
    <s v="Quand j'aurai 84 ans, …"/>
    <d v="2018-08-13T00:00:00"/>
    <x v="5"/>
    <n v="5"/>
    <n v="1"/>
  </r>
  <r>
    <s v="Provided they don't close the factory down before then."/>
    <s v="A condition qu'ils ne ferment pas l'usine avant."/>
    <d v="2018-08-17T00:00:00"/>
    <x v="2"/>
    <n v="-1"/>
    <n v="-1"/>
  </r>
  <r>
    <s v="whenever you like"/>
    <s v="quand tu voudras"/>
    <d v="2018-08-17T00:00:00"/>
    <x v="0"/>
    <n v="2"/>
    <n v="1"/>
  </r>
  <r>
    <s v="hands-on experience"/>
    <s v="l'expérience sur le tas"/>
    <d v="2018-08-17T00:00:00"/>
    <x v="4"/>
    <n v="4"/>
    <n v="1"/>
  </r>
  <r>
    <s v="You don't sound to me like your average factory girl."/>
    <s v="Tu n'as pas l'air d'être une ouvrière comme les autres."/>
    <d v="2018-08-17T00:00:00"/>
    <x v="6"/>
    <n v="6"/>
    <n v="1"/>
  </r>
  <r>
    <s v="It does getting a little time getting used to."/>
    <s v="C'est vrai qu'il faut un peu de temps pour s'y habituer."/>
    <d v="2018-08-17T00:00:00"/>
    <x v="6"/>
    <n v="1"/>
    <n v="0.16666666666666666"/>
  </r>
  <r>
    <s v="Go ahead!"/>
    <s v="Allez-y !"/>
    <d v="2018-08-17T00:00:00"/>
    <x v="6"/>
    <n v="4"/>
    <n v="0.66666666666666663"/>
  </r>
  <r>
    <s v="Her work at the factory has put her off chocolate."/>
    <s v="Son travail à l'usine l'a dégoûtée du chocolat."/>
    <d v="2018-08-17T00:00:00"/>
    <x v="7"/>
    <n v="2"/>
    <n v="0.2857142857142857"/>
  </r>
  <r>
    <s v="Labour is not a big element in the cost price."/>
    <s v="Le coût de la main d'œuvre n'est pas un élément important dans le coût de revient."/>
    <d v="2018-08-19T00:00:00"/>
    <x v="2"/>
    <n v="-1"/>
    <n v="-1"/>
  </r>
  <r>
    <s v="We still have to get across Paris."/>
    <s v="Nous devons encore traverser Paris."/>
    <d v="2018-08-19T00:00:00"/>
    <x v="0"/>
    <n v="0"/>
    <n v="0"/>
  </r>
  <r>
    <s v="an infringement"/>
    <s v="une infraction, une violation"/>
    <d v="2018-08-29T00:00:00"/>
    <x v="1"/>
    <n v="0"/>
    <n v="0"/>
  </r>
  <r>
    <s v="a quip"/>
    <s v="une blague, un sarcasme, une raillerie"/>
    <d v="2018-08-29T00:00:00"/>
    <x v="1"/>
    <n v="0"/>
    <n v="0"/>
  </r>
  <r>
    <s v="way beyond"/>
    <s v="bien au-delà"/>
    <d v="2018-08-29T00:00:00"/>
    <x v="2"/>
    <n v="-1"/>
    <n v="-1"/>
  </r>
  <r>
    <s v="a chalice"/>
    <s v="un calice"/>
    <d v="2018-08-29T00:00:00"/>
    <x v="3"/>
    <n v="3"/>
    <n v="1"/>
  </r>
  <r>
    <s v="at stake"/>
    <s v="en jeu / en danger"/>
    <d v="2018-09-25T00:00:00"/>
    <x v="5"/>
    <n v="3"/>
    <n v="0.6"/>
  </r>
  <r>
    <s v="canvassing (common name)"/>
    <s v="le démarchage, la sollicitation (c…)"/>
    <d v="2018-10-04T00:00:00"/>
    <x v="6"/>
    <n v="0"/>
    <n v="0"/>
  </r>
  <r>
    <s v="shackles (common name)"/>
    <s v="les chaînes, les entraves, les fers"/>
    <d v="2018-10-17T00:00:00"/>
    <x v="1"/>
    <n v="0"/>
    <n v="0"/>
  </r>
  <r>
    <s v="grating"/>
    <s v="grinçant, agaçant, énervant / discordant"/>
    <d v="2018-10-17T00:00:00"/>
    <x v="0"/>
    <n v="2"/>
    <n v="1"/>
  </r>
  <r>
    <s v="the jaw"/>
    <s v="la mâchoire"/>
    <d v="2018-10-25T00:00:00"/>
    <x v="2"/>
    <n v="1"/>
    <n v="1"/>
  </r>
  <r>
    <s v="offing (common name)"/>
    <s v="la partie la plus éloignée à l'horizon sur la mer"/>
    <d v="2018-10-27T00:00:00"/>
    <x v="0"/>
    <n v="0"/>
    <n v="0"/>
  </r>
  <r>
    <s v="to lull"/>
    <s v="bercer, apaiser, calmer"/>
    <d v="2018-10-28T00:00:00"/>
    <x v="0"/>
    <n v="2"/>
    <n v="1"/>
  </r>
  <r>
    <s v="wrought"/>
    <s v="forgé, façonné"/>
    <d v="2018-10-31T00:00:00"/>
    <x v="2"/>
    <n v="1"/>
    <n v="1"/>
  </r>
  <r>
    <s v="foolproof"/>
    <s v="infaillible"/>
    <d v="2018-10-31T00:00:00"/>
    <x v="2"/>
    <n v="-1"/>
    <n v="-1"/>
  </r>
  <r>
    <s v="a snippet"/>
    <s v="un fragment, une bribe"/>
    <d v="2018-11-01T00:00:00"/>
    <x v="2"/>
    <n v="1"/>
    <n v="1"/>
  </r>
  <r>
    <s v="earnestness"/>
    <s v="le sérieux"/>
    <d v="2018-11-02T00:00:00"/>
    <x v="0"/>
    <n v="2"/>
    <n v="1"/>
  </r>
  <r>
    <s v="to enthrall"/>
    <s v="captiver, séduire / réduire en esclavage"/>
    <d v="2018-11-02T00:00:00"/>
    <x v="3"/>
    <n v="3"/>
    <n v="1"/>
  </r>
  <r>
    <s v="thorny"/>
    <s v="épineux"/>
    <d v="2018-11-18T00:00:00"/>
    <x v="3"/>
    <n v="3"/>
    <n v="1"/>
  </r>
  <r>
    <s v="a disarray"/>
    <s v="un désarroi / un désordre"/>
    <d v="2018-11-20T00:00:00"/>
    <x v="0"/>
    <n v="0"/>
    <n v="0"/>
  </r>
  <r>
    <s v="heralding (adj.)"/>
    <s v="annonciateur (h…)"/>
    <d v="2018-11-24T00:00:00"/>
    <x v="2"/>
    <n v="-1"/>
    <n v="-1"/>
  </r>
  <r>
    <s v="a chasm"/>
    <s v="un gouffre"/>
    <d v="2018-11-24T00:00:00"/>
    <x v="0"/>
    <n v="-2"/>
    <n v="-1"/>
  </r>
  <r>
    <s v="a beacon"/>
    <s v="une balise, un phare, un fanal"/>
    <d v="2018-11-25T00:00:00"/>
    <x v="1"/>
    <n v="0"/>
    <n v="0"/>
  </r>
  <r>
    <s v="in our own day"/>
    <s v="de nos jours"/>
    <d v="2018-12-10T00:00:00"/>
    <x v="2"/>
    <n v="1"/>
    <n v="1"/>
  </r>
  <r>
    <s v="Putting out fires is not improvement of the process. Deming"/>
    <s v="La réduction des incendies n'est pas l'amélioration du processus. Deming"/>
    <d v="2018-12-15T00:00:00"/>
    <x v="6"/>
    <n v="5"/>
    <n v="0.83333333333333337"/>
  </r>
  <r>
    <s v="plain-text"/>
    <s v="du texte brut"/>
    <d v="2019-03-09T00:00:00"/>
    <x v="1"/>
    <n v="0"/>
    <n v="0"/>
  </r>
  <r>
    <s v="Is this one in the sale as well?"/>
    <s v="Est-ce que celui-ci est soldé aussi ?"/>
    <d v="2019-03-24T00:00:00"/>
    <x v="1"/>
    <n v="0"/>
    <n v="0"/>
  </r>
  <r>
    <s v="I look forward to doing further business with you."/>
    <s v="Dans l'attente de travailler de nouveau avec vous."/>
    <d v="2019-03-24T00:00:00"/>
    <x v="2"/>
    <n v="-1"/>
    <n v="-1"/>
  </r>
  <r>
    <s v="Which stop should I get off to go to …?"/>
    <s v="A quelle station dois-je descendre pour aller à … ?"/>
    <d v="2019-03-24T00:00:00"/>
    <x v="1"/>
    <n v="0"/>
    <n v="0"/>
  </r>
  <r>
    <s v="I've got a prescription from my doctor"/>
    <s v="J'ai une ordonnance de mon médecin"/>
    <d v="2019-03-24T00:00:00"/>
    <x v="1"/>
    <n v="0"/>
    <n v="0"/>
  </r>
  <r>
    <s v="Are there boat cruises available?"/>
    <s v="Y a-t-il des croisières de disponible ?"/>
    <d v="2019-03-24T00:00:00"/>
    <x v="1"/>
    <n v="0"/>
    <n v="0"/>
  </r>
  <r>
    <s v="Is it machine washable?"/>
    <s v="Est-ce lavable en machine ?"/>
    <d v="2019-03-24T00:00:00"/>
    <x v="1"/>
    <n v="0"/>
    <n v="0"/>
  </r>
  <r>
    <s v="How much is that purse?"/>
    <s v="Combien coûte ce porte-monnaie ?"/>
    <d v="2019-03-24T00:00:00"/>
    <x v="1"/>
    <n v="0"/>
    <n v="0"/>
  </r>
  <r>
    <s v="I failed my exam."/>
    <s v="J'ai raté mon examen."/>
    <d v="2019-03-24T00:00:00"/>
    <x v="1"/>
    <n v="0"/>
    <n v="0"/>
  </r>
  <r>
    <s v="I like working as part of a team."/>
    <s v="J'aime travailler au sein d'une équipe."/>
    <d v="2019-03-24T00:00:00"/>
    <x v="2"/>
    <n v="1"/>
    <n v="1"/>
  </r>
  <r>
    <s v="This is just not good enough."/>
    <s v="Ce n'est pas acceptable."/>
    <d v="2019-03-24T00:00:00"/>
    <x v="2"/>
    <n v="-1"/>
    <n v="-1"/>
  </r>
  <r>
    <s v="I've been feeling off-colours ever since I came back from holidays."/>
    <s v="Je me sens patraque depuis que je suis rentré de vacances."/>
    <d v="2019-03-24T00:00:00"/>
    <x v="2"/>
    <n v="1"/>
    <n v="1"/>
  </r>
  <r>
    <s v="I've changed my mind; I'll have the fish instead of the meat"/>
    <s v="J'ai changé d'avis, je prendrai le poisson au lieu de la viande"/>
    <d v="2019-03-24T00:00:00"/>
    <x v="2"/>
    <n v="1"/>
    <n v="1"/>
  </r>
  <r>
    <s v="With reference to your recent complaint, …"/>
    <s v="Suite à votre récente réclamation, …"/>
    <d v="2019-03-24T00:00:00"/>
    <x v="2"/>
    <n v="-1"/>
    <n v="-1"/>
  </r>
  <r>
    <s v="He lives in the country by preference."/>
    <s v="Il a choisi de vivre à la campagne."/>
    <d v="2019-03-24T00:00:00"/>
    <x v="2"/>
    <n v="1"/>
    <n v="1"/>
  </r>
  <r>
    <s v="Excuse me, where is the duty chemist?"/>
    <s v="Excusez-moi, où est la pharmacie de garde ?"/>
    <d v="2019-03-24T00:00:00"/>
    <x v="2"/>
    <n v="1"/>
    <n v="1"/>
  </r>
  <r>
    <s v="I'm going to have to leave you"/>
    <s v="Je vais devoir vous laisser"/>
    <d v="2019-03-24T00:00:00"/>
    <x v="0"/>
    <n v="2"/>
    <n v="1"/>
  </r>
  <r>
    <s v="I'm not crazy about football."/>
    <s v="Je ne suis pas un fou de foot"/>
    <d v="2019-03-24T00:00:00"/>
    <x v="2"/>
    <n v="1"/>
    <n v="1"/>
  </r>
  <r>
    <s v="Can we get something to eat?"/>
    <s v="Est-il possible de manger quelque chose ?"/>
    <d v="2019-03-24T00:00:00"/>
    <x v="3"/>
    <n v="-1"/>
    <n v="-0.33333333333333331"/>
  </r>
  <r>
    <s v="I'm always up for a laugh."/>
    <s v="J'aime bien m'amuser"/>
    <d v="2019-03-24T00:00:00"/>
    <x v="2"/>
    <n v="1"/>
    <n v="1"/>
  </r>
  <r>
    <s v="If you ask me, …"/>
    <s v="Si vous voulez mon avis, …"/>
    <d v="2019-03-24T00:00:00"/>
    <x v="2"/>
    <n v="-1"/>
    <n v="-1"/>
  </r>
  <r>
    <s v="What day is it today ?"/>
    <s v="Quel jour sommes-nous aujourd'hui ?"/>
    <d v="2019-03-24T00:00:00"/>
    <x v="2"/>
    <n v="1"/>
    <n v="1"/>
  </r>
  <r>
    <s v="How much is it for a go?"/>
    <s v="Combien coûte un tour ? (de manège, …)"/>
    <d v="2019-03-24T00:00:00"/>
    <x v="2"/>
    <n v="-1"/>
    <n v="-1"/>
  </r>
  <r>
    <s v="What size are you?"/>
    <s v="Quelle taille faites-vous ?"/>
    <d v="2019-03-24T00:00:00"/>
    <x v="2"/>
    <n v="1"/>
    <n v="1"/>
  </r>
  <r>
    <s v="My arm is very sore."/>
    <s v="Mon bras me fait très mal."/>
    <d v="2019-03-24T00:00:00"/>
    <x v="2"/>
    <n v="1"/>
    <n v="1"/>
  </r>
  <r>
    <s v="I'm very outgoing."/>
    <s v="Je suis très extraverti."/>
    <d v="2019-03-24T00:00:00"/>
    <x v="2"/>
    <n v="1"/>
    <n v="1"/>
  </r>
  <r>
    <s v="Any time!"/>
    <s v="N'hésitez pas !"/>
    <d v="2019-03-24T00:00:00"/>
    <x v="2"/>
    <n v="-1"/>
    <n v="-1"/>
  </r>
  <r>
    <s v="I graduated in English in 2017."/>
    <s v="J'ai obtenu mon diplôme d'anglais en 2017."/>
    <d v="2019-03-24T00:00:00"/>
    <x v="0"/>
    <n v="-2"/>
    <n v="-1"/>
  </r>
  <r>
    <s v="I hope this information will be of assistance to you."/>
    <s v="J'espère que ces informations vous seront utiles."/>
    <d v="2019-03-24T00:00:00"/>
    <x v="0"/>
    <n v="2"/>
    <n v="1"/>
  </r>
  <r>
    <s v="At what time does the room have to be vacated by?"/>
    <s v="A quelle heure faut-il libérer la chambre ?"/>
    <d v="2019-03-24T00:00:00"/>
    <x v="0"/>
    <n v="2"/>
    <n v="1"/>
  </r>
  <r>
    <s v="Give me a buzz so I can save your number."/>
    <s v="Bipe-moi, j'enregistrerai ton numéro."/>
    <d v="2019-03-24T00:00:00"/>
    <x v="0"/>
    <n v="0"/>
    <n v="0"/>
  </r>
  <r>
    <s v="Could we have the bill, please?"/>
    <s v="L'addition, s'il vous plaît."/>
    <d v="2019-03-24T00:00:00"/>
    <x v="0"/>
    <n v="2"/>
    <n v="1"/>
  </r>
  <r>
    <s v="I'm just having a main course."/>
    <s v="Je ne prends qu'un plat."/>
    <d v="2019-03-24T00:00:00"/>
    <x v="0"/>
    <n v="-2"/>
    <n v="-1"/>
  </r>
  <r>
    <s v="to show one's true colours"/>
    <s v="se montrer sous son vrai jour"/>
    <d v="2019-03-24T00:00:00"/>
    <x v="0"/>
    <n v="2"/>
    <n v="1"/>
  </r>
  <r>
    <s v="Let me put another way…"/>
    <s v="Je vais présenter ça autrement …"/>
    <d v="2019-03-24T00:00:00"/>
    <x v="3"/>
    <n v="-3"/>
    <n v="-1"/>
  </r>
  <r>
    <s v="What would you recommend I bring back to France?"/>
    <s v="Que me suggérez-vous de ramener en France ?"/>
    <d v="2019-03-24T00:00:00"/>
    <x v="3"/>
    <n v="-1"/>
    <n v="-0.33333333333333331"/>
  </r>
  <r>
    <s v="I wouldn't mind a cup of coffee."/>
    <s v="Je prendrais bien une tasse de café."/>
    <d v="2019-03-24T00:00:00"/>
    <x v="3"/>
    <n v="3"/>
    <n v="1"/>
  </r>
  <r>
    <s v="Could you tell me if the meeting is taking place?"/>
    <s v="Pourriez-vous me dire si la réunion aura bien lieu ?"/>
    <d v="2019-03-24T00:00:00"/>
    <x v="3"/>
    <n v="3"/>
    <n v="1"/>
  </r>
  <r>
    <s v="I can be quite shy around new people."/>
    <s v="Je suis de nature plutôt timide avec les gens que je ne connais pas."/>
    <d v="2019-03-24T00:00:00"/>
    <x v="3"/>
    <n v="2"/>
    <n v="0.66666666666666663"/>
  </r>
  <r>
    <s v="What do you do in your spare time ?"/>
    <s v="Que fais-tu pendant ton temps libre ?"/>
    <d v="2019-03-24T00:00:00"/>
    <x v="3"/>
    <n v="1"/>
    <n v="0.33333333333333331"/>
  </r>
  <r>
    <s v="Do you have something for blisters?"/>
    <s v="Avez-vous quelque chose pour les ampoules ?"/>
    <d v="2019-03-24T00:00:00"/>
    <x v="4"/>
    <n v="4"/>
    <n v="1"/>
  </r>
  <r>
    <s v="The point I'm trying to make is…"/>
    <s v="Ce que j'essaie de dire, c'est …"/>
    <d v="2019-03-24T00:00:00"/>
    <x v="3"/>
    <n v="1"/>
    <n v="0.33333333333333331"/>
  </r>
  <r>
    <s v="Is there a cashpoint nearby?"/>
    <s v="Y a-t-il un distributeur près d'ici ?"/>
    <d v="2019-03-24T00:00:00"/>
    <x v="3"/>
    <n v="3"/>
    <n v="1"/>
  </r>
  <r>
    <s v="Where are the frozen foods?"/>
    <s v="Où se trouvent les plats surgelés ?"/>
    <d v="2019-03-24T00:00:00"/>
    <x v="3"/>
    <n v="3"/>
    <n v="1"/>
  </r>
  <r>
    <s v="I can get on with anyone."/>
    <s v="Je m'entends bien avec tout le monde."/>
    <d v="2019-03-24T00:00:00"/>
    <x v="3"/>
    <n v="-3"/>
    <n v="-1"/>
  </r>
  <r>
    <s v="You deserve it."/>
    <s v="Tu le mérites."/>
    <d v="2019-03-24T00:00:00"/>
    <x v="3"/>
    <n v="3"/>
    <n v="1"/>
  </r>
  <r>
    <s v="Break a leg!"/>
    <s v="Bonne chance !"/>
    <d v="2019-03-24T00:00:00"/>
    <x v="3"/>
    <n v="3"/>
    <n v="1"/>
  </r>
  <r>
    <s v="Is there an intermission?"/>
    <s v="Y a-t-il un entr'acte ?"/>
    <d v="2019-03-24T00:00:00"/>
    <x v="3"/>
    <n v="3"/>
    <n v="1"/>
  </r>
  <r>
    <s v="Do you serve wine by the glass?"/>
    <s v="Est-ce que vous pouvez servir le vin au verre ?"/>
    <d v="2019-03-24T00:00:00"/>
    <x v="4"/>
    <n v="0"/>
    <n v="0"/>
  </r>
  <r>
    <s v="Cooking really helps me to relax."/>
    <s v="Cuisiner m'aide vraiment à me détendre."/>
    <d v="2019-03-24T00:00:00"/>
    <x v="4"/>
    <n v="3"/>
    <n v="0.75"/>
  </r>
  <r>
    <s v="Further to my call this morning, I would like to confirm my order."/>
    <s v="Suite à mon appel de ce matin, j'aimerais confirmer ma commande."/>
    <d v="2019-03-24T00:00:00"/>
    <x v="4"/>
    <n v="0"/>
    <n v="0"/>
  </r>
  <r>
    <s v="Can you recommend any good places to shop for watches?"/>
    <s v="Avez-vous un endroit à me conseiller pour acheter des montres ?"/>
    <d v="2019-03-24T00:00:00"/>
    <x v="4"/>
    <n v="0"/>
    <n v="0"/>
  </r>
  <r>
    <s v="My brother has fallen in love with her."/>
    <s v="Mon frère est tombé amoureux d'elle."/>
    <d v="2019-03-24T00:00:00"/>
    <x v="5"/>
    <n v="4"/>
    <n v="0.8"/>
  </r>
  <r>
    <s v="We reserved under the name of Smith."/>
    <s v="Nous avons réservé au nom de Smith."/>
    <d v="2019-03-24T00:00:00"/>
    <x v="4"/>
    <n v="4"/>
    <n v="1"/>
  </r>
  <r>
    <s v="What do you recommend as a side?"/>
    <s v="Que proposez-vous en accompagnement ?"/>
    <d v="2019-03-24T00:00:00"/>
    <x v="5"/>
    <n v="5"/>
    <n v="1"/>
  </r>
  <r>
    <s v="Nice one!"/>
    <s v="Bien joué !"/>
    <d v="2019-03-24T00:00:00"/>
    <x v="4"/>
    <n v="2"/>
    <n v="0.5"/>
  </r>
  <r>
    <s v="His preference is Mozart."/>
    <s v="Il préfère Mozart."/>
    <d v="2019-03-24T00:00:00"/>
    <x v="5"/>
    <n v="1"/>
    <n v="0.2"/>
  </r>
  <r>
    <s v="A draught beer, please."/>
    <s v="Une bière pression s'il vous plaît."/>
    <d v="2019-03-24T00:00:00"/>
    <x v="5"/>
    <n v="4"/>
    <n v="0.8"/>
  </r>
  <r>
    <s v="Just a minute - I'm going to put you on speaker so the rest of the team can hear you."/>
    <s v="Un instant je vous prie; je mets le haut-parleur pour que le reste de l'équipe puisse vous entendre."/>
    <d v="2019-03-24T00:00:00"/>
    <x v="5"/>
    <n v="-3"/>
    <n v="-0.6"/>
  </r>
  <r>
    <s v="I'm looking for the bathroom linen section."/>
    <s v="Je cherche le rayon du linge de toilette."/>
    <d v="2019-03-24T00:00:00"/>
    <x v="5"/>
    <n v="5"/>
    <n v="1"/>
  </r>
  <r>
    <s v="Could you write that down for me, please?"/>
    <s v="Pourriez-vous me l'écrire s'il vous plaît ?"/>
    <d v="2019-03-24T00:00:00"/>
    <x v="5"/>
    <n v="5"/>
    <n v="1"/>
  </r>
  <r>
    <s v="Follow this road up to the crossroads."/>
    <s v="Suivez cette rue jusqu'au carrefour."/>
    <d v="2019-03-24T00:00:00"/>
    <x v="5"/>
    <n v="3"/>
    <n v="0.6"/>
  </r>
  <r>
    <s v="Do you have any vacancies for tonight?"/>
    <s v="Avez-vous des chambres de libre pour cette nuit ?"/>
    <d v="2019-03-24T00:00:00"/>
    <x v="5"/>
    <n v="5"/>
    <n v="1"/>
  </r>
  <r>
    <s v="I got stung by a wasp / a jellyfish."/>
    <s v="Je me suis fait piquer par une guêpe / une méduse."/>
    <d v="2019-03-24T00:00:00"/>
    <x v="5"/>
    <n v="5"/>
    <n v="1"/>
  </r>
  <r>
    <s v="Do you have a safe for valuables?"/>
    <s v="Avez-vous un coffre pour les objets de valeur ?"/>
    <d v="2019-03-24T00:00:00"/>
    <x v="5"/>
    <n v="5"/>
    <n v="1"/>
  </r>
  <r>
    <s v="Do we have to order at the bar?"/>
    <s v="Faut-il commander au bar ?"/>
    <d v="2019-03-24T00:00:00"/>
    <x v="5"/>
    <n v="5"/>
    <n v="1"/>
  </r>
  <r>
    <s v="I've got a degree in maths."/>
    <s v="J'ai une licence de mathématiques."/>
    <d v="2019-03-24T00:00:00"/>
    <x v="5"/>
    <n v="5"/>
    <n v="1"/>
  </r>
  <r>
    <s v="I'll make a note of it."/>
    <s v="Je vais le noter."/>
    <d v="2019-03-24T00:00:00"/>
    <x v="5"/>
    <n v="5"/>
    <n v="1"/>
  </r>
  <r>
    <s v="I have cracked lips."/>
    <s v="J'ai les lèvres gercées."/>
    <d v="2019-03-24T00:00:00"/>
    <x v="5"/>
    <n v="5"/>
    <n v="1"/>
  </r>
  <r>
    <s v="Can I try it on?"/>
    <s v="Puis-je l'essayer ?"/>
    <d v="2019-03-24T00:00:00"/>
    <x v="5"/>
    <n v="5"/>
    <n v="1"/>
  </r>
  <r>
    <s v="I have a shower and get dressed."/>
    <s v="Je prends une douche et je m'habille."/>
    <d v="2019-03-24T00:00:00"/>
    <x v="6"/>
    <n v="2"/>
    <n v="0.33333333333333331"/>
  </r>
  <r>
    <s v="What are the sights not to be missed?"/>
    <s v="Quelles sont les choses à voir absolument ?"/>
    <d v="2019-03-24T00:00:00"/>
    <x v="6"/>
    <n v="6"/>
    <n v="1"/>
  </r>
  <r>
    <s v="Can you take us to casualty?"/>
    <s v="Pouvez-vous nous emmener aux urgences ?"/>
    <d v="2019-03-24T00:00:00"/>
    <x v="7"/>
    <n v="3"/>
    <n v="0.42857142857142855"/>
  </r>
  <r>
    <s v="Can you put me through to …?"/>
    <s v="Pourriez-vous me passer … ?"/>
    <d v="2019-03-24T00:00:00"/>
    <x v="6"/>
    <n v="4"/>
    <n v="0.66666666666666663"/>
  </r>
  <r>
    <s v="I want my money back."/>
    <s v="Je veux être remboursé."/>
    <d v="2019-03-24T00:00:00"/>
    <x v="6"/>
    <n v="6"/>
    <n v="1"/>
  </r>
  <r>
    <s v="I've got a temperature."/>
    <s v="J'ai de la fièvre."/>
    <d v="2019-03-24T00:00:00"/>
    <x v="6"/>
    <n v="4"/>
    <n v="0.66666666666666663"/>
  </r>
  <r>
    <s v="Do you sell batteries?"/>
    <s v="Vendez-vous des piles ?"/>
    <d v="2019-03-24T00:00:00"/>
    <x v="8"/>
    <n v="8"/>
    <n v="1"/>
  </r>
  <r>
    <s v="I was sorry to hear about your father's death."/>
    <s v="J'ai été désolé d'apprendre la mort de votre père."/>
    <d v="2019-03-24T00:00:00"/>
    <x v="8"/>
    <n v="8"/>
    <n v="1"/>
  </r>
  <r>
    <s v="On balance, I thinks it's a good idea."/>
    <s v="Tout bien considéré, je pense que c'est une bonne idée."/>
    <d v="2019-03-24T00:00:00"/>
    <x v="8"/>
    <n v="0"/>
    <n v="0"/>
  </r>
  <r>
    <s v="With regard to the rate of interest paid, ..."/>
    <s v="Concernant le taux des intérêts versés, …"/>
    <d v="2019-03-24T00:00:00"/>
    <x v="9"/>
    <n v="5"/>
    <n v="0.55555555555555558"/>
  </r>
  <r>
    <s v="Is there a laundry service?"/>
    <s v="Y a-t-il un service de blanchisserie ?"/>
    <d v="2019-03-24T00:00:00"/>
    <x v="9"/>
    <n v="7"/>
    <n v="0.77777777777777779"/>
  </r>
  <r>
    <s v="I have been in my current job just over two years."/>
    <s v="Cela fait un peu plus de deux ans que j'occupe mon poste actuel."/>
    <d v="2019-03-24T00:00:00"/>
    <x v="10"/>
    <n v="4"/>
    <n v="0.4"/>
  </r>
  <r>
    <s v="This calls for a celebration!"/>
    <s v="Il faut fêter ça !"/>
    <d v="2019-03-24T00:00:00"/>
    <x v="12"/>
    <n v="9"/>
    <n v="0.81818181818181823"/>
  </r>
  <r>
    <s v="My date didn't show up."/>
    <s v="On m'a posé un lapin."/>
    <d v="2019-04-03T00:00:00"/>
    <x v="1"/>
    <n v="0"/>
    <n v="0"/>
  </r>
  <r>
    <s v="Granted, he's not very intelligent, but..."/>
    <s v="D'accord, il n'est pas très intelligent, mais …"/>
    <d v="2019-04-03T00:00:00"/>
    <x v="1"/>
    <n v="0"/>
    <n v="0"/>
  </r>
  <r>
    <s v="In my lecture, I shall deal with…"/>
    <s v="Dans ma conférence, je traiterai de …"/>
    <d v="2019-04-03T00:00:00"/>
    <x v="2"/>
    <n v="1"/>
    <n v="1"/>
  </r>
  <r>
    <s v="It really stands out that he's not a local."/>
    <s v="On voit vraiment qu'il n'est pas d'ici."/>
    <d v="2019-04-03T00:00:00"/>
    <x v="2"/>
    <n v="1"/>
    <n v="1"/>
  </r>
  <r>
    <s v="There's no love lost between them."/>
    <s v="Ils se détestent cordialement."/>
    <d v="2019-04-03T00:00:00"/>
    <x v="2"/>
    <n v="-1"/>
    <n v="-1"/>
  </r>
  <r>
    <s v="He passed himself off as a hero."/>
    <s v="Il s'est fait passé pour un héros."/>
    <d v="2019-04-03T00:00:00"/>
    <x v="3"/>
    <n v="1"/>
    <n v="0.33333333333333331"/>
  </r>
  <r>
    <s v="Do you approve of the proposal?"/>
    <s v="Êtes-vous d'accord avec cette proposition ?"/>
    <d v="2019-04-03T00:00:00"/>
    <x v="2"/>
    <n v="1"/>
    <n v="1"/>
  </r>
  <r>
    <s v="We said our goodbyes and left."/>
    <s v="Nous avons fait nos adieux et nous sommes partis."/>
    <d v="2019-04-03T00:00:00"/>
    <x v="3"/>
    <n v="1"/>
    <n v="0.33333333333333331"/>
  </r>
  <r>
    <s v="I'm in two minds about going."/>
    <s v="J'hésite à y aller."/>
    <d v="2019-04-03T00:00:00"/>
    <x v="2"/>
    <n v="1"/>
    <n v="1"/>
  </r>
  <r>
    <s v="She had a spot soft for Dan."/>
    <s v="Elle avait un faible pour Dan."/>
    <d v="2019-04-03T00:00:00"/>
    <x v="2"/>
    <n v="1"/>
    <n v="1"/>
  </r>
  <r>
    <s v="He looked at her in wonder."/>
    <s v="Il la regarda avec admiration."/>
    <d v="2019-04-03T00:00:00"/>
    <x v="2"/>
    <n v="1"/>
    <n v="1"/>
  </r>
  <r>
    <s v="I stared at him aghast."/>
    <s v="Je l'ai regardé, atteré."/>
    <d v="2019-04-03T00:00:00"/>
    <x v="2"/>
    <n v="1"/>
    <n v="1"/>
  </r>
  <r>
    <s v="It was a piece of cake!"/>
    <s v="C'était du gâteau !"/>
    <d v="2019-04-03T00:00:00"/>
    <x v="2"/>
    <n v="-1"/>
    <n v="-1"/>
  </r>
  <r>
    <s v="I don't see the point of redooing it."/>
    <s v="Je ne vois pas l'intérêt de le refaire."/>
    <d v="2019-04-03T00:00:00"/>
    <x v="0"/>
    <n v="2"/>
    <n v="1"/>
  </r>
  <r>
    <s v="That's fair enough, but don't you think that… ?"/>
    <s v="Très bien, mais est-ce que tu ne penses pas que … ?"/>
    <d v="2019-04-03T00:00:00"/>
    <x v="0"/>
    <n v="2"/>
    <n v="1"/>
  </r>
  <r>
    <s v="We are in no doubt as to her competences."/>
    <s v="Nous n'avons aucun doute sur ses compétences."/>
    <d v="2019-04-03T00:00:00"/>
    <x v="0"/>
    <n v="0"/>
    <n v="0"/>
  </r>
  <r>
    <s v="My oldest daughter has just turned 20."/>
    <s v="Ma fille aînée vient d'avoir 20 ans."/>
    <d v="2019-04-03T00:00:00"/>
    <x v="0"/>
    <n v="0"/>
    <n v="0"/>
  </r>
  <r>
    <s v="Don't worry, he's just putting it on."/>
    <s v="Ne t'inquiète pas, il fait du cinéma."/>
    <d v="2019-04-03T00:00:00"/>
    <x v="0"/>
    <n v="0"/>
    <n v="0"/>
  </r>
  <r>
    <s v="Their arrival caught me unaware."/>
    <s v="Leur arrivée m'a pris au dépourvu."/>
    <d v="2019-04-03T00:00:00"/>
    <x v="0"/>
    <n v="0"/>
    <n v="0"/>
  </r>
  <r>
    <s v="What are you so upset about?"/>
    <s v="Qu'est-ce qui te met dans cet état ?"/>
    <d v="2019-04-03T00:00:00"/>
    <x v="0"/>
    <n v="0"/>
    <n v="0"/>
  </r>
  <r>
    <s v="I have a phobia of spiders."/>
    <s v="J'ai la phobie des araignées."/>
    <d v="2019-04-03T00:00:00"/>
    <x v="0"/>
    <n v="2"/>
    <n v="1"/>
  </r>
  <r>
    <s v="I doubt it."/>
    <s v="J'en doute."/>
    <d v="2019-04-03T00:00:00"/>
    <x v="3"/>
    <n v="3"/>
    <n v="1"/>
  </r>
  <r>
    <s v="If there's anything I can do for you, please let me know."/>
    <s v="Si je peux vous aider en quoi que ce soit, n'hésitez pas à me le faire savoir."/>
    <d v="2019-04-03T00:00:00"/>
    <x v="3"/>
    <n v="-1"/>
    <n v="-0.33333333333333331"/>
  </r>
  <r>
    <s v="Deep down, he's very kind."/>
    <s v="Au fond, il est très gentil."/>
    <d v="2019-04-03T00:00:00"/>
    <x v="3"/>
    <n v="3"/>
    <n v="1"/>
  </r>
  <r>
    <s v="You're really getting on my nerves with your stupid comments."/>
    <s v="Tu commences vraiment à me taper sur les nerfs avec tes commentaires stupides."/>
    <d v="2019-04-03T00:00:00"/>
    <x v="3"/>
    <n v="3"/>
    <n v="1"/>
  </r>
  <r>
    <s v="By mutual agreement, they went their separate ways."/>
    <s v="Ils se sont séparés d'un commun accord."/>
    <d v="2019-04-03T00:00:00"/>
    <x v="3"/>
    <n v="1"/>
    <n v="0.33333333333333331"/>
  </r>
  <r>
    <s v="It saddens me to see what becomes of them."/>
    <s v="Ca me rend triste de voir ce qu'il sont devenus."/>
    <d v="2019-04-03T00:00:00"/>
    <x v="3"/>
    <n v="-1"/>
    <n v="-0.33333333333333331"/>
  </r>
  <r>
    <s v="I was petrified he would tell her."/>
    <s v="J'étais mort de peur à l'idée qu'il le lui dise."/>
    <d v="2019-04-03T00:00:00"/>
    <x v="3"/>
    <n v="3"/>
    <n v="1"/>
  </r>
  <r>
    <s v="I think I can go along with that."/>
    <s v="Je pense pouvoir dire que ça me va."/>
    <d v="2019-04-03T00:00:00"/>
    <x v="3"/>
    <n v="-3"/>
    <n v="-1"/>
  </r>
  <r>
    <s v="It's plain that she's lying."/>
    <s v="Il est évident qu'elle ment. (p…)"/>
    <d v="2019-04-03T00:00:00"/>
    <x v="3"/>
    <n v="-1"/>
    <n v="-0.33333333333333331"/>
  </r>
  <r>
    <s v="Make up your mind!"/>
    <s v="Décidez-vous !"/>
    <d v="2019-04-03T00:00:00"/>
    <x v="3"/>
    <n v="1"/>
    <n v="0.33333333333333331"/>
  </r>
  <r>
    <s v="She has strong views on the subject."/>
    <s v="Elle a des opinions bien arrêtées sur le sujet."/>
    <d v="2019-04-03T00:00:00"/>
    <x v="4"/>
    <n v="4"/>
    <n v="1"/>
  </r>
  <r>
    <s v="I ran into an old school friend this morning."/>
    <s v="Je suis tombé sur un ancien camarade d'école ce matin."/>
    <d v="2019-04-03T00:00:00"/>
    <x v="4"/>
    <n v="1"/>
    <n v="0.25"/>
  </r>
  <r>
    <s v="What do you want to see me about?"/>
    <s v="A quel sujet voulez-vous me voir ?"/>
    <d v="2019-04-03T00:00:00"/>
    <x v="4"/>
    <n v="4"/>
    <n v="1"/>
  </r>
  <r>
    <s v="I've no time for that sort of attitude."/>
    <s v="Je ne supporte pas ce genre d'attitude."/>
    <d v="2019-04-03T00:00:00"/>
    <x v="4"/>
    <n v="0"/>
    <n v="0"/>
  </r>
  <r>
    <s v="Those are my feelings exactly."/>
    <s v="Je partage ton sentiment là-dessus."/>
    <d v="2019-04-03T00:00:00"/>
    <x v="4"/>
    <n v="0"/>
    <n v="0"/>
  </r>
  <r>
    <s v="Say hello to him for me."/>
    <s v="Dis-lui bonjour de ma part."/>
    <d v="2019-04-03T00:00:00"/>
    <x v="5"/>
    <n v="1"/>
    <n v="0.2"/>
  </r>
  <r>
    <s v="What do you advise me to do?"/>
    <s v="Qu'est-ce que tu me conseilles de faire ?"/>
    <d v="2019-04-03T00:00:00"/>
    <x v="5"/>
    <n v="5"/>
    <n v="1"/>
  </r>
  <r>
    <s v="She blushed at the thought."/>
    <s v="Elle rougit à cette pensée."/>
    <d v="2019-04-03T00:00:00"/>
    <x v="5"/>
    <n v="5"/>
    <n v="1"/>
  </r>
  <r>
    <s v="Good luck with the exams!"/>
    <s v="Bonne chance pour les examens !"/>
    <d v="2019-04-03T00:00:00"/>
    <x v="5"/>
    <n v="3"/>
    <n v="0.6"/>
  </r>
  <r>
    <s v="Things are looking up."/>
    <s v="Les choses se présentent plutôt bien."/>
    <d v="2019-04-03T00:00:00"/>
    <x v="6"/>
    <n v="4"/>
    <n v="0.66666666666666663"/>
  </r>
  <r>
    <s v="Are you clear about what you have to do?"/>
    <s v="As-tu bien compris ce que tu as à faire ?"/>
    <d v="2019-04-03T00:00:00"/>
    <x v="8"/>
    <n v="4"/>
    <n v="0.5"/>
  </r>
  <r>
    <s v="I don't think very highly of my boss."/>
    <s v="Je n'ai pas une très haute opinion de mon responsable."/>
    <d v="2019-04-03T00:00:00"/>
    <x v="7"/>
    <n v="5"/>
    <n v="0.7142857142857143"/>
  </r>
  <r>
    <s v="In despair, she took her own life."/>
    <s v="Désespérée, elle a mis fin à ses jours."/>
    <d v="2019-04-03T00:00:00"/>
    <x v="10"/>
    <n v="6"/>
    <n v="0.6"/>
  </r>
  <r>
    <s v="It was love at first sight."/>
    <s v="Ca a été le coup de foudre."/>
    <d v="2019-04-03T00:00:00"/>
    <x v="7"/>
    <n v="7"/>
    <n v="1"/>
  </r>
  <r>
    <s v="I could do with some advice."/>
    <s v="Un conseil serait le bienvenu."/>
    <d v="2019-04-03T00:00:00"/>
    <x v="8"/>
    <n v="6"/>
    <n v="0.75"/>
  </r>
  <r>
    <s v="I'll pick you up from the station."/>
    <s v="Je viendrai te chercher à la gare."/>
    <d v="2019-04-03T00:00:00"/>
    <x v="8"/>
    <n v="0"/>
    <n v="0"/>
  </r>
  <r>
    <s v="She has rings under her eyes."/>
    <s v="Elle a des cernes."/>
    <d v="2019-04-04T00:00:00"/>
    <x v="1"/>
    <n v="0"/>
    <n v="0"/>
  </r>
  <r>
    <s v="Do you like opera? I can take it or leave it."/>
    <s v="Vous aimez l'opéra ? Pas plus que cela."/>
    <d v="2019-04-04T00:00:00"/>
    <x v="2"/>
    <n v="1"/>
    <n v="1"/>
  </r>
  <r>
    <s v="I'm beginning to get bored."/>
    <s v="Je commence à m'ennuyer."/>
    <d v="2019-04-04T00:00:00"/>
    <x v="2"/>
    <n v="1"/>
    <n v="1"/>
  </r>
  <r>
    <s v="Are you in pain?"/>
    <s v="Avez-vous mal ?"/>
    <d v="2019-04-04T00:00:00"/>
    <x v="2"/>
    <n v="-1"/>
    <n v="-1"/>
  </r>
  <r>
    <s v="Walking in the rain isn't my idea of fun."/>
    <s v="Je ne peux pas dire que j'aime marcher sous la pluie."/>
    <d v="2019-04-04T00:00:00"/>
    <x v="0"/>
    <n v="2"/>
    <n v="1"/>
  </r>
  <r>
    <s v="I regret having ever mentioned it now."/>
    <s v="J'aurais mieux fait de ne pas en parler."/>
    <d v="2019-04-04T00:00:00"/>
    <x v="0"/>
    <n v="-2"/>
    <n v="-1"/>
  </r>
  <r>
    <s v="It makes no difference to me."/>
    <s v="Cela m'est égal."/>
    <d v="2019-04-04T00:00:00"/>
    <x v="0"/>
    <n v="-2"/>
    <n v="-1"/>
  </r>
  <r>
    <s v="Take no notice of him!"/>
    <s v="Ne faites pas attention à lui !"/>
    <d v="2019-04-04T00:00:00"/>
    <x v="0"/>
    <n v="-2"/>
    <n v="-1"/>
  </r>
  <r>
    <s v="You give up too easily."/>
    <s v="Tu abandonnes trop facilement."/>
    <d v="2019-04-04T00:00:00"/>
    <x v="0"/>
    <n v="2"/>
    <n v="1"/>
  </r>
  <r>
    <s v="Where is it sore?"/>
    <s v="Où as-tu mal ?"/>
    <d v="2019-04-04T00:00:00"/>
    <x v="0"/>
    <n v="2"/>
    <n v="1"/>
  </r>
  <r>
    <s v="Hearing myself say that, I just wanted the ground to open and to swallow me up."/>
    <s v="J'aurais voulu disparaître sous terre quand je me suis rendu compte de ce que j'avais dit."/>
    <d v="2019-04-04T00:00:00"/>
    <x v="3"/>
    <n v="1"/>
    <n v="0.33333333333333331"/>
  </r>
  <r>
    <s v="This medecine will help ease the pain."/>
    <s v="Ce médicament soulagera la douleur."/>
    <d v="2019-04-04T00:00:00"/>
    <x v="3"/>
    <n v="-1"/>
    <n v="-0.33333333333333331"/>
  </r>
  <r>
    <s v="Have you had any news of her?"/>
    <s v="Avez-vous eu de ses nouvelles ?"/>
    <d v="2019-04-04T00:00:00"/>
    <x v="4"/>
    <n v="0"/>
    <n v="0"/>
  </r>
  <r>
    <s v="She drained her glass."/>
    <s v="Elle a vidé son verre."/>
    <d v="2019-04-04T00:00:00"/>
    <x v="3"/>
    <n v="3"/>
    <n v="1"/>
  </r>
  <r>
    <s v="He gets tired easily."/>
    <s v="Il se fatigue facilement."/>
    <d v="2019-04-04T00:00:00"/>
    <x v="3"/>
    <n v="3"/>
    <n v="1"/>
  </r>
  <r>
    <s v="Can I get you something to drink?"/>
    <s v="Est-ce que je peux vous offrir quelque chose à boire ?"/>
    <d v="2019-04-04T00:00:00"/>
    <x v="4"/>
    <n v="-2"/>
    <n v="-0.5"/>
  </r>
  <r>
    <s v="Who cares?"/>
    <s v="Qu'est-ce que ça peut faire ?"/>
    <d v="2019-04-04T00:00:00"/>
    <x v="4"/>
    <n v="-2"/>
    <n v="-0.5"/>
  </r>
  <r>
    <s v="We'll have to make the best of the situation."/>
    <s v="Il faudra nous accommoder de la situation."/>
    <d v="2019-04-04T00:00:00"/>
    <x v="5"/>
    <n v="1"/>
    <n v="0.2"/>
  </r>
  <r>
    <s v="I'm getting thirsty."/>
    <s v="Je commence à avoir soif."/>
    <d v="2019-04-04T00:00:00"/>
    <x v="6"/>
    <n v="1"/>
    <n v="0.16666666666666666"/>
  </r>
  <r>
    <s v="He was anxious for them to go."/>
    <s v="Il attendait impatiemment qu'ils partent."/>
    <d v="2019-04-04T00:00:00"/>
    <x v="8"/>
    <n v="6"/>
    <n v="0.75"/>
  </r>
  <r>
    <s v="I couldn't care less if he comes or not."/>
    <s v="Cela m'est complètement égal qu'il vienne ou non."/>
    <d v="2019-04-04T00:00:00"/>
    <x v="9"/>
    <n v="7"/>
    <n v="0.77777777777777779"/>
  </r>
  <r>
    <s v="When he said that, I didn't know where to put my face!"/>
    <s v="Lorsqu'il a dit ça, je ne savais plus où me mettre !"/>
    <d v="2019-04-04T00:00:00"/>
    <x v="10"/>
    <n v="9"/>
    <n v="0.9"/>
  </r>
  <r>
    <s v="I don't have much faith in him."/>
    <s v="Je n'ai pas une très grande confiance en lui."/>
    <d v="2019-04-06T00:00:00"/>
    <x v="1"/>
    <n v="0"/>
    <n v="0"/>
  </r>
  <r>
    <s v="Is there anything you need?"/>
    <s v="Avez-vous besoin de quelque chose ?"/>
    <d v="2019-04-06T00:00:00"/>
    <x v="1"/>
    <n v="0"/>
    <n v="0"/>
  </r>
  <r>
    <s v="I urged him to accept."/>
    <s v="Je lui ai vivement conseillé d'accepter."/>
    <d v="2019-04-06T00:00:00"/>
    <x v="1"/>
    <n v="0"/>
    <n v="0"/>
  </r>
  <r>
    <s v="He'd have me believe that it's an antique."/>
    <s v="Il voudrait me faire croire que c'est un objet d'époque."/>
    <d v="2019-04-06T00:00:00"/>
    <x v="2"/>
    <n v="-1"/>
    <n v="-1"/>
  </r>
  <r>
    <s v="Which do you want? Either one will do."/>
    <s v="Lequel veux-tu ? N'importe."/>
    <d v="2019-04-06T00:00:00"/>
    <x v="2"/>
    <n v="-1"/>
    <n v="-1"/>
  </r>
  <r>
    <s v="These facts are totally unrelated."/>
    <s v="Il n'y a aucun rapport entre ces faits."/>
    <d v="2019-04-06T00:00:00"/>
    <x v="2"/>
    <n v="1"/>
    <n v="1"/>
  </r>
  <r>
    <s v="I owe you £20, is that right?"/>
    <s v="Je vous dois 20 livres, c'est ça ?"/>
    <d v="2019-04-06T00:00:00"/>
    <x v="0"/>
    <n v="2"/>
    <n v="1"/>
  </r>
  <r>
    <s v="She wasn't very convincing as Juliet."/>
    <s v="Elle n'était pas très convaincante dans le rôle de Juliette."/>
    <d v="2019-04-06T00:00:00"/>
    <x v="0"/>
    <n v="2"/>
    <n v="1"/>
  </r>
  <r>
    <s v="What's the hurry?"/>
    <s v="Qu'est-ce qui presse tant ?"/>
    <d v="2019-04-06T00:00:00"/>
    <x v="3"/>
    <n v="3"/>
    <n v="1"/>
  </r>
  <r>
    <s v="Are you quite sure he hasn't left yet?"/>
    <s v="Etes-vous bien sûr qu'il n'est pas encore parti ?"/>
    <d v="2019-04-06T00:00:00"/>
    <x v="0"/>
    <n v="2"/>
    <n v="1"/>
  </r>
  <r>
    <s v="I have every intention of calling her."/>
    <s v="J'ai bien l'intention de l'appeler."/>
    <d v="2019-04-06T00:00:00"/>
    <x v="4"/>
    <n v="4"/>
    <n v="1"/>
  </r>
  <r>
    <s v="I've told you hundreds of times!"/>
    <s v="Je vous l'ai dit cent fois !"/>
    <d v="2019-04-06T00:00:00"/>
    <x v="0"/>
    <n v="0"/>
    <n v="0"/>
  </r>
  <r>
    <s v="(Keep your) Chin up!"/>
    <s v="Courage !"/>
    <d v="2019-04-06T00:00:00"/>
    <x v="0"/>
    <n v="0"/>
    <n v="0"/>
  </r>
  <r>
    <s v="He went there out of curiosity."/>
    <s v="Il y est allé par curiosité."/>
    <d v="2019-04-06T00:00:00"/>
    <x v="3"/>
    <n v="3"/>
    <n v="1"/>
  </r>
  <r>
    <s v="Take your time over it."/>
    <s v="Prenez le temps qu'il faudra."/>
    <d v="2019-04-06T00:00:00"/>
    <x v="3"/>
    <n v="3"/>
    <n v="1"/>
  </r>
  <r>
    <s v="Like father, like son."/>
    <s v="Tel père, tel fils."/>
    <d v="2019-04-06T00:00:00"/>
    <x v="4"/>
    <n v="3"/>
    <n v="0.75"/>
  </r>
  <r>
    <s v="They weren't at all curious as to how it had happened."/>
    <s v="Ils n'étaient pas du tout curieux de savoir comment cela s'était produit."/>
    <d v="2019-04-06T00:00:00"/>
    <x v="4"/>
    <n v="-3"/>
    <n v="-0.75"/>
  </r>
  <r>
    <s v="I'm dying to know the score of the match."/>
    <s v="Je meurs d'envie de connaître le résultat du match."/>
    <d v="2019-04-06T00:00:00"/>
    <x v="4"/>
    <n v="4"/>
    <n v="1"/>
  </r>
  <r>
    <s v="Come tomorrow, preferably in the morning."/>
    <s v="Venez demain, de préférence en matinée."/>
    <d v="2019-04-06T00:00:00"/>
    <x v="4"/>
    <n v="4"/>
    <n v="1"/>
  </r>
  <r>
    <s v="When would be the best time for you?"/>
    <s v="Quelle heure vous conviendrait le mieux ?"/>
    <d v="2019-04-06T00:00:00"/>
    <x v="4"/>
    <n v="0"/>
    <n v="0"/>
  </r>
  <r>
    <s v="This is on me."/>
    <s v="C'est moi qui offre."/>
    <d v="2019-04-06T00:00:00"/>
    <x v="6"/>
    <n v="5"/>
    <n v="0.83333333333333337"/>
  </r>
  <r>
    <s v="There is little chance of that happening."/>
    <s v="Il y a peu de chances que cela se produise."/>
    <d v="2019-04-08T00:00:00"/>
    <x v="1"/>
    <n v="0"/>
    <n v="0"/>
  </r>
  <r>
    <s v="They won't take no for an answer."/>
    <s v="Ils n'accepteront aucun refus."/>
    <d v="2019-04-08T00:00:00"/>
    <x v="2"/>
    <n v="1"/>
    <n v="1"/>
  </r>
  <r>
    <s v="I wouldn't say no to a cold drink."/>
    <s v="Je prendrais volontiers une boisson fraîche."/>
    <d v="2019-04-08T00:00:00"/>
    <x v="2"/>
    <n v="1"/>
    <n v="1"/>
  </r>
  <r>
    <s v="Don't say I didn't warn you!"/>
    <s v="Je t'aurai prévenu !"/>
    <d v="2019-04-08T00:00:00"/>
    <x v="2"/>
    <n v="-1"/>
    <n v="-1"/>
  </r>
  <r>
    <s v="Attendance is compulsory."/>
    <s v="La présence est obligatoire."/>
    <d v="2019-04-08T00:00:00"/>
    <x v="2"/>
    <n v="1"/>
    <n v="1"/>
  </r>
  <r>
    <s v="Forget it!"/>
    <s v="Tu peux oublier !"/>
    <d v="2019-04-08T00:00:00"/>
    <x v="2"/>
    <n v="-1"/>
    <n v="-1"/>
  </r>
  <r>
    <s v="He could'nt be doing with living in London."/>
    <s v="Il ne pouvait pas supporter de vivre à Londres."/>
    <d v="2019-04-08T00:00:00"/>
    <x v="0"/>
    <n v="-2"/>
    <n v="-1"/>
  </r>
  <r>
    <s v="She fell to the floor in a faint."/>
    <s v="Elle est tombée en syncope."/>
    <d v="2019-04-08T00:00:00"/>
    <x v="0"/>
    <n v="2"/>
    <n v="1"/>
  </r>
  <r>
    <s v="Are you up to doing it?"/>
    <s v="En êtes-vous capables ?"/>
    <d v="2019-04-08T00:00:00"/>
    <x v="0"/>
    <n v="0"/>
    <n v="0"/>
  </r>
  <r>
    <s v="Do you mind if I borrow your pen? I'd rather you didn't."/>
    <s v="Puis-je emprunter ton stylo ? Je préfèrerais que non."/>
    <d v="2019-04-08T00:00:00"/>
    <x v="3"/>
    <n v="1"/>
    <n v="0.33333333333333331"/>
  </r>
  <r>
    <s v="He is very intolerant of noisy children."/>
    <s v="Il ne supporte absolument pas les enfants bruyants."/>
    <d v="2019-04-08T00:00:00"/>
    <x v="3"/>
    <n v="1"/>
    <n v="0.33333333333333331"/>
  </r>
  <r>
    <s v="She was banned from driving for a year."/>
    <s v="Elle a eu une suspension de permis de conduire d'un an."/>
    <d v="2019-04-08T00:00:00"/>
    <x v="3"/>
    <n v="3"/>
    <n v="1"/>
  </r>
  <r>
    <s v="Quiet, please!"/>
    <s v="Silence, s'il vous plaît !"/>
    <d v="2019-04-08T00:00:00"/>
    <x v="3"/>
    <n v="3"/>
    <n v="1"/>
  </r>
  <r>
    <s v="She comes to see me whenever possible."/>
    <s v="Elle vient me voir quand elle le peut."/>
    <d v="2019-04-08T00:00:00"/>
    <x v="4"/>
    <n v="4"/>
    <n v="1"/>
  </r>
  <r>
    <s v="I didn't think she had it in her."/>
    <s v="Je ne l'en croyais pas capable."/>
    <d v="2019-04-08T00:00:00"/>
    <x v="4"/>
    <n v="4"/>
    <n v="1"/>
  </r>
  <r>
    <s v="You shouldn't use threatening language."/>
    <s v="Vous ne devriez pas faire des menaces."/>
    <d v="2019-04-08T00:00:00"/>
    <x v="5"/>
    <n v="5"/>
    <n v="1"/>
  </r>
  <r>
    <s v="He's quite unsuitable for the job."/>
    <s v="Ce n'est pas la personne qu'il faut pour ce poste."/>
    <d v="2019-04-08T00:00:00"/>
    <x v="5"/>
    <n v="3"/>
    <n v="0.6"/>
  </r>
  <r>
    <s v="Just leave it alone, will you!"/>
    <s v="Ne touche pas à ça, tu m'entends !"/>
    <d v="2019-04-08T00:00:00"/>
    <x v="6"/>
    <n v="3"/>
    <n v="0.5"/>
  </r>
  <r>
    <s v="No one's forcing you."/>
    <s v="Tu n'es pas obligé."/>
    <d v="2019-04-08T00:00:00"/>
    <x v="5"/>
    <n v="-1"/>
    <n v="-0.2"/>
  </r>
  <r>
    <s v="It's easier said than done."/>
    <s v="C'est plus facile à dire qu'à faire."/>
    <d v="2019-04-08T00:00:00"/>
    <x v="6"/>
    <n v="6"/>
    <n v="1"/>
  </r>
  <r>
    <s v="I'm just following orders."/>
    <s v="Je ne fais qu'exécuter les ordres."/>
    <d v="2019-04-08T00:00:00"/>
    <x v="7"/>
    <n v="7"/>
    <n v="1"/>
  </r>
  <r>
    <s v="They are capable of looking after themselves."/>
    <s v="Ils sont capables de se débrouiller tout seuls."/>
    <d v="2019-04-08T00:00:00"/>
    <x v="10"/>
    <n v="8"/>
    <n v="0.8"/>
  </r>
  <r>
    <s v="That's the least of my worries."/>
    <s v="C'est le cadet de mes soucis."/>
    <d v="2019-04-09T00:00:00"/>
    <x v="1"/>
    <n v="0"/>
    <n v="0"/>
  </r>
  <r>
    <s v="I was mixing you up with your brother."/>
    <s v="Je vous confondais avec votre frère."/>
    <d v="2019-04-09T00:00:00"/>
    <x v="3"/>
    <n v="3"/>
    <n v="1"/>
  </r>
  <r>
    <s v="We gave her a poney as a present."/>
    <s v="Nous lui avons fait cadeau d'un poney."/>
    <d v="2019-04-09T00:00:00"/>
    <x v="2"/>
    <n v="1"/>
    <n v="1"/>
  </r>
  <r>
    <s v="We don't have anything planned tomorrow afternoon."/>
    <s v="Nous n'avons rien de prévu pour demain après-midi."/>
    <d v="2019-04-09T00:00:00"/>
    <x v="4"/>
    <n v="0"/>
    <n v="0"/>
  </r>
  <r>
    <s v="I don't get much enjoyment out of teaching."/>
    <s v="Je n'ai guère de plaisir à enseigner."/>
    <d v="2019-04-09T00:00:00"/>
    <x v="0"/>
    <n v="0"/>
    <n v="0"/>
  </r>
  <r>
    <s v="Tell me what's worrying you."/>
    <s v="Dis-moi ce qui te tracasse."/>
    <d v="2019-04-09T00:00:00"/>
    <x v="0"/>
    <n v="2"/>
    <n v="1"/>
  </r>
  <r>
    <s v="He was successfully operated on for a stomach ulcer."/>
    <s v="Il a été opéré avec succès d'un ulcère à l'estomac."/>
    <d v="2019-04-09T00:00:00"/>
    <x v="3"/>
    <n v="2"/>
    <n v="0.66666666666666663"/>
  </r>
  <r>
    <s v="How about meeting for a drink after work? That'd be nice."/>
    <s v="Ca te dirait de prendre un verre après le travail ? Oui, ce serait sympa."/>
    <d v="2019-04-09T00:00:00"/>
    <x v="3"/>
    <n v="-2"/>
    <n v="-0.66666666666666663"/>
  </r>
  <r>
    <s v="Do come in and make yourself at home."/>
    <s v="Entrez donc, faites comme chez vous."/>
    <d v="2019-04-09T00:00:00"/>
    <x v="4"/>
    <n v="4"/>
    <n v="1"/>
  </r>
  <r>
    <s v="The rehearsal went well."/>
    <s v="La répétition s'est bien passée."/>
    <d v="2019-04-09T00:00:00"/>
    <x v="4"/>
    <n v="4"/>
    <n v="1"/>
  </r>
  <r>
    <s v="Would you like to go out for dinner with me tomorrow night? Sorry, I can't make it."/>
    <s v="Aimerais-tu aller dîner avec moi demain soir ? Désolé, je ne peux pas."/>
    <d v="2019-04-09T00:00:00"/>
    <x v="5"/>
    <n v="1"/>
    <n v="0.2"/>
  </r>
  <r>
    <s v="Nothing seems to trouble him."/>
    <s v="Il ne s'en fait jamais."/>
    <d v="2019-04-09T00:00:00"/>
    <x v="5"/>
    <n v="-1"/>
    <n v="-0.2"/>
  </r>
  <r>
    <s v="That's a weight off my mind."/>
    <s v="Je suis vraiment soulagé."/>
    <d v="2019-04-09T00:00:00"/>
    <x v="5"/>
    <n v="1"/>
    <n v="0.2"/>
  </r>
  <r>
    <s v="This is just a small gift to say thank you."/>
    <s v="Ce n'est qu'un petit quelque chose pour vous remercier."/>
    <d v="2019-04-09T00:00:00"/>
    <x v="6"/>
    <n v="6"/>
    <n v="1"/>
  </r>
  <r>
    <s v="We are gaining ground on our competitors."/>
    <s v="Nous gagnons du terrain sur nos concurrents."/>
    <d v="2019-04-09T00:00:00"/>
    <x v="6"/>
    <n v="6"/>
    <n v="1"/>
  </r>
  <r>
    <s v="She offered me £800 for my car."/>
    <s v="Elle m'a offert £800 pour ma voiture."/>
    <d v="2019-04-09T00:00:00"/>
    <x v="7"/>
    <n v="7"/>
    <n v="1"/>
  </r>
  <r>
    <s v="He's making great strides with his research."/>
    <s v="Sa recherche avance à grands pas."/>
    <d v="2019-04-09T00:00:00"/>
    <x v="9"/>
    <n v="8"/>
    <n v="0.88888888888888884"/>
  </r>
  <r>
    <s v="puzzling"/>
    <s v="déroutant"/>
    <d v="2019-05-20T00:00:00"/>
    <x v="2"/>
    <n v="-1"/>
    <n v="-1"/>
  </r>
  <r>
    <s v="a quirk"/>
    <s v="une bizarrerie (q…)"/>
    <d v="2019-05-20T00:00:00"/>
    <x v="2"/>
    <n v="-1"/>
    <n v="-1"/>
  </r>
  <r>
    <s v="a doll"/>
    <s v="une poupée"/>
    <d v="2019-05-20T00:00:00"/>
    <x v="5"/>
    <n v="5"/>
    <n v="1"/>
  </r>
  <r>
    <s v="craft (common name)"/>
    <s v="l'artisanat"/>
    <d v="2019-07-15T00:00:00"/>
    <x v="0"/>
    <n v="2"/>
    <n v="1"/>
  </r>
  <r>
    <s v="web hosting"/>
    <s v="l'hébergement web"/>
    <d v="2019-07-15T00:00:00"/>
    <x v="3"/>
    <n v="3"/>
    <n v="1"/>
  </r>
  <r>
    <s v="spellbound"/>
    <s v="envoûtant"/>
    <d v="2019-07-27T00:00:00"/>
    <x v="2"/>
    <n v="-1"/>
    <n v="-1"/>
  </r>
  <r>
    <s v="an insole"/>
    <s v="une semelle intérieure"/>
    <d v="2019-07-27T00:00:00"/>
    <x v="2"/>
    <n v="1"/>
    <n v="1"/>
  </r>
  <r>
    <s v=" a stake"/>
    <s v="un enjeu"/>
    <d v="2019-08-05T00:00:00"/>
    <x v="1"/>
    <n v="0"/>
    <n v="0"/>
  </r>
  <r>
    <s v="a spindle"/>
    <s v="une broche"/>
    <d v="2019-08-05T00:00:00"/>
    <x v="3"/>
    <n v="3"/>
    <n v="1"/>
  </r>
  <r>
    <s v="to partake"/>
    <s v="prendre part à"/>
    <d v="2019-08-12T00:00:00"/>
    <x v="1"/>
    <n v="0"/>
    <n v="0"/>
  </r>
  <r>
    <s v="an ember"/>
    <s v="une braise"/>
    <d v="2019-08-12T00:00:00"/>
    <x v="2"/>
    <n v="1"/>
    <n v="1"/>
  </r>
  <r>
    <s v="a log"/>
    <s v="une bûche / un registre, un carnet de bord"/>
    <d v="2019-08-12T00:00:00"/>
    <x v="2"/>
    <n v="1"/>
    <n v="1"/>
  </r>
  <r>
    <s v="an anvil"/>
    <s v="une enclume"/>
    <d v="2019-10-14T00:00:00"/>
    <x v="2"/>
    <n v="-1"/>
    <n v="-1"/>
  </r>
  <r>
    <s v="lest…"/>
    <s v="de peur de …"/>
    <d v="2019-10-14T00:00:00"/>
    <x v="3"/>
    <n v="3"/>
    <n v="1"/>
  </r>
  <r>
    <s v="a chime"/>
    <s v="un carillon"/>
    <d v="2019-10-18T00:00:00"/>
    <x v="1"/>
    <n v="0"/>
    <n v="0"/>
  </r>
  <r>
    <s v="a blossom"/>
    <s v="une fleur"/>
    <d v="2019-10-23T00:00:00"/>
    <x v="2"/>
    <n v="1"/>
    <n v="1"/>
  </r>
  <r>
    <s v="pelts"/>
    <s v="des peaux de bête"/>
    <d v="2019-10-29T00:00:00"/>
    <x v="0"/>
    <n v="2"/>
    <n v="1"/>
  </r>
  <r>
    <s v="plumes of smoke"/>
    <s v="des panaches de fumée"/>
    <d v="2019-10-29T00:00:00"/>
    <x v="4"/>
    <n v="4"/>
    <n v="1"/>
  </r>
  <r>
    <s v="laity (common name)"/>
    <s v="les laïcs"/>
    <d v="2019-11-02T00:00:00"/>
    <x v="1"/>
    <n v="0"/>
    <n v="0"/>
  </r>
  <r>
    <s v="mishaps (common name)"/>
    <s v="les mésaventures"/>
    <d v="2019-11-02T00:00:00"/>
    <x v="0"/>
    <n v="2"/>
    <n v="1"/>
  </r>
  <r>
    <s v="to tear up"/>
    <s v="déchirer (to t…)"/>
    <d v="2019-11-07T00:00:00"/>
    <x v="0"/>
    <n v="-2"/>
    <n v="-1"/>
  </r>
  <r>
    <s v="lush"/>
    <s v="luxuriant"/>
    <d v="2019-11-07T00:00:00"/>
    <x v="3"/>
    <n v="3"/>
    <n v="1"/>
  </r>
  <r>
    <s v="a straw buyer (illegal business)"/>
    <s v="un acheteur de paille (armes, drogues, …)"/>
    <d v="2019-11-07T00:00:00"/>
    <x v="7"/>
    <n v="7"/>
    <n v="1"/>
  </r>
  <r>
    <s v="readings"/>
    <s v="les lectures"/>
    <d v="2019-11-18T00:00:00"/>
    <x v="0"/>
    <n v="2"/>
    <n v="1"/>
  </r>
  <r>
    <s v="the scurvy"/>
    <s v="le scorbut"/>
    <d v="2019-12-03T00:00:00"/>
    <x v="1"/>
    <n v="0"/>
    <n v="0"/>
  </r>
  <r>
    <s v="blatant"/>
    <s v="flagrant"/>
    <d v="2019-12-03T00:00:00"/>
    <x v="0"/>
    <n v="2"/>
    <n v="1"/>
  </r>
  <r>
    <s v="a disclaimer"/>
    <s v="un avertissement (d…)"/>
    <d v="2019-12-16T00:00:00"/>
    <x v="0"/>
    <n v="-2"/>
    <n v="-1"/>
  </r>
  <r>
    <s v="a timeframe"/>
    <s v="une plage de temps"/>
    <d v="2019-12-16T00:00:00"/>
    <x v="4"/>
    <n v="2"/>
    <n v="0.5"/>
  </r>
  <r>
    <s v="a rule of thumb"/>
    <s v="une règle d'or"/>
    <d v="2019-12-16T00:00:00"/>
    <x v="6"/>
    <n v="4"/>
    <n v="0.66666666666666663"/>
  </r>
  <r>
    <s v="upfront (adj.) / an upfront payment"/>
    <s v="franc / un paiement initial"/>
    <d v="2019-12-17T00:00:00"/>
    <x v="0"/>
    <n v="-2"/>
    <n v="-1"/>
  </r>
  <r>
    <s v="I took an exam."/>
    <s v="J'ai passé un examen."/>
    <d v="2019-12-27T00:00:00"/>
    <x v="2"/>
    <n v="-1"/>
    <n v="-1"/>
  </r>
  <r>
    <s v="a lead time"/>
    <s v="un délai de mise en œuvre"/>
    <d v="2020-02-11T00:00:00"/>
    <x v="1"/>
    <n v="0"/>
    <n v="0"/>
  </r>
  <r>
    <s v="a slat"/>
    <s v="une latte"/>
    <d v="2020-02-11T00:00:00"/>
    <x v="3"/>
    <n v="1"/>
    <n v="0.33333333333333331"/>
  </r>
  <r>
    <s v="a switch (techn.)"/>
    <s v="un interrupteur"/>
    <d v="2020-02-11T00:00:00"/>
    <x v="0"/>
    <n v="2"/>
    <n v="1"/>
  </r>
  <r>
    <s v="to shuffle"/>
    <s v="brouiller, mêler / remanier"/>
    <d v="2020-02-11T00:00:00"/>
    <x v="3"/>
    <n v="3"/>
    <n v="1"/>
  </r>
  <r>
    <s v="a guesswork"/>
    <s v="une conjecture"/>
    <d v="2020-02-11T00:00:00"/>
    <x v="4"/>
    <n v="-4"/>
    <n v="-1"/>
  </r>
  <r>
    <s v="a comic strip"/>
    <s v="une bande dessinée"/>
    <d v="2020-02-11T00:00:00"/>
    <x v="4"/>
    <n v="4"/>
    <n v="1"/>
  </r>
  <r>
    <s v="Let's get rid of that."/>
    <s v="Débarrassons-nous de ça."/>
    <d v="2020-02-26T00:00:00"/>
    <x v="7"/>
    <n v="7"/>
    <n v="1"/>
  </r>
  <r>
    <s v="fun-loving"/>
    <s v="aimer s'amuser"/>
    <d v="2020-03-10T00:00:00"/>
    <x v="0"/>
    <n v="2"/>
    <n v="1"/>
  </r>
  <r>
    <s v="an apex"/>
    <s v="un sommet (propre et figuré)"/>
    <d v="2020-05-11T00:00:00"/>
    <x v="1"/>
    <n v="0"/>
    <n v="0"/>
  </r>
  <r>
    <s v="the outline"/>
    <s v="le contour (o…)"/>
    <d v="2020-05-11T00:00:00"/>
    <x v="3"/>
    <n v="1"/>
    <n v="0.33333333333333331"/>
  </r>
  <r>
    <s v="overhead (adj.) / an overhead (common name)"/>
    <s v="aérien / un coût"/>
    <d v="2020-05-18T00:00:00"/>
    <x v="2"/>
    <n v="-1"/>
    <n v="-1"/>
  </r>
  <r>
    <s v="a rhyme"/>
    <s v="une rime"/>
    <d v="2020-05-18T00:00:00"/>
    <x v="6"/>
    <n v="6"/>
    <n v="1"/>
  </r>
  <r>
    <s v="mashed potatoes"/>
    <s v="de la purée de pomme de terre"/>
    <d v="2020-05-26T00:00:00"/>
    <x v="1"/>
    <n v="0"/>
    <n v="0"/>
  </r>
  <r>
    <s v="The singsong voice of children reciting tables."/>
    <s v="La voix chantonnante des enfants récitant les tables de multiplication."/>
    <d v="2020-06-02T00:00:00"/>
    <x v="2"/>
    <n v="-1"/>
    <n v="-1"/>
  </r>
  <r>
    <s v="an apple polisher (figurative expression)"/>
    <s v="un cireur de pompes"/>
    <d v="2020-06-22T00:00:00"/>
    <x v="1"/>
    <n v="0"/>
    <n v="0"/>
  </r>
  <r>
    <s v="a pitfall"/>
    <s v="un piège (p…)"/>
    <d v="2020-06-22T00:00:00"/>
    <x v="2"/>
    <n v="-1"/>
    <n v="-1"/>
  </r>
  <r>
    <s v="To make our company recession proof, …"/>
    <s v="Pour mettre notre société à l'abri de la récession, …"/>
    <d v="2020-06-22T00:00:00"/>
    <x v="6"/>
    <n v="6"/>
    <n v="1"/>
  </r>
  <r>
    <s v="whatever floats your boat"/>
    <s v="c'est comme tu veux"/>
    <d v="2020-07-02T00:00:00"/>
    <x v="4"/>
    <n v="0"/>
    <n v="0"/>
  </r>
  <r>
    <s v="stained"/>
    <s v="taché / coloré"/>
    <d v="2020-07-14T00:00:00"/>
    <x v="1"/>
    <n v="0"/>
    <n v="0"/>
  </r>
  <r>
    <s v="on the fly"/>
    <s v="à la volée"/>
    <d v="2020-07-14T00:00:00"/>
    <x v="2"/>
    <n v="-1"/>
    <n v="-1"/>
  </r>
  <r>
    <s v="in lieu of"/>
    <s v="au lieu de "/>
    <d v="2020-07-14T00:00:00"/>
    <x v="5"/>
    <n v="4"/>
    <n v="0.8"/>
  </r>
  <r>
    <s v="a homemaker"/>
    <s v="une ménagère"/>
    <d v="2020-07-21T00:00:00"/>
    <x v="1"/>
    <n v="0"/>
    <n v="0"/>
  </r>
  <r>
    <s v="a peek"/>
    <s v="un coup d'œil"/>
    <d v="2020-07-21T00:00:00"/>
    <x v="4"/>
    <n v="4"/>
    <n v="1"/>
  </r>
  <r>
    <s v="The catch is ..."/>
    <s v="Le hic est ..."/>
    <d v="2020-07-30T00:00:00"/>
    <x v="0"/>
    <n v="0"/>
    <n v="0"/>
  </r>
  <r>
    <s v="a culprit"/>
    <s v="un coupable"/>
    <d v="2020-07-30T00:00:00"/>
    <x v="4"/>
    <n v="4"/>
    <n v="1"/>
  </r>
  <r>
    <s v="a bunch"/>
    <s v="un bouquet / un paquet, une poignée"/>
    <d v="2020-08-03T00:00:00"/>
    <x v="2"/>
    <n v="-1"/>
    <n v="-1"/>
  </r>
  <r>
    <s v="Way back when …"/>
    <s v="Il y a longtemps, quand ..."/>
    <d v="2020-08-03T00:00:00"/>
    <x v="7"/>
    <n v="-1"/>
    <n v="-0.14285714285714285"/>
  </r>
  <r>
    <s v="One will do."/>
    <s v="On verra."/>
    <d v="2020-08-10T00:00:00"/>
    <x v="5"/>
    <n v="-1"/>
    <n v="-0.2"/>
  </r>
  <r>
    <s v="an imbalance"/>
    <s v="un déséquilibre"/>
    <d v="2020-08-10T00:00:00"/>
    <x v="4"/>
    <n v="4"/>
    <n v="1"/>
  </r>
  <r>
    <s v="fins (common name)"/>
    <s v="les palmes (nageoires)"/>
    <d v="2021-01-25T00:00:00"/>
    <x v="0"/>
    <n v="-2"/>
    <n v="-1"/>
  </r>
  <r>
    <s v="to predate"/>
    <s v="antidater / précéder"/>
    <d v="2021-02-15T00:00:00"/>
    <x v="2"/>
    <n v="-1"/>
    <n v="-1"/>
  </r>
  <r>
    <s v="to turnaround"/>
    <s v="faire demi-tour"/>
    <d v="2021-02-22T00:00:00"/>
    <x v="1"/>
    <n v="0"/>
    <n v="0"/>
  </r>
  <r>
    <s v="a phrase book"/>
    <s v="un recueil d'expressions"/>
    <d v="2021-03-03T00:00:00"/>
    <x v="1"/>
    <n v="0"/>
    <n v="0"/>
  </r>
  <r>
    <s v="full-bodied"/>
    <s v="corsé, qui a du corps"/>
    <d v="2021-03-07T00:00:00"/>
    <x v="1"/>
    <n v="0"/>
    <n v="0"/>
  </r>
  <r>
    <s v="to burp"/>
    <s v="roter"/>
    <d v="2021-03-07T00:00:00"/>
    <x v="1"/>
    <n v="0"/>
    <n v="0"/>
  </r>
  <r>
    <s v="to dress a wound"/>
    <s v="panser une plaie"/>
    <d v="2021-03-07T00:00:00"/>
    <x v="0"/>
    <n v="2"/>
    <n v="1"/>
  </r>
  <r>
    <s v="damp (adj.)"/>
    <s v="humide"/>
    <d v="2021-03-14T00:00:00"/>
    <x v="2"/>
    <n v="1"/>
    <n v="1"/>
  </r>
  <r>
    <s v="dank (adj.)"/>
    <s v="humide"/>
    <d v="2021-03-16T00:00:00"/>
    <x v="2"/>
    <n v="-1"/>
    <n v="-1"/>
  </r>
  <r>
    <s v="a flagship"/>
    <s v="un vaisseau amiral"/>
    <d v="2021-03-16T00:00:00"/>
    <x v="5"/>
    <n v="5"/>
    <n v="1"/>
  </r>
  <r>
    <s v="a plug (techn.)"/>
    <s v="une prise de courant"/>
    <d v="2021-04-13T00:00:00"/>
    <x v="4"/>
    <n v="4"/>
    <n v="1"/>
  </r>
  <r>
    <s v="a magnifying glass"/>
    <s v="une loupe"/>
    <d v="2021-06-10T00:00:00"/>
    <x v="2"/>
    <n v="1"/>
    <n v="1"/>
  </r>
  <r>
    <s v="a nugget"/>
    <s v="une pépite"/>
    <d v="2021-06-19T00:00:00"/>
    <x v="1"/>
    <n v="0"/>
    <n v="0"/>
  </r>
  <r>
    <s v="the rightmost, the leftmost"/>
    <s v="le plus à droite, le plus à gauche"/>
    <d v="2021-06-19T00:00:00"/>
    <x v="0"/>
    <n v="-2"/>
    <n v="-1"/>
  </r>
  <r>
    <s v="a magnitude"/>
    <s v="un ordre de grandeur"/>
    <d v="2021-06-22T00:00:00"/>
    <x v="0"/>
    <n v="2"/>
    <n v="1"/>
  </r>
  <r>
    <s v="a flowerbed"/>
    <s v="un parterre de fleurs"/>
    <d v="2021-06-24T00:00:00"/>
    <x v="2"/>
    <n v="1"/>
    <n v="1"/>
  </r>
  <r>
    <s v="slack (adj.)"/>
    <s v="mou, relâché"/>
    <d v="2021-07-04T00:00:00"/>
    <x v="5"/>
    <n v="5"/>
    <n v="1"/>
  </r>
  <r>
    <s v="the hare"/>
    <s v="le lièvre"/>
    <d v="2021-07-18T00:00:00"/>
    <x v="2"/>
    <n v="1"/>
    <n v="1"/>
  </r>
  <r>
    <s v="an inconsistency"/>
    <s v="une incohérence"/>
    <d v="2021-07-18T00:00:00"/>
    <x v="0"/>
    <n v="2"/>
    <n v="1"/>
  </r>
  <r>
    <s v="the tortoise (tortus')"/>
    <s v="la tortue"/>
    <d v="2021-07-18T00:00:00"/>
    <x v="3"/>
    <n v="3"/>
    <n v="1"/>
  </r>
  <r>
    <s v="a chunk"/>
    <s v="un tronçon"/>
    <d v="2021-07-18T00:00:00"/>
    <x v="4"/>
    <n v="4"/>
    <n v="1"/>
  </r>
  <r>
    <s v="swift (adj.)"/>
    <s v="rapide (s…)"/>
    <d v="2021-07-21T00:00:00"/>
    <x v="4"/>
    <n v="4"/>
    <n v="1"/>
  </r>
  <r>
    <s v="like there’s no tomorrow (expr.)"/>
    <s v="aussi vite que possible, sans planification particulière"/>
    <d v="2021-08-10T00:00:00"/>
    <x v="0"/>
    <n v="0"/>
    <n v="0"/>
  </r>
  <r>
    <s v="smoldering (adj.)"/>
    <s v="fumant"/>
    <d v="2021-08-14T00:00:00"/>
    <x v="1"/>
    <n v="0"/>
    <n v="0"/>
  </r>
  <r>
    <s v="to sully"/>
    <s v="souiller (to s…)"/>
    <d v="2021-08-14T00:00:00"/>
    <x v="2"/>
    <n v="1"/>
    <n v="1"/>
  </r>
  <r>
    <s v="Macbeth is steeling himself to stab Duncan to death."/>
    <s v="Macbeth se prépare à poignarder Duncan à mort."/>
    <d v="2021-08-17T00:00:00"/>
    <x v="3"/>
    <n v="1"/>
    <n v="0.33333333333333331"/>
  </r>
  <r>
    <s v="hail (expr. / common name)"/>
    <s v="salut / la grêle"/>
    <d v="2021-08-26T00:00:00"/>
    <x v="4"/>
    <n v="4"/>
    <n v="1"/>
  </r>
  <r>
    <s v="a tycoon"/>
    <s v="un magnat, un homme d'affaire important"/>
    <d v="2021-09-03T00:00:00"/>
    <x v="2"/>
    <n v="1"/>
    <n v="1"/>
  </r>
  <r>
    <s v="a misstep"/>
    <s v="un faux-pas"/>
    <d v="2021-09-03T00:00:00"/>
    <x v="3"/>
    <n v="3"/>
    <n v="1"/>
  </r>
  <r>
    <s v="barebones (adj.)"/>
    <s v="réduit à l'essentiel"/>
    <d v="2021-09-18T00:00:00"/>
    <x v="1"/>
    <n v="0"/>
    <n v="0"/>
  </r>
  <r>
    <s v="a pomegranate"/>
    <s v="une grenade (le fruit)"/>
    <d v="2021-10-25T00:00:00"/>
    <x v="3"/>
    <n v="3"/>
    <n v="1"/>
  </r>
  <r>
    <s v="lossy (adj.)"/>
    <s v="non rentable"/>
    <d v="2021-11-21T00:00:00"/>
    <x v="5"/>
    <n v="5"/>
    <n v="1"/>
  </r>
  <r>
    <s v="a minesweeper"/>
    <s v="un chasseur de mine"/>
    <d v="2021-11-24T00:00:00"/>
    <x v="1"/>
    <n v="0"/>
    <n v="0"/>
  </r>
  <r>
    <s v="a turd"/>
    <s v="un con, un couillon (a t…)"/>
    <d v="2021-11-24T00:00:00"/>
    <x v="6"/>
    <n v="4"/>
    <n v="0.66666666666666663"/>
  </r>
  <r>
    <s v="a wee orchard"/>
    <s v="un petit verger"/>
    <d v="2021-11-24T00:00:00"/>
    <x v="9"/>
    <n v="9"/>
    <n v="1"/>
  </r>
  <r>
    <s v="a broad swath"/>
    <s v="un large éventail"/>
    <d v="2021-12-01T00:00:00"/>
    <x v="0"/>
    <n v="2"/>
    <n v="1"/>
  </r>
  <r>
    <s v="a whisker"/>
    <s v="une moustache"/>
    <d v="2021-12-01T00:00:00"/>
    <x v="4"/>
    <n v="2"/>
    <n v="0.5"/>
  </r>
  <r>
    <s v="the righteousness"/>
    <s v="la droiture, la vertu"/>
    <d v="2021-12-30T00:00:00"/>
    <x v="3"/>
    <n v="3"/>
    <n v="1"/>
  </r>
  <r>
    <s v="It would behoove you to learn from them as well."/>
    <s v="Il vous appartiendrait d'apprendre d'eux également."/>
    <d v="2022-01-03T00:00:00"/>
    <x v="2"/>
    <n v="-1"/>
    <n v="-1"/>
  </r>
  <r>
    <s v="movie dubbing"/>
    <s v="le doublage d'un film"/>
    <d v="2022-01-18T00:00:00"/>
    <x v="1"/>
    <n v="0"/>
    <n v="0"/>
  </r>
  <r>
    <s v="unwed (adj.)"/>
    <s v="célibataire (u...)"/>
    <d v="2022-01-25T00:00:00"/>
    <x v="0"/>
    <n v="2"/>
    <n v="1"/>
  </r>
  <r>
    <s v="head or tail"/>
    <s v="pile ou face"/>
    <d v="2022-01-28T00:00:00"/>
    <x v="4"/>
    <n v="0"/>
    <n v="0"/>
  </r>
  <r>
    <s v="I’ll give you my two cents."/>
    <s v="Je vais te donner mon grain de sel."/>
    <d v="2022-01-28T00:00:00"/>
    <x v="6"/>
    <n v="6"/>
    <n v="1"/>
  </r>
  <r>
    <s v="thighbone (common name)"/>
    <s v="le fémur"/>
    <d v="2022-01-30T00:00:00"/>
    <x v="2"/>
    <n v="1"/>
    <n v="1"/>
  </r>
  <r>
    <s v="a pyre"/>
    <s v="un bûcher"/>
    <d v="2022-01-30T00:00:00"/>
    <x v="5"/>
    <n v="5"/>
    <n v="1"/>
  </r>
  <r>
    <s v="hawthorne (common name)"/>
    <s v="l'aubépine"/>
    <d v="2022-02-01T00:00:00"/>
    <x v="0"/>
    <n v="2"/>
    <n v="1"/>
  </r>
  <r>
    <s v="Finally, he blurts out his burning question."/>
    <s v="Finalement, il laisse échapper sa question brûlante."/>
    <d v="2022-02-13T00:00:00"/>
    <x v="4"/>
    <n v="0"/>
    <n v="0"/>
  </r>
  <r>
    <s v="teal (adj.)"/>
    <s v="sarcelle (turquoise clair)"/>
    <d v="2022-02-21T00:00:00"/>
    <x v="2"/>
    <n v="1"/>
    <n v="1"/>
  </r>
  <r>
    <s v="scads of"/>
    <s v="des tas de (s…)"/>
    <d v="2022-03-06T00:00:00"/>
    <x v="2"/>
    <n v="-1"/>
    <n v="-1"/>
  </r>
  <r>
    <s v="gallivanting (common name)"/>
    <s v="le flirt"/>
    <d v="2022-03-06T00:00:00"/>
    <x v="4"/>
    <n v="4"/>
    <n v="1"/>
  </r>
  <r>
    <s v="bellows (common name, singular)"/>
    <s v="un soufflet, une soufflerie"/>
    <d v="2022-03-20T00:00:00"/>
    <x v="3"/>
    <n v="-1"/>
    <n v="-0.33333333333333331"/>
  </r>
  <r>
    <s v="up and running"/>
    <s v="opérationnel"/>
    <d v="2022-03-27T00:00:00"/>
    <x v="1"/>
    <n v="0"/>
    <n v="0"/>
  </r>
  <r>
    <s v="serendipituous (adj.)"/>
    <s v="fortuit, découvert par hasard et avec bonheur"/>
    <d v="2022-04-15T00:00:00"/>
    <x v="5"/>
    <n v="3"/>
    <n v="0.6"/>
  </r>
  <r>
    <s v="at the whim of …"/>
    <s v="au gré de …"/>
    <d v="2022-04-16T00:00:00"/>
    <x v="1"/>
    <n v="0"/>
    <n v="0"/>
  </r>
  <r>
    <s v="a duct"/>
    <s v="un canal, une conduite"/>
    <d v="2022-04-19T00:00:00"/>
    <x v="1"/>
    <n v="0"/>
    <n v="0"/>
  </r>
  <r>
    <s v="&quot;m subscript train&quot;"/>
    <s v="&quot;m indice train&quot;"/>
    <d v="2022-04-29T00:00:00"/>
    <x v="4"/>
    <n v="0"/>
    <n v="0"/>
  </r>
  <r>
    <s v="I'm getting ahead of myself."/>
    <s v="Je prends de l'avance / Je vais trop vite."/>
    <d v="2022-05-03T00:00:00"/>
    <x v="4"/>
    <n v="0"/>
    <n v="0"/>
  </r>
  <r>
    <s v="A huge shoutout and thanks to Mark."/>
    <s v="Un grand bravo et merci à Marc."/>
    <d v="2022-05-06T00:00:00"/>
    <x v="0"/>
    <n v="2"/>
    <n v="1"/>
  </r>
  <r>
    <s v="hop (common name)"/>
    <s v="le houblon"/>
    <d v="2022-05-26T00:00:00"/>
    <x v="2"/>
    <n v="1"/>
    <n v="1"/>
  </r>
  <r>
    <s v="port and starboard"/>
    <s v="babord et tribord"/>
    <d v="2022-05-29T00:00:00"/>
    <x v="3"/>
    <n v="3"/>
    <n v="1"/>
  </r>
  <r>
    <s v="to ponder"/>
    <s v="peser le pour et le contre"/>
    <d v="2022-06-02T00:00:00"/>
    <x v="1"/>
    <n v="0"/>
    <n v="0"/>
  </r>
  <r>
    <s v="a whitepaper"/>
    <s v="un rapport d'autorité donnant des information ou des propositions sur un sujet"/>
    <d v="2022-06-18T00:00:00"/>
    <x v="1"/>
    <n v="0"/>
    <n v="0"/>
  </r>
  <r>
    <s v="a bolt"/>
    <s v="un boulon"/>
    <d v="2022-07-09T00:00:00"/>
    <x v="3"/>
    <n v="3"/>
    <n v="1"/>
  </r>
  <r>
    <s v="to slither"/>
    <s v="glisser"/>
    <d v="2022-01-23T00:00:00"/>
    <x v="1"/>
    <n v="0"/>
    <n v="0"/>
  </r>
  <r>
    <s v="a marble"/>
    <s v="une bille"/>
    <d v="2021-07-02T00:00:00"/>
    <x v="1"/>
    <n v="0"/>
    <n v="0"/>
  </r>
  <r>
    <s v="The cupboard is bare."/>
    <s v="Le placard est vide."/>
    <d v="2018-05-17T00:00:00"/>
    <x v="1"/>
    <n v="0"/>
    <n v="0"/>
  </r>
  <r>
    <s v="a timestamp"/>
    <s v="un horodatage"/>
    <d v="2021-03-17T00:00:00"/>
    <x v="1"/>
    <n v="0"/>
    <n v="0"/>
  </r>
  <r>
    <s v="a stock market flotation"/>
    <s v="une introduction en bourse"/>
    <d v="2019-05-20T00:00:00"/>
    <x v="1"/>
    <n v="0"/>
    <n v="0"/>
  </r>
  <r>
    <s v="a clerk"/>
    <s v="un employé, un commis"/>
    <d v="2013-12-13T00:00:00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AE58B-F66F-4713-81FA-FCB6B0C93D11}" name="Tableau croisé dynamique1" cacheId="8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7" indent="0" showHeaders="0" outline="1" outlineData="1" multipleFieldFilters="0" chartFormat="2">
  <location ref="N3:P20" firstHeaderRow="1" firstDataRow="1" firstDataCol="0"/>
  <pivotFields count="6">
    <pivotField showAll="0"/>
    <pivotField showAll="0"/>
    <pivotField showAll="0" sumSubtotal="1"/>
    <pivotField showAll="0"/>
    <pivotField showAll="0"/>
    <pivotField numFmtId="2" showAll="0"/>
  </pivot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FF56E5-DBC0-42EB-9229-33816FADA878}" name="Tableau croisé dynamique2" cacheId="8" applyNumberFormats="0" applyBorderFormats="0" applyFontFormats="0" applyPatternFormats="0" applyAlignmentFormats="0" applyWidthHeightFormats="1" dataCaption="Valeurs" updatedVersion="8" minRefreshableVersion="3" useAutoFormatting="1" itemPrintTitles="1" createdVersion="7" indent="0" outline="1" outlineData="1" multipleFieldFilters="0" chartFormat="94">
  <location ref="G3:H43" firstHeaderRow="1" firstDataRow="1" firstDataCol="1"/>
  <pivotFields count="6">
    <pivotField dataField="1" showAll="0"/>
    <pivotField showAll="0"/>
    <pivotField numFmtId="14" showAll="0"/>
    <pivotField axis="axisRow" showAll="0" sortType="ascending">
      <items count="46">
        <item x="33"/>
        <item x="14"/>
        <item x="15"/>
        <item x="13"/>
        <item x="12"/>
        <item x="9"/>
        <item x="4"/>
        <item x="2"/>
        <item x="3"/>
        <item x="10"/>
        <item x="0"/>
        <item x="5"/>
        <item x="7"/>
        <item x="1"/>
        <item x="8"/>
        <item x="11"/>
        <item x="6"/>
        <item x="16"/>
        <item x="18"/>
        <item x="17"/>
        <item x="20"/>
        <item x="19"/>
        <item x="22"/>
        <item x="23"/>
        <item x="21"/>
        <item x="26"/>
        <item x="24"/>
        <item x="28"/>
        <item x="25"/>
        <item x="29"/>
        <item x="30"/>
        <item x="35"/>
        <item x="27"/>
        <item x="31"/>
        <item x="36"/>
        <item x="32"/>
        <item x="34"/>
        <item m="1" x="41"/>
        <item x="37"/>
        <item m="1" x="42"/>
        <item m="1" x="39"/>
        <item m="1" x="43"/>
        <item x="38"/>
        <item m="1" x="44"/>
        <item m="1" x="40"/>
        <item t="default"/>
      </items>
    </pivotField>
    <pivotField showAll="0"/>
    <pivotField numFmtId="2" showAll="0"/>
  </pivotFields>
  <rowFields count="1">
    <field x="3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42"/>
    </i>
    <i t="grand">
      <x/>
    </i>
  </rowItems>
  <colItems count="1">
    <i/>
  </colItems>
  <dataFields count="1">
    <dataField name="Nombre de english" fld="0" subtotal="count" baseField="0" baseItem="0"/>
  </dataFields>
  <formats count="16"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3" type="button" dataOnly="0" labelOnly="1" outline="0" axis="axisRow" fieldPosition="0"/>
    </format>
    <format dxfId="105">
      <pivotArea dataOnly="0" labelOnly="1" fieldPosition="0">
        <references count="1">
          <reference field="3" count="0"/>
        </references>
      </pivotArea>
    </format>
    <format dxfId="104">
      <pivotArea dataOnly="0" labelOnly="1" grandRow="1" outline="0" fieldPosition="0"/>
    </format>
    <format dxfId="103">
      <pivotArea dataOnly="0" labelOnly="1" outline="0" axis="axisValues" fieldPosition="0"/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3" type="button" dataOnly="0" labelOnly="1" outline="0" axis="axisRow" fieldPosition="0"/>
    </format>
    <format dxfId="99">
      <pivotArea dataOnly="0" labelOnly="1" fieldPosition="0">
        <references count="1">
          <reference field="3" count="0"/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  <format dxfId="96">
      <pivotArea field="3" type="button" dataOnly="0" labelOnly="1" outline="0" axis="axisRow" fieldPosition="0"/>
    </format>
    <format dxfId="95">
      <pivotArea dataOnly="0" labelOnly="1" outline="0" axis="axisValues" fieldPosition="0"/>
    </format>
    <format dxfId="94">
      <pivotArea collapsedLevelsAreSubtotals="1" fieldPosition="0">
        <references count="1">
          <reference field="3" count="6">
            <x v="0"/>
            <x v="1"/>
            <x v="2"/>
            <x v="3"/>
            <x v="4"/>
            <x v="5"/>
          </reference>
        </references>
      </pivotArea>
    </format>
    <format dxfId="93">
      <pivotArea dataOnly="0" labelOnly="1" fieldPosition="0">
        <references count="1">
          <reference field="3" count="6">
            <x v="0"/>
            <x v="1"/>
            <x v="2"/>
            <x v="3"/>
            <x v="4"/>
            <x v="5"/>
          </reference>
        </references>
      </pivotArea>
    </format>
  </formats>
  <chartFormats count="9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A4E695-C039-4722-934E-4215441E1257}" name="Tableau croisé dynamique7" cacheId="1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9">
  <location ref="G3:H17" firstHeaderRow="1" firstDataRow="1" firstDataCol="1"/>
  <pivotFields count="6">
    <pivotField showAll="0"/>
    <pivotField showAll="0"/>
    <pivotField numFmtId="164" showAll="0"/>
    <pivotField axis="axisRow" dataField="1" showAll="0" sortType="ascending">
      <items count="14">
        <item x="1"/>
        <item x="2"/>
        <item x="0"/>
        <item x="3"/>
        <item x="4"/>
        <item x="5"/>
        <item x="6"/>
        <item x="7"/>
        <item x="8"/>
        <item x="9"/>
        <item x="10"/>
        <item x="12"/>
        <item x="11"/>
        <item t="default"/>
      </items>
    </pivotField>
    <pivotField showAll="0"/>
    <pivotField showAll="0"/>
  </pivotFields>
  <rowFields count="1">
    <field x="3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Nombre de Nb" fld="3" subtotal="count" baseField="3" baseItem="2"/>
  </dataFields>
  <formats count="24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3" type="button" dataOnly="0" labelOnly="1" outline="0" axis="axisRow" fieldPosition="0"/>
    </format>
    <format dxfId="79">
      <pivotArea dataOnly="0" labelOnly="1" fieldPosition="0">
        <references count="1">
          <reference field="3" count="0"/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3" type="button" dataOnly="0" labelOnly="1" outline="0" axis="axisRow" fieldPosition="0"/>
    </format>
    <format dxfId="73">
      <pivotArea dataOnly="0" labelOnly="1" fieldPosition="0">
        <references count="1">
          <reference field="3" count="0"/>
        </references>
      </pivotArea>
    </format>
    <format dxfId="72">
      <pivotArea dataOnly="0" labelOnly="1" grandRow="1" outline="0" fieldPosition="0"/>
    </format>
    <format dxfId="71">
      <pivotArea dataOnly="0" labelOnly="1" outline="0" axis="axisValues" fieldPosition="0"/>
    </format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3" type="button" dataOnly="0" labelOnly="1" outline="0" axis="axisRow" fieldPosition="0"/>
    </format>
    <format dxfId="67">
      <pivotArea dataOnly="0" labelOnly="1" fieldPosition="0">
        <references count="1">
          <reference field="3" count="0"/>
        </references>
      </pivotArea>
    </format>
    <format dxfId="66">
      <pivotArea dataOnly="0" labelOnly="1" grandRow="1" outline="0" fieldPosition="0"/>
    </format>
    <format dxfId="65">
      <pivotArea dataOnly="0" labelOnly="1" outline="0" axis="axisValues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outline="0" axis="axisValues" fieldPosition="0"/>
    </format>
  </formats>
  <chartFormats count="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au6" displayName="Tableau6" ref="A1:F2788" totalsRowShown="0" headerRowDxfId="120" dataDxfId="119">
  <autoFilter ref="A1:F2788" xr:uid="{00000000-0009-0000-0100-000006000000}"/>
  <sortState xmlns:xlrd2="http://schemas.microsoft.com/office/spreadsheetml/2017/richdata2" ref="A2:F2788">
    <sortCondition ref="F1:F2788"/>
  </sortState>
  <tableColumns count="6">
    <tableColumn id="3" xr3:uid="{00000000-0010-0000-0200-000003000000}" name="english" dataDxfId="118"/>
    <tableColumn id="4" xr3:uid="{00000000-0010-0000-0200-000004000000}" name="français" dataDxfId="117"/>
    <tableColumn id="5" xr3:uid="{00000000-0010-0000-0200-000005000000}" name="Date" dataDxfId="116"/>
    <tableColumn id="1" xr3:uid="{7B646A3A-EF94-4FCF-AF48-352347F2D82A}" name="Nb" dataDxfId="115"/>
    <tableColumn id="2" xr3:uid="{E45DD21D-BACD-405D-9D3F-447D59620D9F}" name="Score" dataDxfId="114"/>
    <tableColumn id="6" xr3:uid="{5F7EA33E-4ADE-45FF-8CF6-8393BD61D4A0}" name="Taux" dataDxfId="113">
      <calculatedColumnFormula>IFERROR(Tableau6[[#This Row],[Score]]/Tableau6[[#This Row],[Nb]],0)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2D4866-CE80-4947-BCAD-33730DE2ACD3}" name="Tableau3" displayName="Tableau3" ref="A18:B678" totalsRowShown="0" headerRowDxfId="112" dataDxfId="111">
  <autoFilter ref="A18:B678" xr:uid="{FBF79B33-E0B0-4794-879B-AB80ACA9C290}"/>
  <tableColumns count="2">
    <tableColumn id="2" xr3:uid="{3B723C23-8A5A-4D57-8427-F8D9058ED586}" name="Corrections" dataDxfId="110"/>
    <tableColumn id="3" xr3:uid="{479AAEB7-F55D-48FB-BAB9-8FF7E910E632}" name="Cumul" dataDxfId="109">
      <calculatedColumnFormula>Tableau3[[#This Row],[Corrections]]+B18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067570-D99E-4437-96B0-5C6C3419DBB9}" name="Tableau4" displayName="Tableau4" ref="A16:B42" totalsRowShown="0" headerRowDxfId="92">
  <autoFilter ref="A16:B42" xr:uid="{0C067570-D99E-4437-96B0-5C6C3419DBB9}"/>
  <tableColumns count="2">
    <tableColumn id="1" xr3:uid="{FBFA19DF-6DC2-4ED0-A701-F182760E9626}" name="Date" dataDxfId="91"/>
    <tableColumn id="2" xr3:uid="{619A9FE4-4999-4C8C-A9F2-6593E8263B03}" name="Nombre de mots" dataDxfId="9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CB1587-DFCB-4EAE-8556-D2667D0BFE8A}" name="Tableau1" displayName="Tableau1" ref="A1:F612" totalsRowShown="0" headerRowDxfId="89">
  <autoFilter ref="A1:F612" xr:uid="{3BCB1587-DFCB-4EAE-8556-D2667D0BFE8A}"/>
  <sortState xmlns:xlrd2="http://schemas.microsoft.com/office/spreadsheetml/2017/richdata2" ref="A2:F606">
    <sortCondition ref="C1:C606"/>
  </sortState>
  <tableColumns count="6">
    <tableColumn id="1" xr3:uid="{9FED47A3-19A0-41DE-8279-4E76B0B098CA}" name="Anglais" dataDxfId="88"/>
    <tableColumn id="2" xr3:uid="{30DB26C9-A20C-46B3-8C4F-09448D20C7E4}" name="Français" dataDxfId="87"/>
    <tableColumn id="3" xr3:uid="{4A62A573-12E5-4A3A-82D8-2CE37E11BA16}" name="Date" dataDxfId="86"/>
    <tableColumn id="4" xr3:uid="{7FD9D151-C4BB-45FB-8C29-F0FD30DF187B}" name="Nb" dataDxfId="85"/>
    <tableColumn id="5" xr3:uid="{39BC94AD-DAF3-418A-A926-0DE85E54C42B}" name="Score" dataDxfId="84"/>
    <tableColumn id="6" xr3:uid="{B44F5FD3-D890-4A35-9820-E7DCE32527A1}" name="Taux" dataDxfId="83">
      <calculatedColumnFormula>IFERROR(Tableau1[[#This Row],[Score]]/Tableau1[[#This Row],[Nb]],0)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9B1F86-916A-49EC-B590-FB55BC00BA90}" name="Tableau45" displayName="Tableau45" ref="A16:B26" totalsRowShown="0" headerRowDxfId="58">
  <autoFilter ref="A16:B26" xr:uid="{0C067570-D99E-4437-96B0-5C6C3419DBB9}"/>
  <tableColumns count="2">
    <tableColumn id="1" xr3:uid="{D75A14D0-62E1-4EAC-AB26-71DE7DFD1B5B}" name="Date" dataDxfId="57"/>
    <tableColumn id="2" xr3:uid="{D032AF03-0EBA-4EE7-9E7F-0DF86F0144F3}" name="Nombre de mots" dataDxfId="5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S1042"/>
  <sheetViews>
    <sheetView showGridLines="0" tabSelected="1" zoomScaleNormal="100" workbookViewId="0">
      <pane ySplit="11" topLeftCell="A723" activePane="bottomLeft" state="frozen"/>
      <selection pane="bottomLeft" activeCell="D729" sqref="D729"/>
    </sheetView>
  </sheetViews>
  <sheetFormatPr baseColWidth="10" defaultColWidth="14.6640625" defaultRowHeight="30" customHeight="1" x14ac:dyDescent="0.3"/>
  <cols>
    <col min="1" max="1" width="14.6640625" style="168" customWidth="1"/>
    <col min="2" max="2" width="5.109375" style="3" bestFit="1" customWidth="1"/>
    <col min="3" max="4" width="14.6640625" style="3" customWidth="1"/>
    <col min="5" max="5" width="14.6640625" style="3"/>
    <col min="6" max="6" width="14.6640625" style="258"/>
    <col min="7" max="9" width="14.6640625" style="259"/>
    <col min="10" max="13" width="14.6640625" style="260"/>
    <col min="14" max="15" width="14.6640625" style="266"/>
    <col min="16" max="19" width="14.6640625" style="258"/>
    <col min="20" max="16384" width="14.6640625" style="3"/>
  </cols>
  <sheetData>
    <row r="1" spans="1:19" s="1" customFormat="1" ht="30" customHeight="1" x14ac:dyDescent="0.3">
      <c r="A1" s="209"/>
      <c r="F1" s="258"/>
      <c r="G1" s="280"/>
      <c r="H1" s="280"/>
      <c r="I1" s="259"/>
      <c r="J1" s="260"/>
      <c r="K1" s="260"/>
      <c r="L1" s="260"/>
      <c r="M1" s="260"/>
      <c r="N1" s="260"/>
      <c r="O1" s="260"/>
      <c r="P1" s="259"/>
      <c r="Q1" s="261"/>
      <c r="R1" s="261"/>
      <c r="S1" s="259"/>
    </row>
    <row r="2" spans="1:19" s="1" customFormat="1" ht="30" customHeight="1" x14ac:dyDescent="0.3">
      <c r="A2" s="209"/>
      <c r="C2" s="10" t="s">
        <v>3564</v>
      </c>
      <c r="F2" s="258"/>
      <c r="G2" s="280"/>
      <c r="H2" s="280"/>
      <c r="I2" s="259"/>
      <c r="J2" s="260"/>
      <c r="K2" s="260"/>
      <c r="L2" s="260"/>
      <c r="M2" s="260"/>
      <c r="N2" s="260"/>
      <c r="O2" s="260"/>
      <c r="P2" s="259"/>
      <c r="Q2" s="259"/>
      <c r="R2" s="259"/>
      <c r="S2" s="261"/>
    </row>
    <row r="3" spans="1:19" s="1" customFormat="1" ht="30" customHeight="1" x14ac:dyDescent="0.3">
      <c r="A3" s="209"/>
      <c r="C3" s="1">
        <v>717</v>
      </c>
      <c r="F3" s="258"/>
      <c r="G3" s="280"/>
      <c r="H3" s="280"/>
      <c r="I3" s="259"/>
      <c r="J3" s="260"/>
      <c r="K3" s="260"/>
      <c r="L3" s="260"/>
      <c r="M3" s="260"/>
      <c r="N3" s="260"/>
      <c r="O3" s="260"/>
      <c r="P3" s="259"/>
      <c r="Q3" s="259"/>
      <c r="R3" s="259"/>
      <c r="S3" s="259"/>
    </row>
    <row r="4" spans="1:19" s="1" customFormat="1" ht="51" customHeight="1" x14ac:dyDescent="0.3">
      <c r="A4" s="209"/>
      <c r="F4" s="258"/>
      <c r="G4" s="280"/>
      <c r="H4" s="280"/>
      <c r="I4" s="259"/>
      <c r="J4" s="260"/>
      <c r="K4" s="260"/>
      <c r="L4" s="260"/>
      <c r="M4" s="260"/>
      <c r="N4" s="260"/>
      <c r="O4" s="260"/>
      <c r="P4" s="259"/>
      <c r="Q4" s="259"/>
      <c r="R4" s="259"/>
      <c r="S4" s="259"/>
    </row>
    <row r="5" spans="1:19" s="1" customFormat="1" ht="51" customHeight="1" x14ac:dyDescent="0.3">
      <c r="A5" s="209"/>
      <c r="F5" s="258"/>
      <c r="G5" s="280"/>
      <c r="H5" s="280"/>
      <c r="I5" s="259">
        <v>2</v>
      </c>
      <c r="J5" s="260"/>
      <c r="K5" s="260"/>
      <c r="L5" s="260"/>
      <c r="M5" s="260"/>
      <c r="N5" s="260"/>
      <c r="O5" s="260"/>
      <c r="P5" s="259"/>
      <c r="Q5" s="259"/>
      <c r="R5" s="259"/>
      <c r="S5" s="259"/>
    </row>
    <row r="6" spans="1:19" s="1" customFormat="1" ht="51" customHeight="1" x14ac:dyDescent="0.3">
      <c r="A6" s="209"/>
      <c r="B6" s="12"/>
      <c r="C6" s="12"/>
      <c r="D6" s="12"/>
      <c r="F6" s="258"/>
      <c r="G6" s="280" t="s">
        <v>125</v>
      </c>
      <c r="H6" s="281" t="s">
        <v>126</v>
      </c>
      <c r="I6" s="259" t="s">
        <v>125</v>
      </c>
      <c r="J6" s="260" t="s">
        <v>126</v>
      </c>
      <c r="K6" s="260"/>
      <c r="L6" s="260"/>
      <c r="M6" s="260"/>
      <c r="N6" s="260"/>
      <c r="O6" s="260"/>
      <c r="P6" s="259"/>
      <c r="Q6" s="259"/>
      <c r="R6" s="259"/>
      <c r="S6" s="259"/>
    </row>
    <row r="7" spans="1:19" s="1" customFormat="1" ht="51" customHeight="1" x14ac:dyDescent="0.3">
      <c r="A7" s="209"/>
      <c r="F7" s="258"/>
      <c r="G7" s="280" t="s">
        <v>6322</v>
      </c>
      <c r="H7" s="280" t="s">
        <v>5511</v>
      </c>
      <c r="I7" s="259" t="s">
        <v>6452</v>
      </c>
      <c r="J7" s="260" t="s">
        <v>6453</v>
      </c>
      <c r="K7" s="260"/>
      <c r="L7" s="260"/>
      <c r="M7" s="260"/>
      <c r="N7" s="260"/>
      <c r="O7" s="260"/>
      <c r="P7" s="259"/>
      <c r="Q7" s="259"/>
      <c r="R7" s="259"/>
      <c r="S7" s="261"/>
    </row>
    <row r="8" spans="1:19" s="1" customFormat="1" ht="51" customHeight="1" x14ac:dyDescent="0.3">
      <c r="A8" s="209"/>
      <c r="F8" s="258"/>
      <c r="G8" s="280" t="s">
        <v>597</v>
      </c>
      <c r="H8" s="280" t="s">
        <v>598</v>
      </c>
      <c r="I8" s="259" t="s">
        <v>4449</v>
      </c>
      <c r="J8" s="260" t="s">
        <v>1374</v>
      </c>
      <c r="K8" s="260"/>
      <c r="L8" s="260"/>
      <c r="M8" s="260"/>
      <c r="N8" s="260"/>
      <c r="O8" s="260"/>
      <c r="P8" s="259"/>
      <c r="Q8" s="259"/>
      <c r="R8" s="259"/>
      <c r="S8" s="259"/>
    </row>
    <row r="9" spans="1:19" s="1" customFormat="1" ht="51" customHeight="1" x14ac:dyDescent="0.3">
      <c r="A9" s="209"/>
      <c r="F9" s="258"/>
      <c r="G9" s="280" t="s">
        <v>5724</v>
      </c>
      <c r="H9" s="280" t="s">
        <v>5725</v>
      </c>
      <c r="I9" s="259" t="s">
        <v>5712</v>
      </c>
      <c r="J9" s="260" t="s">
        <v>5682</v>
      </c>
      <c r="K9" s="260"/>
      <c r="L9" s="260"/>
      <c r="M9" s="260"/>
      <c r="N9" s="260"/>
      <c r="O9" s="260"/>
      <c r="P9" s="259"/>
      <c r="Q9" s="259"/>
      <c r="R9" s="259"/>
      <c r="S9" s="259"/>
    </row>
    <row r="10" spans="1:19" s="1" customFormat="1" ht="51" customHeight="1" x14ac:dyDescent="0.3">
      <c r="A10" s="209"/>
      <c r="F10" s="258"/>
      <c r="G10" s="280" t="s">
        <v>5471</v>
      </c>
      <c r="H10" s="280" t="s">
        <v>5472</v>
      </c>
      <c r="I10" s="259" t="s">
        <v>5925</v>
      </c>
      <c r="J10" s="260" t="s">
        <v>5926</v>
      </c>
      <c r="K10" s="260"/>
      <c r="L10" s="260"/>
      <c r="M10" s="260"/>
      <c r="N10" s="260"/>
      <c r="O10" s="260"/>
      <c r="P10" s="259"/>
      <c r="Q10" s="259"/>
      <c r="R10" s="259"/>
      <c r="S10" s="259"/>
    </row>
    <row r="11" spans="1:19" ht="30" customHeight="1" x14ac:dyDescent="0.3">
      <c r="A11" s="210" t="s">
        <v>0</v>
      </c>
      <c r="B11" s="2" t="s">
        <v>1</v>
      </c>
      <c r="C11" s="2" t="s">
        <v>5921</v>
      </c>
      <c r="D11" s="2" t="s">
        <v>2626</v>
      </c>
      <c r="E11" s="2" t="s">
        <v>2625</v>
      </c>
      <c r="F11" s="262"/>
      <c r="G11" s="280" t="s">
        <v>6452</v>
      </c>
      <c r="H11" s="280" t="s">
        <v>6453</v>
      </c>
      <c r="I11" s="259" t="s">
        <v>6186</v>
      </c>
      <c r="J11" s="260" t="s">
        <v>6187</v>
      </c>
      <c r="K11" s="263"/>
      <c r="L11" s="263"/>
      <c r="N11" s="263"/>
      <c r="O11" s="263"/>
    </row>
    <row r="12" spans="1:19" ht="30" customHeight="1" x14ac:dyDescent="0.3">
      <c r="A12" s="168">
        <v>43277</v>
      </c>
      <c r="B12" s="3">
        <v>1</v>
      </c>
      <c r="C12" s="3">
        <v>84</v>
      </c>
      <c r="D12" s="7">
        <v>33.333333333333329</v>
      </c>
      <c r="E12" s="7">
        <v>35.714285714285701</v>
      </c>
      <c r="F12" s="264"/>
      <c r="G12" s="280" t="s">
        <v>5831</v>
      </c>
      <c r="H12" s="280" t="s">
        <v>5832</v>
      </c>
      <c r="I12" s="259" t="s">
        <v>6259</v>
      </c>
      <c r="J12" s="265" t="s">
        <v>6260</v>
      </c>
      <c r="K12" s="265"/>
      <c r="L12" s="265"/>
      <c r="M12" s="265"/>
      <c r="N12" s="265"/>
      <c r="O12" s="265"/>
    </row>
    <row r="13" spans="1:19" ht="30" customHeight="1" x14ac:dyDescent="0.3">
      <c r="A13" s="169">
        <v>43278</v>
      </c>
      <c r="B13" s="4">
        <v>2</v>
      </c>
      <c r="C13" s="4">
        <v>84</v>
      </c>
      <c r="D13" s="8">
        <v>42.857142857142854</v>
      </c>
      <c r="E13" s="8">
        <v>56.25</v>
      </c>
      <c r="F13" s="264"/>
      <c r="G13" s="280" t="s">
        <v>2912</v>
      </c>
      <c r="H13" s="280" t="s">
        <v>2913</v>
      </c>
      <c r="I13" s="259" t="s">
        <v>6182</v>
      </c>
      <c r="J13" s="265" t="s">
        <v>6183</v>
      </c>
      <c r="K13" s="265"/>
      <c r="L13" s="265"/>
      <c r="M13" s="265"/>
      <c r="N13" s="265"/>
      <c r="O13" s="265"/>
    </row>
    <row r="14" spans="1:19" ht="30" customHeight="1" x14ac:dyDescent="0.3">
      <c r="A14" s="168">
        <v>43284</v>
      </c>
      <c r="B14" s="3">
        <v>3</v>
      </c>
      <c r="C14" s="3">
        <v>86</v>
      </c>
      <c r="D14" s="7">
        <v>50</v>
      </c>
      <c r="E14" s="7">
        <v>74.418604651162781</v>
      </c>
      <c r="F14" s="264"/>
      <c r="G14" s="280" t="s">
        <v>2570</v>
      </c>
      <c r="H14" s="280" t="s">
        <v>2571</v>
      </c>
      <c r="I14" s="259" t="s">
        <v>6140</v>
      </c>
      <c r="J14" s="265" t="s">
        <v>6141</v>
      </c>
      <c r="K14" s="265"/>
      <c r="L14" s="265"/>
      <c r="M14" s="265"/>
      <c r="N14" s="265"/>
      <c r="O14" s="265"/>
    </row>
    <row r="15" spans="1:19" ht="30" customHeight="1" x14ac:dyDescent="0.3">
      <c r="A15" s="169">
        <v>43286</v>
      </c>
      <c r="B15" s="4">
        <v>4</v>
      </c>
      <c r="C15" s="4">
        <v>86</v>
      </c>
      <c r="D15" s="8">
        <v>45.348837209302324</v>
      </c>
      <c r="E15" s="8">
        <v>61.702127659574465</v>
      </c>
      <c r="F15" s="264"/>
      <c r="G15" s="280" t="s">
        <v>3964</v>
      </c>
      <c r="H15" s="280" t="s">
        <v>3965</v>
      </c>
      <c r="I15" s="259" t="s">
        <v>6095</v>
      </c>
      <c r="J15" s="265" t="s">
        <v>6096</v>
      </c>
      <c r="K15" s="265"/>
      <c r="L15" s="265"/>
      <c r="M15" s="265"/>
      <c r="N15" s="265"/>
      <c r="O15" s="265"/>
    </row>
    <row r="16" spans="1:19" ht="30" customHeight="1" x14ac:dyDescent="0.3">
      <c r="A16" s="168">
        <v>43287</v>
      </c>
      <c r="B16" s="3">
        <v>5</v>
      </c>
      <c r="C16" s="3">
        <v>86</v>
      </c>
      <c r="D16" s="7">
        <v>43.02325581395349</v>
      </c>
      <c r="E16" s="7">
        <v>67.34693877551021</v>
      </c>
      <c r="F16" s="264"/>
      <c r="G16" s="280" t="s">
        <v>6393</v>
      </c>
      <c r="H16" s="280" t="s">
        <v>6394</v>
      </c>
      <c r="I16" s="259" t="s">
        <v>5662</v>
      </c>
      <c r="J16" s="265" t="s">
        <v>5663</v>
      </c>
      <c r="K16" s="265"/>
      <c r="L16" s="265"/>
      <c r="M16" s="265"/>
      <c r="N16" s="265"/>
      <c r="O16" s="265"/>
    </row>
    <row r="17" spans="1:15" ht="30" customHeight="1" x14ac:dyDescent="0.3">
      <c r="A17" s="169">
        <v>43289</v>
      </c>
      <c r="B17" s="4">
        <v>6</v>
      </c>
      <c r="C17" s="4">
        <v>85</v>
      </c>
      <c r="D17" s="8">
        <v>52.941176470588239</v>
      </c>
      <c r="E17" s="8">
        <v>80</v>
      </c>
      <c r="F17" s="264"/>
      <c r="G17" s="280" t="s">
        <v>2470</v>
      </c>
      <c r="H17" s="280" t="s">
        <v>2471</v>
      </c>
      <c r="I17" s="259" t="s">
        <v>5416</v>
      </c>
      <c r="J17" s="265" t="s">
        <v>5417</v>
      </c>
      <c r="K17" s="265"/>
      <c r="L17" s="265"/>
      <c r="M17" s="265"/>
      <c r="N17" s="265"/>
      <c r="O17" s="265"/>
    </row>
    <row r="18" spans="1:15" ht="30" customHeight="1" x14ac:dyDescent="0.3">
      <c r="A18" s="168">
        <v>43291</v>
      </c>
      <c r="B18" s="3">
        <v>7</v>
      </c>
      <c r="C18" s="3">
        <v>86</v>
      </c>
      <c r="D18" s="7">
        <v>51.162790697674424</v>
      </c>
      <c r="E18" s="7"/>
      <c r="F18" s="264"/>
      <c r="G18" s="280" t="s">
        <v>5152</v>
      </c>
      <c r="H18" s="280" t="s">
        <v>5153</v>
      </c>
      <c r="I18" s="259" t="s">
        <v>5399</v>
      </c>
      <c r="J18" s="265" t="s">
        <v>5400</v>
      </c>
      <c r="K18" s="265"/>
      <c r="L18" s="265"/>
      <c r="M18" s="265"/>
      <c r="N18" s="265"/>
      <c r="O18" s="265"/>
    </row>
    <row r="19" spans="1:15" ht="30" customHeight="1" x14ac:dyDescent="0.3">
      <c r="A19" s="169">
        <v>43292</v>
      </c>
      <c r="B19" s="4">
        <v>8</v>
      </c>
      <c r="C19" s="4">
        <v>86</v>
      </c>
      <c r="D19" s="8">
        <v>61.627906976744185</v>
      </c>
      <c r="E19" s="8">
        <v>51.515151515151516</v>
      </c>
      <c r="F19" s="264"/>
      <c r="G19" s="280" t="s">
        <v>962</v>
      </c>
      <c r="H19" s="280" t="s">
        <v>2206</v>
      </c>
      <c r="I19" s="259" t="s">
        <v>5392</v>
      </c>
      <c r="J19" s="265" t="s">
        <v>5393</v>
      </c>
      <c r="K19" s="265"/>
      <c r="L19" s="265"/>
      <c r="M19" s="265"/>
      <c r="N19" s="265"/>
      <c r="O19" s="265"/>
    </row>
    <row r="20" spans="1:15" ht="30" customHeight="1" x14ac:dyDescent="0.3">
      <c r="A20" s="168">
        <v>43293</v>
      </c>
      <c r="B20" s="3">
        <v>9</v>
      </c>
      <c r="C20" s="3">
        <v>87</v>
      </c>
      <c r="D20" s="7">
        <v>55.172413793103445</v>
      </c>
      <c r="E20" s="7">
        <v>79.487179487179489</v>
      </c>
      <c r="F20" s="264"/>
      <c r="G20" s="280" t="s">
        <v>5782</v>
      </c>
      <c r="H20" s="280" t="s">
        <v>5783</v>
      </c>
      <c r="I20" s="259" t="s">
        <v>5344</v>
      </c>
      <c r="J20" s="265" t="s">
        <v>5345</v>
      </c>
      <c r="K20" s="265"/>
      <c r="L20" s="265"/>
      <c r="M20" s="265"/>
      <c r="N20" s="265"/>
      <c r="O20" s="265"/>
    </row>
    <row r="21" spans="1:15" ht="30" customHeight="1" x14ac:dyDescent="0.3">
      <c r="A21" s="169">
        <v>43294</v>
      </c>
      <c r="B21" s="4">
        <v>10</v>
      </c>
      <c r="C21" s="4">
        <v>86</v>
      </c>
      <c r="D21" s="8">
        <v>54.651162790697668</v>
      </c>
      <c r="E21" s="8">
        <v>69.230769230769226</v>
      </c>
      <c r="F21" s="264"/>
      <c r="G21" s="280" t="s">
        <v>3988</v>
      </c>
      <c r="H21" s="280" t="s">
        <v>3989</v>
      </c>
      <c r="J21" s="265"/>
      <c r="K21" s="265"/>
      <c r="L21" s="265"/>
      <c r="M21" s="265"/>
      <c r="N21" s="265"/>
      <c r="O21" s="265"/>
    </row>
    <row r="22" spans="1:15" ht="30" customHeight="1" x14ac:dyDescent="0.3">
      <c r="A22" s="168">
        <v>43307</v>
      </c>
      <c r="B22" s="3">
        <v>11</v>
      </c>
      <c r="C22" s="3">
        <v>88</v>
      </c>
      <c r="D22" s="7">
        <v>51.136363636363633</v>
      </c>
      <c r="E22" s="7">
        <v>67.441860465116278</v>
      </c>
      <c r="F22" s="264"/>
      <c r="G22" s="280" t="s">
        <v>6092</v>
      </c>
      <c r="H22" s="280" t="s">
        <v>6093</v>
      </c>
      <c r="J22" s="265"/>
      <c r="K22" s="265"/>
      <c r="L22" s="265"/>
      <c r="M22" s="265"/>
      <c r="N22" s="265"/>
      <c r="O22" s="265"/>
    </row>
    <row r="23" spans="1:15" ht="30" customHeight="1" x14ac:dyDescent="0.3">
      <c r="A23" s="169">
        <v>43353</v>
      </c>
      <c r="B23" s="4">
        <v>12</v>
      </c>
      <c r="C23" s="4">
        <v>61</v>
      </c>
      <c r="D23" s="8">
        <v>55.737704918032783</v>
      </c>
      <c r="E23" s="8">
        <v>74.074074074074076</v>
      </c>
      <c r="F23" s="264"/>
      <c r="G23" s="280" t="s">
        <v>5311</v>
      </c>
      <c r="H23" s="280" t="s">
        <v>5312</v>
      </c>
      <c r="J23" s="265"/>
      <c r="K23" s="265"/>
      <c r="L23" s="265"/>
      <c r="M23" s="265"/>
      <c r="N23" s="265"/>
      <c r="O23" s="265"/>
    </row>
    <row r="24" spans="1:15" ht="30" customHeight="1" x14ac:dyDescent="0.3">
      <c r="A24" s="168">
        <v>43374</v>
      </c>
      <c r="B24" s="3">
        <v>13</v>
      </c>
      <c r="C24" s="3">
        <v>100</v>
      </c>
      <c r="D24" s="7">
        <v>51</v>
      </c>
      <c r="E24" s="7">
        <v>79.591836734693871</v>
      </c>
      <c r="F24" s="264"/>
      <c r="G24" s="280" t="s">
        <v>972</v>
      </c>
      <c r="H24" s="280" t="s">
        <v>882</v>
      </c>
      <c r="J24" s="265"/>
      <c r="K24" s="265"/>
      <c r="L24" s="265"/>
      <c r="M24" s="265"/>
      <c r="N24" s="265"/>
      <c r="O24" s="265"/>
    </row>
    <row r="25" spans="1:15" ht="30" customHeight="1" x14ac:dyDescent="0.3">
      <c r="A25" s="169">
        <v>43382</v>
      </c>
      <c r="B25" s="4">
        <v>14</v>
      </c>
      <c r="C25" s="4">
        <v>102</v>
      </c>
      <c r="D25" s="8">
        <v>52.941176470588239</v>
      </c>
      <c r="E25" s="8">
        <v>50</v>
      </c>
      <c r="F25" s="264"/>
      <c r="G25" s="280" t="s">
        <v>6259</v>
      </c>
      <c r="H25" s="280" t="s">
        <v>6260</v>
      </c>
      <c r="J25" s="265"/>
      <c r="K25" s="265"/>
      <c r="L25" s="265"/>
      <c r="M25" s="265"/>
      <c r="N25" s="265"/>
      <c r="O25" s="265"/>
    </row>
    <row r="26" spans="1:15" ht="30" customHeight="1" x14ac:dyDescent="0.3">
      <c r="A26" s="168">
        <v>43388</v>
      </c>
      <c r="B26" s="3">
        <v>15</v>
      </c>
      <c r="C26" s="3">
        <v>101</v>
      </c>
      <c r="D26" s="7">
        <v>58.415841584158414</v>
      </c>
      <c r="E26" s="7">
        <v>71.428571428571431</v>
      </c>
      <c r="F26" s="264"/>
      <c r="G26" s="280" t="s">
        <v>6182</v>
      </c>
      <c r="H26" s="280" t="s">
        <v>6183</v>
      </c>
      <c r="J26" s="265"/>
      <c r="K26" s="265"/>
      <c r="L26" s="265"/>
      <c r="M26" s="265"/>
      <c r="N26" s="265"/>
      <c r="O26" s="265"/>
    </row>
    <row r="27" spans="1:15" ht="30" customHeight="1" x14ac:dyDescent="0.3">
      <c r="A27" s="169">
        <v>43395</v>
      </c>
      <c r="B27" s="4">
        <v>16</v>
      </c>
      <c r="C27" s="4">
        <v>106</v>
      </c>
      <c r="D27" s="8">
        <v>45.283018867924532</v>
      </c>
      <c r="E27" s="8">
        <v>74.137931034482762</v>
      </c>
      <c r="F27" s="264"/>
      <c r="G27" s="280" t="s">
        <v>927</v>
      </c>
      <c r="H27" s="280" t="s">
        <v>873</v>
      </c>
      <c r="J27" s="265"/>
      <c r="K27" s="265"/>
      <c r="L27" s="265"/>
      <c r="M27" s="265"/>
      <c r="N27" s="265"/>
      <c r="O27" s="265"/>
    </row>
    <row r="28" spans="1:15" ht="30" customHeight="1" x14ac:dyDescent="0.3">
      <c r="A28" s="168">
        <v>43402</v>
      </c>
      <c r="B28" s="3">
        <v>17</v>
      </c>
      <c r="C28" s="3">
        <v>109</v>
      </c>
      <c r="D28" s="7">
        <v>64.22018348623854</v>
      </c>
      <c r="E28" s="7">
        <v>66.666666666666671</v>
      </c>
      <c r="F28" s="264"/>
      <c r="G28" s="280" t="s">
        <v>6140</v>
      </c>
      <c r="H28" s="280" t="s">
        <v>6141</v>
      </c>
      <c r="J28" s="265"/>
      <c r="K28" s="265"/>
      <c r="L28" s="265"/>
      <c r="M28" s="265"/>
      <c r="N28" s="265"/>
      <c r="O28" s="265"/>
    </row>
    <row r="29" spans="1:15" ht="30" customHeight="1" x14ac:dyDescent="0.3">
      <c r="A29" s="169">
        <v>43409</v>
      </c>
      <c r="B29" s="4">
        <v>18</v>
      </c>
      <c r="C29" s="4">
        <v>99</v>
      </c>
      <c r="D29" s="8">
        <v>62.62626262626263</v>
      </c>
      <c r="E29" s="8">
        <v>67.567567567567565</v>
      </c>
      <c r="F29" s="264"/>
      <c r="G29" s="280" t="s">
        <v>6095</v>
      </c>
      <c r="H29" s="280" t="s">
        <v>6096</v>
      </c>
      <c r="J29" s="265"/>
      <c r="K29" s="265"/>
      <c r="L29" s="265"/>
      <c r="M29" s="265"/>
      <c r="N29" s="265"/>
      <c r="O29" s="265"/>
    </row>
    <row r="30" spans="1:15" ht="30" customHeight="1" x14ac:dyDescent="0.3">
      <c r="A30" s="168">
        <v>43416</v>
      </c>
      <c r="B30" s="3">
        <v>19</v>
      </c>
      <c r="C30" s="3">
        <v>98</v>
      </c>
      <c r="D30" s="7">
        <v>53.061224489795919</v>
      </c>
      <c r="E30" s="7">
        <v>58.695652173913047</v>
      </c>
      <c r="F30" s="264"/>
      <c r="G30" s="280" t="s">
        <v>5750</v>
      </c>
      <c r="H30" s="280" t="s">
        <v>5751</v>
      </c>
      <c r="J30" s="265"/>
      <c r="K30" s="265"/>
      <c r="L30" s="265"/>
      <c r="M30" s="265"/>
      <c r="N30" s="265"/>
      <c r="O30" s="265"/>
    </row>
    <row r="31" spans="1:15" ht="30" customHeight="1" x14ac:dyDescent="0.3">
      <c r="A31" s="169">
        <v>43439</v>
      </c>
      <c r="B31" s="4">
        <v>20</v>
      </c>
      <c r="C31" s="4">
        <v>100</v>
      </c>
      <c r="D31" s="8">
        <v>49</v>
      </c>
      <c r="E31" s="8">
        <v>60.784313725490193</v>
      </c>
      <c r="F31" s="264"/>
      <c r="G31" s="280" t="s">
        <v>5726</v>
      </c>
      <c r="H31" s="280" t="s">
        <v>5727</v>
      </c>
      <c r="J31" s="265"/>
      <c r="K31" s="265"/>
      <c r="L31" s="265"/>
      <c r="M31" s="265"/>
      <c r="N31" s="265"/>
      <c r="O31" s="265"/>
    </row>
    <row r="32" spans="1:15" ht="30" customHeight="1" x14ac:dyDescent="0.3">
      <c r="A32" s="168">
        <v>43444</v>
      </c>
      <c r="B32" s="3">
        <v>21</v>
      </c>
      <c r="C32" s="3">
        <v>100</v>
      </c>
      <c r="D32" s="7">
        <v>56.999999999999993</v>
      </c>
      <c r="E32" s="7">
        <v>69.767441860465112</v>
      </c>
      <c r="F32" s="264"/>
      <c r="G32" s="259" t="s">
        <v>5713</v>
      </c>
      <c r="H32" s="259" t="s">
        <v>5714</v>
      </c>
      <c r="J32" s="265"/>
      <c r="K32" s="265"/>
      <c r="L32" s="265"/>
      <c r="M32" s="265"/>
      <c r="N32" s="265"/>
      <c r="O32" s="265"/>
    </row>
    <row r="33" spans="1:15" ht="30" customHeight="1" x14ac:dyDescent="0.3">
      <c r="A33" s="169">
        <v>43467</v>
      </c>
      <c r="B33" s="4">
        <v>22</v>
      </c>
      <c r="C33" s="4">
        <v>100</v>
      </c>
      <c r="D33" s="8">
        <v>47</v>
      </c>
      <c r="E33" s="8">
        <v>62.264150943396224</v>
      </c>
      <c r="F33" s="264"/>
      <c r="G33" s="259" t="s">
        <v>5662</v>
      </c>
      <c r="H33" s="259" t="s">
        <v>5663</v>
      </c>
      <c r="J33" s="265"/>
      <c r="K33" s="265"/>
      <c r="L33" s="265"/>
      <c r="M33" s="265"/>
      <c r="N33" s="265"/>
      <c r="O33" s="265"/>
    </row>
    <row r="34" spans="1:15" ht="30" customHeight="1" x14ac:dyDescent="0.3">
      <c r="A34" s="168">
        <v>43472</v>
      </c>
      <c r="B34" s="3">
        <v>23</v>
      </c>
      <c r="C34" s="3">
        <v>100</v>
      </c>
      <c r="D34" s="7">
        <v>48</v>
      </c>
      <c r="E34" s="7">
        <v>59.615384615384613</v>
      </c>
      <c r="F34" s="264"/>
      <c r="G34" s="259" t="s">
        <v>5598</v>
      </c>
      <c r="H34" s="259" t="s">
        <v>5599</v>
      </c>
      <c r="J34" s="265"/>
      <c r="K34" s="265"/>
      <c r="L34" s="265"/>
      <c r="M34" s="265"/>
      <c r="N34" s="265"/>
      <c r="O34" s="265"/>
    </row>
    <row r="35" spans="1:15" ht="30" customHeight="1" x14ac:dyDescent="0.3">
      <c r="A35" s="169">
        <v>43479</v>
      </c>
      <c r="B35" s="4">
        <v>24</v>
      </c>
      <c r="C35" s="4">
        <v>100</v>
      </c>
      <c r="D35" s="8">
        <v>55.000000000000007</v>
      </c>
      <c r="E35" s="8">
        <v>53.333333333333336</v>
      </c>
      <c r="F35" s="264"/>
      <c r="G35" s="259" t="s">
        <v>5555</v>
      </c>
      <c r="H35" s="259" t="s">
        <v>5556</v>
      </c>
      <c r="J35" s="265"/>
      <c r="K35" s="265"/>
      <c r="L35" s="265"/>
      <c r="M35" s="265"/>
      <c r="N35" s="265"/>
      <c r="O35" s="265"/>
    </row>
    <row r="36" spans="1:15" ht="30" customHeight="1" x14ac:dyDescent="0.3">
      <c r="A36" s="168">
        <v>43493</v>
      </c>
      <c r="B36" s="3">
        <v>25</v>
      </c>
      <c r="C36" s="3">
        <v>100</v>
      </c>
      <c r="D36" s="7">
        <v>56.999999999999993</v>
      </c>
      <c r="E36" s="7">
        <v>58.139534883720927</v>
      </c>
      <c r="F36" s="264"/>
      <c r="G36" s="259" t="s">
        <v>5495</v>
      </c>
      <c r="H36" s="259" t="s">
        <v>5496</v>
      </c>
      <c r="J36" s="265"/>
      <c r="K36" s="265"/>
      <c r="L36" s="265"/>
      <c r="M36" s="265"/>
      <c r="N36" s="265"/>
      <c r="O36" s="265"/>
    </row>
    <row r="37" spans="1:15" ht="30" customHeight="1" x14ac:dyDescent="0.3">
      <c r="A37" s="169">
        <v>43508</v>
      </c>
      <c r="B37" s="4">
        <v>26</v>
      </c>
      <c r="C37" s="4">
        <v>99</v>
      </c>
      <c r="D37" s="8">
        <v>48.484848484848484</v>
      </c>
      <c r="E37" s="8">
        <v>82.35294117647058</v>
      </c>
      <c r="F37" s="264"/>
      <c r="G37" s="259" t="s">
        <v>5462</v>
      </c>
      <c r="H37" s="259" t="s">
        <v>5463</v>
      </c>
      <c r="J37" s="265"/>
      <c r="K37" s="265"/>
      <c r="L37" s="265"/>
      <c r="M37" s="265"/>
      <c r="N37" s="265"/>
      <c r="O37" s="265"/>
    </row>
    <row r="38" spans="1:15" ht="30" customHeight="1" x14ac:dyDescent="0.3">
      <c r="A38" s="168">
        <v>43661</v>
      </c>
      <c r="B38" s="3">
        <v>27</v>
      </c>
      <c r="C38" s="3">
        <v>96</v>
      </c>
      <c r="D38" s="7">
        <v>45.833333333333329</v>
      </c>
      <c r="E38" s="7">
        <v>38.46153846153846</v>
      </c>
      <c r="F38" s="264"/>
      <c r="G38" s="259" t="s">
        <v>5444</v>
      </c>
      <c r="H38" s="259" t="s">
        <v>5445</v>
      </c>
      <c r="J38" s="265"/>
      <c r="K38" s="265"/>
      <c r="L38" s="265"/>
      <c r="M38" s="265"/>
      <c r="N38" s="265"/>
      <c r="O38" s="265"/>
    </row>
    <row r="39" spans="1:15" ht="30" customHeight="1" x14ac:dyDescent="0.3">
      <c r="A39" s="169">
        <v>43689</v>
      </c>
      <c r="B39" s="4">
        <v>28</v>
      </c>
      <c r="C39" s="4">
        <v>96</v>
      </c>
      <c r="D39" s="8">
        <v>51.041666666666664</v>
      </c>
      <c r="E39" s="8">
        <v>44.680851063829785</v>
      </c>
      <c r="F39" s="264"/>
      <c r="G39" s="259" t="s">
        <v>5409</v>
      </c>
      <c r="H39" s="259" t="s">
        <v>8</v>
      </c>
      <c r="J39" s="265"/>
      <c r="K39" s="265"/>
      <c r="L39" s="265"/>
      <c r="M39" s="265"/>
      <c r="N39" s="265"/>
      <c r="O39" s="265"/>
    </row>
    <row r="40" spans="1:15" ht="30" customHeight="1" x14ac:dyDescent="0.3">
      <c r="A40" s="168">
        <v>43710</v>
      </c>
      <c r="B40" s="3">
        <v>29</v>
      </c>
      <c r="C40" s="3">
        <v>97</v>
      </c>
      <c r="D40" s="7">
        <v>54.639175257731956</v>
      </c>
      <c r="E40" s="7">
        <v>43.181818181818201</v>
      </c>
      <c r="F40" s="264"/>
      <c r="G40" s="259" t="s">
        <v>5416</v>
      </c>
      <c r="H40" s="259" t="s">
        <v>5417</v>
      </c>
      <c r="J40" s="265"/>
      <c r="K40" s="265"/>
      <c r="L40" s="265"/>
      <c r="M40" s="265"/>
      <c r="N40" s="265"/>
      <c r="O40" s="265"/>
    </row>
    <row r="41" spans="1:15" ht="30" customHeight="1" x14ac:dyDescent="0.3">
      <c r="A41" s="169">
        <v>43739</v>
      </c>
      <c r="B41" s="4">
        <v>30</v>
      </c>
      <c r="C41" s="4">
        <v>98</v>
      </c>
      <c r="D41" s="8">
        <v>59.183673469387756</v>
      </c>
      <c r="E41" s="8">
        <v>55</v>
      </c>
      <c r="F41" s="264"/>
      <c r="G41" s="259" t="s">
        <v>5399</v>
      </c>
      <c r="H41" s="259" t="s">
        <v>5400</v>
      </c>
      <c r="J41" s="265"/>
      <c r="K41" s="265"/>
      <c r="L41" s="265"/>
      <c r="M41" s="265"/>
      <c r="N41" s="265"/>
      <c r="O41" s="265"/>
    </row>
    <row r="42" spans="1:15" ht="30" customHeight="1" x14ac:dyDescent="0.3">
      <c r="A42" s="168">
        <v>43740</v>
      </c>
      <c r="B42" s="3">
        <v>31</v>
      </c>
      <c r="C42" s="3">
        <v>97</v>
      </c>
      <c r="D42" s="7">
        <v>53.608247422680414</v>
      </c>
      <c r="E42" s="7">
        <v>51.111111111111114</v>
      </c>
      <c r="F42" s="264"/>
      <c r="G42" s="259" t="s">
        <v>5392</v>
      </c>
      <c r="H42" s="259" t="s">
        <v>5393</v>
      </c>
      <c r="J42" s="265"/>
      <c r="K42" s="265"/>
      <c r="L42" s="265"/>
      <c r="M42" s="265"/>
      <c r="N42" s="265"/>
      <c r="O42" s="265"/>
    </row>
    <row r="43" spans="1:15" ht="30" customHeight="1" x14ac:dyDescent="0.3">
      <c r="A43" s="169">
        <v>43752</v>
      </c>
      <c r="B43" s="4">
        <v>32</v>
      </c>
      <c r="C43" s="4">
        <v>100</v>
      </c>
      <c r="D43" s="8">
        <v>56.999999999999993</v>
      </c>
      <c r="E43" s="8">
        <v>69.767441860465112</v>
      </c>
      <c r="F43" s="264"/>
      <c r="G43" s="259" t="s">
        <v>5344</v>
      </c>
      <c r="H43" s="259" t="s">
        <v>5345</v>
      </c>
      <c r="J43" s="265"/>
      <c r="K43" s="265"/>
      <c r="L43" s="265"/>
      <c r="M43" s="265"/>
      <c r="N43" s="265"/>
      <c r="O43" s="265"/>
    </row>
    <row r="44" spans="1:15" ht="30" customHeight="1" x14ac:dyDescent="0.3">
      <c r="A44" s="168">
        <v>43756</v>
      </c>
      <c r="B44" s="3">
        <v>33</v>
      </c>
      <c r="C44" s="3">
        <v>100</v>
      </c>
      <c r="D44" s="7">
        <v>56.999999999999993</v>
      </c>
      <c r="E44" s="7">
        <v>74.418604651162795</v>
      </c>
      <c r="F44" s="264"/>
      <c r="G44" s="259" t="s">
        <v>5261</v>
      </c>
      <c r="H44" s="259" t="s">
        <v>5262</v>
      </c>
      <c r="J44" s="265"/>
      <c r="K44" s="265"/>
      <c r="L44" s="265"/>
      <c r="M44" s="265"/>
      <c r="N44" s="265"/>
      <c r="O44" s="265"/>
    </row>
    <row r="45" spans="1:15" ht="30" customHeight="1" x14ac:dyDescent="0.3">
      <c r="A45" s="169">
        <v>43761</v>
      </c>
      <c r="B45" s="4">
        <v>34</v>
      </c>
      <c r="C45" s="4">
        <v>100</v>
      </c>
      <c r="D45" s="8">
        <v>56.000000000000007</v>
      </c>
      <c r="E45" s="8">
        <v>61.363636363636367</v>
      </c>
      <c r="F45" s="264"/>
      <c r="J45" s="265"/>
      <c r="K45" s="265"/>
      <c r="L45" s="265"/>
      <c r="M45" s="265"/>
      <c r="N45" s="265"/>
      <c r="O45" s="265"/>
    </row>
    <row r="46" spans="1:15" ht="30" customHeight="1" x14ac:dyDescent="0.3">
      <c r="A46" s="168">
        <v>43767</v>
      </c>
      <c r="B46" s="3">
        <v>35</v>
      </c>
      <c r="C46" s="3">
        <v>97</v>
      </c>
      <c r="D46" s="7">
        <v>56.701030927835049</v>
      </c>
      <c r="E46" s="7">
        <v>61.904761904761905</v>
      </c>
      <c r="F46" s="264"/>
      <c r="J46" s="265"/>
      <c r="K46" s="265"/>
      <c r="L46" s="265"/>
      <c r="M46" s="265"/>
      <c r="N46" s="265"/>
      <c r="O46" s="265"/>
    </row>
    <row r="47" spans="1:15" ht="30" customHeight="1" x14ac:dyDescent="0.3">
      <c r="A47" s="169">
        <v>43775</v>
      </c>
      <c r="B47" s="4">
        <v>36</v>
      </c>
      <c r="C47" s="4">
        <v>100</v>
      </c>
      <c r="D47" s="8">
        <v>52</v>
      </c>
      <c r="E47" s="8">
        <v>58.333333333333336</v>
      </c>
      <c r="F47" s="264"/>
      <c r="J47" s="265"/>
      <c r="K47" s="265"/>
      <c r="L47" s="265"/>
      <c r="M47" s="265"/>
      <c r="N47" s="265"/>
      <c r="O47" s="265"/>
    </row>
    <row r="48" spans="1:15" ht="30" customHeight="1" x14ac:dyDescent="0.3">
      <c r="A48" s="168">
        <v>43815</v>
      </c>
      <c r="B48" s="3">
        <v>38</v>
      </c>
      <c r="C48" s="3">
        <v>100</v>
      </c>
      <c r="D48" s="7">
        <v>47</v>
      </c>
      <c r="E48" s="7">
        <v>50.943396226415096</v>
      </c>
      <c r="F48" s="264"/>
      <c r="J48" s="265"/>
      <c r="K48" s="265"/>
      <c r="L48" s="265"/>
      <c r="M48" s="265"/>
      <c r="N48" s="265"/>
      <c r="O48" s="265"/>
    </row>
    <row r="49" spans="1:15" ht="30" customHeight="1" x14ac:dyDescent="0.3">
      <c r="A49" s="169">
        <v>43857</v>
      </c>
      <c r="B49" s="4">
        <v>39</v>
      </c>
      <c r="C49" s="4">
        <v>98</v>
      </c>
      <c r="D49" s="8">
        <v>50</v>
      </c>
      <c r="E49" s="8">
        <v>42.857142857142861</v>
      </c>
      <c r="F49" s="264"/>
      <c r="J49" s="265"/>
      <c r="K49" s="265"/>
      <c r="L49" s="265"/>
      <c r="M49" s="265"/>
      <c r="N49" s="265"/>
      <c r="O49" s="265"/>
    </row>
    <row r="50" spans="1:15" ht="30" customHeight="1" x14ac:dyDescent="0.3">
      <c r="A50" s="168">
        <v>43872</v>
      </c>
      <c r="B50" s="3">
        <v>40</v>
      </c>
      <c r="C50" s="3">
        <v>100</v>
      </c>
      <c r="D50" s="7">
        <v>52</v>
      </c>
      <c r="E50" s="7">
        <v>56.25</v>
      </c>
      <c r="F50" s="264"/>
      <c r="J50" s="265"/>
      <c r="K50" s="265"/>
      <c r="L50" s="265"/>
      <c r="M50" s="265"/>
      <c r="N50" s="265"/>
      <c r="O50" s="265"/>
    </row>
    <row r="51" spans="1:15" ht="30" customHeight="1" x14ac:dyDescent="0.3">
      <c r="A51" s="169">
        <v>43885</v>
      </c>
      <c r="B51" s="4">
        <v>41</v>
      </c>
      <c r="C51" s="4">
        <v>99</v>
      </c>
      <c r="D51" s="8">
        <v>45.454545454545453</v>
      </c>
      <c r="E51" s="8">
        <v>62.962962962962962</v>
      </c>
      <c r="F51" s="264"/>
      <c r="J51" s="265"/>
      <c r="K51" s="265"/>
      <c r="L51" s="265"/>
      <c r="M51" s="265"/>
      <c r="N51" s="265"/>
      <c r="O51" s="265"/>
    </row>
    <row r="52" spans="1:15" ht="30" customHeight="1" x14ac:dyDescent="0.3">
      <c r="A52" s="168">
        <v>43895</v>
      </c>
      <c r="B52" s="3">
        <v>42</v>
      </c>
      <c r="C52" s="3">
        <v>95</v>
      </c>
      <c r="D52" s="7">
        <v>45.263157894736842</v>
      </c>
      <c r="E52" s="7">
        <v>53.846153846153847</v>
      </c>
      <c r="F52" s="264"/>
      <c r="J52" s="265"/>
      <c r="K52" s="265"/>
      <c r="L52" s="265"/>
      <c r="M52" s="265"/>
      <c r="N52" s="265"/>
      <c r="O52" s="265"/>
    </row>
    <row r="53" spans="1:15" ht="30" customHeight="1" x14ac:dyDescent="0.3">
      <c r="A53" s="169">
        <v>43900</v>
      </c>
      <c r="B53" s="4">
        <v>43</v>
      </c>
      <c r="C53" s="4">
        <v>100</v>
      </c>
      <c r="D53" s="8">
        <v>55.000000000000007</v>
      </c>
      <c r="E53" s="8">
        <v>62.222222222222221</v>
      </c>
      <c r="F53" s="264"/>
      <c r="J53" s="265"/>
      <c r="K53" s="265"/>
      <c r="L53" s="265"/>
      <c r="M53" s="265"/>
      <c r="N53" s="265"/>
      <c r="O53" s="265"/>
    </row>
    <row r="54" spans="1:15" ht="30" customHeight="1" x14ac:dyDescent="0.3">
      <c r="A54" s="168">
        <v>43934</v>
      </c>
      <c r="B54" s="3">
        <v>44</v>
      </c>
      <c r="C54" s="3">
        <v>99</v>
      </c>
      <c r="D54" s="7">
        <v>54.54545454545454</v>
      </c>
      <c r="E54" s="7">
        <v>77.777777777777771</v>
      </c>
      <c r="F54" s="264"/>
      <c r="J54" s="265"/>
      <c r="K54" s="265"/>
      <c r="L54" s="265"/>
      <c r="M54" s="265"/>
      <c r="N54" s="265"/>
      <c r="O54" s="265"/>
    </row>
    <row r="55" spans="1:15" ht="30" customHeight="1" x14ac:dyDescent="0.3">
      <c r="A55" s="169">
        <v>43941</v>
      </c>
      <c r="B55" s="4">
        <v>44</v>
      </c>
      <c r="C55" s="4">
        <v>99</v>
      </c>
      <c r="D55" s="8">
        <v>53</v>
      </c>
      <c r="E55" s="8">
        <v>60.4166666666667</v>
      </c>
      <c r="F55" s="264"/>
      <c r="J55" s="265"/>
      <c r="K55" s="265"/>
      <c r="L55" s="265"/>
      <c r="M55" s="265"/>
      <c r="N55" s="265"/>
      <c r="O55" s="265"/>
    </row>
    <row r="56" spans="1:15" ht="30" customHeight="1" x14ac:dyDescent="0.3">
      <c r="A56" s="168">
        <v>43962</v>
      </c>
      <c r="B56" s="3">
        <v>45</v>
      </c>
      <c r="C56" s="3">
        <v>94</v>
      </c>
      <c r="D56" s="7">
        <v>52.12765957446809</v>
      </c>
      <c r="E56" s="7">
        <v>77.777777777777771</v>
      </c>
      <c r="F56" s="264"/>
      <c r="J56" s="265"/>
      <c r="K56" s="265"/>
      <c r="L56" s="265"/>
      <c r="M56" s="265"/>
      <c r="N56" s="265"/>
      <c r="O56" s="265"/>
    </row>
    <row r="57" spans="1:15" ht="30" customHeight="1" x14ac:dyDescent="0.3">
      <c r="A57" s="169">
        <v>43969</v>
      </c>
      <c r="B57" s="4">
        <v>46</v>
      </c>
      <c r="C57" s="4">
        <v>100</v>
      </c>
      <c r="D57" s="8">
        <v>56.999999999999993</v>
      </c>
      <c r="E57" s="8">
        <v>53.488372093023258</v>
      </c>
      <c r="F57" s="264"/>
      <c r="J57" s="265"/>
      <c r="K57" s="265"/>
      <c r="L57" s="265"/>
      <c r="M57" s="265"/>
      <c r="N57" s="265"/>
      <c r="O57" s="265"/>
    </row>
    <row r="58" spans="1:15" ht="30" customHeight="1" x14ac:dyDescent="0.3">
      <c r="A58" s="168">
        <v>43984</v>
      </c>
      <c r="B58" s="3">
        <v>47</v>
      </c>
      <c r="C58" s="3">
        <v>100</v>
      </c>
      <c r="D58" s="7">
        <v>62</v>
      </c>
      <c r="E58" s="7">
        <v>78.94736842105263</v>
      </c>
      <c r="F58" s="264"/>
      <c r="J58" s="265"/>
      <c r="K58" s="265"/>
      <c r="L58" s="265"/>
      <c r="M58" s="265"/>
      <c r="N58" s="265"/>
      <c r="O58" s="265"/>
    </row>
    <row r="59" spans="1:15" ht="30" customHeight="1" x14ac:dyDescent="0.3">
      <c r="A59" s="169">
        <v>44004</v>
      </c>
      <c r="B59" s="4">
        <v>48</v>
      </c>
      <c r="C59" s="4">
        <v>100</v>
      </c>
      <c r="D59" s="8">
        <v>62</v>
      </c>
      <c r="E59" s="8">
        <v>79</v>
      </c>
      <c r="F59" s="264"/>
      <c r="J59" s="265"/>
      <c r="K59" s="265"/>
      <c r="L59" s="265"/>
      <c r="M59" s="265"/>
      <c r="N59" s="265"/>
      <c r="O59" s="265"/>
    </row>
    <row r="60" spans="1:15" ht="30" customHeight="1" x14ac:dyDescent="0.3">
      <c r="A60" s="168">
        <v>44014</v>
      </c>
      <c r="B60" s="3">
        <v>49</v>
      </c>
      <c r="C60" s="3">
        <v>98</v>
      </c>
      <c r="D60" s="7">
        <v>54.081632653061227</v>
      </c>
      <c r="E60" s="7">
        <v>51.063829787234042</v>
      </c>
      <c r="F60" s="264"/>
      <c r="J60" s="265"/>
      <c r="K60" s="265"/>
      <c r="L60" s="265"/>
      <c r="M60" s="265"/>
      <c r="N60" s="265"/>
      <c r="O60" s="265"/>
    </row>
    <row r="61" spans="1:15" ht="30" customHeight="1" x14ac:dyDescent="0.3">
      <c r="A61" s="169">
        <v>44026</v>
      </c>
      <c r="B61" s="4">
        <v>50</v>
      </c>
      <c r="C61" s="4">
        <v>99</v>
      </c>
      <c r="D61" s="8">
        <v>60.606060606060609</v>
      </c>
      <c r="E61" s="8">
        <v>84.615384615384613</v>
      </c>
      <c r="F61" s="264"/>
      <c r="J61" s="265"/>
      <c r="K61" s="265"/>
      <c r="L61" s="265"/>
      <c r="M61" s="265"/>
      <c r="N61" s="265"/>
      <c r="O61" s="265"/>
    </row>
    <row r="62" spans="1:15" ht="30" customHeight="1" x14ac:dyDescent="0.3">
      <c r="A62" s="168">
        <v>44033</v>
      </c>
      <c r="B62" s="3">
        <v>51</v>
      </c>
      <c r="C62" s="3">
        <v>96</v>
      </c>
      <c r="D62" s="7">
        <v>38</v>
      </c>
      <c r="E62" s="7">
        <v>60</v>
      </c>
      <c r="F62" s="264"/>
      <c r="J62" s="265"/>
      <c r="K62" s="265"/>
      <c r="L62" s="265"/>
      <c r="M62" s="265"/>
      <c r="N62" s="265"/>
      <c r="O62" s="265"/>
    </row>
    <row r="63" spans="1:15" ht="30" customHeight="1" x14ac:dyDescent="0.3">
      <c r="A63" s="169">
        <v>44039</v>
      </c>
      <c r="B63" s="4">
        <v>55</v>
      </c>
      <c r="C63" s="4">
        <v>97</v>
      </c>
      <c r="D63" s="8">
        <v>60.824742268041234</v>
      </c>
      <c r="E63" s="8">
        <v>57.89473684210526</v>
      </c>
      <c r="F63" s="264"/>
      <c r="J63" s="265"/>
      <c r="K63" s="265"/>
      <c r="L63" s="265"/>
      <c r="M63" s="265"/>
      <c r="N63" s="265"/>
      <c r="O63" s="265"/>
    </row>
    <row r="64" spans="1:15" ht="30" customHeight="1" x14ac:dyDescent="0.3">
      <c r="A64" s="168">
        <v>44047</v>
      </c>
      <c r="B64" s="3">
        <v>56</v>
      </c>
      <c r="C64" s="3">
        <v>98</v>
      </c>
      <c r="D64" s="7">
        <v>59.183673469387756</v>
      </c>
      <c r="E64" s="7">
        <v>62.5</v>
      </c>
      <c r="F64" s="264"/>
      <c r="J64" s="265"/>
      <c r="K64" s="265"/>
      <c r="L64" s="265"/>
      <c r="M64" s="265"/>
      <c r="N64" s="265"/>
      <c r="O64" s="265"/>
    </row>
    <row r="65" spans="1:15" ht="30" customHeight="1" x14ac:dyDescent="0.3">
      <c r="A65" s="169">
        <v>44053</v>
      </c>
      <c r="B65" s="4">
        <v>54</v>
      </c>
      <c r="C65" s="4">
        <v>100</v>
      </c>
      <c r="D65" s="8">
        <v>57.999999999999993</v>
      </c>
      <c r="E65" s="8">
        <v>54.761904761904759</v>
      </c>
      <c r="F65" s="264"/>
      <c r="J65" s="265"/>
      <c r="K65" s="265"/>
      <c r="L65" s="265"/>
      <c r="M65" s="265"/>
      <c r="N65" s="265"/>
      <c r="O65" s="265"/>
    </row>
    <row r="66" spans="1:15" ht="30" customHeight="1" x14ac:dyDescent="0.3">
      <c r="A66" s="168">
        <v>44186</v>
      </c>
      <c r="B66" s="3">
        <v>55</v>
      </c>
      <c r="C66" s="3">
        <v>97</v>
      </c>
      <c r="D66" s="7">
        <v>53.608247422680414</v>
      </c>
      <c r="E66" s="7">
        <v>46.666666666666664</v>
      </c>
      <c r="F66" s="264"/>
      <c r="J66" s="265"/>
      <c r="K66" s="265"/>
      <c r="L66" s="265"/>
      <c r="M66" s="265"/>
      <c r="N66" s="265"/>
      <c r="O66" s="265"/>
    </row>
    <row r="67" spans="1:15" ht="30" customHeight="1" x14ac:dyDescent="0.3">
      <c r="A67" s="169">
        <v>44201</v>
      </c>
      <c r="B67" s="4">
        <v>56</v>
      </c>
      <c r="C67" s="4">
        <v>99</v>
      </c>
      <c r="D67" s="8">
        <v>61</v>
      </c>
      <c r="E67" s="8">
        <v>58</v>
      </c>
      <c r="F67" s="264"/>
      <c r="J67" s="265"/>
      <c r="K67" s="265"/>
      <c r="L67" s="265"/>
      <c r="M67" s="265"/>
      <c r="N67" s="265"/>
      <c r="O67" s="265"/>
    </row>
    <row r="68" spans="1:15" ht="30" customHeight="1" x14ac:dyDescent="0.3">
      <c r="A68" s="168">
        <v>44221</v>
      </c>
      <c r="B68" s="3">
        <v>57</v>
      </c>
      <c r="C68" s="3">
        <v>99</v>
      </c>
      <c r="D68" s="7">
        <v>52.525252525252533</v>
      </c>
      <c r="E68" s="7">
        <v>63.829787234042556</v>
      </c>
      <c r="F68" s="264"/>
      <c r="J68" s="265"/>
      <c r="K68" s="265"/>
      <c r="L68" s="265"/>
      <c r="M68" s="265"/>
      <c r="N68" s="265"/>
      <c r="O68" s="265"/>
    </row>
    <row r="69" spans="1:15" ht="30" customHeight="1" x14ac:dyDescent="0.3">
      <c r="A69" s="169">
        <v>44249</v>
      </c>
      <c r="B69" s="4">
        <v>58</v>
      </c>
      <c r="C69" s="4"/>
      <c r="D69" s="8">
        <v>72</v>
      </c>
      <c r="E69" s="8">
        <v>64.285714285714292</v>
      </c>
      <c r="F69" s="264"/>
      <c r="J69" s="265"/>
      <c r="K69" s="265"/>
      <c r="L69" s="265"/>
      <c r="M69" s="265"/>
      <c r="N69" s="265"/>
      <c r="O69" s="265"/>
    </row>
    <row r="70" spans="1:15" ht="30" customHeight="1" x14ac:dyDescent="0.3">
      <c r="A70" s="168">
        <v>44251</v>
      </c>
      <c r="B70" s="3">
        <v>59</v>
      </c>
      <c r="D70" s="7">
        <v>55</v>
      </c>
      <c r="E70" s="7">
        <v>37.777777777777779</v>
      </c>
      <c r="F70" s="264"/>
      <c r="J70" s="265"/>
      <c r="K70" s="265"/>
      <c r="L70" s="265"/>
      <c r="M70" s="265"/>
      <c r="N70" s="265"/>
      <c r="O70" s="265"/>
    </row>
    <row r="71" spans="1:15" ht="30" customHeight="1" x14ac:dyDescent="0.3">
      <c r="A71" s="169">
        <v>44252</v>
      </c>
      <c r="B71" s="4">
        <v>60</v>
      </c>
      <c r="C71" s="4"/>
      <c r="D71" s="8">
        <v>54</v>
      </c>
      <c r="E71" s="8">
        <v>67.391304347826093</v>
      </c>
      <c r="F71" s="264"/>
      <c r="J71" s="265"/>
      <c r="K71" s="265"/>
      <c r="L71" s="265"/>
      <c r="M71" s="265"/>
      <c r="N71" s="265"/>
      <c r="O71" s="265"/>
    </row>
    <row r="72" spans="1:15" ht="30" customHeight="1" x14ac:dyDescent="0.3">
      <c r="A72" s="168">
        <v>44253</v>
      </c>
      <c r="B72" s="3">
        <v>61</v>
      </c>
      <c r="D72" s="7">
        <v>53</v>
      </c>
      <c r="E72" s="7">
        <v>63.829787234042556</v>
      </c>
      <c r="F72" s="264"/>
      <c r="J72" s="265"/>
      <c r="K72" s="265"/>
      <c r="L72" s="265"/>
      <c r="M72" s="265"/>
      <c r="N72" s="265"/>
      <c r="O72" s="265"/>
    </row>
    <row r="73" spans="1:15" ht="30" customHeight="1" x14ac:dyDescent="0.3">
      <c r="A73" s="169">
        <v>44254</v>
      </c>
      <c r="B73" s="4">
        <v>62</v>
      </c>
      <c r="C73" s="4"/>
      <c r="D73" s="8">
        <v>56</v>
      </c>
      <c r="E73" s="8">
        <v>65.909090909090907</v>
      </c>
      <c r="F73" s="264"/>
      <c r="J73" s="265"/>
      <c r="K73" s="265"/>
      <c r="L73" s="265"/>
      <c r="M73" s="265"/>
      <c r="N73" s="265"/>
      <c r="O73" s="265"/>
    </row>
    <row r="74" spans="1:15" ht="30" customHeight="1" x14ac:dyDescent="0.3">
      <c r="A74" s="168">
        <v>44255</v>
      </c>
      <c r="B74" s="3">
        <v>63</v>
      </c>
      <c r="D74" s="7">
        <v>54</v>
      </c>
      <c r="E74" s="7">
        <v>54.347826086956523</v>
      </c>
      <c r="F74" s="264"/>
      <c r="J74" s="265"/>
      <c r="K74" s="265"/>
      <c r="L74" s="265"/>
      <c r="M74" s="265"/>
      <c r="N74" s="265"/>
      <c r="O74" s="265"/>
    </row>
    <row r="75" spans="1:15" ht="30" customHeight="1" x14ac:dyDescent="0.3">
      <c r="A75" s="169">
        <v>44256</v>
      </c>
      <c r="B75" s="4">
        <v>64</v>
      </c>
      <c r="C75" s="4"/>
      <c r="D75" s="8">
        <v>65</v>
      </c>
      <c r="E75" s="8">
        <v>60</v>
      </c>
      <c r="F75" s="264"/>
      <c r="J75" s="265"/>
      <c r="K75" s="265"/>
      <c r="L75" s="265"/>
      <c r="M75" s="265"/>
      <c r="N75" s="265"/>
      <c r="O75" s="265"/>
    </row>
    <row r="76" spans="1:15" ht="30" customHeight="1" x14ac:dyDescent="0.3">
      <c r="A76" s="168">
        <v>44257</v>
      </c>
      <c r="B76" s="3">
        <v>65</v>
      </c>
      <c r="D76" s="7">
        <v>54</v>
      </c>
      <c r="E76" s="7">
        <v>58.695652173913047</v>
      </c>
      <c r="F76" s="264"/>
      <c r="J76" s="265"/>
      <c r="K76" s="265"/>
      <c r="L76" s="265"/>
      <c r="M76" s="265"/>
      <c r="N76" s="265"/>
      <c r="O76" s="265"/>
    </row>
    <row r="77" spans="1:15" ht="30" customHeight="1" x14ac:dyDescent="0.3">
      <c r="A77" s="169">
        <v>44258</v>
      </c>
      <c r="B77" s="4">
        <v>66</v>
      </c>
      <c r="C77" s="4"/>
      <c r="D77" s="8">
        <v>67</v>
      </c>
      <c r="E77" s="8">
        <v>72.727272727272734</v>
      </c>
      <c r="F77" s="264"/>
      <c r="J77" s="265"/>
      <c r="K77" s="265"/>
      <c r="L77" s="265"/>
      <c r="M77" s="265"/>
      <c r="N77" s="265"/>
      <c r="O77" s="265"/>
    </row>
    <row r="78" spans="1:15" ht="30" customHeight="1" x14ac:dyDescent="0.3">
      <c r="A78" s="168">
        <v>44260</v>
      </c>
      <c r="B78" s="3">
        <v>67</v>
      </c>
      <c r="D78" s="7">
        <v>76</v>
      </c>
      <c r="E78" s="7">
        <v>37.5</v>
      </c>
      <c r="F78" s="264"/>
      <c r="J78" s="265"/>
      <c r="K78" s="265"/>
      <c r="L78" s="265"/>
      <c r="M78" s="265"/>
      <c r="N78" s="265"/>
      <c r="O78" s="265"/>
    </row>
    <row r="79" spans="1:15" ht="30" customHeight="1" x14ac:dyDescent="0.3">
      <c r="A79" s="169">
        <v>44261</v>
      </c>
      <c r="B79" s="4">
        <v>68</v>
      </c>
      <c r="C79" s="4"/>
      <c r="D79" s="8">
        <v>71</v>
      </c>
      <c r="E79" s="8">
        <v>51.724137931034484</v>
      </c>
      <c r="F79" s="264"/>
      <c r="J79" s="265"/>
      <c r="K79" s="265"/>
      <c r="L79" s="265"/>
      <c r="M79" s="265"/>
      <c r="N79" s="265"/>
      <c r="O79" s="265"/>
    </row>
    <row r="80" spans="1:15" ht="30" customHeight="1" x14ac:dyDescent="0.3">
      <c r="A80" s="168">
        <v>44262</v>
      </c>
      <c r="B80" s="3">
        <v>69</v>
      </c>
      <c r="D80" s="7">
        <v>61</v>
      </c>
      <c r="E80" s="7">
        <v>58.974358974358971</v>
      </c>
      <c r="F80" s="264"/>
      <c r="J80" s="265"/>
      <c r="K80" s="265"/>
      <c r="L80" s="265"/>
      <c r="M80" s="265"/>
      <c r="N80" s="265"/>
      <c r="O80" s="265"/>
    </row>
    <row r="81" spans="1:15" ht="30" customHeight="1" x14ac:dyDescent="0.3">
      <c r="A81" s="169">
        <v>44263</v>
      </c>
      <c r="B81" s="4">
        <v>70</v>
      </c>
      <c r="C81" s="4"/>
      <c r="D81" s="8">
        <v>63</v>
      </c>
      <c r="E81" s="8">
        <v>56.756756756756758</v>
      </c>
      <c r="F81" s="264"/>
      <c r="J81" s="265"/>
      <c r="K81" s="265"/>
      <c r="L81" s="265"/>
      <c r="M81" s="265"/>
      <c r="N81" s="265"/>
      <c r="O81" s="265"/>
    </row>
    <row r="82" spans="1:15" ht="30" customHeight="1" x14ac:dyDescent="0.3">
      <c r="A82" s="168">
        <v>44264</v>
      </c>
      <c r="B82" s="3">
        <v>71</v>
      </c>
      <c r="D82" s="7">
        <v>58</v>
      </c>
      <c r="E82" s="7">
        <v>59.523809523809526</v>
      </c>
      <c r="F82" s="264"/>
      <c r="J82" s="265"/>
      <c r="K82" s="265"/>
      <c r="L82" s="265"/>
      <c r="M82" s="265"/>
      <c r="N82" s="265"/>
      <c r="O82" s="265"/>
    </row>
    <row r="83" spans="1:15" ht="30" customHeight="1" x14ac:dyDescent="0.3">
      <c r="A83" s="169">
        <v>44265</v>
      </c>
      <c r="B83" s="4">
        <v>72</v>
      </c>
      <c r="C83" s="4"/>
      <c r="D83" s="8">
        <v>58</v>
      </c>
      <c r="E83" s="8">
        <v>64.285714285714292</v>
      </c>
      <c r="F83" s="264"/>
      <c r="J83" s="265"/>
      <c r="K83" s="265"/>
      <c r="L83" s="265"/>
      <c r="M83" s="265"/>
      <c r="N83" s="265"/>
      <c r="O83" s="265"/>
    </row>
    <row r="84" spans="1:15" ht="30" customHeight="1" x14ac:dyDescent="0.3">
      <c r="A84" s="168">
        <v>44266</v>
      </c>
      <c r="B84" s="3">
        <v>73</v>
      </c>
      <c r="D84" s="7">
        <v>63</v>
      </c>
      <c r="E84" s="7">
        <v>64.86486486486487</v>
      </c>
      <c r="F84" s="264"/>
      <c r="J84" s="265"/>
      <c r="K84" s="265"/>
      <c r="L84" s="265"/>
      <c r="M84" s="265"/>
      <c r="N84" s="265"/>
      <c r="O84" s="265"/>
    </row>
    <row r="85" spans="1:15" ht="30" customHeight="1" x14ac:dyDescent="0.3">
      <c r="A85" s="169">
        <v>44267</v>
      </c>
      <c r="B85" s="4">
        <v>74</v>
      </c>
      <c r="C85" s="4"/>
      <c r="D85" s="8">
        <v>74</v>
      </c>
      <c r="E85" s="8">
        <v>61.53846153846154</v>
      </c>
      <c r="F85" s="264"/>
      <c r="J85" s="265"/>
      <c r="K85" s="265"/>
      <c r="L85" s="265"/>
      <c r="M85" s="265"/>
      <c r="N85" s="265"/>
      <c r="O85" s="265"/>
    </row>
    <row r="86" spans="1:15" ht="30" customHeight="1" x14ac:dyDescent="0.3">
      <c r="A86" s="168">
        <v>44268</v>
      </c>
      <c r="B86" s="3">
        <v>75</v>
      </c>
      <c r="D86" s="7">
        <v>56</v>
      </c>
      <c r="E86" s="7">
        <v>56.81818181818182</v>
      </c>
      <c r="F86" s="264"/>
      <c r="J86" s="265"/>
      <c r="K86" s="265"/>
      <c r="L86" s="265"/>
      <c r="M86" s="265"/>
      <c r="N86" s="265"/>
      <c r="O86" s="265"/>
    </row>
    <row r="87" spans="1:15" ht="30" customHeight="1" x14ac:dyDescent="0.3">
      <c r="A87" s="169">
        <v>44269</v>
      </c>
      <c r="B87" s="4">
        <v>76</v>
      </c>
      <c r="C87" s="4"/>
      <c r="D87" s="8">
        <v>68</v>
      </c>
      <c r="E87" s="8">
        <v>59.375</v>
      </c>
      <c r="F87" s="264"/>
      <c r="J87" s="265"/>
      <c r="K87" s="265"/>
      <c r="L87" s="265"/>
      <c r="M87" s="265"/>
      <c r="N87" s="265"/>
      <c r="O87" s="265"/>
    </row>
    <row r="88" spans="1:15" ht="30" customHeight="1" x14ac:dyDescent="0.3">
      <c r="A88" s="168">
        <v>44270</v>
      </c>
      <c r="B88" s="3">
        <v>77</v>
      </c>
      <c r="D88" s="7">
        <v>61</v>
      </c>
      <c r="E88" s="7">
        <v>48.717948717948715</v>
      </c>
      <c r="F88" s="264"/>
      <c r="J88" s="265"/>
      <c r="K88" s="265"/>
      <c r="L88" s="265"/>
      <c r="M88" s="265"/>
      <c r="N88" s="265"/>
      <c r="O88" s="265"/>
    </row>
    <row r="89" spans="1:15" ht="30" customHeight="1" x14ac:dyDescent="0.3">
      <c r="A89" s="169">
        <v>44271</v>
      </c>
      <c r="B89" s="4">
        <v>78</v>
      </c>
      <c r="C89" s="4"/>
      <c r="D89" s="8">
        <v>65</v>
      </c>
      <c r="E89" s="8">
        <v>68.571428571428569</v>
      </c>
      <c r="F89" s="264"/>
      <c r="J89" s="265"/>
      <c r="K89" s="265"/>
      <c r="L89" s="265"/>
      <c r="M89" s="265"/>
      <c r="N89" s="265"/>
      <c r="O89" s="265"/>
    </row>
    <row r="90" spans="1:15" ht="30" customHeight="1" x14ac:dyDescent="0.3">
      <c r="A90" s="168">
        <v>44272</v>
      </c>
      <c r="B90" s="3">
        <v>79</v>
      </c>
      <c r="D90" s="7">
        <v>62</v>
      </c>
      <c r="E90" s="7">
        <v>63.157894736842103</v>
      </c>
      <c r="F90" s="264"/>
      <c r="J90" s="265"/>
      <c r="K90" s="265"/>
      <c r="L90" s="265"/>
      <c r="M90" s="265"/>
      <c r="N90" s="265"/>
      <c r="O90" s="265"/>
    </row>
    <row r="91" spans="1:15" ht="30" customHeight="1" x14ac:dyDescent="0.3">
      <c r="A91" s="169">
        <v>44273</v>
      </c>
      <c r="B91" s="4">
        <v>80</v>
      </c>
      <c r="C91" s="4"/>
      <c r="D91" s="8">
        <v>65</v>
      </c>
      <c r="E91" s="8">
        <v>60</v>
      </c>
      <c r="F91" s="264"/>
      <c r="J91" s="265"/>
      <c r="K91" s="265"/>
      <c r="L91" s="265"/>
      <c r="M91" s="265"/>
      <c r="N91" s="265"/>
      <c r="O91" s="265"/>
    </row>
    <row r="92" spans="1:15" ht="30" customHeight="1" x14ac:dyDescent="0.3">
      <c r="A92" s="168">
        <v>44274</v>
      </c>
      <c r="B92" s="3">
        <v>81</v>
      </c>
      <c r="D92" s="7">
        <v>66</v>
      </c>
      <c r="E92" s="7">
        <v>82.352941176470594</v>
      </c>
      <c r="F92" s="264"/>
      <c r="J92" s="265"/>
      <c r="K92" s="265"/>
      <c r="L92" s="265"/>
      <c r="M92" s="265"/>
      <c r="N92" s="265"/>
      <c r="O92" s="265"/>
    </row>
    <row r="93" spans="1:15" ht="30" customHeight="1" x14ac:dyDescent="0.3">
      <c r="A93" s="169">
        <v>44275</v>
      </c>
      <c r="B93" s="4">
        <v>82</v>
      </c>
      <c r="C93" s="4"/>
      <c r="D93" s="8">
        <v>63</v>
      </c>
      <c r="E93" s="8">
        <v>72.972972972972968</v>
      </c>
      <c r="F93" s="264"/>
      <c r="J93" s="265"/>
      <c r="K93" s="265"/>
      <c r="L93" s="265"/>
      <c r="M93" s="265"/>
      <c r="N93" s="265"/>
      <c r="O93" s="265"/>
    </row>
    <row r="94" spans="1:15" ht="30" customHeight="1" x14ac:dyDescent="0.3">
      <c r="A94" s="168">
        <v>44276</v>
      </c>
      <c r="B94" s="3">
        <v>83</v>
      </c>
      <c r="D94" s="7">
        <v>76</v>
      </c>
      <c r="E94" s="7">
        <v>70.833333333333329</v>
      </c>
      <c r="F94" s="264"/>
      <c r="J94" s="265"/>
      <c r="K94" s="265"/>
      <c r="L94" s="265"/>
      <c r="M94" s="265"/>
      <c r="N94" s="265"/>
      <c r="O94" s="265"/>
    </row>
    <row r="95" spans="1:15" ht="30" customHeight="1" x14ac:dyDescent="0.3">
      <c r="A95" s="169">
        <v>44277</v>
      </c>
      <c r="B95" s="4">
        <v>84</v>
      </c>
      <c r="C95" s="4"/>
      <c r="D95" s="8">
        <v>65</v>
      </c>
      <c r="E95" s="8">
        <v>65.714285714285708</v>
      </c>
      <c r="F95" s="264"/>
      <c r="J95" s="265"/>
      <c r="K95" s="265"/>
      <c r="L95" s="265"/>
      <c r="M95" s="265"/>
      <c r="N95" s="265"/>
      <c r="O95" s="265"/>
    </row>
    <row r="96" spans="1:15" ht="30" customHeight="1" x14ac:dyDescent="0.3">
      <c r="A96" s="168">
        <v>44278</v>
      </c>
      <c r="B96" s="3">
        <v>85</v>
      </c>
      <c r="D96" s="7">
        <v>64</v>
      </c>
      <c r="E96" s="7">
        <v>50</v>
      </c>
      <c r="F96" s="264"/>
      <c r="J96" s="265"/>
      <c r="K96" s="265"/>
      <c r="L96" s="265"/>
      <c r="M96" s="265"/>
      <c r="N96" s="265"/>
      <c r="O96" s="265"/>
    </row>
    <row r="97" spans="1:15" ht="30" customHeight="1" x14ac:dyDescent="0.3">
      <c r="A97" s="169">
        <v>44279</v>
      </c>
      <c r="B97" s="4">
        <v>86</v>
      </c>
      <c r="C97" s="4"/>
      <c r="D97" s="8">
        <v>65</v>
      </c>
      <c r="E97" s="8">
        <v>65.714285714285708</v>
      </c>
      <c r="F97" s="264"/>
      <c r="J97" s="265"/>
      <c r="K97" s="265"/>
      <c r="L97" s="265"/>
      <c r="M97" s="265"/>
      <c r="N97" s="265"/>
      <c r="O97" s="265"/>
    </row>
    <row r="98" spans="1:15" ht="30" customHeight="1" x14ac:dyDescent="0.3">
      <c r="A98" s="168">
        <v>44280</v>
      </c>
      <c r="B98" s="3">
        <v>87</v>
      </c>
      <c r="D98" s="7">
        <v>62</v>
      </c>
      <c r="E98" s="7">
        <v>55.263157894736842</v>
      </c>
      <c r="F98" s="264"/>
      <c r="J98" s="265"/>
      <c r="K98" s="265"/>
      <c r="L98" s="265"/>
      <c r="M98" s="265"/>
      <c r="N98" s="265"/>
      <c r="O98" s="265"/>
    </row>
    <row r="99" spans="1:15" ht="30" customHeight="1" x14ac:dyDescent="0.3">
      <c r="A99" s="169">
        <v>44281</v>
      </c>
      <c r="B99" s="4">
        <v>88</v>
      </c>
      <c r="C99" s="4"/>
      <c r="D99" s="8">
        <v>66</v>
      </c>
      <c r="E99" s="8">
        <v>52.941176470588232</v>
      </c>
      <c r="F99" s="264"/>
      <c r="J99" s="265"/>
      <c r="K99" s="265"/>
      <c r="L99" s="265"/>
      <c r="M99" s="265"/>
      <c r="N99" s="265"/>
      <c r="O99" s="265"/>
    </row>
    <row r="100" spans="1:15" ht="30" customHeight="1" x14ac:dyDescent="0.3">
      <c r="A100" s="168">
        <v>44282</v>
      </c>
      <c r="B100" s="3">
        <v>89</v>
      </c>
      <c r="D100" s="7">
        <v>78</v>
      </c>
      <c r="E100" s="7">
        <v>81.818181818181813</v>
      </c>
      <c r="F100" s="264"/>
      <c r="J100" s="265"/>
      <c r="K100" s="265"/>
      <c r="L100" s="265"/>
      <c r="M100" s="265"/>
      <c r="N100" s="265"/>
      <c r="O100" s="265"/>
    </row>
    <row r="101" spans="1:15" ht="30" customHeight="1" x14ac:dyDescent="0.3">
      <c r="A101" s="169">
        <v>44283</v>
      </c>
      <c r="B101" s="4">
        <v>90</v>
      </c>
      <c r="C101" s="4"/>
      <c r="D101" s="8">
        <v>75</v>
      </c>
      <c r="E101" s="8">
        <v>60</v>
      </c>
      <c r="F101" s="264"/>
      <c r="J101" s="265"/>
      <c r="K101" s="265"/>
      <c r="L101" s="265"/>
      <c r="M101" s="265"/>
      <c r="N101" s="265"/>
      <c r="O101" s="265"/>
    </row>
    <row r="102" spans="1:15" ht="30" customHeight="1" x14ac:dyDescent="0.3">
      <c r="A102" s="168">
        <v>44284</v>
      </c>
      <c r="B102" s="3">
        <v>91</v>
      </c>
      <c r="D102" s="7">
        <v>62</v>
      </c>
      <c r="E102" s="7">
        <v>68.421052631578945</v>
      </c>
      <c r="F102" s="264"/>
      <c r="J102" s="265"/>
      <c r="K102" s="265"/>
      <c r="L102" s="265"/>
      <c r="M102" s="265"/>
      <c r="N102" s="265"/>
      <c r="O102" s="265"/>
    </row>
    <row r="103" spans="1:15" ht="30" customHeight="1" x14ac:dyDescent="0.3">
      <c r="A103" s="169">
        <v>44285</v>
      </c>
      <c r="B103" s="4">
        <v>92</v>
      </c>
      <c r="C103" s="4"/>
      <c r="D103" s="8">
        <v>62</v>
      </c>
      <c r="E103" s="8">
        <v>66.666666666666671</v>
      </c>
      <c r="F103" s="264"/>
      <c r="J103" s="265"/>
      <c r="K103" s="265"/>
      <c r="L103" s="265"/>
      <c r="M103" s="265"/>
      <c r="N103" s="265"/>
      <c r="O103" s="265"/>
    </row>
    <row r="104" spans="1:15" ht="30" customHeight="1" x14ac:dyDescent="0.3">
      <c r="A104" s="168">
        <v>44286</v>
      </c>
      <c r="B104" s="3">
        <v>93</v>
      </c>
      <c r="D104" s="7">
        <v>65</v>
      </c>
      <c r="E104" s="7">
        <v>68.571428571428569</v>
      </c>
      <c r="F104" s="264"/>
      <c r="J104" s="265"/>
      <c r="K104" s="265"/>
      <c r="L104" s="265"/>
      <c r="M104" s="265"/>
      <c r="N104" s="265"/>
      <c r="O104" s="265"/>
    </row>
    <row r="105" spans="1:15" ht="30" customHeight="1" x14ac:dyDescent="0.3">
      <c r="A105" s="169">
        <v>44297</v>
      </c>
      <c r="B105" s="4">
        <v>94</v>
      </c>
      <c r="C105" s="4"/>
      <c r="D105" s="8">
        <v>65</v>
      </c>
      <c r="E105" s="8">
        <v>54.285714285714285</v>
      </c>
      <c r="F105" s="264"/>
      <c r="J105" s="265"/>
      <c r="K105" s="265"/>
      <c r="L105" s="265"/>
      <c r="M105" s="265"/>
      <c r="N105" s="265"/>
      <c r="O105" s="265"/>
    </row>
    <row r="106" spans="1:15" ht="30" customHeight="1" x14ac:dyDescent="0.3">
      <c r="A106" s="168">
        <v>44298</v>
      </c>
      <c r="B106" s="3">
        <v>95</v>
      </c>
      <c r="D106" s="7">
        <v>74</v>
      </c>
      <c r="E106" s="7">
        <v>61.53846153846154</v>
      </c>
      <c r="F106" s="264"/>
      <c r="J106" s="265"/>
      <c r="K106" s="265"/>
      <c r="L106" s="265"/>
      <c r="M106" s="265"/>
      <c r="N106" s="265"/>
      <c r="O106" s="265"/>
    </row>
    <row r="107" spans="1:15" ht="30" customHeight="1" x14ac:dyDescent="0.3">
      <c r="A107" s="169">
        <v>44299</v>
      </c>
      <c r="B107" s="4">
        <v>96</v>
      </c>
      <c r="C107" s="4"/>
      <c r="D107" s="8">
        <v>61</v>
      </c>
      <c r="E107" s="8">
        <v>48.717948717948715</v>
      </c>
      <c r="F107" s="264"/>
      <c r="J107" s="265"/>
      <c r="K107" s="265"/>
      <c r="L107" s="265"/>
      <c r="M107" s="265"/>
      <c r="N107" s="265"/>
      <c r="O107" s="265"/>
    </row>
    <row r="108" spans="1:15" ht="30" customHeight="1" x14ac:dyDescent="0.3">
      <c r="A108" s="168">
        <v>44300</v>
      </c>
      <c r="B108" s="3">
        <v>97</v>
      </c>
      <c r="D108" s="7">
        <v>68</v>
      </c>
      <c r="E108" s="7">
        <v>59.375</v>
      </c>
      <c r="F108" s="264"/>
      <c r="J108" s="265"/>
      <c r="K108" s="265"/>
      <c r="L108" s="265"/>
      <c r="M108" s="265"/>
      <c r="N108" s="265"/>
      <c r="O108" s="265"/>
    </row>
    <row r="109" spans="1:15" ht="30" customHeight="1" x14ac:dyDescent="0.3">
      <c r="A109" s="169">
        <v>44301</v>
      </c>
      <c r="B109" s="4">
        <v>98</v>
      </c>
      <c r="C109" s="4"/>
      <c r="D109" s="8">
        <v>59</v>
      </c>
      <c r="E109" s="8">
        <v>60.975609756097562</v>
      </c>
      <c r="F109" s="264"/>
      <c r="J109" s="265"/>
      <c r="K109" s="265"/>
      <c r="L109" s="265"/>
      <c r="M109" s="265"/>
      <c r="N109" s="265"/>
      <c r="O109" s="265"/>
    </row>
    <row r="110" spans="1:15" ht="30" customHeight="1" x14ac:dyDescent="0.3">
      <c r="A110" s="168">
        <v>44302</v>
      </c>
      <c r="B110" s="3">
        <v>99</v>
      </c>
      <c r="D110" s="7">
        <v>62</v>
      </c>
      <c r="E110" s="7">
        <v>39.473684210526315</v>
      </c>
      <c r="F110" s="264"/>
      <c r="J110" s="265"/>
      <c r="K110" s="265"/>
      <c r="L110" s="265"/>
      <c r="M110" s="265"/>
      <c r="N110" s="265"/>
      <c r="O110" s="265"/>
    </row>
    <row r="111" spans="1:15" ht="30" customHeight="1" x14ac:dyDescent="0.3">
      <c r="A111" s="169">
        <v>44304</v>
      </c>
      <c r="B111" s="4">
        <v>100</v>
      </c>
      <c r="C111" s="4"/>
      <c r="D111" s="8">
        <v>65</v>
      </c>
      <c r="E111" s="8">
        <v>51.428571428571431</v>
      </c>
      <c r="F111" s="264"/>
      <c r="J111" s="265"/>
      <c r="K111" s="265"/>
      <c r="L111" s="265"/>
      <c r="M111" s="265"/>
      <c r="N111" s="265"/>
      <c r="O111" s="265"/>
    </row>
    <row r="112" spans="1:15" ht="30" customHeight="1" x14ac:dyDescent="0.3">
      <c r="A112" s="168">
        <v>44305</v>
      </c>
      <c r="B112" s="3">
        <v>101</v>
      </c>
      <c r="D112" s="7">
        <v>67</v>
      </c>
      <c r="E112" s="7">
        <v>69.696969696969703</v>
      </c>
      <c r="F112" s="264"/>
      <c r="J112" s="265"/>
      <c r="K112" s="265"/>
      <c r="L112" s="265"/>
      <c r="M112" s="265"/>
      <c r="N112" s="265"/>
      <c r="O112" s="265"/>
    </row>
    <row r="113" spans="1:15" ht="30" customHeight="1" x14ac:dyDescent="0.3">
      <c r="A113" s="169">
        <v>44306</v>
      </c>
      <c r="B113" s="4">
        <v>102</v>
      </c>
      <c r="C113" s="4"/>
      <c r="D113" s="8">
        <v>63</v>
      </c>
      <c r="E113" s="8">
        <v>71.428571428571431</v>
      </c>
      <c r="F113" s="264"/>
      <c r="J113" s="265"/>
      <c r="K113" s="265"/>
      <c r="L113" s="265"/>
      <c r="M113" s="265"/>
      <c r="N113" s="265"/>
      <c r="O113" s="265"/>
    </row>
    <row r="114" spans="1:15" ht="30" customHeight="1" x14ac:dyDescent="0.3">
      <c r="A114" s="168">
        <v>44307</v>
      </c>
      <c r="B114" s="3">
        <v>103</v>
      </c>
      <c r="D114" s="7">
        <v>62</v>
      </c>
      <c r="E114" s="7">
        <v>71.05263157894737</v>
      </c>
      <c r="F114" s="264"/>
      <c r="J114" s="265"/>
      <c r="K114" s="265"/>
      <c r="L114" s="265"/>
      <c r="M114" s="265"/>
      <c r="N114" s="265"/>
      <c r="O114" s="265"/>
    </row>
    <row r="115" spans="1:15" ht="30" customHeight="1" x14ac:dyDescent="0.3">
      <c r="A115" s="169">
        <v>44308</v>
      </c>
      <c r="B115" s="4">
        <v>104</v>
      </c>
      <c r="C115" s="4"/>
      <c r="D115" s="8">
        <v>60</v>
      </c>
      <c r="E115" s="8">
        <v>57.5</v>
      </c>
      <c r="F115" s="264"/>
      <c r="J115" s="265"/>
      <c r="K115" s="265"/>
      <c r="L115" s="265"/>
      <c r="M115" s="265"/>
      <c r="N115" s="265"/>
      <c r="O115" s="265"/>
    </row>
    <row r="116" spans="1:15" ht="30" customHeight="1" x14ac:dyDescent="0.3">
      <c r="A116" s="168">
        <v>44309</v>
      </c>
      <c r="B116" s="3">
        <v>105</v>
      </c>
      <c r="D116" s="7">
        <v>67</v>
      </c>
      <c r="E116" s="7">
        <v>60.606060606060609</v>
      </c>
      <c r="F116" s="264"/>
      <c r="J116" s="265"/>
      <c r="K116" s="265"/>
      <c r="L116" s="265"/>
      <c r="M116" s="265"/>
      <c r="N116" s="265"/>
      <c r="O116" s="265"/>
    </row>
    <row r="117" spans="1:15" ht="30" customHeight="1" x14ac:dyDescent="0.3">
      <c r="A117" s="169">
        <v>44310</v>
      </c>
      <c r="B117" s="4">
        <v>106</v>
      </c>
      <c r="C117" s="4"/>
      <c r="D117" s="8">
        <v>68</v>
      </c>
      <c r="E117" s="8">
        <v>56.25</v>
      </c>
      <c r="F117" s="264"/>
      <c r="J117" s="265"/>
      <c r="K117" s="265"/>
      <c r="L117" s="265"/>
      <c r="M117" s="265"/>
      <c r="N117" s="265"/>
      <c r="O117" s="265"/>
    </row>
    <row r="118" spans="1:15" ht="30" customHeight="1" x14ac:dyDescent="0.3">
      <c r="A118" s="168">
        <v>44311</v>
      </c>
      <c r="B118" s="3">
        <v>107</v>
      </c>
      <c r="D118" s="7">
        <v>70</v>
      </c>
      <c r="E118" s="7">
        <v>53.333333333333336</v>
      </c>
      <c r="F118" s="264"/>
      <c r="J118" s="265"/>
      <c r="K118" s="265"/>
      <c r="L118" s="265"/>
      <c r="M118" s="265"/>
      <c r="N118" s="265"/>
      <c r="O118" s="265"/>
    </row>
    <row r="119" spans="1:15" ht="30" customHeight="1" x14ac:dyDescent="0.3">
      <c r="A119" s="169">
        <v>44312</v>
      </c>
      <c r="B119" s="4">
        <v>108</v>
      </c>
      <c r="C119" s="4"/>
      <c r="D119" s="8">
        <v>71</v>
      </c>
      <c r="E119" s="8">
        <v>79.310344827586206</v>
      </c>
      <c r="F119" s="264"/>
      <c r="J119" s="265"/>
      <c r="K119" s="265"/>
      <c r="L119" s="265"/>
      <c r="M119" s="265"/>
      <c r="N119" s="265"/>
      <c r="O119" s="265"/>
    </row>
    <row r="120" spans="1:15" ht="30" customHeight="1" x14ac:dyDescent="0.3">
      <c r="A120" s="168">
        <v>44313</v>
      </c>
      <c r="B120" s="3">
        <v>109</v>
      </c>
      <c r="D120" s="7">
        <v>74</v>
      </c>
      <c r="E120" s="7">
        <v>80.769230769230774</v>
      </c>
      <c r="F120" s="264"/>
      <c r="J120" s="265"/>
      <c r="K120" s="265"/>
      <c r="L120" s="265"/>
      <c r="M120" s="265"/>
      <c r="N120" s="265"/>
      <c r="O120" s="265"/>
    </row>
    <row r="121" spans="1:15" ht="30" customHeight="1" x14ac:dyDescent="0.3">
      <c r="A121" s="169">
        <v>44314</v>
      </c>
      <c r="B121" s="4">
        <v>110</v>
      </c>
      <c r="C121" s="4"/>
      <c r="D121" s="8">
        <v>69</v>
      </c>
      <c r="E121" s="8">
        <v>70.967741935483872</v>
      </c>
      <c r="F121" s="264"/>
      <c r="J121" s="265"/>
      <c r="K121" s="265"/>
      <c r="L121" s="265"/>
      <c r="M121" s="265"/>
      <c r="N121" s="265"/>
      <c r="O121" s="265"/>
    </row>
    <row r="122" spans="1:15" ht="30" customHeight="1" x14ac:dyDescent="0.3">
      <c r="A122" s="168">
        <v>44315</v>
      </c>
      <c r="B122" s="3">
        <v>111</v>
      </c>
      <c r="D122" s="7">
        <v>59</v>
      </c>
      <c r="E122" s="7">
        <v>70.731707317073173</v>
      </c>
      <c r="F122" s="264"/>
      <c r="J122" s="265"/>
      <c r="K122" s="265"/>
      <c r="L122" s="265"/>
      <c r="M122" s="265"/>
      <c r="N122" s="265"/>
      <c r="O122" s="265"/>
    </row>
    <row r="123" spans="1:15" ht="30" customHeight="1" x14ac:dyDescent="0.3">
      <c r="A123" s="169">
        <v>44316</v>
      </c>
      <c r="B123" s="4">
        <v>112</v>
      </c>
      <c r="C123" s="4"/>
      <c r="D123" s="8">
        <v>64</v>
      </c>
      <c r="E123" s="8">
        <v>47.222222222222221</v>
      </c>
      <c r="F123" s="264"/>
      <c r="J123" s="265"/>
      <c r="K123" s="265"/>
      <c r="L123" s="265"/>
      <c r="M123" s="265"/>
      <c r="N123" s="265"/>
      <c r="O123" s="265"/>
    </row>
    <row r="124" spans="1:15" ht="30" customHeight="1" x14ac:dyDescent="0.3">
      <c r="A124" s="168">
        <v>44319</v>
      </c>
      <c r="B124" s="3">
        <v>113</v>
      </c>
      <c r="D124" s="7">
        <v>66</v>
      </c>
      <c r="E124" s="7">
        <v>67.647058823529406</v>
      </c>
      <c r="F124" s="264"/>
      <c r="J124" s="265"/>
      <c r="K124" s="265"/>
      <c r="L124" s="265"/>
      <c r="M124" s="265"/>
      <c r="N124" s="265"/>
      <c r="O124" s="265"/>
    </row>
    <row r="125" spans="1:15" ht="30" customHeight="1" x14ac:dyDescent="0.3">
      <c r="A125" s="169">
        <v>44321</v>
      </c>
      <c r="B125" s="4">
        <v>114</v>
      </c>
      <c r="C125" s="4"/>
      <c r="D125" s="8">
        <v>66</v>
      </c>
      <c r="E125" s="8">
        <v>61.764705882352942</v>
      </c>
      <c r="F125" s="264"/>
      <c r="J125" s="265"/>
      <c r="K125" s="265"/>
      <c r="L125" s="265"/>
      <c r="M125" s="265"/>
      <c r="N125" s="265"/>
      <c r="O125" s="265"/>
    </row>
    <row r="126" spans="1:15" ht="30" customHeight="1" x14ac:dyDescent="0.3">
      <c r="A126" s="168">
        <v>44322</v>
      </c>
      <c r="B126" s="3">
        <v>115</v>
      </c>
      <c r="D126" s="7">
        <v>67</v>
      </c>
      <c r="E126" s="7">
        <v>81.818181818181813</v>
      </c>
      <c r="F126" s="264"/>
      <c r="J126" s="265"/>
      <c r="K126" s="265"/>
      <c r="L126" s="265"/>
      <c r="M126" s="265"/>
      <c r="N126" s="265"/>
      <c r="O126" s="265"/>
    </row>
    <row r="127" spans="1:15" ht="30" customHeight="1" x14ac:dyDescent="0.3">
      <c r="A127" s="169">
        <v>44323</v>
      </c>
      <c r="B127" s="4">
        <v>116</v>
      </c>
      <c r="C127" s="4"/>
      <c r="D127" s="8">
        <v>65</v>
      </c>
      <c r="E127" s="8">
        <v>60</v>
      </c>
      <c r="F127" s="264"/>
      <c r="J127" s="265"/>
      <c r="K127" s="265"/>
      <c r="L127" s="265"/>
      <c r="M127" s="265"/>
      <c r="N127" s="265"/>
      <c r="O127" s="265"/>
    </row>
    <row r="128" spans="1:15" ht="30" customHeight="1" x14ac:dyDescent="0.3">
      <c r="A128" s="168">
        <v>44326</v>
      </c>
      <c r="B128" s="3">
        <v>117</v>
      </c>
      <c r="D128" s="7">
        <v>66</v>
      </c>
      <c r="E128" s="7">
        <v>50</v>
      </c>
      <c r="F128" s="264"/>
      <c r="J128" s="265"/>
      <c r="K128" s="265"/>
      <c r="L128" s="265"/>
      <c r="M128" s="265"/>
      <c r="N128" s="265"/>
      <c r="O128" s="265"/>
    </row>
    <row r="129" spans="1:15" ht="30" customHeight="1" x14ac:dyDescent="0.3">
      <c r="A129" s="169">
        <v>44327</v>
      </c>
      <c r="B129" s="4">
        <v>118</v>
      </c>
      <c r="C129" s="4"/>
      <c r="D129" s="8">
        <v>72</v>
      </c>
      <c r="E129" s="8">
        <v>75</v>
      </c>
      <c r="F129" s="264"/>
      <c r="J129" s="265"/>
      <c r="K129" s="265"/>
      <c r="L129" s="265"/>
      <c r="M129" s="265"/>
      <c r="N129" s="265"/>
      <c r="O129" s="265"/>
    </row>
    <row r="130" spans="1:15" ht="30" customHeight="1" x14ac:dyDescent="0.3">
      <c r="A130" s="168">
        <v>44328</v>
      </c>
      <c r="B130" s="3">
        <v>119</v>
      </c>
      <c r="D130" s="7">
        <v>72</v>
      </c>
      <c r="E130" s="7">
        <v>71.428571428571431</v>
      </c>
      <c r="F130" s="264"/>
      <c r="J130" s="265"/>
      <c r="K130" s="265"/>
      <c r="L130" s="265"/>
      <c r="M130" s="265"/>
      <c r="N130" s="265"/>
      <c r="O130" s="265"/>
    </row>
    <row r="131" spans="1:15" ht="30" customHeight="1" x14ac:dyDescent="0.3">
      <c r="A131" s="169">
        <v>44329</v>
      </c>
      <c r="B131" s="4">
        <v>120</v>
      </c>
      <c r="C131" s="4"/>
      <c r="D131" s="8">
        <v>65</v>
      </c>
      <c r="E131" s="8">
        <v>62.857142857142854</v>
      </c>
      <c r="F131" s="264"/>
      <c r="J131" s="265"/>
      <c r="K131" s="265"/>
      <c r="L131" s="265"/>
      <c r="M131" s="265"/>
      <c r="N131" s="265"/>
      <c r="O131" s="265"/>
    </row>
    <row r="132" spans="1:15" ht="30" customHeight="1" x14ac:dyDescent="0.3">
      <c r="A132" s="168">
        <v>44330</v>
      </c>
      <c r="B132" s="3">
        <v>121</v>
      </c>
      <c r="D132" s="7">
        <v>66</v>
      </c>
      <c r="E132" s="7">
        <v>79.411764705882348</v>
      </c>
      <c r="F132" s="264"/>
      <c r="J132" s="265"/>
      <c r="K132" s="265"/>
      <c r="L132" s="265"/>
      <c r="M132" s="265"/>
      <c r="N132" s="265"/>
      <c r="O132" s="265"/>
    </row>
    <row r="133" spans="1:15" ht="30" customHeight="1" x14ac:dyDescent="0.3">
      <c r="A133" s="169">
        <v>44331</v>
      </c>
      <c r="B133" s="4">
        <v>122</v>
      </c>
      <c r="C133" s="4"/>
      <c r="D133" s="8">
        <v>67</v>
      </c>
      <c r="E133" s="8">
        <v>78.787878787878782</v>
      </c>
      <c r="F133" s="264"/>
      <c r="J133" s="265"/>
      <c r="K133" s="265"/>
      <c r="L133" s="265"/>
      <c r="M133" s="265"/>
      <c r="N133" s="265"/>
      <c r="O133" s="265"/>
    </row>
    <row r="134" spans="1:15" ht="30" customHeight="1" x14ac:dyDescent="0.3">
      <c r="A134" s="168">
        <v>44332</v>
      </c>
      <c r="B134" s="3">
        <v>123</v>
      </c>
      <c r="D134" s="7">
        <v>70</v>
      </c>
      <c r="E134" s="7">
        <v>73.333333333333329</v>
      </c>
      <c r="F134" s="264"/>
      <c r="J134" s="265"/>
      <c r="K134" s="265"/>
      <c r="L134" s="265"/>
      <c r="M134" s="265"/>
      <c r="N134" s="265"/>
      <c r="O134" s="265"/>
    </row>
    <row r="135" spans="1:15" ht="30" customHeight="1" x14ac:dyDescent="0.3">
      <c r="A135" s="169">
        <v>44333</v>
      </c>
      <c r="B135" s="4">
        <v>124</v>
      </c>
      <c r="C135" s="4"/>
      <c r="D135" s="8">
        <v>68</v>
      </c>
      <c r="E135" s="8">
        <v>56.25</v>
      </c>
      <c r="F135" s="264"/>
      <c r="J135" s="265"/>
      <c r="K135" s="265"/>
      <c r="L135" s="265"/>
      <c r="M135" s="265"/>
      <c r="N135" s="265"/>
      <c r="O135" s="265"/>
    </row>
    <row r="136" spans="1:15" ht="30" customHeight="1" x14ac:dyDescent="0.3">
      <c r="A136" s="168">
        <v>44334</v>
      </c>
      <c r="B136" s="3">
        <v>125</v>
      </c>
      <c r="D136" s="7">
        <v>68</v>
      </c>
      <c r="E136" s="7">
        <v>71.875</v>
      </c>
      <c r="F136" s="264"/>
      <c r="J136" s="265"/>
      <c r="K136" s="265"/>
      <c r="L136" s="265"/>
      <c r="M136" s="265"/>
      <c r="N136" s="265"/>
      <c r="O136" s="265"/>
    </row>
    <row r="137" spans="1:15" ht="30" customHeight="1" x14ac:dyDescent="0.3">
      <c r="A137" s="169">
        <v>44334</v>
      </c>
      <c r="B137" s="4">
        <v>126</v>
      </c>
      <c r="C137" s="4"/>
      <c r="D137" s="8">
        <v>62</v>
      </c>
      <c r="E137" s="8">
        <v>76.315789473684205</v>
      </c>
      <c r="F137" s="264"/>
      <c r="J137" s="265"/>
      <c r="K137" s="265"/>
      <c r="L137" s="265"/>
      <c r="M137" s="265"/>
      <c r="N137" s="265"/>
      <c r="O137" s="265"/>
    </row>
    <row r="138" spans="1:15" ht="30" customHeight="1" x14ac:dyDescent="0.3">
      <c r="A138" s="168">
        <v>44335</v>
      </c>
      <c r="B138" s="3">
        <v>127</v>
      </c>
      <c r="D138" s="7">
        <v>74</v>
      </c>
      <c r="E138" s="7">
        <v>61.53846153846154</v>
      </c>
      <c r="F138" s="264"/>
      <c r="J138" s="265"/>
      <c r="K138" s="265"/>
      <c r="L138" s="265"/>
      <c r="M138" s="265"/>
      <c r="N138" s="265"/>
      <c r="O138" s="265"/>
    </row>
    <row r="139" spans="1:15" ht="30" customHeight="1" x14ac:dyDescent="0.3">
      <c r="A139" s="169">
        <v>44336</v>
      </c>
      <c r="B139" s="4">
        <v>128</v>
      </c>
      <c r="C139" s="4"/>
      <c r="D139" s="8">
        <v>69</v>
      </c>
      <c r="E139" s="8">
        <v>77.41935483870968</v>
      </c>
      <c r="F139" s="264"/>
      <c r="J139" s="265"/>
      <c r="K139" s="265"/>
      <c r="L139" s="265"/>
      <c r="M139" s="265"/>
      <c r="N139" s="265"/>
      <c r="O139" s="265"/>
    </row>
    <row r="140" spans="1:15" ht="30" customHeight="1" x14ac:dyDescent="0.3">
      <c r="A140" s="168">
        <v>44341</v>
      </c>
      <c r="B140" s="3">
        <v>129</v>
      </c>
      <c r="D140" s="7">
        <v>64</v>
      </c>
      <c r="E140" s="7">
        <v>72.222222222222229</v>
      </c>
      <c r="F140" s="264"/>
      <c r="J140" s="265"/>
      <c r="K140" s="265"/>
      <c r="L140" s="265"/>
      <c r="M140" s="265"/>
      <c r="N140" s="265"/>
      <c r="O140" s="265"/>
    </row>
    <row r="141" spans="1:15" ht="30" customHeight="1" x14ac:dyDescent="0.3">
      <c r="A141" s="169">
        <v>44342</v>
      </c>
      <c r="B141" s="4">
        <v>130</v>
      </c>
      <c r="C141" s="4"/>
      <c r="D141" s="8">
        <v>72</v>
      </c>
      <c r="E141" s="8">
        <v>78.571428571428569</v>
      </c>
      <c r="F141" s="264"/>
      <c r="J141" s="265"/>
      <c r="K141" s="265"/>
      <c r="L141" s="265"/>
      <c r="M141" s="265"/>
      <c r="N141" s="265"/>
      <c r="O141" s="265"/>
    </row>
    <row r="142" spans="1:15" ht="30" customHeight="1" x14ac:dyDescent="0.3">
      <c r="A142" s="168">
        <v>44343</v>
      </c>
      <c r="B142" s="3">
        <v>131</v>
      </c>
      <c r="D142" s="7">
        <v>68</v>
      </c>
      <c r="E142" s="7">
        <v>78.125</v>
      </c>
      <c r="F142" s="264"/>
      <c r="J142" s="265"/>
      <c r="K142" s="265"/>
      <c r="L142" s="265"/>
      <c r="M142" s="265"/>
      <c r="N142" s="265"/>
      <c r="O142" s="265"/>
    </row>
    <row r="143" spans="1:15" ht="30" customHeight="1" x14ac:dyDescent="0.3">
      <c r="A143" s="169">
        <v>44344</v>
      </c>
      <c r="B143" s="4">
        <v>132</v>
      </c>
      <c r="C143" s="4"/>
      <c r="D143" s="8">
        <v>75</v>
      </c>
      <c r="E143" s="8">
        <v>72</v>
      </c>
      <c r="F143" s="264"/>
      <c r="J143" s="265"/>
      <c r="K143" s="265"/>
      <c r="L143" s="265"/>
      <c r="M143" s="265"/>
      <c r="N143" s="265"/>
      <c r="O143" s="265"/>
    </row>
    <row r="144" spans="1:15" ht="30" customHeight="1" x14ac:dyDescent="0.3">
      <c r="A144" s="168">
        <v>44345</v>
      </c>
      <c r="B144" s="3">
        <v>133</v>
      </c>
      <c r="D144" s="7">
        <v>71</v>
      </c>
      <c r="E144" s="7">
        <v>75.862068965517238</v>
      </c>
      <c r="F144" s="264"/>
      <c r="J144" s="265"/>
      <c r="K144" s="265"/>
      <c r="L144" s="265"/>
      <c r="M144" s="265"/>
      <c r="N144" s="265"/>
      <c r="O144" s="265"/>
    </row>
    <row r="145" spans="1:15" ht="30" customHeight="1" x14ac:dyDescent="0.3">
      <c r="A145" s="169">
        <v>44346</v>
      </c>
      <c r="B145" s="4">
        <v>134</v>
      </c>
      <c r="C145" s="4"/>
      <c r="D145" s="8">
        <v>69</v>
      </c>
      <c r="E145" s="8">
        <v>58.064516129032256</v>
      </c>
      <c r="F145" s="264"/>
      <c r="J145" s="265"/>
      <c r="K145" s="265"/>
      <c r="L145" s="265"/>
      <c r="M145" s="265"/>
      <c r="N145" s="265"/>
      <c r="O145" s="265"/>
    </row>
    <row r="146" spans="1:15" ht="30" customHeight="1" x14ac:dyDescent="0.3">
      <c r="A146" s="168">
        <v>44347</v>
      </c>
      <c r="B146" s="3">
        <v>135</v>
      </c>
      <c r="D146" s="7">
        <v>71</v>
      </c>
      <c r="E146" s="7">
        <v>79.310344827586206</v>
      </c>
      <c r="F146" s="264"/>
      <c r="J146" s="265"/>
      <c r="K146" s="265"/>
      <c r="L146" s="265"/>
      <c r="M146" s="265"/>
      <c r="N146" s="265"/>
      <c r="O146" s="265"/>
    </row>
    <row r="147" spans="1:15" ht="30" customHeight="1" x14ac:dyDescent="0.3">
      <c r="A147" s="169">
        <v>44348</v>
      </c>
      <c r="B147" s="4">
        <v>136</v>
      </c>
      <c r="C147" s="4"/>
      <c r="D147" s="8">
        <v>74</v>
      </c>
      <c r="E147" s="8">
        <v>65.384615384615387</v>
      </c>
      <c r="F147" s="264"/>
      <c r="J147" s="265"/>
      <c r="K147" s="265"/>
      <c r="L147" s="265"/>
      <c r="M147" s="265"/>
      <c r="N147" s="265"/>
      <c r="O147" s="265"/>
    </row>
    <row r="148" spans="1:15" ht="30" customHeight="1" x14ac:dyDescent="0.3">
      <c r="A148" s="168">
        <v>44349</v>
      </c>
      <c r="B148" s="3">
        <v>137</v>
      </c>
      <c r="D148" s="7">
        <v>74</v>
      </c>
      <c r="E148" s="7">
        <v>73.07692307692308</v>
      </c>
      <c r="F148" s="264"/>
      <c r="J148" s="265"/>
      <c r="K148" s="265"/>
      <c r="L148" s="265"/>
      <c r="M148" s="265"/>
      <c r="N148" s="265"/>
      <c r="O148" s="265"/>
    </row>
    <row r="149" spans="1:15" ht="30" customHeight="1" x14ac:dyDescent="0.3">
      <c r="A149" s="169">
        <v>44350</v>
      </c>
      <c r="B149" s="4">
        <v>138</v>
      </c>
      <c r="C149" s="4"/>
      <c r="D149" s="8">
        <v>73</v>
      </c>
      <c r="E149" s="8">
        <v>77.777777777777771</v>
      </c>
      <c r="F149" s="264"/>
      <c r="J149" s="265"/>
      <c r="K149" s="265"/>
      <c r="L149" s="265"/>
      <c r="M149" s="265"/>
      <c r="N149" s="265"/>
      <c r="O149" s="265"/>
    </row>
    <row r="150" spans="1:15" ht="30" customHeight="1" x14ac:dyDescent="0.3">
      <c r="A150" s="168">
        <v>44351</v>
      </c>
      <c r="B150" s="3">
        <v>139</v>
      </c>
      <c r="D150" s="7">
        <v>69</v>
      </c>
      <c r="E150" s="7">
        <v>74.193548387096769</v>
      </c>
      <c r="F150" s="264"/>
      <c r="J150" s="265"/>
      <c r="K150" s="265"/>
      <c r="L150" s="265"/>
      <c r="M150" s="265"/>
      <c r="N150" s="265"/>
      <c r="O150" s="265"/>
    </row>
    <row r="151" spans="1:15" ht="30" customHeight="1" x14ac:dyDescent="0.3">
      <c r="A151" s="169">
        <v>44352</v>
      </c>
      <c r="B151" s="4">
        <v>140</v>
      </c>
      <c r="C151" s="4"/>
      <c r="D151" s="8">
        <v>71</v>
      </c>
      <c r="E151" s="8">
        <v>82.758620689655174</v>
      </c>
      <c r="F151" s="264"/>
      <c r="J151" s="265"/>
      <c r="K151" s="265"/>
      <c r="L151" s="265"/>
      <c r="M151" s="265"/>
      <c r="N151" s="265"/>
      <c r="O151" s="265"/>
    </row>
    <row r="152" spans="1:15" ht="30" customHeight="1" x14ac:dyDescent="0.3">
      <c r="A152" s="168">
        <v>44353</v>
      </c>
      <c r="B152" s="3">
        <v>141</v>
      </c>
      <c r="D152" s="7">
        <v>68</v>
      </c>
      <c r="E152" s="7">
        <v>81.25</v>
      </c>
      <c r="F152" s="264"/>
      <c r="J152" s="265"/>
      <c r="K152" s="265"/>
      <c r="L152" s="265"/>
      <c r="M152" s="265"/>
      <c r="N152" s="265"/>
      <c r="O152" s="265"/>
    </row>
    <row r="153" spans="1:15" ht="30" customHeight="1" x14ac:dyDescent="0.3">
      <c r="A153" s="169">
        <v>44354</v>
      </c>
      <c r="B153" s="4">
        <v>142</v>
      </c>
      <c r="C153" s="4"/>
      <c r="D153" s="8">
        <v>67</v>
      </c>
      <c r="E153" s="8">
        <v>66.666666666666671</v>
      </c>
      <c r="F153" s="264"/>
      <c r="J153" s="265"/>
      <c r="K153" s="265"/>
      <c r="L153" s="265"/>
      <c r="M153" s="265"/>
      <c r="N153" s="265"/>
      <c r="O153" s="265"/>
    </row>
    <row r="154" spans="1:15" ht="30" customHeight="1" x14ac:dyDescent="0.3">
      <c r="A154" s="168">
        <v>44355</v>
      </c>
      <c r="B154" s="3">
        <v>143</v>
      </c>
      <c r="D154" s="7">
        <v>77</v>
      </c>
      <c r="E154" s="7">
        <v>69.565217391304344</v>
      </c>
      <c r="F154" s="264"/>
      <c r="J154" s="265"/>
      <c r="K154" s="265"/>
      <c r="L154" s="265"/>
      <c r="M154" s="265"/>
      <c r="N154" s="265"/>
      <c r="O154" s="265"/>
    </row>
    <row r="155" spans="1:15" ht="30" customHeight="1" x14ac:dyDescent="0.3">
      <c r="A155" s="169">
        <v>44356</v>
      </c>
      <c r="B155" s="4">
        <v>144</v>
      </c>
      <c r="C155" s="4"/>
      <c r="D155" s="8">
        <v>72</v>
      </c>
      <c r="E155" s="8">
        <v>71.428571428571431</v>
      </c>
      <c r="F155" s="264"/>
      <c r="J155" s="265"/>
      <c r="K155" s="265"/>
      <c r="L155" s="265"/>
      <c r="M155" s="265"/>
      <c r="N155" s="265"/>
      <c r="O155" s="265"/>
    </row>
    <row r="156" spans="1:15" ht="30" customHeight="1" x14ac:dyDescent="0.3">
      <c r="A156" s="168">
        <v>44357</v>
      </c>
      <c r="B156" s="3">
        <v>145</v>
      </c>
      <c r="D156" s="7">
        <v>73</v>
      </c>
      <c r="E156" s="7">
        <v>55.555555555555557</v>
      </c>
      <c r="F156" s="264"/>
      <c r="J156" s="265"/>
      <c r="K156" s="265"/>
      <c r="L156" s="265"/>
      <c r="M156" s="265"/>
      <c r="N156" s="265"/>
      <c r="O156" s="265"/>
    </row>
    <row r="157" spans="1:15" ht="30" customHeight="1" x14ac:dyDescent="0.3">
      <c r="A157" s="169">
        <v>44358</v>
      </c>
      <c r="B157" s="4">
        <v>146</v>
      </c>
      <c r="C157" s="4"/>
      <c r="D157" s="8">
        <v>74</v>
      </c>
      <c r="E157" s="8">
        <v>80.769230769230774</v>
      </c>
      <c r="F157" s="264"/>
      <c r="J157" s="265"/>
      <c r="K157" s="265"/>
      <c r="L157" s="265"/>
      <c r="M157" s="265"/>
      <c r="N157" s="265"/>
      <c r="O157" s="265"/>
    </row>
    <row r="158" spans="1:15" ht="30" customHeight="1" x14ac:dyDescent="0.3">
      <c r="A158" s="168">
        <v>44359</v>
      </c>
      <c r="B158" s="3">
        <v>147</v>
      </c>
      <c r="D158" s="7">
        <v>71</v>
      </c>
      <c r="E158" s="7">
        <v>68.965517241379317</v>
      </c>
      <c r="F158" s="264"/>
      <c r="J158" s="265"/>
      <c r="K158" s="265"/>
      <c r="L158" s="265"/>
      <c r="M158" s="265"/>
      <c r="N158" s="265"/>
      <c r="O158" s="265"/>
    </row>
    <row r="159" spans="1:15" ht="30" customHeight="1" x14ac:dyDescent="0.3">
      <c r="A159" s="169">
        <v>44360</v>
      </c>
      <c r="B159" s="4">
        <v>148</v>
      </c>
      <c r="C159" s="4"/>
      <c r="D159" s="8">
        <v>73</v>
      </c>
      <c r="E159" s="8">
        <v>59.25925925925926</v>
      </c>
      <c r="F159" s="264"/>
      <c r="J159" s="265"/>
      <c r="K159" s="265"/>
      <c r="L159" s="265"/>
      <c r="M159" s="265"/>
      <c r="N159" s="265"/>
      <c r="O159" s="265"/>
    </row>
    <row r="160" spans="1:15" ht="30" customHeight="1" x14ac:dyDescent="0.3">
      <c r="A160" s="168">
        <v>44361</v>
      </c>
      <c r="B160" s="3">
        <v>149</v>
      </c>
      <c r="D160" s="7">
        <v>72</v>
      </c>
      <c r="E160" s="7">
        <v>71.428571428571431</v>
      </c>
      <c r="F160" s="264"/>
      <c r="J160" s="265"/>
      <c r="K160" s="265"/>
      <c r="L160" s="265"/>
      <c r="M160" s="265"/>
      <c r="N160" s="265"/>
      <c r="O160" s="265"/>
    </row>
    <row r="161" spans="1:15" ht="30" customHeight="1" x14ac:dyDescent="0.3">
      <c r="A161" s="169">
        <v>44362</v>
      </c>
      <c r="B161" s="4">
        <v>150</v>
      </c>
      <c r="C161" s="4"/>
      <c r="D161" s="8">
        <v>78</v>
      </c>
      <c r="E161" s="8">
        <v>95.454545454545453</v>
      </c>
      <c r="F161" s="264"/>
      <c r="J161" s="265"/>
      <c r="K161" s="265"/>
      <c r="L161" s="265"/>
      <c r="M161" s="265"/>
      <c r="N161" s="265"/>
      <c r="O161" s="265"/>
    </row>
    <row r="162" spans="1:15" ht="30" customHeight="1" x14ac:dyDescent="0.3">
      <c r="A162" s="168">
        <v>44363</v>
      </c>
      <c r="B162" s="3">
        <v>151</v>
      </c>
      <c r="D162" s="7">
        <v>67</v>
      </c>
      <c r="E162" s="7">
        <v>72.727272727272734</v>
      </c>
      <c r="F162" s="264"/>
      <c r="J162" s="265"/>
      <c r="K162" s="265"/>
      <c r="L162" s="265"/>
      <c r="M162" s="265"/>
      <c r="N162" s="265"/>
      <c r="O162" s="265"/>
    </row>
    <row r="163" spans="1:15" ht="30" customHeight="1" x14ac:dyDescent="0.3">
      <c r="A163" s="169">
        <v>44364</v>
      </c>
      <c r="B163" s="4">
        <v>152</v>
      </c>
      <c r="C163" s="4"/>
      <c r="D163" s="8">
        <v>75</v>
      </c>
      <c r="E163" s="8">
        <v>68</v>
      </c>
      <c r="F163" s="264"/>
      <c r="J163" s="265"/>
      <c r="K163" s="265"/>
      <c r="L163" s="265"/>
      <c r="M163" s="265"/>
      <c r="N163" s="265"/>
      <c r="O163" s="265"/>
    </row>
    <row r="164" spans="1:15" ht="30" customHeight="1" x14ac:dyDescent="0.3">
      <c r="A164" s="168">
        <v>44365</v>
      </c>
      <c r="B164" s="3">
        <v>153</v>
      </c>
      <c r="D164" s="7">
        <v>75</v>
      </c>
      <c r="E164" s="7">
        <v>64</v>
      </c>
      <c r="F164" s="264"/>
      <c r="J164" s="265"/>
      <c r="K164" s="265"/>
      <c r="L164" s="265"/>
      <c r="M164" s="265"/>
      <c r="N164" s="265"/>
      <c r="O164" s="265"/>
    </row>
    <row r="165" spans="1:15" ht="30" customHeight="1" x14ac:dyDescent="0.3">
      <c r="A165" s="169">
        <v>44366</v>
      </c>
      <c r="B165" s="4">
        <v>154</v>
      </c>
      <c r="C165" s="4"/>
      <c r="D165" s="8">
        <v>71</v>
      </c>
      <c r="E165" s="8">
        <v>68.965517241379317</v>
      </c>
      <c r="F165" s="264"/>
      <c r="J165" s="265"/>
      <c r="K165" s="265"/>
      <c r="L165" s="265"/>
      <c r="M165" s="265"/>
      <c r="N165" s="265"/>
      <c r="O165" s="265"/>
    </row>
    <row r="166" spans="1:15" ht="30" customHeight="1" x14ac:dyDescent="0.3">
      <c r="A166" s="168">
        <v>44367</v>
      </c>
      <c r="B166" s="3">
        <v>155</v>
      </c>
      <c r="D166" s="7">
        <v>68</v>
      </c>
      <c r="E166" s="7">
        <v>56.25</v>
      </c>
      <c r="F166" s="264"/>
      <c r="J166" s="265"/>
      <c r="K166" s="265"/>
      <c r="L166" s="265"/>
      <c r="M166" s="265"/>
      <c r="N166" s="265"/>
      <c r="O166" s="265"/>
    </row>
    <row r="167" spans="1:15" ht="30" customHeight="1" x14ac:dyDescent="0.3">
      <c r="A167" s="169">
        <v>44368</v>
      </c>
      <c r="B167" s="4">
        <v>156</v>
      </c>
      <c r="C167" s="4"/>
      <c r="D167" s="8">
        <v>80</v>
      </c>
      <c r="E167" s="8">
        <v>80</v>
      </c>
      <c r="F167" s="264"/>
      <c r="J167" s="265"/>
      <c r="K167" s="265"/>
      <c r="L167" s="265"/>
      <c r="M167" s="265"/>
      <c r="N167" s="265"/>
      <c r="O167" s="265"/>
    </row>
    <row r="168" spans="1:15" ht="30" customHeight="1" x14ac:dyDescent="0.3">
      <c r="A168" s="168">
        <v>44369</v>
      </c>
      <c r="B168" s="3">
        <v>157</v>
      </c>
      <c r="D168" s="7">
        <v>72</v>
      </c>
      <c r="E168" s="7">
        <v>67.857142857142861</v>
      </c>
      <c r="F168" s="264"/>
      <c r="J168" s="265"/>
      <c r="K168" s="265"/>
      <c r="L168" s="265"/>
      <c r="M168" s="265"/>
      <c r="N168" s="265"/>
      <c r="O168" s="265"/>
    </row>
    <row r="169" spans="1:15" ht="30" customHeight="1" x14ac:dyDescent="0.3">
      <c r="A169" s="169">
        <v>44370</v>
      </c>
      <c r="B169" s="4">
        <v>158</v>
      </c>
      <c r="C169" s="4"/>
      <c r="D169" s="8">
        <v>74</v>
      </c>
      <c r="E169" s="8">
        <v>57.692307692307693</v>
      </c>
      <c r="F169" s="264"/>
      <c r="J169" s="265"/>
      <c r="K169" s="265"/>
      <c r="L169" s="265"/>
      <c r="M169" s="265"/>
      <c r="N169" s="265"/>
      <c r="O169" s="265"/>
    </row>
    <row r="170" spans="1:15" ht="30" customHeight="1" x14ac:dyDescent="0.3">
      <c r="A170" s="168">
        <v>44371</v>
      </c>
      <c r="B170" s="3">
        <v>159</v>
      </c>
      <c r="D170" s="7">
        <v>64</v>
      </c>
      <c r="E170" s="7">
        <v>63.888888888888886</v>
      </c>
      <c r="F170" s="264"/>
      <c r="J170" s="265"/>
      <c r="K170" s="265"/>
      <c r="L170" s="265"/>
      <c r="M170" s="265"/>
      <c r="N170" s="265"/>
      <c r="O170" s="265"/>
    </row>
    <row r="171" spans="1:15" ht="30" customHeight="1" x14ac:dyDescent="0.3">
      <c r="A171" s="169">
        <v>44372</v>
      </c>
      <c r="B171" s="4">
        <v>160</v>
      </c>
      <c r="C171" s="4"/>
      <c r="D171" s="8">
        <v>64</v>
      </c>
      <c r="E171" s="8">
        <v>63.888888888888886</v>
      </c>
      <c r="F171" s="264"/>
      <c r="J171" s="265"/>
      <c r="K171" s="265"/>
      <c r="L171" s="265"/>
      <c r="M171" s="265"/>
      <c r="N171" s="265"/>
      <c r="O171" s="265"/>
    </row>
    <row r="172" spans="1:15" ht="30" customHeight="1" x14ac:dyDescent="0.3">
      <c r="A172" s="168">
        <v>44374</v>
      </c>
      <c r="B172" s="3">
        <v>161</v>
      </c>
      <c r="D172" s="7">
        <v>65</v>
      </c>
      <c r="E172" s="7">
        <v>62.857142857142854</v>
      </c>
      <c r="F172" s="264"/>
      <c r="J172" s="265"/>
      <c r="K172" s="265"/>
      <c r="L172" s="265"/>
      <c r="M172" s="265"/>
      <c r="N172" s="265"/>
      <c r="O172" s="265"/>
    </row>
    <row r="173" spans="1:15" ht="30" customHeight="1" x14ac:dyDescent="0.3">
      <c r="A173" s="169">
        <v>44375</v>
      </c>
      <c r="B173" s="4">
        <v>162</v>
      </c>
      <c r="C173" s="4"/>
      <c r="D173" s="8">
        <v>72</v>
      </c>
      <c r="E173" s="8">
        <v>60.714285714285715</v>
      </c>
      <c r="F173" s="264"/>
      <c r="J173" s="265"/>
      <c r="K173" s="265"/>
      <c r="L173" s="265"/>
      <c r="M173" s="265"/>
      <c r="N173" s="265"/>
      <c r="O173" s="265"/>
    </row>
    <row r="174" spans="1:15" ht="30" customHeight="1" x14ac:dyDescent="0.3">
      <c r="A174" s="168">
        <v>44376</v>
      </c>
      <c r="B174" s="3">
        <v>163</v>
      </c>
      <c r="D174" s="7">
        <v>73</v>
      </c>
      <c r="E174" s="7">
        <v>77.777777777777771</v>
      </c>
      <c r="F174" s="264"/>
      <c r="J174" s="265"/>
      <c r="K174" s="265"/>
      <c r="L174" s="265"/>
      <c r="M174" s="265"/>
      <c r="N174" s="265"/>
      <c r="O174" s="265"/>
    </row>
    <row r="175" spans="1:15" ht="30" customHeight="1" x14ac:dyDescent="0.3">
      <c r="A175" s="169">
        <v>44377</v>
      </c>
      <c r="B175" s="4">
        <v>164</v>
      </c>
      <c r="C175" s="4"/>
      <c r="D175" s="8">
        <v>72</v>
      </c>
      <c r="E175" s="8">
        <v>64.285714285714292</v>
      </c>
      <c r="F175" s="264"/>
      <c r="J175" s="265"/>
      <c r="K175" s="265"/>
      <c r="L175" s="265"/>
      <c r="M175" s="265"/>
      <c r="N175" s="265"/>
      <c r="O175" s="265"/>
    </row>
    <row r="176" spans="1:15" ht="30" customHeight="1" x14ac:dyDescent="0.3">
      <c r="A176" s="168">
        <v>44378</v>
      </c>
      <c r="B176" s="3">
        <v>165</v>
      </c>
      <c r="D176" s="7">
        <v>78</v>
      </c>
      <c r="E176" s="7">
        <v>72.727272727272734</v>
      </c>
      <c r="F176" s="264"/>
      <c r="J176" s="265"/>
      <c r="K176" s="265"/>
      <c r="L176" s="265"/>
      <c r="M176" s="265"/>
      <c r="N176" s="265"/>
      <c r="O176" s="265"/>
    </row>
    <row r="177" spans="1:15" ht="30" customHeight="1" x14ac:dyDescent="0.3">
      <c r="A177" s="169">
        <v>44379</v>
      </c>
      <c r="B177" s="4">
        <v>166</v>
      </c>
      <c r="C177" s="4"/>
      <c r="D177" s="8">
        <v>79</v>
      </c>
      <c r="E177" s="8">
        <v>85.714285714285708</v>
      </c>
      <c r="F177" s="264"/>
      <c r="J177" s="265"/>
      <c r="K177" s="265"/>
      <c r="L177" s="265"/>
      <c r="M177" s="265"/>
      <c r="N177" s="265"/>
      <c r="O177" s="265"/>
    </row>
    <row r="178" spans="1:15" ht="30" customHeight="1" x14ac:dyDescent="0.3">
      <c r="A178" s="168">
        <v>44380</v>
      </c>
      <c r="B178" s="3">
        <v>167</v>
      </c>
      <c r="D178" s="7">
        <v>73</v>
      </c>
      <c r="E178" s="7">
        <v>66.666666666666671</v>
      </c>
      <c r="F178" s="264"/>
      <c r="J178" s="265"/>
      <c r="K178" s="265"/>
      <c r="L178" s="265"/>
      <c r="M178" s="265"/>
      <c r="N178" s="265"/>
      <c r="O178" s="265"/>
    </row>
    <row r="179" spans="1:15" ht="30" customHeight="1" x14ac:dyDescent="0.3">
      <c r="A179" s="169">
        <v>44381</v>
      </c>
      <c r="B179" s="4">
        <v>168</v>
      </c>
      <c r="C179" s="4"/>
      <c r="D179" s="8">
        <v>64</v>
      </c>
      <c r="E179" s="8">
        <v>78</v>
      </c>
      <c r="F179" s="264"/>
      <c r="J179" s="265"/>
      <c r="K179" s="265"/>
      <c r="L179" s="265"/>
      <c r="M179" s="265"/>
      <c r="N179" s="265"/>
      <c r="O179" s="265"/>
    </row>
    <row r="180" spans="1:15" ht="30" customHeight="1" x14ac:dyDescent="0.3">
      <c r="A180" s="168">
        <v>44382</v>
      </c>
      <c r="B180" s="3">
        <v>169</v>
      </c>
      <c r="D180" s="7">
        <v>79</v>
      </c>
      <c r="E180" s="7">
        <v>85.714285714285708</v>
      </c>
      <c r="F180" s="264"/>
      <c r="J180" s="265"/>
      <c r="K180" s="265"/>
      <c r="L180" s="265"/>
      <c r="M180" s="265"/>
      <c r="N180" s="265"/>
      <c r="O180" s="265"/>
    </row>
    <row r="181" spans="1:15" ht="30" customHeight="1" x14ac:dyDescent="0.3">
      <c r="A181" s="169">
        <v>44384</v>
      </c>
      <c r="B181" s="4">
        <v>170</v>
      </c>
      <c r="C181" s="4"/>
      <c r="D181" s="8">
        <v>77</v>
      </c>
      <c r="E181" s="8">
        <v>77.272727272727266</v>
      </c>
      <c r="F181" s="264"/>
      <c r="J181" s="265"/>
      <c r="K181" s="265"/>
      <c r="L181" s="265"/>
      <c r="M181" s="265"/>
      <c r="N181" s="265"/>
      <c r="O181" s="265"/>
    </row>
    <row r="182" spans="1:15" ht="30" customHeight="1" x14ac:dyDescent="0.3">
      <c r="A182" s="168">
        <v>44385</v>
      </c>
      <c r="B182" s="3">
        <v>171</v>
      </c>
      <c r="D182" s="7">
        <v>72</v>
      </c>
      <c r="E182" s="7">
        <v>78.571428571428569</v>
      </c>
      <c r="F182" s="264"/>
      <c r="J182" s="265"/>
      <c r="K182" s="265"/>
      <c r="L182" s="265"/>
      <c r="M182" s="265"/>
      <c r="N182" s="265"/>
      <c r="O182" s="265"/>
    </row>
    <row r="183" spans="1:15" ht="30" customHeight="1" x14ac:dyDescent="0.3">
      <c r="A183" s="169">
        <v>44387</v>
      </c>
      <c r="B183" s="4">
        <v>172</v>
      </c>
      <c r="C183" s="4"/>
      <c r="D183" s="8">
        <v>72</v>
      </c>
      <c r="E183" s="8">
        <v>71.428571428571431</v>
      </c>
      <c r="F183" s="264"/>
      <c r="J183" s="265"/>
      <c r="K183" s="265"/>
      <c r="L183" s="265"/>
      <c r="M183" s="265"/>
      <c r="N183" s="265"/>
      <c r="O183" s="265"/>
    </row>
    <row r="184" spans="1:15" ht="30" customHeight="1" x14ac:dyDescent="0.3">
      <c r="A184" s="168">
        <v>44388</v>
      </c>
      <c r="B184" s="3">
        <v>173</v>
      </c>
      <c r="D184" s="7">
        <v>78</v>
      </c>
      <c r="E184" s="7">
        <v>86.36363636363636</v>
      </c>
      <c r="F184" s="264"/>
      <c r="J184" s="265"/>
      <c r="K184" s="265"/>
      <c r="L184" s="265"/>
      <c r="M184" s="265"/>
      <c r="N184" s="265"/>
      <c r="O184" s="265"/>
    </row>
    <row r="185" spans="1:15" ht="30" customHeight="1" x14ac:dyDescent="0.3">
      <c r="A185" s="169">
        <v>44390</v>
      </c>
      <c r="B185" s="4">
        <v>174</v>
      </c>
      <c r="C185" s="4"/>
      <c r="D185" s="8">
        <v>87</v>
      </c>
      <c r="E185" s="8">
        <v>84.615384615384613</v>
      </c>
      <c r="F185" s="264"/>
      <c r="J185" s="265"/>
      <c r="K185" s="265"/>
      <c r="L185" s="265"/>
      <c r="M185" s="265"/>
      <c r="N185" s="265"/>
      <c r="O185" s="265"/>
    </row>
    <row r="186" spans="1:15" ht="30" customHeight="1" x14ac:dyDescent="0.3">
      <c r="A186" s="168">
        <v>44391</v>
      </c>
      <c r="B186" s="3">
        <v>175</v>
      </c>
      <c r="D186" s="7">
        <v>77</v>
      </c>
      <c r="E186" s="7">
        <v>86.956521739130437</v>
      </c>
      <c r="F186" s="264"/>
      <c r="J186" s="265"/>
      <c r="K186" s="265"/>
      <c r="L186" s="265"/>
      <c r="M186" s="265"/>
      <c r="N186" s="265"/>
      <c r="O186" s="265"/>
    </row>
    <row r="187" spans="1:15" ht="30" customHeight="1" x14ac:dyDescent="0.3">
      <c r="A187" s="169">
        <v>44395</v>
      </c>
      <c r="B187" s="4">
        <v>176</v>
      </c>
      <c r="C187" s="4"/>
      <c r="D187" s="8">
        <v>75</v>
      </c>
      <c r="E187" s="8">
        <v>72</v>
      </c>
      <c r="F187" s="264"/>
      <c r="J187" s="265"/>
      <c r="K187" s="265"/>
      <c r="L187" s="265"/>
      <c r="M187" s="265"/>
      <c r="N187" s="265"/>
      <c r="O187" s="265"/>
    </row>
    <row r="188" spans="1:15" ht="30" customHeight="1" x14ac:dyDescent="0.3">
      <c r="A188" s="168">
        <v>44396</v>
      </c>
      <c r="B188" s="3">
        <v>177</v>
      </c>
      <c r="D188" s="7">
        <v>73</v>
      </c>
      <c r="E188" s="7">
        <v>77.777777777777771</v>
      </c>
      <c r="F188" s="264"/>
      <c r="J188" s="265"/>
      <c r="K188" s="265"/>
      <c r="L188" s="265"/>
      <c r="M188" s="265"/>
      <c r="N188" s="265"/>
      <c r="O188" s="265"/>
    </row>
    <row r="189" spans="1:15" ht="30" customHeight="1" x14ac:dyDescent="0.3">
      <c r="A189" s="169">
        <v>44397</v>
      </c>
      <c r="B189" s="4">
        <v>178</v>
      </c>
      <c r="C189" s="4"/>
      <c r="D189" s="8">
        <v>74</v>
      </c>
      <c r="E189" s="8">
        <v>69.230769230769226</v>
      </c>
      <c r="F189" s="264"/>
      <c r="J189" s="265"/>
      <c r="K189" s="265"/>
      <c r="L189" s="265"/>
      <c r="M189" s="265"/>
      <c r="N189" s="265"/>
      <c r="O189" s="265"/>
    </row>
    <row r="190" spans="1:15" ht="30" customHeight="1" x14ac:dyDescent="0.3">
      <c r="A190" s="168">
        <v>44398</v>
      </c>
      <c r="B190" s="3">
        <v>179</v>
      </c>
      <c r="D190" s="7">
        <v>71</v>
      </c>
      <c r="E190" s="7">
        <v>79.310344827586206</v>
      </c>
      <c r="F190" s="264"/>
      <c r="J190" s="265"/>
      <c r="K190" s="265"/>
      <c r="L190" s="265"/>
      <c r="M190" s="265"/>
      <c r="N190" s="265"/>
      <c r="O190" s="265"/>
    </row>
    <row r="191" spans="1:15" ht="30" customHeight="1" x14ac:dyDescent="0.3">
      <c r="A191" s="169">
        <v>44399</v>
      </c>
      <c r="B191" s="4">
        <v>180</v>
      </c>
      <c r="C191" s="4"/>
      <c r="D191" s="8">
        <v>71</v>
      </c>
      <c r="E191" s="8">
        <v>74.074074074074076</v>
      </c>
      <c r="F191" s="264"/>
      <c r="J191" s="265"/>
      <c r="K191" s="265"/>
      <c r="L191" s="265"/>
      <c r="M191" s="265"/>
      <c r="N191" s="265"/>
      <c r="O191" s="265"/>
    </row>
    <row r="192" spans="1:15" ht="30" customHeight="1" x14ac:dyDescent="0.3">
      <c r="A192" s="168">
        <v>44400</v>
      </c>
      <c r="B192" s="3">
        <v>181</v>
      </c>
      <c r="D192" s="7">
        <v>76</v>
      </c>
      <c r="E192" s="7">
        <v>79.166666666666671</v>
      </c>
      <c r="F192" s="264"/>
      <c r="J192" s="265"/>
      <c r="K192" s="265"/>
      <c r="L192" s="265"/>
      <c r="M192" s="265"/>
      <c r="N192" s="265"/>
      <c r="O192" s="265"/>
    </row>
    <row r="193" spans="1:15" ht="30" customHeight="1" x14ac:dyDescent="0.3">
      <c r="A193" s="169">
        <v>44401</v>
      </c>
      <c r="B193" s="4">
        <v>182</v>
      </c>
      <c r="C193" s="4"/>
      <c r="D193" s="8">
        <v>77</v>
      </c>
      <c r="E193" s="8">
        <v>86.956521739130437</v>
      </c>
      <c r="F193" s="264"/>
      <c r="J193" s="265"/>
      <c r="K193" s="265"/>
      <c r="L193" s="265"/>
      <c r="M193" s="265"/>
      <c r="N193" s="265"/>
      <c r="O193" s="265"/>
    </row>
    <row r="194" spans="1:15" ht="30" customHeight="1" x14ac:dyDescent="0.3">
      <c r="A194" s="168">
        <v>44402</v>
      </c>
      <c r="B194" s="3">
        <v>183</v>
      </c>
      <c r="D194" s="7">
        <v>60</v>
      </c>
      <c r="E194" s="7">
        <v>65</v>
      </c>
      <c r="F194" s="264"/>
      <c r="J194" s="265"/>
      <c r="K194" s="265"/>
      <c r="L194" s="265"/>
      <c r="M194" s="265"/>
      <c r="N194" s="265"/>
      <c r="O194" s="265"/>
    </row>
    <row r="195" spans="1:15" ht="30" customHeight="1" x14ac:dyDescent="0.3">
      <c r="A195" s="169">
        <v>44403</v>
      </c>
      <c r="B195" s="4">
        <v>184</v>
      </c>
      <c r="C195" s="4"/>
      <c r="D195" s="8">
        <v>77</v>
      </c>
      <c r="E195" s="8">
        <v>82.608695652173907</v>
      </c>
      <c r="F195" s="264"/>
      <c r="J195" s="265"/>
      <c r="K195" s="265"/>
      <c r="L195" s="265"/>
      <c r="M195" s="265"/>
      <c r="N195" s="265"/>
      <c r="O195" s="265"/>
    </row>
    <row r="196" spans="1:15" ht="30" customHeight="1" x14ac:dyDescent="0.3">
      <c r="A196" s="168">
        <v>44404</v>
      </c>
      <c r="B196" s="3">
        <v>185</v>
      </c>
      <c r="D196" s="7">
        <v>83</v>
      </c>
      <c r="E196" s="7">
        <v>64.705882352941174</v>
      </c>
      <c r="F196" s="264"/>
      <c r="J196" s="265"/>
      <c r="K196" s="265"/>
      <c r="L196" s="265"/>
      <c r="M196" s="265"/>
      <c r="N196" s="265"/>
      <c r="O196" s="265"/>
    </row>
    <row r="197" spans="1:15" ht="30" customHeight="1" x14ac:dyDescent="0.3">
      <c r="A197" s="169">
        <v>44405</v>
      </c>
      <c r="B197" s="4">
        <v>186</v>
      </c>
      <c r="C197" s="4"/>
      <c r="D197" s="8">
        <v>76</v>
      </c>
      <c r="E197" s="8">
        <v>62</v>
      </c>
      <c r="F197" s="264"/>
      <c r="J197" s="265"/>
      <c r="K197" s="265"/>
      <c r="L197" s="265"/>
      <c r="M197" s="265"/>
      <c r="N197" s="265"/>
      <c r="O197" s="265"/>
    </row>
    <row r="198" spans="1:15" ht="30" customHeight="1" x14ac:dyDescent="0.3">
      <c r="A198" s="168">
        <v>44406</v>
      </c>
      <c r="B198" s="3">
        <v>187</v>
      </c>
      <c r="D198" s="7">
        <v>78</v>
      </c>
      <c r="E198" s="7">
        <v>54</v>
      </c>
      <c r="F198" s="264"/>
      <c r="J198" s="265"/>
      <c r="K198" s="265"/>
      <c r="L198" s="265"/>
      <c r="M198" s="265"/>
      <c r="N198" s="265"/>
      <c r="O198" s="265"/>
    </row>
    <row r="199" spans="1:15" ht="30" customHeight="1" x14ac:dyDescent="0.3">
      <c r="A199" s="169">
        <v>44407</v>
      </c>
      <c r="B199" s="4">
        <v>188</v>
      </c>
      <c r="C199" s="4"/>
      <c r="D199" s="8">
        <v>77</v>
      </c>
      <c r="E199" s="8">
        <v>78.260869565217391</v>
      </c>
      <c r="F199" s="264"/>
      <c r="J199" s="265"/>
      <c r="K199" s="265"/>
      <c r="L199" s="265"/>
      <c r="M199" s="265"/>
      <c r="N199" s="265"/>
      <c r="O199" s="265"/>
    </row>
    <row r="200" spans="1:15" ht="30" customHeight="1" x14ac:dyDescent="0.3">
      <c r="A200" s="168">
        <v>44408</v>
      </c>
      <c r="B200" s="3">
        <v>189</v>
      </c>
      <c r="D200" s="7">
        <v>76</v>
      </c>
      <c r="E200" s="7">
        <v>79.166666666666671</v>
      </c>
      <c r="F200" s="264"/>
      <c r="J200" s="265"/>
      <c r="K200" s="265"/>
      <c r="L200" s="265"/>
      <c r="M200" s="265"/>
      <c r="N200" s="265"/>
      <c r="O200" s="265"/>
    </row>
    <row r="201" spans="1:15" ht="30" customHeight="1" x14ac:dyDescent="0.3">
      <c r="A201" s="169">
        <v>44409</v>
      </c>
      <c r="B201" s="4">
        <v>190</v>
      </c>
      <c r="C201" s="4"/>
      <c r="D201" s="8">
        <v>78</v>
      </c>
      <c r="E201" s="8">
        <v>86.36363636363636</v>
      </c>
      <c r="F201" s="264"/>
      <c r="J201" s="265"/>
      <c r="K201" s="265"/>
      <c r="L201" s="265"/>
      <c r="M201" s="265"/>
      <c r="N201" s="265"/>
      <c r="O201" s="265"/>
    </row>
    <row r="202" spans="1:15" ht="30" customHeight="1" x14ac:dyDescent="0.3">
      <c r="A202" s="168">
        <v>44410</v>
      </c>
      <c r="B202" s="3">
        <v>191</v>
      </c>
      <c r="D202" s="7">
        <v>73</v>
      </c>
      <c r="E202" s="7">
        <v>81.481481481481481</v>
      </c>
      <c r="F202" s="264"/>
      <c r="J202" s="265"/>
      <c r="K202" s="265"/>
      <c r="L202" s="265"/>
      <c r="M202" s="265"/>
      <c r="N202" s="265"/>
      <c r="O202" s="265"/>
    </row>
    <row r="203" spans="1:15" ht="30" customHeight="1" x14ac:dyDescent="0.3">
      <c r="A203" s="169">
        <v>44411</v>
      </c>
      <c r="B203" s="4">
        <v>192</v>
      </c>
      <c r="C203" s="4"/>
      <c r="D203" s="8">
        <v>78</v>
      </c>
      <c r="E203" s="8">
        <v>80</v>
      </c>
      <c r="F203" s="264"/>
      <c r="J203" s="265"/>
      <c r="K203" s="265"/>
      <c r="L203" s="265"/>
      <c r="M203" s="265"/>
      <c r="N203" s="265"/>
      <c r="O203" s="265"/>
    </row>
    <row r="204" spans="1:15" ht="30" customHeight="1" x14ac:dyDescent="0.3">
      <c r="A204" s="168">
        <v>44412</v>
      </c>
      <c r="B204" s="3">
        <v>193</v>
      </c>
      <c r="D204" s="7">
        <v>75</v>
      </c>
      <c r="E204" s="7">
        <v>72</v>
      </c>
      <c r="F204" s="264"/>
      <c r="J204" s="265"/>
      <c r="K204" s="265"/>
      <c r="L204" s="265"/>
      <c r="M204" s="265"/>
      <c r="N204" s="265"/>
      <c r="O204" s="265"/>
    </row>
    <row r="205" spans="1:15" ht="30" customHeight="1" x14ac:dyDescent="0.3">
      <c r="A205" s="169">
        <v>44413</v>
      </c>
      <c r="B205" s="4">
        <v>194</v>
      </c>
      <c r="C205" s="4"/>
      <c r="D205" s="8">
        <v>76</v>
      </c>
      <c r="E205" s="8">
        <v>65.217391304347828</v>
      </c>
      <c r="F205" s="264"/>
      <c r="J205" s="265"/>
      <c r="K205" s="265"/>
      <c r="L205" s="265"/>
      <c r="M205" s="265"/>
      <c r="N205" s="265"/>
      <c r="O205" s="265"/>
    </row>
    <row r="206" spans="1:15" ht="30" customHeight="1" x14ac:dyDescent="0.3">
      <c r="A206" s="168">
        <v>44414</v>
      </c>
      <c r="B206" s="3">
        <v>195</v>
      </c>
      <c r="D206" s="7">
        <v>78</v>
      </c>
      <c r="E206" s="7">
        <v>81.818181818181813</v>
      </c>
      <c r="F206" s="264"/>
      <c r="J206" s="265"/>
      <c r="K206" s="265"/>
      <c r="L206" s="265"/>
      <c r="M206" s="265"/>
      <c r="N206" s="265"/>
      <c r="O206" s="265"/>
    </row>
    <row r="207" spans="1:15" ht="30" customHeight="1" x14ac:dyDescent="0.3">
      <c r="A207" s="169">
        <v>44415</v>
      </c>
      <c r="B207" s="4">
        <v>196</v>
      </c>
      <c r="C207" s="4"/>
      <c r="D207" s="8">
        <v>73</v>
      </c>
      <c r="E207" s="8">
        <v>72</v>
      </c>
      <c r="F207" s="264"/>
      <c r="J207" s="265"/>
      <c r="K207" s="265"/>
      <c r="L207" s="265"/>
      <c r="M207" s="265"/>
      <c r="N207" s="265"/>
      <c r="O207" s="265"/>
    </row>
    <row r="208" spans="1:15" ht="30" customHeight="1" x14ac:dyDescent="0.3">
      <c r="A208" s="168">
        <v>44416</v>
      </c>
      <c r="B208" s="3">
        <v>197</v>
      </c>
      <c r="D208" s="7">
        <v>79</v>
      </c>
      <c r="E208" s="7">
        <v>71.428571428571431</v>
      </c>
      <c r="F208" s="264"/>
      <c r="J208" s="265"/>
      <c r="K208" s="265"/>
      <c r="L208" s="265"/>
      <c r="M208" s="265"/>
      <c r="N208" s="265"/>
      <c r="O208" s="265"/>
    </row>
    <row r="209" spans="1:15" ht="30" customHeight="1" x14ac:dyDescent="0.3">
      <c r="A209" s="169">
        <v>44417</v>
      </c>
      <c r="B209" s="4">
        <v>198</v>
      </c>
      <c r="C209" s="4"/>
      <c r="D209" s="8">
        <v>75</v>
      </c>
      <c r="E209" s="8">
        <v>80</v>
      </c>
      <c r="F209" s="264"/>
      <c r="J209" s="265"/>
      <c r="K209" s="265"/>
      <c r="L209" s="265"/>
      <c r="M209" s="265"/>
      <c r="N209" s="265"/>
      <c r="O209" s="265"/>
    </row>
    <row r="210" spans="1:15" ht="30" customHeight="1" x14ac:dyDescent="0.3">
      <c r="A210" s="168">
        <v>44418</v>
      </c>
      <c r="B210" s="3">
        <v>199</v>
      </c>
      <c r="D210" s="7">
        <v>74</v>
      </c>
      <c r="E210" s="7">
        <v>76.92307692307692</v>
      </c>
      <c r="F210" s="264"/>
      <c r="J210" s="265"/>
      <c r="K210" s="265"/>
      <c r="L210" s="265"/>
      <c r="M210" s="265"/>
      <c r="N210" s="265"/>
      <c r="O210" s="265"/>
    </row>
    <row r="211" spans="1:15" ht="30" customHeight="1" x14ac:dyDescent="0.3">
      <c r="A211" s="169">
        <v>44419</v>
      </c>
      <c r="B211" s="4">
        <v>200</v>
      </c>
      <c r="C211" s="4"/>
      <c r="D211" s="8">
        <v>79</v>
      </c>
      <c r="E211" s="8">
        <v>90.476190476190482</v>
      </c>
      <c r="F211" s="264"/>
      <c r="J211" s="265"/>
      <c r="K211" s="265"/>
      <c r="L211" s="265"/>
      <c r="M211" s="265"/>
      <c r="N211" s="265"/>
      <c r="O211" s="265"/>
    </row>
    <row r="212" spans="1:15" ht="30" customHeight="1" x14ac:dyDescent="0.3">
      <c r="A212" s="168">
        <v>44420</v>
      </c>
      <c r="B212" s="3">
        <v>201</v>
      </c>
      <c r="D212" s="7">
        <v>84</v>
      </c>
      <c r="E212" s="7">
        <v>68.75</v>
      </c>
      <c r="F212" s="264"/>
      <c r="J212" s="265"/>
      <c r="K212" s="265"/>
      <c r="L212" s="265"/>
      <c r="M212" s="265"/>
      <c r="N212" s="265"/>
      <c r="O212" s="265"/>
    </row>
    <row r="213" spans="1:15" ht="30" customHeight="1" x14ac:dyDescent="0.3">
      <c r="A213" s="169">
        <v>44421</v>
      </c>
      <c r="B213" s="4">
        <v>202</v>
      </c>
      <c r="C213" s="4"/>
      <c r="D213" s="8">
        <v>81</v>
      </c>
      <c r="E213" s="8">
        <v>73.684210526315795</v>
      </c>
      <c r="F213" s="264"/>
      <c r="J213" s="265"/>
      <c r="K213" s="265"/>
      <c r="L213" s="265"/>
      <c r="M213" s="265"/>
      <c r="N213" s="265"/>
      <c r="O213" s="265"/>
    </row>
    <row r="214" spans="1:15" ht="30" customHeight="1" x14ac:dyDescent="0.3">
      <c r="A214" s="168">
        <v>44422</v>
      </c>
      <c r="B214" s="3">
        <v>203</v>
      </c>
      <c r="D214" s="7">
        <v>77</v>
      </c>
      <c r="E214" s="7">
        <v>78.260869565217391</v>
      </c>
      <c r="F214" s="264"/>
      <c r="J214" s="265"/>
      <c r="K214" s="265"/>
      <c r="L214" s="265"/>
      <c r="M214" s="265"/>
      <c r="N214" s="265"/>
      <c r="O214" s="265"/>
    </row>
    <row r="215" spans="1:15" ht="30" customHeight="1" x14ac:dyDescent="0.3">
      <c r="A215" s="169">
        <v>44423</v>
      </c>
      <c r="B215" s="4">
        <v>204</v>
      </c>
      <c r="C215" s="4"/>
      <c r="D215" s="8">
        <v>76</v>
      </c>
      <c r="E215" s="8">
        <v>87.5</v>
      </c>
      <c r="F215" s="264"/>
      <c r="J215" s="265"/>
      <c r="K215" s="265"/>
      <c r="L215" s="265"/>
      <c r="M215" s="265"/>
      <c r="N215" s="265"/>
      <c r="O215" s="265"/>
    </row>
    <row r="216" spans="1:15" ht="30" customHeight="1" x14ac:dyDescent="0.3">
      <c r="A216" s="168">
        <v>44424</v>
      </c>
      <c r="B216" s="3">
        <v>205</v>
      </c>
      <c r="D216" s="7">
        <v>74</v>
      </c>
      <c r="E216" s="7">
        <v>73.07692307692308</v>
      </c>
      <c r="F216" s="264"/>
      <c r="J216" s="265"/>
      <c r="K216" s="265"/>
      <c r="L216" s="265"/>
      <c r="M216" s="265"/>
      <c r="N216" s="265"/>
      <c r="O216" s="265"/>
    </row>
    <row r="217" spans="1:15" ht="30" customHeight="1" x14ac:dyDescent="0.3">
      <c r="A217" s="169">
        <v>44425</v>
      </c>
      <c r="B217" s="4">
        <v>206</v>
      </c>
      <c r="C217" s="4"/>
      <c r="D217" s="8">
        <v>73</v>
      </c>
      <c r="E217" s="8">
        <v>77.777777777777771</v>
      </c>
      <c r="F217" s="264"/>
      <c r="J217" s="265"/>
      <c r="K217" s="265"/>
      <c r="L217" s="265"/>
      <c r="M217" s="265"/>
      <c r="N217" s="265"/>
      <c r="O217" s="265"/>
    </row>
    <row r="218" spans="1:15" ht="30" customHeight="1" x14ac:dyDescent="0.3">
      <c r="A218" s="168">
        <v>44426</v>
      </c>
      <c r="B218" s="3">
        <v>207</v>
      </c>
      <c r="D218" s="7">
        <v>78</v>
      </c>
      <c r="E218" s="7">
        <v>81.818181818181813</v>
      </c>
      <c r="F218" s="264"/>
      <c r="J218" s="265"/>
      <c r="K218" s="265"/>
      <c r="L218" s="265"/>
      <c r="M218" s="265"/>
      <c r="N218" s="265"/>
      <c r="O218" s="265"/>
    </row>
    <row r="219" spans="1:15" ht="30" customHeight="1" x14ac:dyDescent="0.3">
      <c r="A219" s="169">
        <v>44427</v>
      </c>
      <c r="B219" s="4">
        <v>208</v>
      </c>
      <c r="C219" s="4"/>
      <c r="D219" s="8">
        <v>78</v>
      </c>
      <c r="E219" s="8">
        <v>77.272727272727266</v>
      </c>
      <c r="F219" s="264"/>
      <c r="J219" s="265"/>
      <c r="K219" s="265"/>
      <c r="L219" s="265"/>
      <c r="M219" s="265"/>
      <c r="N219" s="265"/>
      <c r="O219" s="265"/>
    </row>
    <row r="220" spans="1:15" ht="30" customHeight="1" x14ac:dyDescent="0.3">
      <c r="A220" s="168">
        <v>44428</v>
      </c>
      <c r="B220" s="3">
        <v>209</v>
      </c>
      <c r="D220" s="7">
        <v>78</v>
      </c>
      <c r="E220" s="7">
        <v>95.454545454545453</v>
      </c>
      <c r="F220" s="264"/>
      <c r="J220" s="265"/>
      <c r="K220" s="265"/>
      <c r="L220" s="265"/>
      <c r="M220" s="265"/>
      <c r="N220" s="265"/>
      <c r="O220" s="265"/>
    </row>
    <row r="221" spans="1:15" ht="30" customHeight="1" x14ac:dyDescent="0.3">
      <c r="A221" s="169">
        <v>44430</v>
      </c>
      <c r="B221" s="4">
        <v>210</v>
      </c>
      <c r="C221" s="4"/>
      <c r="D221" s="8">
        <v>84</v>
      </c>
      <c r="E221" s="8">
        <v>62.5</v>
      </c>
      <c r="F221" s="264"/>
      <c r="J221" s="265"/>
      <c r="K221" s="265"/>
      <c r="L221" s="265"/>
      <c r="M221" s="265"/>
      <c r="N221" s="265"/>
      <c r="O221" s="265"/>
    </row>
    <row r="222" spans="1:15" ht="30" customHeight="1" x14ac:dyDescent="0.3">
      <c r="A222" s="168">
        <v>44431</v>
      </c>
      <c r="B222" s="3">
        <v>211</v>
      </c>
      <c r="D222" s="7">
        <v>85</v>
      </c>
      <c r="E222" s="7">
        <v>66.666666666666671</v>
      </c>
      <c r="F222" s="264"/>
      <c r="J222" s="265"/>
      <c r="K222" s="265"/>
      <c r="L222" s="265"/>
      <c r="M222" s="265"/>
      <c r="N222" s="265"/>
      <c r="O222" s="265"/>
    </row>
    <row r="223" spans="1:15" ht="30" customHeight="1" x14ac:dyDescent="0.3">
      <c r="A223" s="169">
        <v>44432</v>
      </c>
      <c r="B223" s="4">
        <v>212</v>
      </c>
      <c r="C223" s="4"/>
      <c r="D223" s="8">
        <v>80</v>
      </c>
      <c r="E223" s="8">
        <v>90</v>
      </c>
      <c r="F223" s="264"/>
      <c r="J223" s="265"/>
      <c r="K223" s="265"/>
      <c r="L223" s="265"/>
      <c r="M223" s="265"/>
      <c r="N223" s="265"/>
      <c r="O223" s="265"/>
    </row>
    <row r="224" spans="1:15" ht="30" customHeight="1" x14ac:dyDescent="0.3">
      <c r="A224" s="168">
        <v>44433</v>
      </c>
      <c r="B224" s="3">
        <v>213</v>
      </c>
      <c r="D224" s="7">
        <v>71</v>
      </c>
      <c r="E224" s="7">
        <v>68.965517241379317</v>
      </c>
      <c r="F224" s="264"/>
      <c r="J224" s="265"/>
      <c r="K224" s="265"/>
      <c r="L224" s="265"/>
      <c r="M224" s="265"/>
      <c r="N224" s="265"/>
      <c r="O224" s="265"/>
    </row>
    <row r="225" spans="1:15" ht="30" customHeight="1" x14ac:dyDescent="0.3">
      <c r="A225" s="169">
        <v>44434</v>
      </c>
      <c r="B225" s="4">
        <v>214</v>
      </c>
      <c r="C225" s="4"/>
      <c r="D225" s="8">
        <v>75</v>
      </c>
      <c r="E225" s="8">
        <v>88</v>
      </c>
      <c r="F225" s="264"/>
      <c r="J225" s="265"/>
      <c r="K225" s="265"/>
      <c r="L225" s="265"/>
      <c r="M225" s="265"/>
      <c r="N225" s="265"/>
      <c r="O225" s="265"/>
    </row>
    <row r="226" spans="1:15" ht="30" customHeight="1" x14ac:dyDescent="0.3">
      <c r="A226" s="168">
        <v>44435</v>
      </c>
      <c r="B226" s="3">
        <v>215</v>
      </c>
      <c r="D226" s="7">
        <v>76</v>
      </c>
      <c r="E226" s="7">
        <v>70.833333333333329</v>
      </c>
      <c r="F226" s="264"/>
      <c r="J226" s="265"/>
      <c r="K226" s="265"/>
      <c r="L226" s="265"/>
      <c r="M226" s="265"/>
      <c r="N226" s="265"/>
      <c r="O226" s="265"/>
    </row>
    <row r="227" spans="1:15" ht="30" customHeight="1" x14ac:dyDescent="0.3">
      <c r="A227" s="169">
        <v>44436</v>
      </c>
      <c r="B227" s="4">
        <v>216</v>
      </c>
      <c r="C227" s="4"/>
      <c r="D227" s="8">
        <v>75</v>
      </c>
      <c r="E227" s="8">
        <v>76</v>
      </c>
      <c r="F227" s="264"/>
      <c r="J227" s="265"/>
      <c r="K227" s="265"/>
      <c r="L227" s="265"/>
      <c r="M227" s="265"/>
      <c r="N227" s="265"/>
      <c r="O227" s="265"/>
    </row>
    <row r="228" spans="1:15" ht="30" customHeight="1" x14ac:dyDescent="0.3">
      <c r="A228" s="168">
        <v>44437</v>
      </c>
      <c r="B228" s="3">
        <v>217</v>
      </c>
      <c r="D228" s="7">
        <v>69</v>
      </c>
      <c r="E228" s="7">
        <v>70.967741935483872</v>
      </c>
      <c r="F228" s="264"/>
      <c r="J228" s="265"/>
      <c r="K228" s="265"/>
      <c r="L228" s="265"/>
      <c r="M228" s="265"/>
      <c r="N228" s="265"/>
      <c r="O228" s="265"/>
    </row>
    <row r="229" spans="1:15" ht="30" customHeight="1" x14ac:dyDescent="0.3">
      <c r="A229" s="169">
        <v>44438</v>
      </c>
      <c r="B229" s="4">
        <v>218</v>
      </c>
      <c r="C229" s="4"/>
      <c r="D229" s="8">
        <v>79</v>
      </c>
      <c r="E229" s="8">
        <v>80.952380952380949</v>
      </c>
      <c r="F229" s="264"/>
      <c r="J229" s="265"/>
      <c r="K229" s="265"/>
      <c r="L229" s="265"/>
      <c r="M229" s="265"/>
      <c r="N229" s="265"/>
      <c r="O229" s="265"/>
    </row>
    <row r="230" spans="1:15" ht="30" customHeight="1" x14ac:dyDescent="0.3">
      <c r="A230" s="168">
        <v>44439</v>
      </c>
      <c r="B230" s="3">
        <v>219</v>
      </c>
      <c r="D230" s="7">
        <v>84</v>
      </c>
      <c r="E230" s="7">
        <v>87.5</v>
      </c>
      <c r="F230" s="264"/>
      <c r="J230" s="265"/>
      <c r="K230" s="265"/>
      <c r="L230" s="265"/>
      <c r="M230" s="265"/>
      <c r="N230" s="265"/>
      <c r="O230" s="265"/>
    </row>
    <row r="231" spans="1:15" ht="30" customHeight="1" x14ac:dyDescent="0.3">
      <c r="A231" s="169">
        <v>44440</v>
      </c>
      <c r="B231" s="4">
        <v>220</v>
      </c>
      <c r="C231" s="4"/>
      <c r="D231" s="8">
        <v>77</v>
      </c>
      <c r="E231" s="8">
        <v>91.304347826086953</v>
      </c>
      <c r="F231" s="264"/>
      <c r="J231" s="265"/>
      <c r="K231" s="265"/>
      <c r="L231" s="265"/>
      <c r="M231" s="265"/>
      <c r="N231" s="265"/>
      <c r="O231" s="265"/>
    </row>
    <row r="232" spans="1:15" ht="30" customHeight="1" x14ac:dyDescent="0.3">
      <c r="A232" s="168">
        <v>44441</v>
      </c>
      <c r="B232" s="3">
        <v>221</v>
      </c>
      <c r="D232" s="7">
        <v>79</v>
      </c>
      <c r="E232" s="7">
        <v>71.428571428571431</v>
      </c>
      <c r="F232" s="264"/>
      <c r="J232" s="265"/>
      <c r="K232" s="265"/>
      <c r="L232" s="265"/>
      <c r="M232" s="265"/>
      <c r="N232" s="265"/>
      <c r="O232" s="265"/>
    </row>
    <row r="233" spans="1:15" ht="30" customHeight="1" x14ac:dyDescent="0.3">
      <c r="A233" s="169">
        <v>44442</v>
      </c>
      <c r="B233" s="4">
        <v>222</v>
      </c>
      <c r="C233" s="4"/>
      <c r="D233" s="8">
        <v>80</v>
      </c>
      <c r="E233" s="8">
        <v>85</v>
      </c>
      <c r="F233" s="264"/>
      <c r="J233" s="265"/>
      <c r="K233" s="265"/>
      <c r="L233" s="265"/>
      <c r="M233" s="265"/>
      <c r="N233" s="265"/>
      <c r="O233" s="265"/>
    </row>
    <row r="234" spans="1:15" ht="30" customHeight="1" x14ac:dyDescent="0.3">
      <c r="A234" s="168">
        <v>44443</v>
      </c>
      <c r="B234" s="3">
        <v>223</v>
      </c>
      <c r="D234" s="7">
        <v>79</v>
      </c>
      <c r="E234" s="7">
        <v>76.19047619047619</v>
      </c>
      <c r="F234" s="264"/>
      <c r="J234" s="265"/>
      <c r="K234" s="265"/>
      <c r="L234" s="265"/>
      <c r="M234" s="265"/>
      <c r="N234" s="265"/>
      <c r="O234" s="265"/>
    </row>
    <row r="235" spans="1:15" ht="30" customHeight="1" x14ac:dyDescent="0.3">
      <c r="A235" s="169">
        <v>44444</v>
      </c>
      <c r="B235" s="4">
        <v>224</v>
      </c>
      <c r="C235" s="4"/>
      <c r="D235" s="8">
        <v>76</v>
      </c>
      <c r="E235" s="8">
        <v>83.333333333333329</v>
      </c>
      <c r="F235" s="264"/>
      <c r="J235" s="265"/>
      <c r="K235" s="265"/>
      <c r="L235" s="265"/>
      <c r="M235" s="265"/>
      <c r="N235" s="265"/>
      <c r="O235" s="265"/>
    </row>
    <row r="236" spans="1:15" ht="30" customHeight="1" x14ac:dyDescent="0.3">
      <c r="A236" s="168">
        <v>44445</v>
      </c>
      <c r="B236" s="3">
        <v>225</v>
      </c>
      <c r="D236" s="7">
        <v>77</v>
      </c>
      <c r="E236" s="7">
        <v>69.565217391304344</v>
      </c>
      <c r="F236" s="264"/>
      <c r="J236" s="265"/>
      <c r="K236" s="265"/>
      <c r="L236" s="265"/>
      <c r="M236" s="265"/>
      <c r="N236" s="265"/>
      <c r="O236" s="265"/>
    </row>
    <row r="237" spans="1:15" ht="30" customHeight="1" x14ac:dyDescent="0.3">
      <c r="A237" s="169">
        <v>44446</v>
      </c>
      <c r="B237" s="4">
        <v>226</v>
      </c>
      <c r="C237" s="4"/>
      <c r="D237" s="8">
        <v>84</v>
      </c>
      <c r="E237" s="8">
        <v>93.75</v>
      </c>
      <c r="F237" s="264"/>
      <c r="J237" s="265"/>
      <c r="K237" s="265"/>
      <c r="L237" s="265"/>
      <c r="M237" s="265"/>
      <c r="N237" s="265"/>
      <c r="O237" s="265"/>
    </row>
    <row r="238" spans="1:15" ht="30" customHeight="1" x14ac:dyDescent="0.3">
      <c r="A238" s="168">
        <v>44447</v>
      </c>
      <c r="B238" s="3">
        <v>227</v>
      </c>
      <c r="D238" s="7">
        <v>83</v>
      </c>
      <c r="E238" s="7">
        <v>82.352941176470594</v>
      </c>
      <c r="F238" s="264"/>
      <c r="J238" s="265"/>
      <c r="K238" s="265"/>
      <c r="L238" s="265"/>
      <c r="M238" s="265"/>
      <c r="N238" s="265"/>
      <c r="O238" s="265"/>
    </row>
    <row r="239" spans="1:15" ht="30" customHeight="1" x14ac:dyDescent="0.3">
      <c r="A239" s="169">
        <v>44448</v>
      </c>
      <c r="B239" s="4">
        <v>228</v>
      </c>
      <c r="C239" s="4"/>
      <c r="D239" s="8">
        <v>74</v>
      </c>
      <c r="E239" s="8">
        <v>74</v>
      </c>
      <c r="F239" s="264"/>
      <c r="J239" s="265"/>
      <c r="K239" s="265"/>
      <c r="L239" s="265"/>
      <c r="M239" s="265"/>
      <c r="N239" s="265"/>
      <c r="O239" s="265"/>
    </row>
    <row r="240" spans="1:15" ht="30" customHeight="1" x14ac:dyDescent="0.3">
      <c r="A240" s="168">
        <v>44449</v>
      </c>
      <c r="B240" s="3">
        <v>229</v>
      </c>
      <c r="D240" s="7">
        <v>77</v>
      </c>
      <c r="E240" s="7">
        <v>59.090909090909093</v>
      </c>
      <c r="F240" s="264"/>
      <c r="J240" s="265"/>
      <c r="K240" s="265"/>
      <c r="L240" s="265"/>
      <c r="M240" s="265"/>
      <c r="N240" s="265"/>
      <c r="O240" s="265"/>
    </row>
    <row r="241" spans="1:15" ht="30" customHeight="1" x14ac:dyDescent="0.3">
      <c r="A241" s="169">
        <v>44450</v>
      </c>
      <c r="B241" s="4">
        <v>230</v>
      </c>
      <c r="C241" s="4"/>
      <c r="D241" s="8">
        <v>72</v>
      </c>
      <c r="E241" s="8">
        <v>53.571428571428569</v>
      </c>
      <c r="F241" s="264"/>
      <c r="J241" s="265"/>
      <c r="K241" s="265"/>
      <c r="L241" s="265"/>
      <c r="M241" s="265"/>
      <c r="N241" s="265"/>
      <c r="O241" s="265"/>
    </row>
    <row r="242" spans="1:15" ht="30" customHeight="1" x14ac:dyDescent="0.3">
      <c r="A242" s="168">
        <v>44451</v>
      </c>
      <c r="B242" s="3">
        <v>231</v>
      </c>
      <c r="D242" s="7">
        <v>74</v>
      </c>
      <c r="E242" s="7">
        <v>72</v>
      </c>
      <c r="F242" s="264"/>
      <c r="J242" s="265"/>
      <c r="K242" s="265"/>
      <c r="L242" s="265"/>
      <c r="M242" s="265"/>
      <c r="N242" s="265"/>
      <c r="O242" s="265"/>
    </row>
    <row r="243" spans="1:15" ht="30" customHeight="1" x14ac:dyDescent="0.3">
      <c r="A243" s="169">
        <v>44452</v>
      </c>
      <c r="B243" s="4">
        <v>232</v>
      </c>
      <c r="C243" s="4"/>
      <c r="D243" s="8">
        <v>71</v>
      </c>
      <c r="E243" s="8">
        <v>62.068965517241381</v>
      </c>
      <c r="F243" s="264"/>
      <c r="J243" s="265"/>
      <c r="K243" s="265"/>
      <c r="L243" s="265"/>
      <c r="M243" s="265"/>
      <c r="N243" s="265"/>
      <c r="O243" s="265"/>
    </row>
    <row r="244" spans="1:15" ht="30" customHeight="1" x14ac:dyDescent="0.3">
      <c r="A244" s="168">
        <v>44453</v>
      </c>
      <c r="B244" s="3">
        <v>233</v>
      </c>
      <c r="D244" s="7">
        <v>74</v>
      </c>
      <c r="E244" s="7">
        <v>80.769230769230774</v>
      </c>
      <c r="F244" s="264"/>
      <c r="J244" s="265"/>
      <c r="K244" s="265"/>
      <c r="L244" s="265"/>
      <c r="M244" s="265"/>
      <c r="N244" s="265"/>
      <c r="O244" s="265"/>
    </row>
    <row r="245" spans="1:15" ht="30" customHeight="1" x14ac:dyDescent="0.3">
      <c r="A245" s="169">
        <v>44454</v>
      </c>
      <c r="B245" s="4">
        <v>234</v>
      </c>
      <c r="C245" s="4"/>
      <c r="D245" s="8">
        <v>69</v>
      </c>
      <c r="E245" s="8">
        <v>73</v>
      </c>
      <c r="F245" s="264"/>
      <c r="J245" s="265"/>
      <c r="K245" s="265"/>
      <c r="L245" s="265"/>
      <c r="M245" s="265"/>
      <c r="N245" s="265"/>
      <c r="O245" s="265"/>
    </row>
    <row r="246" spans="1:15" ht="30" customHeight="1" x14ac:dyDescent="0.3">
      <c r="A246" s="168">
        <v>44455</v>
      </c>
      <c r="B246" s="3">
        <v>235</v>
      </c>
      <c r="D246" s="7">
        <v>83</v>
      </c>
      <c r="E246" s="7">
        <v>76.470588235294116</v>
      </c>
      <c r="F246" s="264"/>
      <c r="J246" s="265"/>
      <c r="K246" s="265"/>
      <c r="L246" s="265"/>
      <c r="M246" s="265"/>
      <c r="N246" s="265"/>
      <c r="O246" s="265"/>
    </row>
    <row r="247" spans="1:15" ht="30" customHeight="1" x14ac:dyDescent="0.3">
      <c r="A247" s="169">
        <v>44456</v>
      </c>
      <c r="B247" s="4">
        <v>236</v>
      </c>
      <c r="C247" s="4"/>
      <c r="D247" s="8">
        <v>83</v>
      </c>
      <c r="E247" s="8">
        <v>70.588235294117652</v>
      </c>
      <c r="F247" s="264"/>
      <c r="J247" s="265"/>
      <c r="K247" s="265"/>
      <c r="L247" s="265"/>
      <c r="M247" s="265"/>
      <c r="N247" s="265"/>
      <c r="O247" s="265"/>
    </row>
    <row r="248" spans="1:15" ht="30" customHeight="1" x14ac:dyDescent="0.3">
      <c r="A248" s="168">
        <v>44456</v>
      </c>
      <c r="B248" s="3">
        <v>237</v>
      </c>
      <c r="D248" s="7">
        <v>72</v>
      </c>
      <c r="E248" s="7">
        <v>82.142857142857139</v>
      </c>
      <c r="F248" s="264"/>
      <c r="J248" s="265"/>
      <c r="K248" s="265"/>
      <c r="L248" s="265"/>
      <c r="M248" s="265"/>
      <c r="N248" s="265"/>
      <c r="O248" s="265"/>
    </row>
    <row r="249" spans="1:15" ht="30" customHeight="1" x14ac:dyDescent="0.3">
      <c r="A249" s="169">
        <v>44457</v>
      </c>
      <c r="B249" s="4">
        <v>238</v>
      </c>
      <c r="C249" s="4"/>
      <c r="D249" s="8">
        <v>80</v>
      </c>
      <c r="E249" s="8">
        <v>90</v>
      </c>
      <c r="F249" s="264"/>
      <c r="J249" s="265"/>
      <c r="K249" s="265"/>
      <c r="L249" s="265"/>
      <c r="M249" s="265"/>
      <c r="N249" s="265"/>
      <c r="O249" s="265"/>
    </row>
    <row r="250" spans="1:15" ht="30" customHeight="1" x14ac:dyDescent="0.3">
      <c r="A250" s="168">
        <v>44458</v>
      </c>
      <c r="B250" s="3">
        <v>239</v>
      </c>
      <c r="D250" s="7">
        <v>75</v>
      </c>
      <c r="E250" s="7">
        <v>80</v>
      </c>
      <c r="F250" s="264"/>
      <c r="J250" s="265"/>
      <c r="K250" s="265"/>
      <c r="L250" s="265"/>
      <c r="M250" s="265"/>
      <c r="N250" s="265"/>
      <c r="O250" s="265"/>
    </row>
    <row r="251" spans="1:15" ht="30" customHeight="1" x14ac:dyDescent="0.3">
      <c r="A251" s="169">
        <v>44459</v>
      </c>
      <c r="B251" s="4">
        <v>240</v>
      </c>
      <c r="C251" s="4"/>
      <c r="D251" s="8">
        <v>76</v>
      </c>
      <c r="E251" s="8">
        <v>73.913043478260875</v>
      </c>
      <c r="F251" s="264"/>
      <c r="J251" s="265"/>
      <c r="K251" s="265"/>
      <c r="L251" s="265"/>
      <c r="M251" s="265"/>
      <c r="N251" s="265"/>
      <c r="O251" s="265"/>
    </row>
    <row r="252" spans="1:15" ht="30" customHeight="1" x14ac:dyDescent="0.3">
      <c r="A252" s="168">
        <v>44460</v>
      </c>
      <c r="B252" s="3">
        <v>241</v>
      </c>
      <c r="D252" s="7">
        <v>68</v>
      </c>
      <c r="E252" s="7">
        <v>66.666666666666671</v>
      </c>
      <c r="F252" s="264"/>
      <c r="J252" s="265"/>
      <c r="K252" s="265"/>
      <c r="L252" s="265"/>
      <c r="M252" s="265"/>
      <c r="N252" s="265"/>
      <c r="O252" s="265"/>
    </row>
    <row r="253" spans="1:15" ht="30" customHeight="1" x14ac:dyDescent="0.3">
      <c r="A253" s="169">
        <v>44461</v>
      </c>
      <c r="B253" s="4">
        <v>242</v>
      </c>
      <c r="C253" s="4"/>
      <c r="D253" s="8">
        <v>76</v>
      </c>
      <c r="E253" s="8">
        <v>82.608695652173907</v>
      </c>
      <c r="F253" s="264"/>
      <c r="J253" s="265"/>
      <c r="K253" s="265"/>
      <c r="L253" s="265"/>
      <c r="M253" s="265"/>
      <c r="N253" s="265"/>
      <c r="O253" s="265"/>
    </row>
    <row r="254" spans="1:15" ht="30" customHeight="1" x14ac:dyDescent="0.3">
      <c r="A254" s="168">
        <v>44462</v>
      </c>
      <c r="B254" s="3">
        <v>243</v>
      </c>
      <c r="D254" s="7">
        <v>75</v>
      </c>
      <c r="E254" s="7">
        <v>76</v>
      </c>
      <c r="F254" s="264"/>
      <c r="J254" s="265"/>
      <c r="K254" s="265"/>
      <c r="L254" s="265"/>
      <c r="M254" s="265"/>
      <c r="N254" s="265"/>
      <c r="O254" s="265"/>
    </row>
    <row r="255" spans="1:15" ht="30" customHeight="1" x14ac:dyDescent="0.3">
      <c r="A255" s="169">
        <v>44463</v>
      </c>
      <c r="B255" s="4">
        <v>244</v>
      </c>
      <c r="C255" s="4"/>
      <c r="D255" s="8">
        <v>78</v>
      </c>
      <c r="E255" s="8">
        <v>86.36363636363636</v>
      </c>
      <c r="F255" s="264"/>
      <c r="J255" s="265"/>
      <c r="K255" s="265"/>
      <c r="L255" s="265"/>
      <c r="M255" s="265"/>
      <c r="N255" s="265"/>
      <c r="O255" s="265"/>
    </row>
    <row r="256" spans="1:15" ht="30" customHeight="1" x14ac:dyDescent="0.3">
      <c r="A256" s="168">
        <v>44464</v>
      </c>
      <c r="B256" s="3">
        <v>245</v>
      </c>
      <c r="D256" s="7">
        <v>79</v>
      </c>
      <c r="E256" s="7">
        <v>100</v>
      </c>
      <c r="F256" s="264"/>
      <c r="J256" s="265"/>
      <c r="K256" s="265"/>
      <c r="L256" s="265"/>
      <c r="M256" s="265"/>
      <c r="N256" s="265"/>
      <c r="O256" s="265"/>
    </row>
    <row r="257" spans="1:15" ht="30" customHeight="1" x14ac:dyDescent="0.3">
      <c r="A257" s="169">
        <v>44465</v>
      </c>
      <c r="B257" s="4">
        <v>246</v>
      </c>
      <c r="C257" s="4"/>
      <c r="D257" s="8">
        <v>79</v>
      </c>
      <c r="E257" s="8">
        <v>71.428571428571431</v>
      </c>
      <c r="F257" s="264"/>
      <c r="J257" s="265"/>
      <c r="K257" s="265"/>
      <c r="L257" s="265"/>
      <c r="M257" s="265"/>
      <c r="N257" s="265"/>
      <c r="O257" s="265"/>
    </row>
    <row r="258" spans="1:15" ht="30" customHeight="1" x14ac:dyDescent="0.3">
      <c r="A258" s="168">
        <v>44466</v>
      </c>
      <c r="B258" s="3">
        <v>247</v>
      </c>
      <c r="D258" s="7">
        <v>74</v>
      </c>
      <c r="E258" s="7">
        <v>76.92307692307692</v>
      </c>
      <c r="F258" s="264"/>
      <c r="J258" s="265"/>
      <c r="K258" s="265"/>
      <c r="L258" s="265"/>
      <c r="M258" s="265"/>
      <c r="N258" s="265"/>
      <c r="O258" s="265"/>
    </row>
    <row r="259" spans="1:15" ht="30" customHeight="1" x14ac:dyDescent="0.3">
      <c r="A259" s="169">
        <v>44467</v>
      </c>
      <c r="B259" s="4">
        <v>248</v>
      </c>
      <c r="C259" s="4"/>
      <c r="D259" s="8">
        <v>74</v>
      </c>
      <c r="E259" s="8">
        <v>70.370370370370367</v>
      </c>
      <c r="F259" s="264"/>
      <c r="J259" s="265"/>
      <c r="K259" s="265"/>
      <c r="L259" s="265"/>
      <c r="M259" s="265"/>
      <c r="N259" s="265"/>
      <c r="O259" s="265"/>
    </row>
    <row r="260" spans="1:15" ht="30" customHeight="1" x14ac:dyDescent="0.3">
      <c r="A260" s="168">
        <v>44468</v>
      </c>
      <c r="B260" s="3">
        <v>249</v>
      </c>
      <c r="D260" s="7">
        <v>80</v>
      </c>
      <c r="E260" s="7">
        <v>89.473684210526315</v>
      </c>
      <c r="F260" s="264"/>
      <c r="J260" s="265"/>
      <c r="K260" s="265"/>
      <c r="L260" s="265"/>
      <c r="M260" s="265"/>
      <c r="N260" s="265"/>
      <c r="O260" s="265"/>
    </row>
    <row r="261" spans="1:15" ht="30" customHeight="1" x14ac:dyDescent="0.3">
      <c r="A261" s="169">
        <v>44469</v>
      </c>
      <c r="B261" s="4">
        <v>250</v>
      </c>
      <c r="C261" s="4"/>
      <c r="D261" s="8">
        <v>85</v>
      </c>
      <c r="E261" s="8">
        <v>86.666666666666671</v>
      </c>
      <c r="F261" s="264"/>
    </row>
    <row r="262" spans="1:15" ht="30" customHeight="1" x14ac:dyDescent="0.3">
      <c r="A262" s="168">
        <v>44470</v>
      </c>
      <c r="B262" s="3">
        <v>251</v>
      </c>
      <c r="D262" s="7">
        <v>79</v>
      </c>
      <c r="E262" s="7">
        <v>85</v>
      </c>
      <c r="F262" s="264"/>
    </row>
    <row r="263" spans="1:15" ht="30" customHeight="1" x14ac:dyDescent="0.3">
      <c r="A263" s="169">
        <v>44471</v>
      </c>
      <c r="B263" s="4">
        <v>252</v>
      </c>
      <c r="C263" s="4"/>
      <c r="D263" s="8">
        <v>74</v>
      </c>
      <c r="E263" s="8">
        <v>87</v>
      </c>
      <c r="F263" s="264"/>
    </row>
    <row r="264" spans="1:15" ht="30" customHeight="1" x14ac:dyDescent="0.3">
      <c r="A264" s="168">
        <v>44472</v>
      </c>
      <c r="B264" s="3">
        <v>253</v>
      </c>
      <c r="D264" s="7">
        <v>79</v>
      </c>
      <c r="E264" s="7">
        <v>80</v>
      </c>
      <c r="F264" s="264"/>
    </row>
    <row r="265" spans="1:15" ht="30" customHeight="1" x14ac:dyDescent="0.3">
      <c r="A265" s="169">
        <v>44473</v>
      </c>
      <c r="B265" s="4">
        <v>254</v>
      </c>
      <c r="C265" s="4"/>
      <c r="D265" s="8">
        <v>78</v>
      </c>
      <c r="E265" s="8">
        <v>68.181818181818187</v>
      </c>
      <c r="F265" s="264"/>
    </row>
    <row r="266" spans="1:15" ht="30" customHeight="1" x14ac:dyDescent="0.3">
      <c r="A266" s="168">
        <v>44474</v>
      </c>
      <c r="B266" s="3">
        <v>255</v>
      </c>
      <c r="D266" s="7">
        <v>75</v>
      </c>
      <c r="E266" s="7">
        <v>91.666666666666671</v>
      </c>
      <c r="F266" s="264"/>
    </row>
    <row r="267" spans="1:15" ht="30" customHeight="1" x14ac:dyDescent="0.3">
      <c r="A267" s="169">
        <v>44475</v>
      </c>
      <c r="B267" s="4">
        <v>256</v>
      </c>
      <c r="C267" s="4"/>
      <c r="D267" s="8">
        <v>75</v>
      </c>
      <c r="E267" s="8">
        <v>100</v>
      </c>
      <c r="F267" s="264"/>
    </row>
    <row r="268" spans="1:15" ht="30" customHeight="1" x14ac:dyDescent="0.3">
      <c r="A268" s="168">
        <v>44476</v>
      </c>
      <c r="B268" s="3">
        <v>257</v>
      </c>
      <c r="D268" s="7">
        <v>80</v>
      </c>
      <c r="E268" s="7">
        <v>70</v>
      </c>
      <c r="F268" s="264"/>
    </row>
    <row r="269" spans="1:15" ht="30" customHeight="1" x14ac:dyDescent="0.3">
      <c r="A269" s="169">
        <v>44477</v>
      </c>
      <c r="B269" s="4">
        <v>258</v>
      </c>
      <c r="C269" s="4"/>
      <c r="D269" s="8">
        <v>70</v>
      </c>
      <c r="E269" s="8">
        <v>73.333333333333329</v>
      </c>
      <c r="F269" s="264"/>
    </row>
    <row r="270" spans="1:15" ht="30" customHeight="1" x14ac:dyDescent="0.3">
      <c r="A270" s="168">
        <v>44478</v>
      </c>
      <c r="B270" s="3">
        <v>259</v>
      </c>
      <c r="D270" s="7">
        <v>75</v>
      </c>
      <c r="E270" s="7">
        <v>68</v>
      </c>
      <c r="F270" s="264"/>
    </row>
    <row r="271" spans="1:15" ht="30" customHeight="1" x14ac:dyDescent="0.3">
      <c r="A271" s="169">
        <v>44479</v>
      </c>
      <c r="B271" s="4">
        <v>260</v>
      </c>
      <c r="C271" s="4"/>
      <c r="D271" s="8">
        <v>78</v>
      </c>
      <c r="E271" s="8">
        <v>76.19047619047619</v>
      </c>
      <c r="F271" s="264"/>
    </row>
    <row r="272" spans="1:15" ht="30" customHeight="1" x14ac:dyDescent="0.3">
      <c r="A272" s="168">
        <v>44480</v>
      </c>
      <c r="B272" s="3">
        <v>261</v>
      </c>
      <c r="D272" s="7">
        <v>70</v>
      </c>
      <c r="E272" s="7">
        <v>90</v>
      </c>
      <c r="F272" s="264"/>
    </row>
    <row r="273" spans="1:6" ht="30" customHeight="1" x14ac:dyDescent="0.3">
      <c r="A273" s="169">
        <v>44481</v>
      </c>
      <c r="B273" s="4">
        <v>262</v>
      </c>
      <c r="C273" s="4"/>
      <c r="D273" s="8">
        <v>84</v>
      </c>
      <c r="E273" s="8">
        <v>75</v>
      </c>
      <c r="F273" s="264"/>
    </row>
    <row r="274" spans="1:6" ht="30" customHeight="1" x14ac:dyDescent="0.3">
      <c r="A274" s="168">
        <v>44482</v>
      </c>
      <c r="B274" s="3">
        <v>263</v>
      </c>
      <c r="D274" s="7">
        <v>81</v>
      </c>
      <c r="E274" s="7">
        <v>60</v>
      </c>
      <c r="F274" s="264"/>
    </row>
    <row r="275" spans="1:6" ht="30" customHeight="1" x14ac:dyDescent="0.3">
      <c r="A275" s="169">
        <v>44483</v>
      </c>
      <c r="B275" s="4">
        <v>264</v>
      </c>
      <c r="C275" s="4"/>
      <c r="D275" s="8">
        <v>77</v>
      </c>
      <c r="E275" s="8">
        <v>54.166666666666664</v>
      </c>
      <c r="F275" s="264"/>
    </row>
    <row r="276" spans="1:6" ht="30" customHeight="1" x14ac:dyDescent="0.3">
      <c r="A276" s="168">
        <v>44484</v>
      </c>
      <c r="B276" s="3">
        <v>265</v>
      </c>
      <c r="D276" s="7">
        <v>82</v>
      </c>
      <c r="E276" s="7">
        <v>100</v>
      </c>
      <c r="F276" s="264"/>
    </row>
    <row r="277" spans="1:6" ht="30" customHeight="1" x14ac:dyDescent="0.3">
      <c r="A277" s="169">
        <v>44485</v>
      </c>
      <c r="B277" s="4">
        <v>266</v>
      </c>
      <c r="C277" s="4"/>
      <c r="D277" s="8">
        <v>84</v>
      </c>
      <c r="E277" s="8">
        <v>82.352941176470594</v>
      </c>
      <c r="F277" s="264"/>
    </row>
    <row r="278" spans="1:6" ht="30" customHeight="1" x14ac:dyDescent="0.3">
      <c r="A278" s="168">
        <v>44486</v>
      </c>
      <c r="B278" s="3">
        <v>267</v>
      </c>
      <c r="D278" s="7">
        <v>76</v>
      </c>
      <c r="E278" s="7">
        <v>79.166666666666671</v>
      </c>
      <c r="F278" s="264"/>
    </row>
    <row r="279" spans="1:6" ht="30" customHeight="1" x14ac:dyDescent="0.3">
      <c r="A279" s="169">
        <v>44487</v>
      </c>
      <c r="B279" s="4">
        <v>268</v>
      </c>
      <c r="C279" s="4"/>
      <c r="D279" s="8">
        <v>78</v>
      </c>
      <c r="E279" s="8">
        <v>90.909090909090907</v>
      </c>
      <c r="F279" s="264"/>
    </row>
    <row r="280" spans="1:6" ht="30" customHeight="1" x14ac:dyDescent="0.3">
      <c r="A280" s="168">
        <v>44488</v>
      </c>
      <c r="B280" s="3">
        <v>269</v>
      </c>
      <c r="D280" s="7">
        <v>79</v>
      </c>
      <c r="E280" s="7">
        <v>71.428571428571431</v>
      </c>
      <c r="F280" s="264"/>
    </row>
    <row r="281" spans="1:6" ht="30" customHeight="1" x14ac:dyDescent="0.3">
      <c r="A281" s="169">
        <v>44489</v>
      </c>
      <c r="B281" s="4">
        <v>270</v>
      </c>
      <c r="C281" s="4"/>
      <c r="D281" s="8">
        <v>83</v>
      </c>
      <c r="E281" s="8">
        <v>92.857142857142861</v>
      </c>
      <c r="F281" s="264"/>
    </row>
    <row r="282" spans="1:6" ht="30" customHeight="1" x14ac:dyDescent="0.3">
      <c r="A282" s="168">
        <v>44490</v>
      </c>
      <c r="B282" s="3">
        <v>271</v>
      </c>
      <c r="D282" s="7">
        <v>79</v>
      </c>
      <c r="E282" s="7">
        <v>85.714285714285708</v>
      </c>
      <c r="F282" s="264"/>
    </row>
    <row r="283" spans="1:6" ht="30" customHeight="1" x14ac:dyDescent="0.3">
      <c r="A283" s="169">
        <v>44491</v>
      </c>
      <c r="B283" s="4">
        <v>272</v>
      </c>
      <c r="C283" s="4"/>
      <c r="D283" s="8">
        <v>75</v>
      </c>
      <c r="E283" s="8">
        <v>56</v>
      </c>
      <c r="F283" s="264"/>
    </row>
    <row r="284" spans="1:6" ht="30" customHeight="1" x14ac:dyDescent="0.3">
      <c r="A284" s="168">
        <v>44492</v>
      </c>
      <c r="B284" s="3">
        <v>273</v>
      </c>
      <c r="D284" s="7">
        <v>77</v>
      </c>
      <c r="E284" s="7">
        <v>78.260869565217391</v>
      </c>
      <c r="F284" s="264"/>
    </row>
    <row r="285" spans="1:6" ht="30" customHeight="1" x14ac:dyDescent="0.3">
      <c r="A285" s="169">
        <v>44493</v>
      </c>
      <c r="B285" s="4">
        <v>274</v>
      </c>
      <c r="C285" s="4"/>
      <c r="D285" s="8">
        <v>78</v>
      </c>
      <c r="E285" s="8">
        <v>85.714285714285708</v>
      </c>
      <c r="F285" s="264"/>
    </row>
    <row r="286" spans="1:6" ht="30" customHeight="1" x14ac:dyDescent="0.3">
      <c r="A286" s="168">
        <v>44494</v>
      </c>
      <c r="B286" s="3">
        <v>275</v>
      </c>
      <c r="D286" s="7">
        <v>85</v>
      </c>
      <c r="E286" s="7">
        <v>80</v>
      </c>
    </row>
    <row r="287" spans="1:6" ht="30" customHeight="1" x14ac:dyDescent="0.3">
      <c r="A287" s="169">
        <v>44495</v>
      </c>
      <c r="B287" s="4">
        <v>276</v>
      </c>
      <c r="C287" s="4"/>
      <c r="D287" s="8">
        <v>87</v>
      </c>
      <c r="E287" s="8">
        <v>76.92307692307692</v>
      </c>
    </row>
    <row r="288" spans="1:6" ht="30" customHeight="1" x14ac:dyDescent="0.3">
      <c r="A288" s="168">
        <v>44496</v>
      </c>
      <c r="B288" s="3">
        <v>277</v>
      </c>
      <c r="D288" s="7">
        <v>78</v>
      </c>
      <c r="E288" s="7">
        <v>80.952380952380949</v>
      </c>
    </row>
    <row r="289" spans="1:9" ht="30" customHeight="1" x14ac:dyDescent="0.3">
      <c r="A289" s="169">
        <v>44497</v>
      </c>
      <c r="B289" s="4">
        <v>278</v>
      </c>
      <c r="C289" s="4"/>
      <c r="D289" s="8">
        <v>82</v>
      </c>
      <c r="E289" s="8">
        <v>94.444444444444443</v>
      </c>
    </row>
    <row r="290" spans="1:9" ht="30" customHeight="1" x14ac:dyDescent="0.3">
      <c r="A290" s="168">
        <v>44498</v>
      </c>
      <c r="B290" s="3">
        <v>279</v>
      </c>
      <c r="D290" s="7">
        <v>82</v>
      </c>
      <c r="E290" s="7">
        <v>76.470588235294116</v>
      </c>
    </row>
    <row r="291" spans="1:9" ht="30" customHeight="1" x14ac:dyDescent="0.3">
      <c r="A291" s="169">
        <v>44499</v>
      </c>
      <c r="B291" s="4">
        <v>280</v>
      </c>
      <c r="C291" s="4"/>
      <c r="D291" s="8">
        <v>81</v>
      </c>
      <c r="E291" s="8">
        <v>77.777777777777771</v>
      </c>
    </row>
    <row r="292" spans="1:9" ht="30" customHeight="1" x14ac:dyDescent="0.3">
      <c r="A292" s="168">
        <v>44500</v>
      </c>
      <c r="B292" s="3">
        <v>281</v>
      </c>
      <c r="D292" s="7">
        <v>77</v>
      </c>
      <c r="E292" s="7">
        <v>47.826086956521742</v>
      </c>
    </row>
    <row r="293" spans="1:9" ht="30" customHeight="1" x14ac:dyDescent="0.3">
      <c r="A293" s="169">
        <v>44501</v>
      </c>
      <c r="B293" s="4">
        <v>282</v>
      </c>
      <c r="C293" s="4"/>
      <c r="D293" s="8">
        <v>79</v>
      </c>
      <c r="E293" s="8">
        <v>90.909090909090907</v>
      </c>
    </row>
    <row r="294" spans="1:9" ht="30" customHeight="1" x14ac:dyDescent="0.3">
      <c r="A294" s="168">
        <v>44502</v>
      </c>
      <c r="B294" s="3">
        <v>283</v>
      </c>
      <c r="D294" s="7">
        <v>84</v>
      </c>
      <c r="E294" s="7">
        <v>75</v>
      </c>
    </row>
    <row r="295" spans="1:9" ht="30" customHeight="1" x14ac:dyDescent="0.3">
      <c r="A295" s="169">
        <v>44503</v>
      </c>
      <c r="B295" s="4">
        <v>284</v>
      </c>
      <c r="C295" s="4"/>
      <c r="D295" s="8">
        <v>84</v>
      </c>
      <c r="E295" s="8">
        <v>62.5</v>
      </c>
    </row>
    <row r="296" spans="1:9" ht="30" customHeight="1" x14ac:dyDescent="0.3">
      <c r="A296" s="168">
        <v>44504</v>
      </c>
      <c r="B296" s="3">
        <v>285</v>
      </c>
      <c r="D296" s="7">
        <v>81</v>
      </c>
      <c r="E296" s="7">
        <v>89.473684210526315</v>
      </c>
    </row>
    <row r="297" spans="1:9" ht="30" customHeight="1" x14ac:dyDescent="0.3">
      <c r="A297" s="169">
        <v>44505</v>
      </c>
      <c r="B297" s="4">
        <v>286</v>
      </c>
      <c r="C297" s="4"/>
      <c r="D297" s="8">
        <v>85</v>
      </c>
      <c r="E297" s="8">
        <v>66.666666666666671</v>
      </c>
    </row>
    <row r="298" spans="1:9" ht="30" customHeight="1" x14ac:dyDescent="0.3">
      <c r="A298" s="168">
        <v>44506</v>
      </c>
      <c r="B298" s="3">
        <v>287</v>
      </c>
      <c r="D298" s="7">
        <v>85</v>
      </c>
      <c r="E298" s="7">
        <v>80</v>
      </c>
    </row>
    <row r="299" spans="1:9" ht="30" customHeight="1" x14ac:dyDescent="0.3">
      <c r="A299" s="169">
        <v>44507</v>
      </c>
      <c r="B299" s="4">
        <v>288</v>
      </c>
      <c r="C299" s="4"/>
      <c r="D299" s="8">
        <v>80</v>
      </c>
      <c r="E299" s="8">
        <v>90.476190476190482</v>
      </c>
    </row>
    <row r="300" spans="1:9" ht="30" customHeight="1" x14ac:dyDescent="0.3">
      <c r="A300" s="168">
        <v>44508</v>
      </c>
      <c r="B300" s="3">
        <v>289</v>
      </c>
      <c r="D300" s="7">
        <v>74</v>
      </c>
      <c r="E300" s="7">
        <v>92</v>
      </c>
      <c r="F300" s="264"/>
      <c r="G300" s="258"/>
      <c r="H300" s="267"/>
      <c r="I300" s="267"/>
    </row>
    <row r="301" spans="1:9" ht="30" customHeight="1" x14ac:dyDescent="0.3">
      <c r="A301" s="169">
        <v>44509</v>
      </c>
      <c r="B301" s="4">
        <v>290</v>
      </c>
      <c r="C301" s="4"/>
      <c r="D301" s="8">
        <v>79</v>
      </c>
      <c r="E301" s="8">
        <v>80.952380952380949</v>
      </c>
      <c r="F301" s="264"/>
      <c r="G301" s="258"/>
      <c r="H301" s="267"/>
      <c r="I301" s="267"/>
    </row>
    <row r="302" spans="1:9" ht="30" customHeight="1" x14ac:dyDescent="0.3">
      <c r="A302" s="168">
        <v>44510</v>
      </c>
      <c r="B302" s="3">
        <v>291</v>
      </c>
      <c r="D302" s="7">
        <v>77</v>
      </c>
      <c r="E302" s="7">
        <v>73.913043478260875</v>
      </c>
      <c r="F302" s="264"/>
      <c r="G302" s="258"/>
      <c r="H302" s="267"/>
      <c r="I302" s="267"/>
    </row>
    <row r="303" spans="1:9" ht="30" customHeight="1" x14ac:dyDescent="0.3">
      <c r="A303" s="169">
        <v>44511</v>
      </c>
      <c r="B303" s="4">
        <v>292</v>
      </c>
      <c r="C303" s="4"/>
      <c r="D303" s="8">
        <v>79</v>
      </c>
      <c r="E303" s="8">
        <v>80</v>
      </c>
      <c r="F303" s="264"/>
      <c r="G303" s="258"/>
      <c r="H303" s="267"/>
      <c r="I303" s="267"/>
    </row>
    <row r="304" spans="1:9" ht="30" customHeight="1" x14ac:dyDescent="0.3">
      <c r="A304" s="168">
        <v>44512</v>
      </c>
      <c r="B304" s="3">
        <v>293</v>
      </c>
      <c r="D304" s="7">
        <v>85</v>
      </c>
      <c r="E304" s="7">
        <v>80</v>
      </c>
      <c r="F304" s="264"/>
      <c r="G304" s="258"/>
      <c r="H304" s="267"/>
      <c r="I304" s="267"/>
    </row>
    <row r="305" spans="1:9" ht="30" customHeight="1" x14ac:dyDescent="0.3">
      <c r="A305" s="169">
        <v>44516</v>
      </c>
      <c r="B305" s="4">
        <v>294</v>
      </c>
      <c r="C305" s="4"/>
      <c r="D305" s="8">
        <v>77</v>
      </c>
      <c r="E305" s="8">
        <v>82.608695652173907</v>
      </c>
      <c r="F305" s="264"/>
      <c r="G305" s="258"/>
      <c r="H305" s="267"/>
      <c r="I305" s="267"/>
    </row>
    <row r="306" spans="1:9" ht="30" customHeight="1" x14ac:dyDescent="0.3">
      <c r="A306" s="168">
        <v>44517</v>
      </c>
      <c r="B306" s="3">
        <v>295</v>
      </c>
      <c r="D306" s="7">
        <v>84</v>
      </c>
      <c r="E306" s="7">
        <v>100</v>
      </c>
      <c r="F306" s="264"/>
      <c r="G306" s="258"/>
      <c r="H306" s="267"/>
      <c r="I306" s="267"/>
    </row>
    <row r="307" spans="1:9" ht="30" customHeight="1" x14ac:dyDescent="0.3">
      <c r="A307" s="169">
        <v>44518</v>
      </c>
      <c r="B307" s="4">
        <v>296</v>
      </c>
      <c r="C307" s="4"/>
      <c r="D307" s="8">
        <v>80</v>
      </c>
      <c r="E307" s="8">
        <v>77.777777777777771</v>
      </c>
      <c r="F307" s="264"/>
      <c r="G307" s="258"/>
      <c r="H307" s="267"/>
      <c r="I307" s="267"/>
    </row>
    <row r="308" spans="1:9" ht="30" customHeight="1" x14ac:dyDescent="0.3">
      <c r="A308" s="168">
        <v>44519</v>
      </c>
      <c r="B308" s="3">
        <v>297</v>
      </c>
      <c r="D308" s="7">
        <v>83</v>
      </c>
      <c r="E308" s="7">
        <v>75</v>
      </c>
      <c r="F308" s="264"/>
      <c r="G308" s="258"/>
      <c r="H308" s="267"/>
      <c r="I308" s="267"/>
    </row>
    <row r="309" spans="1:9" ht="30" customHeight="1" x14ac:dyDescent="0.3">
      <c r="A309" s="169">
        <v>44520</v>
      </c>
      <c r="B309" s="4">
        <v>298</v>
      </c>
      <c r="C309" s="4"/>
      <c r="D309" s="8">
        <v>78</v>
      </c>
      <c r="E309" s="8">
        <v>68.181818181818187</v>
      </c>
      <c r="F309" s="264"/>
      <c r="G309" s="258"/>
      <c r="H309" s="267"/>
      <c r="I309" s="267"/>
    </row>
    <row r="310" spans="1:9" ht="30" customHeight="1" x14ac:dyDescent="0.3">
      <c r="A310" s="168">
        <v>44521</v>
      </c>
      <c r="B310" s="3">
        <v>299</v>
      </c>
      <c r="D310" s="7">
        <v>76</v>
      </c>
      <c r="E310" s="7">
        <v>65.217391304347828</v>
      </c>
      <c r="F310" s="264"/>
      <c r="G310" s="258"/>
      <c r="H310" s="267"/>
      <c r="I310" s="267"/>
    </row>
    <row r="311" spans="1:9" ht="30" customHeight="1" x14ac:dyDescent="0.3">
      <c r="A311" s="169">
        <v>44522</v>
      </c>
      <c r="B311" s="4">
        <v>300</v>
      </c>
      <c r="C311" s="4"/>
      <c r="D311" s="8">
        <v>80</v>
      </c>
      <c r="E311" s="8">
        <v>80</v>
      </c>
      <c r="F311" s="264"/>
      <c r="G311" s="258"/>
      <c r="H311" s="267"/>
      <c r="I311" s="267"/>
    </row>
    <row r="312" spans="1:9" ht="30" customHeight="1" x14ac:dyDescent="0.3">
      <c r="A312" s="168">
        <v>44523</v>
      </c>
      <c r="B312" s="3">
        <v>301</v>
      </c>
      <c r="D312" s="7">
        <v>82</v>
      </c>
      <c r="E312" s="7">
        <v>88.888888888888886</v>
      </c>
      <c r="F312" s="264"/>
      <c r="G312" s="258"/>
      <c r="H312" s="267"/>
      <c r="I312" s="267"/>
    </row>
    <row r="313" spans="1:9" ht="30" customHeight="1" x14ac:dyDescent="0.3">
      <c r="A313" s="169">
        <v>44524</v>
      </c>
      <c r="B313" s="4">
        <v>302</v>
      </c>
      <c r="C313" s="4"/>
      <c r="D313" s="8">
        <v>82</v>
      </c>
      <c r="E313" s="8">
        <v>83.333333333333329</v>
      </c>
      <c r="F313" s="264"/>
      <c r="G313" s="258"/>
      <c r="H313" s="267"/>
      <c r="I313" s="267"/>
    </row>
    <row r="314" spans="1:9" ht="30" customHeight="1" x14ac:dyDescent="0.3">
      <c r="A314" s="168">
        <v>44525</v>
      </c>
      <c r="B314" s="3">
        <v>303</v>
      </c>
      <c r="D314" s="7">
        <v>87</v>
      </c>
      <c r="E314" s="7">
        <v>76.92307692307692</v>
      </c>
      <c r="F314" s="264"/>
      <c r="G314" s="258"/>
      <c r="H314" s="267"/>
      <c r="I314" s="267"/>
    </row>
    <row r="315" spans="1:9" ht="30" customHeight="1" x14ac:dyDescent="0.3">
      <c r="A315" s="169">
        <v>44526</v>
      </c>
      <c r="B315" s="4">
        <v>304</v>
      </c>
      <c r="C315" s="4"/>
      <c r="D315" s="8">
        <v>81</v>
      </c>
      <c r="E315" s="8">
        <v>94.736842105263165</v>
      </c>
      <c r="F315" s="264"/>
      <c r="G315" s="258"/>
      <c r="H315" s="267"/>
      <c r="I315" s="267"/>
    </row>
    <row r="316" spans="1:9" ht="30" customHeight="1" x14ac:dyDescent="0.3">
      <c r="A316" s="168">
        <v>44527</v>
      </c>
      <c r="B316" s="3">
        <v>305</v>
      </c>
      <c r="D316" s="7">
        <v>78</v>
      </c>
      <c r="E316" s="7">
        <v>80.952380952380949</v>
      </c>
      <c r="F316" s="264"/>
      <c r="G316" s="258"/>
      <c r="H316" s="267"/>
      <c r="I316" s="267"/>
    </row>
    <row r="317" spans="1:9" ht="30" customHeight="1" x14ac:dyDescent="0.3">
      <c r="A317" s="169">
        <v>44528</v>
      </c>
      <c r="B317" s="4">
        <v>306</v>
      </c>
      <c r="C317" s="4"/>
      <c r="D317" s="8">
        <v>83</v>
      </c>
      <c r="E317" s="8">
        <v>82.352941176470594</v>
      </c>
      <c r="F317" s="264"/>
      <c r="G317" s="258"/>
      <c r="H317" s="267"/>
      <c r="I317" s="267"/>
    </row>
    <row r="318" spans="1:9" ht="30" customHeight="1" x14ac:dyDescent="0.3">
      <c r="A318" s="168">
        <v>44530</v>
      </c>
      <c r="B318" s="3">
        <v>307</v>
      </c>
      <c r="D318" s="7">
        <v>75</v>
      </c>
      <c r="E318" s="7">
        <v>64</v>
      </c>
      <c r="F318" s="264"/>
      <c r="G318" s="258"/>
      <c r="H318" s="267"/>
      <c r="I318" s="267"/>
    </row>
    <row r="319" spans="1:9" ht="30" customHeight="1" x14ac:dyDescent="0.3">
      <c r="A319" s="169">
        <v>44531</v>
      </c>
      <c r="B319" s="4">
        <v>308</v>
      </c>
      <c r="C319" s="4"/>
      <c r="D319" s="8">
        <v>80</v>
      </c>
      <c r="E319" s="8">
        <v>70</v>
      </c>
      <c r="F319" s="264"/>
      <c r="G319" s="258"/>
      <c r="H319" s="267"/>
      <c r="I319" s="267"/>
    </row>
    <row r="320" spans="1:9" ht="30" customHeight="1" x14ac:dyDescent="0.3">
      <c r="A320" s="168">
        <v>44532</v>
      </c>
      <c r="B320" s="3">
        <v>309</v>
      </c>
      <c r="D320" s="7">
        <v>82</v>
      </c>
      <c r="E320" s="7">
        <v>61.111111111111114</v>
      </c>
      <c r="F320" s="264"/>
      <c r="G320" s="258"/>
      <c r="H320" s="267"/>
      <c r="I320" s="267"/>
    </row>
    <row r="321" spans="1:9" ht="30" customHeight="1" x14ac:dyDescent="0.3">
      <c r="A321" s="169">
        <v>44533</v>
      </c>
      <c r="B321" s="4">
        <v>310</v>
      </c>
      <c r="C321" s="4"/>
      <c r="D321" s="8">
        <v>85</v>
      </c>
      <c r="E321" s="8">
        <v>100</v>
      </c>
      <c r="F321" s="264"/>
      <c r="G321" s="258"/>
      <c r="H321" s="267"/>
      <c r="I321" s="267"/>
    </row>
    <row r="322" spans="1:9" ht="30" customHeight="1" x14ac:dyDescent="0.3">
      <c r="A322" s="168">
        <v>44534</v>
      </c>
      <c r="B322" s="3">
        <v>311</v>
      </c>
      <c r="D322" s="7">
        <v>82</v>
      </c>
      <c r="E322" s="7">
        <v>66.666666666666671</v>
      </c>
      <c r="F322" s="264"/>
      <c r="G322" s="258"/>
      <c r="H322" s="267"/>
      <c r="I322" s="267"/>
    </row>
    <row r="323" spans="1:9" ht="30" customHeight="1" x14ac:dyDescent="0.3">
      <c r="A323" s="169">
        <v>44535</v>
      </c>
      <c r="B323" s="4">
        <v>312</v>
      </c>
      <c r="C323" s="4"/>
      <c r="D323" s="8">
        <v>79</v>
      </c>
      <c r="E323" s="8">
        <v>76.19047619047619</v>
      </c>
      <c r="F323" s="264"/>
      <c r="G323" s="258"/>
      <c r="H323" s="267"/>
      <c r="I323" s="267"/>
    </row>
    <row r="324" spans="1:9" ht="30" customHeight="1" x14ac:dyDescent="0.3">
      <c r="A324" s="168">
        <v>44536</v>
      </c>
      <c r="B324" s="3">
        <v>313</v>
      </c>
      <c r="D324" s="7">
        <v>82</v>
      </c>
      <c r="E324" s="7">
        <v>81.25</v>
      </c>
      <c r="F324" s="264"/>
      <c r="G324" s="258"/>
      <c r="H324" s="267"/>
      <c r="I324" s="267"/>
    </row>
    <row r="325" spans="1:9" ht="30" customHeight="1" x14ac:dyDescent="0.3">
      <c r="A325" s="169">
        <v>44537</v>
      </c>
      <c r="B325" s="4">
        <v>314</v>
      </c>
      <c r="C325" s="4"/>
      <c r="D325" s="8">
        <v>80</v>
      </c>
      <c r="E325" s="8">
        <v>80</v>
      </c>
      <c r="F325" s="264"/>
      <c r="G325" s="258"/>
      <c r="H325" s="267"/>
      <c r="I325" s="267"/>
    </row>
    <row r="326" spans="1:9" ht="30" customHeight="1" x14ac:dyDescent="0.3">
      <c r="A326" s="168">
        <v>44538</v>
      </c>
      <c r="B326" s="3">
        <v>315</v>
      </c>
      <c r="D326" s="7">
        <v>84</v>
      </c>
      <c r="E326" s="7">
        <v>76.470588235294116</v>
      </c>
      <c r="F326" s="264"/>
      <c r="G326" s="258"/>
      <c r="H326" s="267"/>
      <c r="I326" s="267"/>
    </row>
    <row r="327" spans="1:9" ht="30" customHeight="1" x14ac:dyDescent="0.3">
      <c r="A327" s="169">
        <v>44539</v>
      </c>
      <c r="B327" s="4">
        <v>316</v>
      </c>
      <c r="C327" s="4"/>
      <c r="D327" s="8">
        <v>82</v>
      </c>
      <c r="E327" s="8">
        <v>77.777777777777771</v>
      </c>
      <c r="F327" s="264"/>
      <c r="G327" s="258"/>
      <c r="H327" s="267"/>
      <c r="I327" s="267"/>
    </row>
    <row r="328" spans="1:9" ht="30" customHeight="1" x14ac:dyDescent="0.3">
      <c r="A328" s="168">
        <v>44540</v>
      </c>
      <c r="B328" s="3">
        <v>317</v>
      </c>
      <c r="D328" s="7">
        <v>85</v>
      </c>
      <c r="E328" s="7">
        <v>73.333333333333329</v>
      </c>
      <c r="F328" s="264"/>
      <c r="G328" s="258"/>
      <c r="H328" s="267"/>
      <c r="I328" s="267"/>
    </row>
    <row r="329" spans="1:9" ht="30" customHeight="1" x14ac:dyDescent="0.3">
      <c r="A329" s="169">
        <v>44541</v>
      </c>
      <c r="B329" s="4">
        <v>318</v>
      </c>
      <c r="C329" s="4"/>
      <c r="D329" s="8">
        <v>81</v>
      </c>
      <c r="E329" s="8">
        <v>68.421052631578945</v>
      </c>
      <c r="F329" s="264"/>
      <c r="G329" s="258"/>
      <c r="H329" s="267"/>
      <c r="I329" s="267"/>
    </row>
    <row r="330" spans="1:9" ht="30" customHeight="1" x14ac:dyDescent="0.3">
      <c r="A330" s="168">
        <v>44542</v>
      </c>
      <c r="B330" s="3">
        <v>319</v>
      </c>
      <c r="D330" s="7">
        <v>79</v>
      </c>
      <c r="E330" s="7">
        <v>73.684210526315795</v>
      </c>
      <c r="F330" s="264"/>
      <c r="G330" s="258"/>
      <c r="H330" s="267"/>
      <c r="I330" s="267"/>
    </row>
    <row r="331" spans="1:9" ht="30" customHeight="1" x14ac:dyDescent="0.3">
      <c r="A331" s="169">
        <v>44543</v>
      </c>
      <c r="B331" s="4">
        <v>320</v>
      </c>
      <c r="C331" s="4"/>
      <c r="D331" s="8">
        <v>87</v>
      </c>
      <c r="E331" s="8">
        <v>100</v>
      </c>
      <c r="F331" s="264"/>
      <c r="G331" s="258"/>
      <c r="H331" s="267"/>
      <c r="I331" s="267"/>
    </row>
    <row r="332" spans="1:9" ht="30" customHeight="1" x14ac:dyDescent="0.3">
      <c r="A332" s="168">
        <v>44544</v>
      </c>
      <c r="B332" s="3">
        <v>321</v>
      </c>
      <c r="D332" s="7">
        <v>85</v>
      </c>
      <c r="E332" s="7">
        <v>69.230769230769226</v>
      </c>
      <c r="F332" s="264"/>
      <c r="G332" s="258"/>
      <c r="H332" s="267"/>
      <c r="I332" s="267"/>
    </row>
    <row r="333" spans="1:9" ht="30" customHeight="1" x14ac:dyDescent="0.3">
      <c r="A333" s="169">
        <v>44545</v>
      </c>
      <c r="B333" s="4">
        <v>322</v>
      </c>
      <c r="C333" s="4"/>
      <c r="D333" s="8">
        <v>73</v>
      </c>
      <c r="E333" s="8">
        <v>87.5</v>
      </c>
      <c r="F333" s="264"/>
      <c r="G333" s="258"/>
      <c r="H333" s="267"/>
      <c r="I333" s="267"/>
    </row>
    <row r="334" spans="1:9" ht="30" customHeight="1" x14ac:dyDescent="0.3">
      <c r="A334" s="168">
        <v>44546</v>
      </c>
      <c r="B334" s="3">
        <v>323</v>
      </c>
      <c r="D334" s="7">
        <v>81</v>
      </c>
      <c r="E334" s="7">
        <v>72.222222222222229</v>
      </c>
      <c r="F334" s="264"/>
      <c r="G334" s="258"/>
      <c r="H334" s="267"/>
      <c r="I334" s="267"/>
    </row>
    <row r="335" spans="1:9" ht="30" customHeight="1" x14ac:dyDescent="0.3">
      <c r="A335" s="169">
        <v>44547</v>
      </c>
      <c r="B335" s="4">
        <v>324</v>
      </c>
      <c r="C335" s="4"/>
      <c r="D335" s="8">
        <v>83</v>
      </c>
      <c r="E335" s="8">
        <v>76.470588235294116</v>
      </c>
      <c r="F335" s="264"/>
      <c r="G335" s="258"/>
      <c r="H335" s="267"/>
      <c r="I335" s="267"/>
    </row>
    <row r="336" spans="1:9" ht="30" customHeight="1" x14ac:dyDescent="0.3">
      <c r="A336" s="168">
        <v>44548</v>
      </c>
      <c r="B336" s="3">
        <v>325</v>
      </c>
      <c r="D336" s="7">
        <v>79</v>
      </c>
      <c r="E336" s="7">
        <v>71.428571428571431</v>
      </c>
      <c r="F336" s="264"/>
      <c r="G336" s="258"/>
      <c r="H336" s="267"/>
      <c r="I336" s="267"/>
    </row>
    <row r="337" spans="1:9" ht="30" customHeight="1" x14ac:dyDescent="0.3">
      <c r="A337" s="169">
        <v>44549</v>
      </c>
      <c r="B337" s="4">
        <v>326</v>
      </c>
      <c r="C337" s="4"/>
      <c r="D337" s="8">
        <v>75</v>
      </c>
      <c r="E337" s="8">
        <v>78.260869565217391</v>
      </c>
      <c r="F337" s="264"/>
      <c r="G337" s="258"/>
      <c r="H337" s="267"/>
      <c r="I337" s="267"/>
    </row>
    <row r="338" spans="1:9" ht="30" customHeight="1" x14ac:dyDescent="0.3">
      <c r="A338" s="168">
        <v>44550</v>
      </c>
      <c r="B338" s="3">
        <v>327</v>
      </c>
      <c r="D338" s="7">
        <v>83</v>
      </c>
      <c r="E338" s="7">
        <v>76.470588235294116</v>
      </c>
      <c r="F338" s="264"/>
      <c r="G338" s="258"/>
      <c r="H338" s="267"/>
      <c r="I338" s="267"/>
    </row>
    <row r="339" spans="1:9" ht="30" customHeight="1" x14ac:dyDescent="0.3">
      <c r="A339" s="169">
        <v>44551</v>
      </c>
      <c r="B339" s="4">
        <v>328</v>
      </c>
      <c r="C339" s="4"/>
      <c r="D339" s="8">
        <v>83</v>
      </c>
      <c r="E339" s="8">
        <v>70.588235294117652</v>
      </c>
      <c r="F339" s="264"/>
      <c r="G339" s="258"/>
      <c r="H339" s="267"/>
      <c r="I339" s="267"/>
    </row>
    <row r="340" spans="1:9" ht="30" customHeight="1" x14ac:dyDescent="0.3">
      <c r="A340" s="168">
        <v>44552</v>
      </c>
      <c r="B340" s="3">
        <v>329</v>
      </c>
      <c r="D340" s="7">
        <v>79</v>
      </c>
      <c r="E340" s="7">
        <v>72.727272727272734</v>
      </c>
      <c r="F340" s="264"/>
      <c r="G340" s="258"/>
      <c r="H340" s="267"/>
      <c r="I340" s="267"/>
    </row>
    <row r="341" spans="1:9" ht="30" customHeight="1" x14ac:dyDescent="0.3">
      <c r="A341" s="169">
        <v>44553</v>
      </c>
      <c r="B341" s="4">
        <v>330</v>
      </c>
      <c r="C341" s="4"/>
      <c r="D341" s="8">
        <v>80</v>
      </c>
      <c r="E341" s="8">
        <v>80</v>
      </c>
      <c r="F341" s="264"/>
      <c r="G341" s="258"/>
      <c r="H341" s="267"/>
      <c r="I341" s="267"/>
    </row>
    <row r="342" spans="1:9" ht="30" customHeight="1" x14ac:dyDescent="0.3">
      <c r="A342" s="168">
        <v>44554</v>
      </c>
      <c r="B342" s="3">
        <v>331</v>
      </c>
      <c r="D342" s="7">
        <v>88</v>
      </c>
      <c r="E342" s="7">
        <v>75</v>
      </c>
      <c r="F342" s="264"/>
      <c r="G342" s="258"/>
      <c r="H342" s="267"/>
      <c r="I342" s="267"/>
    </row>
    <row r="343" spans="1:9" ht="30" customHeight="1" x14ac:dyDescent="0.3">
      <c r="A343" s="169">
        <v>44555</v>
      </c>
      <c r="B343" s="4">
        <v>332</v>
      </c>
      <c r="C343" s="4"/>
      <c r="D343" s="8">
        <v>77</v>
      </c>
      <c r="E343" s="8">
        <v>78.260869565217391</v>
      </c>
      <c r="F343" s="264"/>
      <c r="G343" s="258"/>
      <c r="H343" s="267"/>
      <c r="I343" s="267"/>
    </row>
    <row r="344" spans="1:9" ht="30" customHeight="1" x14ac:dyDescent="0.3">
      <c r="A344" s="168">
        <v>44556</v>
      </c>
      <c r="B344" s="3">
        <v>333</v>
      </c>
      <c r="D344" s="7">
        <v>82</v>
      </c>
      <c r="E344" s="7">
        <v>77.777777777777771</v>
      </c>
      <c r="F344" s="264"/>
      <c r="G344" s="258"/>
      <c r="H344" s="267"/>
      <c r="I344" s="267"/>
    </row>
    <row r="345" spans="1:9" ht="30" customHeight="1" x14ac:dyDescent="0.3">
      <c r="A345" s="169">
        <v>44557</v>
      </c>
      <c r="B345" s="4">
        <v>334</v>
      </c>
      <c r="C345" s="4"/>
      <c r="D345" s="8">
        <v>89</v>
      </c>
      <c r="E345" s="8">
        <v>72.727272727272734</v>
      </c>
      <c r="F345" s="264"/>
      <c r="G345" s="258"/>
      <c r="H345" s="267"/>
      <c r="I345" s="267"/>
    </row>
    <row r="346" spans="1:9" ht="30" customHeight="1" x14ac:dyDescent="0.3">
      <c r="A346" s="168">
        <v>44558</v>
      </c>
      <c r="B346" s="3">
        <v>335</v>
      </c>
      <c r="D346" s="7">
        <v>84</v>
      </c>
      <c r="E346" s="7">
        <v>68.75</v>
      </c>
      <c r="F346" s="264"/>
      <c r="G346" s="258"/>
      <c r="H346" s="267"/>
      <c r="I346" s="267"/>
    </row>
    <row r="347" spans="1:9" ht="30" customHeight="1" x14ac:dyDescent="0.3">
      <c r="A347" s="169">
        <v>44559</v>
      </c>
      <c r="B347" s="4">
        <v>336</v>
      </c>
      <c r="C347" s="4"/>
      <c r="D347" s="8">
        <v>84</v>
      </c>
      <c r="E347" s="8">
        <v>80</v>
      </c>
      <c r="F347" s="264"/>
      <c r="G347" s="258"/>
      <c r="H347" s="267"/>
      <c r="I347" s="267"/>
    </row>
    <row r="348" spans="1:9" ht="30" customHeight="1" x14ac:dyDescent="0.3">
      <c r="A348" s="168">
        <v>44560</v>
      </c>
      <c r="B348" s="3">
        <v>337</v>
      </c>
      <c r="D348" s="7">
        <v>75</v>
      </c>
      <c r="E348" s="7">
        <v>75</v>
      </c>
      <c r="F348" s="264"/>
      <c r="G348" s="258"/>
      <c r="H348" s="267"/>
      <c r="I348" s="267"/>
    </row>
    <row r="349" spans="1:9" ht="30" customHeight="1" x14ac:dyDescent="0.3">
      <c r="A349" s="169">
        <v>44561</v>
      </c>
      <c r="B349" s="4">
        <v>338</v>
      </c>
      <c r="C349" s="4"/>
      <c r="D349" s="8">
        <v>84</v>
      </c>
      <c r="E349" s="8">
        <v>75</v>
      </c>
      <c r="F349" s="264"/>
      <c r="G349" s="258"/>
      <c r="H349" s="267"/>
      <c r="I349" s="267"/>
    </row>
    <row r="350" spans="1:9" ht="30" customHeight="1" x14ac:dyDescent="0.3">
      <c r="A350" s="168">
        <v>44562</v>
      </c>
      <c r="B350" s="3">
        <v>339</v>
      </c>
      <c r="D350" s="7">
        <v>87</v>
      </c>
      <c r="E350" s="7">
        <v>61.53846153846154</v>
      </c>
      <c r="F350" s="264"/>
      <c r="G350" s="258"/>
      <c r="H350" s="267"/>
      <c r="I350" s="267"/>
    </row>
    <row r="351" spans="1:9" ht="30" customHeight="1" x14ac:dyDescent="0.3">
      <c r="A351" s="169">
        <v>44563</v>
      </c>
      <c r="B351" s="4">
        <v>340</v>
      </c>
      <c r="C351" s="4"/>
      <c r="D351" s="8">
        <v>81</v>
      </c>
      <c r="E351" s="8">
        <v>84.21052631578948</v>
      </c>
      <c r="F351" s="264"/>
      <c r="G351" s="258"/>
      <c r="H351" s="267"/>
      <c r="I351" s="267"/>
    </row>
    <row r="352" spans="1:9" ht="30" customHeight="1" x14ac:dyDescent="0.3">
      <c r="A352" s="168">
        <v>44564</v>
      </c>
      <c r="B352" s="3">
        <v>341</v>
      </c>
      <c r="D352" s="7">
        <v>79</v>
      </c>
      <c r="E352" s="7">
        <v>85.714285714285708</v>
      </c>
      <c r="F352" s="264"/>
      <c r="G352" s="258"/>
      <c r="H352" s="267"/>
      <c r="I352" s="267"/>
    </row>
    <row r="353" spans="1:9" ht="30" customHeight="1" x14ac:dyDescent="0.3">
      <c r="A353" s="169">
        <v>44565</v>
      </c>
      <c r="B353" s="4">
        <v>342</v>
      </c>
      <c r="C353" s="4"/>
      <c r="D353" s="8">
        <v>90</v>
      </c>
      <c r="E353" s="8">
        <v>77.777777777777771</v>
      </c>
      <c r="F353" s="264"/>
      <c r="G353" s="258"/>
      <c r="H353" s="267"/>
      <c r="I353" s="267"/>
    </row>
    <row r="354" spans="1:9" ht="30" customHeight="1" x14ac:dyDescent="0.3">
      <c r="A354" s="168">
        <v>44566</v>
      </c>
      <c r="B354" s="3">
        <v>343</v>
      </c>
      <c r="D354" s="7">
        <v>89</v>
      </c>
      <c r="E354" s="7">
        <v>70</v>
      </c>
      <c r="F354" s="264"/>
      <c r="G354" s="258"/>
      <c r="H354" s="267"/>
      <c r="I354" s="267"/>
    </row>
    <row r="355" spans="1:9" ht="30" customHeight="1" x14ac:dyDescent="0.3">
      <c r="A355" s="169">
        <v>44567</v>
      </c>
      <c r="B355" s="4">
        <v>344</v>
      </c>
      <c r="C355" s="4"/>
      <c r="D355" s="8">
        <v>82</v>
      </c>
      <c r="E355" s="8">
        <v>68</v>
      </c>
      <c r="F355" s="264"/>
      <c r="G355" s="258"/>
      <c r="H355" s="267"/>
      <c r="I355" s="267"/>
    </row>
    <row r="356" spans="1:9" ht="30" customHeight="1" x14ac:dyDescent="0.3">
      <c r="A356" s="168">
        <v>44568</v>
      </c>
      <c r="B356" s="3">
        <v>345</v>
      </c>
      <c r="D356" s="7">
        <v>80</v>
      </c>
      <c r="E356" s="7">
        <v>84.21052631578948</v>
      </c>
      <c r="F356" s="264"/>
      <c r="G356" s="258"/>
      <c r="H356" s="267"/>
      <c r="I356" s="267"/>
    </row>
    <row r="357" spans="1:9" ht="30" customHeight="1" x14ac:dyDescent="0.3">
      <c r="A357" s="169">
        <v>44569</v>
      </c>
      <c r="B357" s="4">
        <v>346</v>
      </c>
      <c r="C357" s="4"/>
      <c r="D357" s="8">
        <v>80</v>
      </c>
      <c r="E357" s="8">
        <v>52.631578947368425</v>
      </c>
      <c r="F357" s="264"/>
      <c r="G357" s="258"/>
      <c r="H357" s="267"/>
      <c r="I357" s="267"/>
    </row>
    <row r="358" spans="1:9" ht="30" customHeight="1" x14ac:dyDescent="0.3">
      <c r="A358" s="168">
        <v>44570</v>
      </c>
      <c r="B358" s="3">
        <v>347</v>
      </c>
      <c r="D358" s="7">
        <v>79</v>
      </c>
      <c r="E358" s="7">
        <v>80</v>
      </c>
      <c r="F358" s="264"/>
      <c r="G358" s="258"/>
      <c r="H358" s="267"/>
      <c r="I358" s="267"/>
    </row>
    <row r="359" spans="1:9" ht="30" customHeight="1" x14ac:dyDescent="0.3">
      <c r="A359" s="169">
        <v>44571</v>
      </c>
      <c r="B359" s="4">
        <v>348</v>
      </c>
      <c r="C359" s="4"/>
      <c r="D359" s="8">
        <v>84</v>
      </c>
      <c r="E359" s="8">
        <v>80</v>
      </c>
      <c r="F359" s="264"/>
      <c r="G359" s="258"/>
      <c r="H359" s="267"/>
      <c r="I359" s="267"/>
    </row>
    <row r="360" spans="1:9" ht="30" customHeight="1" x14ac:dyDescent="0.3">
      <c r="A360" s="168">
        <v>44572</v>
      </c>
      <c r="B360" s="3">
        <v>349</v>
      </c>
      <c r="D360" s="7">
        <v>84</v>
      </c>
      <c r="E360" s="7">
        <v>85.714285714285722</v>
      </c>
      <c r="F360" s="264"/>
      <c r="G360" s="258"/>
      <c r="H360" s="267"/>
      <c r="I360" s="267"/>
    </row>
    <row r="361" spans="1:9" ht="30" customHeight="1" x14ac:dyDescent="0.3">
      <c r="A361" s="169">
        <v>44573</v>
      </c>
      <c r="B361" s="4">
        <v>350</v>
      </c>
      <c r="C361" s="4"/>
      <c r="D361" s="8">
        <v>80</v>
      </c>
      <c r="E361" s="8">
        <v>90</v>
      </c>
      <c r="F361" s="264"/>
      <c r="G361" s="258"/>
      <c r="H361" s="267"/>
      <c r="I361" s="267"/>
    </row>
    <row r="362" spans="1:9" ht="30" customHeight="1" x14ac:dyDescent="0.3">
      <c r="A362" s="168">
        <v>44574</v>
      </c>
      <c r="B362" s="3">
        <v>351</v>
      </c>
      <c r="D362" s="7">
        <v>87</v>
      </c>
      <c r="E362" s="7">
        <v>81.818181818181813</v>
      </c>
      <c r="F362" s="264"/>
      <c r="G362" s="258"/>
      <c r="H362" s="267"/>
      <c r="I362" s="267"/>
    </row>
    <row r="363" spans="1:9" ht="30" customHeight="1" x14ac:dyDescent="0.3">
      <c r="A363" s="169">
        <v>44575</v>
      </c>
      <c r="B363" s="4">
        <v>352</v>
      </c>
      <c r="C363" s="4"/>
      <c r="D363" s="8">
        <v>83</v>
      </c>
      <c r="E363" s="8">
        <v>76.470588235294116</v>
      </c>
      <c r="F363" s="264"/>
      <c r="G363" s="258"/>
      <c r="H363" s="267"/>
      <c r="I363" s="267"/>
    </row>
    <row r="364" spans="1:9" ht="30" customHeight="1" x14ac:dyDescent="0.3">
      <c r="A364" s="168">
        <v>44577</v>
      </c>
      <c r="B364" s="3">
        <v>353</v>
      </c>
      <c r="D364" s="7">
        <v>84</v>
      </c>
      <c r="E364" s="7">
        <v>75</v>
      </c>
      <c r="F364" s="264"/>
      <c r="G364" s="258"/>
      <c r="H364" s="267"/>
      <c r="I364" s="267"/>
    </row>
    <row r="365" spans="1:9" ht="30" customHeight="1" x14ac:dyDescent="0.3">
      <c r="A365" s="169">
        <v>44578</v>
      </c>
      <c r="B365" s="4">
        <v>354</v>
      </c>
      <c r="C365" s="4"/>
      <c r="D365" s="8">
        <v>80</v>
      </c>
      <c r="E365" s="8">
        <v>90</v>
      </c>
      <c r="F365" s="264"/>
      <c r="G365" s="258"/>
      <c r="H365" s="267"/>
      <c r="I365" s="267"/>
    </row>
    <row r="366" spans="1:9" ht="30" customHeight="1" x14ac:dyDescent="0.3">
      <c r="A366" s="168">
        <v>44579</v>
      </c>
      <c r="B366" s="3">
        <v>355</v>
      </c>
      <c r="D366" s="7">
        <v>81</v>
      </c>
      <c r="E366" s="7">
        <v>84.21052631578948</v>
      </c>
      <c r="F366" s="264"/>
      <c r="G366" s="258"/>
      <c r="H366" s="267"/>
      <c r="I366" s="267"/>
    </row>
    <row r="367" spans="1:9" ht="30" customHeight="1" x14ac:dyDescent="0.3">
      <c r="A367" s="169">
        <v>44580</v>
      </c>
      <c r="B367" s="4">
        <v>356</v>
      </c>
      <c r="C367" s="4"/>
      <c r="D367" s="8">
        <v>84</v>
      </c>
      <c r="E367" s="8">
        <v>81.25</v>
      </c>
      <c r="F367" s="264"/>
      <c r="G367" s="258"/>
      <c r="H367" s="267"/>
      <c r="I367" s="267"/>
    </row>
    <row r="368" spans="1:9" ht="30" customHeight="1" x14ac:dyDescent="0.3">
      <c r="A368" s="168">
        <v>44581</v>
      </c>
      <c r="B368" s="3">
        <v>357</v>
      </c>
      <c r="D368" s="7">
        <v>84</v>
      </c>
      <c r="E368" s="7">
        <v>81.25</v>
      </c>
      <c r="F368" s="264"/>
      <c r="G368" s="258"/>
      <c r="H368" s="267"/>
      <c r="I368" s="267"/>
    </row>
    <row r="369" spans="1:9" ht="30" customHeight="1" x14ac:dyDescent="0.3">
      <c r="A369" s="169">
        <v>44582</v>
      </c>
      <c r="B369" s="4">
        <v>358</v>
      </c>
      <c r="C369" s="4"/>
      <c r="D369" s="8">
        <v>75</v>
      </c>
      <c r="E369" s="8">
        <v>86.956521739130437</v>
      </c>
      <c r="F369" s="264"/>
      <c r="G369" s="258"/>
      <c r="H369" s="267"/>
      <c r="I369" s="267"/>
    </row>
    <row r="370" spans="1:9" ht="30" customHeight="1" x14ac:dyDescent="0.3">
      <c r="A370" s="168">
        <v>44583</v>
      </c>
      <c r="B370" s="3">
        <v>359</v>
      </c>
      <c r="D370" s="7">
        <v>83</v>
      </c>
      <c r="E370" s="7">
        <v>85.714285714285722</v>
      </c>
      <c r="F370" s="264"/>
      <c r="G370" s="258"/>
      <c r="H370" s="267"/>
      <c r="I370" s="267"/>
    </row>
    <row r="371" spans="1:9" ht="30" customHeight="1" x14ac:dyDescent="0.3">
      <c r="A371" s="169">
        <v>44584</v>
      </c>
      <c r="B371" s="4">
        <v>360</v>
      </c>
      <c r="C371" s="4"/>
      <c r="D371" s="8">
        <v>77</v>
      </c>
      <c r="E371" s="8">
        <v>72.727272727272734</v>
      </c>
      <c r="F371" s="264"/>
      <c r="G371" s="258"/>
      <c r="H371" s="267"/>
      <c r="I371" s="267"/>
    </row>
    <row r="372" spans="1:9" ht="30" customHeight="1" x14ac:dyDescent="0.3">
      <c r="A372" s="168">
        <v>44585</v>
      </c>
      <c r="B372" s="3">
        <v>361</v>
      </c>
      <c r="D372" s="7">
        <v>79</v>
      </c>
      <c r="E372" s="7">
        <v>84</v>
      </c>
      <c r="F372" s="264"/>
      <c r="G372" s="258"/>
      <c r="H372" s="267"/>
      <c r="I372" s="267"/>
    </row>
    <row r="373" spans="1:9" ht="30" customHeight="1" x14ac:dyDescent="0.3">
      <c r="A373" s="169">
        <v>44586</v>
      </c>
      <c r="B373" s="4">
        <v>362</v>
      </c>
      <c r="C373" s="4"/>
      <c r="D373" s="8">
        <v>83</v>
      </c>
      <c r="E373" s="8">
        <v>68.75</v>
      </c>
      <c r="F373" s="264"/>
      <c r="G373" s="258"/>
      <c r="H373" s="267"/>
      <c r="I373" s="267"/>
    </row>
    <row r="374" spans="1:9" ht="30" customHeight="1" x14ac:dyDescent="0.3">
      <c r="A374" s="168">
        <v>44587</v>
      </c>
      <c r="B374" s="3">
        <v>363</v>
      </c>
      <c r="D374" s="7">
        <v>87</v>
      </c>
      <c r="E374" s="7">
        <v>100</v>
      </c>
      <c r="F374" s="264"/>
      <c r="G374" s="258"/>
      <c r="H374" s="267"/>
      <c r="I374" s="267"/>
    </row>
    <row r="375" spans="1:9" ht="30" customHeight="1" x14ac:dyDescent="0.3">
      <c r="A375" s="169">
        <v>44588</v>
      </c>
      <c r="B375" s="4">
        <v>364</v>
      </c>
      <c r="C375" s="4"/>
      <c r="D375" s="8">
        <v>85</v>
      </c>
      <c r="E375" s="8">
        <v>85.714285714285722</v>
      </c>
      <c r="F375" s="264"/>
      <c r="G375" s="258"/>
      <c r="H375" s="267"/>
      <c r="I375" s="267"/>
    </row>
    <row r="376" spans="1:9" ht="30" customHeight="1" x14ac:dyDescent="0.3">
      <c r="A376" s="168">
        <v>44589</v>
      </c>
      <c r="B376" s="3">
        <v>365</v>
      </c>
      <c r="D376" s="7">
        <v>83</v>
      </c>
      <c r="E376" s="7">
        <v>76.470588235294116</v>
      </c>
      <c r="F376" s="264"/>
      <c r="G376" s="258"/>
      <c r="H376" s="267"/>
      <c r="I376" s="267"/>
    </row>
    <row r="377" spans="1:9" ht="30" customHeight="1" x14ac:dyDescent="0.3">
      <c r="A377" s="169">
        <v>44590</v>
      </c>
      <c r="B377" s="4">
        <v>366</v>
      </c>
      <c r="C377" s="4"/>
      <c r="D377" s="8">
        <v>85</v>
      </c>
      <c r="E377" s="8">
        <v>78.571428571428569</v>
      </c>
      <c r="F377" s="264"/>
      <c r="G377" s="258"/>
      <c r="H377" s="267"/>
      <c r="I377" s="267"/>
    </row>
    <row r="378" spans="1:9" ht="30" customHeight="1" x14ac:dyDescent="0.3">
      <c r="A378" s="168">
        <v>44591</v>
      </c>
      <c r="B378" s="3">
        <v>367</v>
      </c>
      <c r="D378" s="7">
        <v>87</v>
      </c>
      <c r="E378" s="7">
        <v>83.333333333333343</v>
      </c>
      <c r="F378" s="264"/>
      <c r="G378" s="258"/>
      <c r="H378" s="267"/>
      <c r="I378" s="267"/>
    </row>
    <row r="379" spans="1:9" ht="30" customHeight="1" x14ac:dyDescent="0.3">
      <c r="A379" s="169">
        <v>44592</v>
      </c>
      <c r="B379" s="4">
        <v>368</v>
      </c>
      <c r="C379" s="4"/>
      <c r="D379" s="8">
        <v>84</v>
      </c>
      <c r="E379" s="8">
        <v>81.25</v>
      </c>
      <c r="F379" s="264"/>
      <c r="G379" s="258"/>
      <c r="H379" s="267"/>
      <c r="I379" s="267"/>
    </row>
    <row r="380" spans="1:9" ht="30" customHeight="1" x14ac:dyDescent="0.3">
      <c r="A380" s="168">
        <v>44593</v>
      </c>
      <c r="B380" s="3">
        <v>369</v>
      </c>
      <c r="D380" s="7">
        <v>83</v>
      </c>
      <c r="E380" s="7">
        <v>87.5</v>
      </c>
      <c r="F380" s="264"/>
      <c r="G380" s="258"/>
      <c r="H380" s="267"/>
      <c r="I380" s="267"/>
    </row>
    <row r="381" spans="1:9" ht="30" customHeight="1" x14ac:dyDescent="0.3">
      <c r="A381" s="169">
        <v>44594</v>
      </c>
      <c r="B381" s="4">
        <v>370</v>
      </c>
      <c r="C381" s="4"/>
      <c r="D381" s="8">
        <v>82</v>
      </c>
      <c r="E381" s="8">
        <v>94.444444444444443</v>
      </c>
      <c r="F381" s="264"/>
      <c r="G381" s="258"/>
      <c r="H381" s="267"/>
      <c r="I381" s="267"/>
    </row>
    <row r="382" spans="1:9" ht="30" customHeight="1" x14ac:dyDescent="0.3">
      <c r="A382" s="168">
        <v>44595</v>
      </c>
      <c r="B382" s="3">
        <v>371</v>
      </c>
      <c r="D382" s="7">
        <v>92</v>
      </c>
      <c r="E382" s="7">
        <v>100</v>
      </c>
      <c r="F382" s="264"/>
      <c r="G382" s="258"/>
      <c r="H382" s="267"/>
      <c r="I382" s="267"/>
    </row>
    <row r="383" spans="1:9" ht="30" customHeight="1" x14ac:dyDescent="0.3">
      <c r="A383" s="169">
        <v>44596</v>
      </c>
      <c r="B383" s="4">
        <v>372</v>
      </c>
      <c r="C383" s="4"/>
      <c r="D383" s="8">
        <v>86</v>
      </c>
      <c r="E383" s="8">
        <v>71.428571428571431</v>
      </c>
      <c r="F383" s="264"/>
      <c r="G383" s="258"/>
      <c r="H383" s="267"/>
      <c r="I383" s="267"/>
    </row>
    <row r="384" spans="1:9" ht="30" customHeight="1" x14ac:dyDescent="0.3">
      <c r="A384" s="168">
        <v>44597</v>
      </c>
      <c r="B384" s="3">
        <v>373</v>
      </c>
      <c r="D384" s="7">
        <v>86</v>
      </c>
      <c r="E384" s="7">
        <v>69.230769230769226</v>
      </c>
      <c r="F384" s="264"/>
      <c r="G384" s="258"/>
      <c r="H384" s="267"/>
      <c r="I384" s="267"/>
    </row>
    <row r="385" spans="1:9" ht="30" customHeight="1" x14ac:dyDescent="0.3">
      <c r="A385" s="169">
        <v>44598</v>
      </c>
      <c r="B385" s="4">
        <v>374</v>
      </c>
      <c r="C385" s="4"/>
      <c r="D385" s="8">
        <v>84</v>
      </c>
      <c r="E385" s="8">
        <v>81.25</v>
      </c>
      <c r="F385" s="264"/>
      <c r="G385" s="258"/>
      <c r="H385" s="267"/>
      <c r="I385" s="267"/>
    </row>
    <row r="386" spans="1:9" ht="30" customHeight="1" x14ac:dyDescent="0.3">
      <c r="A386" s="168">
        <v>44599</v>
      </c>
      <c r="B386" s="3">
        <v>375</v>
      </c>
      <c r="D386" s="7">
        <v>86</v>
      </c>
      <c r="E386" s="7">
        <v>92.307692307692307</v>
      </c>
      <c r="F386" s="264"/>
      <c r="G386" s="258"/>
      <c r="H386" s="267"/>
      <c r="I386" s="267"/>
    </row>
    <row r="387" spans="1:9" ht="30" customHeight="1" x14ac:dyDescent="0.3">
      <c r="A387" s="169">
        <v>44600</v>
      </c>
      <c r="B387" s="4">
        <v>376</v>
      </c>
      <c r="C387" s="4"/>
      <c r="D387" s="8">
        <v>76</v>
      </c>
      <c r="E387" s="8">
        <v>73.913043478260875</v>
      </c>
      <c r="F387" s="264"/>
      <c r="G387" s="258"/>
      <c r="H387" s="267"/>
      <c r="I387" s="267"/>
    </row>
    <row r="388" spans="1:9" ht="30" customHeight="1" x14ac:dyDescent="0.3">
      <c r="A388" s="168">
        <v>44601</v>
      </c>
      <c r="B388" s="3">
        <v>377</v>
      </c>
      <c r="D388" s="7">
        <v>90</v>
      </c>
      <c r="E388" s="7">
        <v>100</v>
      </c>
      <c r="F388" s="264"/>
      <c r="G388" s="258"/>
      <c r="H388" s="267"/>
      <c r="I388" s="267"/>
    </row>
    <row r="389" spans="1:9" ht="30" customHeight="1" x14ac:dyDescent="0.3">
      <c r="A389" s="169">
        <v>44602</v>
      </c>
      <c r="B389" s="4">
        <v>378</v>
      </c>
      <c r="C389" s="4"/>
      <c r="D389" s="8">
        <v>88</v>
      </c>
      <c r="E389" s="8">
        <v>83.333333333333343</v>
      </c>
      <c r="F389" s="264"/>
      <c r="G389" s="258"/>
      <c r="H389" s="267"/>
      <c r="I389" s="267"/>
    </row>
    <row r="390" spans="1:9" ht="30" customHeight="1" x14ac:dyDescent="0.3">
      <c r="A390" s="168">
        <v>44603</v>
      </c>
      <c r="B390" s="3">
        <v>379</v>
      </c>
      <c r="D390" s="7">
        <v>80</v>
      </c>
      <c r="E390" s="7">
        <v>87.5</v>
      </c>
      <c r="F390" s="264"/>
      <c r="G390" s="258"/>
      <c r="H390" s="267"/>
      <c r="I390" s="267"/>
    </row>
    <row r="391" spans="1:9" ht="30" customHeight="1" x14ac:dyDescent="0.3">
      <c r="A391" s="169">
        <v>44604</v>
      </c>
      <c r="B391" s="4">
        <v>380</v>
      </c>
      <c r="C391" s="4"/>
      <c r="D391" s="8">
        <v>82</v>
      </c>
      <c r="E391" s="8">
        <v>82.35294117647058</v>
      </c>
      <c r="F391" s="264"/>
      <c r="G391" s="258"/>
      <c r="H391" s="267"/>
      <c r="I391" s="267"/>
    </row>
    <row r="392" spans="1:9" ht="30" customHeight="1" x14ac:dyDescent="0.3">
      <c r="A392" s="168">
        <v>44605</v>
      </c>
      <c r="B392" s="3">
        <v>381</v>
      </c>
      <c r="D392" s="7">
        <v>81</v>
      </c>
      <c r="E392" s="7">
        <v>81.25</v>
      </c>
      <c r="F392" s="264"/>
      <c r="G392" s="258"/>
      <c r="H392" s="267"/>
      <c r="I392" s="267"/>
    </row>
    <row r="393" spans="1:9" ht="30" customHeight="1" x14ac:dyDescent="0.3">
      <c r="A393" s="169">
        <v>44606</v>
      </c>
      <c r="B393" s="4">
        <v>382</v>
      </c>
      <c r="C393" s="4"/>
      <c r="D393" s="8">
        <v>88</v>
      </c>
      <c r="E393" s="8">
        <v>75</v>
      </c>
      <c r="F393" s="264"/>
      <c r="G393" s="258"/>
      <c r="H393" s="267"/>
      <c r="I393" s="267"/>
    </row>
    <row r="394" spans="1:9" ht="30" customHeight="1" x14ac:dyDescent="0.3">
      <c r="A394" s="168">
        <v>44607</v>
      </c>
      <c r="B394" s="3">
        <v>383</v>
      </c>
      <c r="D394" s="7">
        <v>82</v>
      </c>
      <c r="E394" s="7">
        <v>76.470588235294116</v>
      </c>
      <c r="F394" s="264"/>
      <c r="G394" s="258"/>
      <c r="H394" s="267"/>
      <c r="I394" s="267"/>
    </row>
    <row r="395" spans="1:9" ht="30" customHeight="1" x14ac:dyDescent="0.3">
      <c r="A395" s="169">
        <v>44608</v>
      </c>
      <c r="B395" s="4">
        <v>384</v>
      </c>
      <c r="C395" s="4"/>
      <c r="D395" s="8">
        <v>83</v>
      </c>
      <c r="E395" s="8">
        <v>93.75</v>
      </c>
      <c r="F395" s="264"/>
      <c r="G395" s="258"/>
      <c r="H395" s="267"/>
      <c r="I395" s="267"/>
    </row>
    <row r="396" spans="1:9" ht="30" customHeight="1" x14ac:dyDescent="0.3">
      <c r="A396" s="168">
        <v>44609</v>
      </c>
      <c r="B396" s="3">
        <v>385</v>
      </c>
      <c r="D396" s="7">
        <v>80</v>
      </c>
      <c r="E396" s="7">
        <v>84</v>
      </c>
      <c r="F396" s="264"/>
      <c r="G396" s="258"/>
      <c r="H396" s="267"/>
      <c r="I396" s="267"/>
    </row>
    <row r="397" spans="1:9" ht="30" customHeight="1" x14ac:dyDescent="0.3">
      <c r="A397" s="169">
        <v>44610</v>
      </c>
      <c r="B397" s="4">
        <v>386</v>
      </c>
      <c r="C397" s="4"/>
      <c r="D397" s="8">
        <v>87</v>
      </c>
      <c r="E397" s="8">
        <v>85.714285714285722</v>
      </c>
      <c r="F397" s="264"/>
      <c r="G397" s="258"/>
      <c r="H397" s="267"/>
      <c r="I397" s="267"/>
    </row>
    <row r="398" spans="1:9" ht="30" customHeight="1" x14ac:dyDescent="0.3">
      <c r="A398" s="168">
        <v>44612</v>
      </c>
      <c r="B398" s="3">
        <v>387</v>
      </c>
      <c r="D398" s="7">
        <v>80</v>
      </c>
      <c r="E398" s="7">
        <v>55.555555555555557</v>
      </c>
      <c r="F398" s="264"/>
      <c r="G398" s="258"/>
      <c r="H398" s="267"/>
      <c r="I398" s="267"/>
    </row>
    <row r="399" spans="1:9" ht="30" customHeight="1" x14ac:dyDescent="0.3">
      <c r="A399" s="169">
        <v>44613</v>
      </c>
      <c r="B399" s="4">
        <v>388</v>
      </c>
      <c r="C399" s="4"/>
      <c r="D399" s="8">
        <v>81</v>
      </c>
      <c r="E399" s="8">
        <v>78.94736842105263</v>
      </c>
      <c r="F399" s="264"/>
      <c r="G399" s="258"/>
      <c r="H399" s="267"/>
      <c r="I399" s="267"/>
    </row>
    <row r="400" spans="1:9" ht="30" customHeight="1" x14ac:dyDescent="0.3">
      <c r="A400" s="168">
        <v>44614</v>
      </c>
      <c r="B400" s="3">
        <v>389</v>
      </c>
      <c r="D400" s="7">
        <v>74</v>
      </c>
      <c r="E400" s="7">
        <v>88.461538461538467</v>
      </c>
      <c r="F400" s="264"/>
      <c r="G400" s="258"/>
      <c r="H400" s="267"/>
      <c r="I400" s="267"/>
    </row>
    <row r="401" spans="1:9" ht="30" customHeight="1" x14ac:dyDescent="0.3">
      <c r="A401" s="169">
        <v>44615</v>
      </c>
      <c r="B401" s="4">
        <v>390</v>
      </c>
      <c r="C401" s="4"/>
      <c r="D401" s="8">
        <v>82</v>
      </c>
      <c r="E401" s="8">
        <v>76.470588235294116</v>
      </c>
      <c r="F401" s="264"/>
      <c r="G401" s="258"/>
      <c r="H401" s="267"/>
      <c r="I401" s="267"/>
    </row>
    <row r="402" spans="1:9" ht="30" customHeight="1" x14ac:dyDescent="0.3">
      <c r="A402" s="168">
        <v>44616</v>
      </c>
      <c r="B402" s="3">
        <v>391</v>
      </c>
      <c r="D402" s="7">
        <v>80</v>
      </c>
      <c r="E402" s="7">
        <v>94.736842105263165</v>
      </c>
      <c r="F402" s="264"/>
      <c r="G402" s="258"/>
      <c r="H402" s="267"/>
      <c r="I402" s="267"/>
    </row>
    <row r="403" spans="1:9" ht="30" customHeight="1" x14ac:dyDescent="0.3">
      <c r="A403" s="169">
        <v>44620</v>
      </c>
      <c r="B403" s="4">
        <v>392</v>
      </c>
      <c r="C403" s="4"/>
      <c r="D403" s="8">
        <v>79</v>
      </c>
      <c r="E403" s="8">
        <v>78.94736842105263</v>
      </c>
      <c r="F403" s="264"/>
      <c r="G403" s="258"/>
      <c r="H403" s="267"/>
      <c r="I403" s="267"/>
    </row>
    <row r="404" spans="1:9" ht="30" customHeight="1" x14ac:dyDescent="0.3">
      <c r="A404" s="168">
        <v>44621</v>
      </c>
      <c r="B404" s="3">
        <v>393</v>
      </c>
      <c r="D404" s="7">
        <v>87</v>
      </c>
      <c r="E404" s="7">
        <v>84.615384615384613</v>
      </c>
      <c r="F404" s="264"/>
      <c r="G404" s="258"/>
      <c r="H404" s="267"/>
      <c r="I404" s="267"/>
    </row>
    <row r="405" spans="1:9" ht="30" customHeight="1" x14ac:dyDescent="0.3">
      <c r="A405" s="169">
        <v>44622</v>
      </c>
      <c r="B405" s="4">
        <v>394</v>
      </c>
      <c r="C405" s="4"/>
      <c r="D405" s="8">
        <v>86</v>
      </c>
      <c r="E405" s="8">
        <v>84.615384615384613</v>
      </c>
      <c r="F405" s="264"/>
      <c r="G405" s="258"/>
      <c r="H405" s="267"/>
      <c r="I405" s="267"/>
    </row>
    <row r="406" spans="1:9" ht="30" customHeight="1" x14ac:dyDescent="0.3">
      <c r="A406" s="168">
        <v>44623</v>
      </c>
      <c r="B406" s="3">
        <v>395</v>
      </c>
      <c r="D406" s="7">
        <v>88</v>
      </c>
      <c r="E406" s="7">
        <v>83.333333333333343</v>
      </c>
      <c r="F406" s="264"/>
      <c r="G406" s="258"/>
      <c r="H406" s="267"/>
      <c r="I406" s="267"/>
    </row>
    <row r="407" spans="1:9" ht="30" customHeight="1" x14ac:dyDescent="0.3">
      <c r="A407" s="169">
        <v>44624</v>
      </c>
      <c r="B407" s="4">
        <v>396</v>
      </c>
      <c r="C407" s="4"/>
      <c r="D407" s="8">
        <v>82</v>
      </c>
      <c r="E407" s="8">
        <v>66.666666666666671</v>
      </c>
      <c r="F407" s="264"/>
      <c r="G407" s="258"/>
      <c r="H407" s="267"/>
      <c r="I407" s="267"/>
    </row>
    <row r="408" spans="1:9" ht="30" customHeight="1" x14ac:dyDescent="0.3">
      <c r="A408" s="168">
        <v>44625</v>
      </c>
      <c r="B408" s="3">
        <v>397</v>
      </c>
      <c r="D408" s="7">
        <v>80</v>
      </c>
      <c r="E408" s="7">
        <v>63.15789473684211</v>
      </c>
      <c r="F408" s="264"/>
      <c r="G408" s="258"/>
      <c r="H408" s="267"/>
      <c r="I408" s="267"/>
    </row>
    <row r="409" spans="1:9" ht="30" customHeight="1" x14ac:dyDescent="0.3">
      <c r="A409" s="169">
        <v>44626</v>
      </c>
      <c r="B409" s="4">
        <v>398</v>
      </c>
      <c r="C409" s="4"/>
      <c r="D409" s="8">
        <v>78</v>
      </c>
      <c r="E409" s="8">
        <v>85</v>
      </c>
      <c r="F409" s="264"/>
      <c r="G409" s="258"/>
      <c r="H409" s="267"/>
      <c r="I409" s="267"/>
    </row>
    <row r="410" spans="1:9" ht="30" customHeight="1" x14ac:dyDescent="0.3">
      <c r="A410" s="168">
        <v>44627</v>
      </c>
      <c r="B410" s="3">
        <v>399</v>
      </c>
      <c r="D410" s="7">
        <v>89</v>
      </c>
      <c r="E410" s="7">
        <v>88.888888888888886</v>
      </c>
      <c r="F410" s="264"/>
      <c r="G410" s="258"/>
      <c r="H410" s="267"/>
      <c r="I410" s="267"/>
    </row>
    <row r="411" spans="1:9" ht="30" customHeight="1" x14ac:dyDescent="0.3">
      <c r="A411" s="169">
        <v>44628</v>
      </c>
      <c r="B411" s="4">
        <v>400</v>
      </c>
      <c r="C411" s="4"/>
      <c r="D411" s="8">
        <v>82</v>
      </c>
      <c r="E411" s="8">
        <v>88.235294117647058</v>
      </c>
      <c r="F411" s="264"/>
      <c r="G411" s="258"/>
      <c r="H411" s="267"/>
      <c r="I411" s="267"/>
    </row>
    <row r="412" spans="1:9" ht="30" customHeight="1" x14ac:dyDescent="0.3">
      <c r="A412" s="168">
        <v>44629</v>
      </c>
      <c r="B412" s="3">
        <v>401</v>
      </c>
      <c r="D412" s="7">
        <v>84</v>
      </c>
      <c r="E412" s="7">
        <v>68.75</v>
      </c>
      <c r="F412" s="264"/>
      <c r="G412" s="258"/>
      <c r="H412" s="267"/>
      <c r="I412" s="267"/>
    </row>
    <row r="413" spans="1:9" ht="30" customHeight="1" x14ac:dyDescent="0.3">
      <c r="A413" s="169">
        <v>44630</v>
      </c>
      <c r="B413" s="4">
        <v>402</v>
      </c>
      <c r="C413" s="4"/>
      <c r="D413" s="8">
        <v>74</v>
      </c>
      <c r="E413" s="8">
        <v>92.307692307692307</v>
      </c>
      <c r="F413" s="264"/>
      <c r="G413" s="258"/>
      <c r="H413" s="267"/>
      <c r="I413" s="267"/>
    </row>
    <row r="414" spans="1:9" ht="30" customHeight="1" x14ac:dyDescent="0.3">
      <c r="A414" s="168">
        <v>44631</v>
      </c>
      <c r="B414" s="3">
        <v>403</v>
      </c>
      <c r="D414" s="7">
        <v>75</v>
      </c>
      <c r="E414" s="7">
        <v>88</v>
      </c>
      <c r="F414" s="264"/>
      <c r="G414" s="258"/>
      <c r="H414" s="267"/>
      <c r="I414" s="267"/>
    </row>
    <row r="415" spans="1:9" ht="30" customHeight="1" x14ac:dyDescent="0.3">
      <c r="A415" s="169">
        <v>44632</v>
      </c>
      <c r="B415" s="4">
        <v>404</v>
      </c>
      <c r="C415" s="4"/>
      <c r="D415" s="8">
        <v>79</v>
      </c>
      <c r="E415" s="8">
        <v>75</v>
      </c>
      <c r="F415" s="264"/>
      <c r="G415" s="258"/>
      <c r="H415" s="267"/>
      <c r="I415" s="267"/>
    </row>
    <row r="416" spans="1:9" ht="30" customHeight="1" x14ac:dyDescent="0.3">
      <c r="A416" s="168">
        <v>44633</v>
      </c>
      <c r="B416" s="3">
        <v>405</v>
      </c>
      <c r="D416" s="7">
        <v>81</v>
      </c>
      <c r="E416" s="7">
        <v>61.111111111111107</v>
      </c>
      <c r="F416" s="264"/>
      <c r="G416" s="258"/>
      <c r="H416" s="267"/>
      <c r="I416" s="267"/>
    </row>
    <row r="417" spans="1:9" ht="30" customHeight="1" x14ac:dyDescent="0.3">
      <c r="A417" s="169">
        <v>44634</v>
      </c>
      <c r="B417" s="4">
        <v>406</v>
      </c>
      <c r="C417" s="4"/>
      <c r="D417" s="8">
        <v>83</v>
      </c>
      <c r="E417" s="8">
        <v>76.470588235294116</v>
      </c>
      <c r="F417" s="264"/>
      <c r="G417" s="258"/>
      <c r="H417" s="267"/>
      <c r="I417" s="267"/>
    </row>
    <row r="418" spans="1:9" ht="30" customHeight="1" x14ac:dyDescent="0.3">
      <c r="A418" s="168">
        <v>44635</v>
      </c>
      <c r="B418" s="3">
        <v>407</v>
      </c>
      <c r="D418" s="7">
        <v>80</v>
      </c>
      <c r="E418" s="7">
        <v>64.705882352941174</v>
      </c>
      <c r="F418" s="264"/>
      <c r="G418" s="258"/>
      <c r="H418" s="267"/>
      <c r="I418" s="267"/>
    </row>
    <row r="419" spans="1:9" ht="30" customHeight="1" x14ac:dyDescent="0.3">
      <c r="A419" s="169">
        <v>44636</v>
      </c>
      <c r="B419" s="4">
        <v>408</v>
      </c>
      <c r="C419" s="4"/>
      <c r="D419" s="8">
        <v>78</v>
      </c>
      <c r="E419" s="8">
        <v>95.454545454545453</v>
      </c>
      <c r="F419" s="264"/>
      <c r="G419" s="258"/>
      <c r="H419" s="267"/>
      <c r="I419" s="267"/>
    </row>
    <row r="420" spans="1:9" ht="30" customHeight="1" x14ac:dyDescent="0.3">
      <c r="A420" s="168">
        <v>44637</v>
      </c>
      <c r="B420" s="3">
        <v>409</v>
      </c>
      <c r="D420" s="7">
        <v>91</v>
      </c>
      <c r="E420" s="7">
        <v>77.777777777777771</v>
      </c>
      <c r="F420" s="264"/>
      <c r="G420" s="258"/>
      <c r="H420" s="267"/>
      <c r="I420" s="267"/>
    </row>
    <row r="421" spans="1:9" ht="30" customHeight="1" x14ac:dyDescent="0.3">
      <c r="A421" s="169">
        <v>44638</v>
      </c>
      <c r="B421" s="4">
        <v>410</v>
      </c>
      <c r="C421" s="4"/>
      <c r="D421" s="8">
        <v>82</v>
      </c>
      <c r="E421" s="8">
        <v>87.5</v>
      </c>
      <c r="F421" s="264"/>
      <c r="G421" s="258"/>
      <c r="H421" s="267"/>
      <c r="I421" s="267"/>
    </row>
    <row r="422" spans="1:9" ht="30" customHeight="1" x14ac:dyDescent="0.3">
      <c r="A422" s="168">
        <v>44639</v>
      </c>
      <c r="B422" s="3">
        <v>411</v>
      </c>
      <c r="D422" s="7">
        <v>84</v>
      </c>
      <c r="E422" s="7">
        <v>66.666666666666671</v>
      </c>
      <c r="F422" s="264"/>
      <c r="G422" s="258"/>
      <c r="H422" s="267"/>
      <c r="I422" s="267"/>
    </row>
    <row r="423" spans="1:9" ht="30" customHeight="1" x14ac:dyDescent="0.3">
      <c r="A423" s="169">
        <v>44640</v>
      </c>
      <c r="B423" s="4">
        <v>412</v>
      </c>
      <c r="C423" s="4"/>
      <c r="D423" s="8">
        <v>79</v>
      </c>
      <c r="E423" s="8">
        <v>89.473684210526315</v>
      </c>
      <c r="F423" s="264"/>
      <c r="G423" s="258"/>
      <c r="H423" s="267"/>
      <c r="I423" s="267"/>
    </row>
    <row r="424" spans="1:9" ht="30" customHeight="1" x14ac:dyDescent="0.3">
      <c r="A424" s="168">
        <v>44641</v>
      </c>
      <c r="B424" s="3">
        <v>413</v>
      </c>
      <c r="D424" s="7">
        <v>84</v>
      </c>
      <c r="E424" s="7">
        <v>68.75</v>
      </c>
      <c r="F424" s="264"/>
      <c r="G424" s="258"/>
      <c r="H424" s="267"/>
      <c r="I424" s="267"/>
    </row>
    <row r="425" spans="1:9" ht="30" customHeight="1" x14ac:dyDescent="0.3">
      <c r="A425" s="169">
        <v>44642</v>
      </c>
      <c r="B425" s="4">
        <v>414</v>
      </c>
      <c r="C425" s="4"/>
      <c r="D425" s="8">
        <v>76</v>
      </c>
      <c r="E425" s="8">
        <v>73.913043478260875</v>
      </c>
      <c r="F425" s="264"/>
      <c r="G425" s="258"/>
      <c r="H425" s="267"/>
      <c r="I425" s="267"/>
    </row>
    <row r="426" spans="1:9" ht="30" customHeight="1" x14ac:dyDescent="0.3">
      <c r="A426" s="168">
        <v>44643</v>
      </c>
      <c r="B426" s="3">
        <v>415</v>
      </c>
      <c r="D426" s="7">
        <v>75</v>
      </c>
      <c r="E426" s="7">
        <v>75</v>
      </c>
      <c r="F426" s="264"/>
      <c r="G426" s="258"/>
      <c r="H426" s="267"/>
      <c r="I426" s="267"/>
    </row>
    <row r="427" spans="1:9" ht="30" customHeight="1" x14ac:dyDescent="0.3">
      <c r="A427" s="169">
        <v>44644</v>
      </c>
      <c r="B427" s="4">
        <v>416</v>
      </c>
      <c r="C427" s="4"/>
      <c r="D427" s="8">
        <v>81</v>
      </c>
      <c r="E427" s="8">
        <v>52.631578947368425</v>
      </c>
      <c r="F427" s="264"/>
      <c r="G427" s="258"/>
      <c r="H427" s="267"/>
      <c r="I427" s="267"/>
    </row>
    <row r="428" spans="1:9" ht="30" customHeight="1" x14ac:dyDescent="0.3">
      <c r="A428" s="168">
        <v>44645</v>
      </c>
      <c r="B428" s="3">
        <v>417</v>
      </c>
      <c r="D428" s="7">
        <v>80</v>
      </c>
      <c r="E428" s="7">
        <v>83.333333333333343</v>
      </c>
      <c r="F428" s="264"/>
      <c r="G428" s="258"/>
      <c r="H428" s="267"/>
      <c r="I428" s="267"/>
    </row>
    <row r="429" spans="1:9" ht="30" customHeight="1" x14ac:dyDescent="0.3">
      <c r="A429" s="169">
        <v>44646</v>
      </c>
      <c r="B429" s="4">
        <v>418</v>
      </c>
      <c r="C429" s="4"/>
      <c r="D429" s="8">
        <v>82</v>
      </c>
      <c r="E429" s="8">
        <v>82.35294117647058</v>
      </c>
      <c r="F429" s="264"/>
      <c r="G429" s="258"/>
      <c r="H429" s="267"/>
      <c r="I429" s="267"/>
    </row>
    <row r="430" spans="1:9" ht="30" customHeight="1" x14ac:dyDescent="0.3">
      <c r="A430" s="168">
        <v>44647</v>
      </c>
      <c r="B430" s="3">
        <v>419</v>
      </c>
      <c r="D430" s="7">
        <v>78</v>
      </c>
      <c r="E430" s="7">
        <v>45.45454545454546</v>
      </c>
      <c r="F430" s="264"/>
      <c r="G430" s="258"/>
      <c r="H430" s="267"/>
      <c r="I430" s="267"/>
    </row>
    <row r="431" spans="1:9" ht="30" customHeight="1" x14ac:dyDescent="0.3">
      <c r="A431" s="169">
        <v>44648</v>
      </c>
      <c r="B431" s="4">
        <v>420</v>
      </c>
      <c r="C431" s="4"/>
      <c r="D431" s="8">
        <v>86</v>
      </c>
      <c r="E431" s="8">
        <v>84.615384615384613</v>
      </c>
      <c r="F431" s="264"/>
      <c r="G431" s="258"/>
      <c r="H431" s="267"/>
      <c r="I431" s="267"/>
    </row>
    <row r="432" spans="1:9" ht="30" customHeight="1" x14ac:dyDescent="0.3">
      <c r="A432" s="168">
        <v>44649</v>
      </c>
      <c r="B432" s="3">
        <v>421</v>
      </c>
      <c r="D432" s="7">
        <v>81</v>
      </c>
      <c r="E432" s="7">
        <v>66.666666666666671</v>
      </c>
      <c r="F432" s="264"/>
      <c r="G432" s="258"/>
      <c r="H432" s="267"/>
      <c r="I432" s="267"/>
    </row>
    <row r="433" spans="1:9" ht="30" customHeight="1" x14ac:dyDescent="0.3">
      <c r="A433" s="169">
        <v>44649</v>
      </c>
      <c r="B433" s="4">
        <v>422</v>
      </c>
      <c r="C433" s="4"/>
      <c r="D433" s="8">
        <v>87</v>
      </c>
      <c r="E433" s="8">
        <v>81.818181818181813</v>
      </c>
      <c r="F433" s="264"/>
      <c r="G433" s="258"/>
      <c r="H433" s="267"/>
      <c r="I433" s="267"/>
    </row>
    <row r="434" spans="1:9" ht="30" customHeight="1" x14ac:dyDescent="0.3">
      <c r="A434" s="168">
        <v>44650</v>
      </c>
      <c r="B434" s="3">
        <v>423</v>
      </c>
      <c r="D434" s="7">
        <v>81</v>
      </c>
      <c r="E434" s="7">
        <v>83.333333333333343</v>
      </c>
      <c r="F434" s="264"/>
      <c r="G434" s="258"/>
      <c r="H434" s="267"/>
      <c r="I434" s="267"/>
    </row>
    <row r="435" spans="1:9" ht="30" customHeight="1" x14ac:dyDescent="0.3">
      <c r="A435" s="169">
        <v>44651</v>
      </c>
      <c r="B435" s="4">
        <v>424</v>
      </c>
      <c r="C435" s="4"/>
      <c r="D435" s="8">
        <v>79</v>
      </c>
      <c r="E435" s="8">
        <v>76.19047619047619</v>
      </c>
      <c r="F435" s="264"/>
      <c r="G435" s="258"/>
      <c r="H435" s="267"/>
      <c r="I435" s="267"/>
    </row>
    <row r="436" spans="1:9" ht="30" customHeight="1" x14ac:dyDescent="0.3">
      <c r="A436" s="168">
        <v>44652</v>
      </c>
      <c r="B436" s="3">
        <v>425</v>
      </c>
      <c r="D436" s="7">
        <v>81</v>
      </c>
      <c r="E436" s="7">
        <v>78.94736842105263</v>
      </c>
      <c r="F436" s="264"/>
      <c r="G436" s="258"/>
      <c r="H436" s="267"/>
      <c r="I436" s="267"/>
    </row>
    <row r="437" spans="1:9" ht="30" customHeight="1" x14ac:dyDescent="0.3">
      <c r="A437" s="169">
        <v>44653</v>
      </c>
      <c r="B437" s="4">
        <v>426</v>
      </c>
      <c r="C437" s="4"/>
      <c r="D437" s="8">
        <v>82</v>
      </c>
      <c r="E437" s="8">
        <v>55.555555555555557</v>
      </c>
      <c r="F437" s="264"/>
      <c r="G437" s="258"/>
      <c r="H437" s="267"/>
      <c r="I437" s="267"/>
    </row>
    <row r="438" spans="1:9" ht="30" customHeight="1" x14ac:dyDescent="0.3">
      <c r="A438" s="168">
        <v>44654</v>
      </c>
      <c r="B438" s="3">
        <v>427</v>
      </c>
      <c r="D438" s="7">
        <v>86</v>
      </c>
      <c r="E438" s="7">
        <v>86.666666666666671</v>
      </c>
      <c r="F438" s="264"/>
      <c r="G438" s="258"/>
      <c r="H438" s="267"/>
      <c r="I438" s="267"/>
    </row>
    <row r="439" spans="1:9" ht="30" customHeight="1" x14ac:dyDescent="0.3">
      <c r="A439" s="169">
        <v>44655</v>
      </c>
      <c r="B439" s="4">
        <v>428</v>
      </c>
      <c r="C439" s="4"/>
      <c r="D439" s="8">
        <v>82</v>
      </c>
      <c r="E439" s="8">
        <v>82.35294117647058</v>
      </c>
      <c r="F439" s="264"/>
      <c r="G439" s="258"/>
      <c r="H439" s="267"/>
      <c r="I439" s="267"/>
    </row>
    <row r="440" spans="1:9" ht="30" customHeight="1" x14ac:dyDescent="0.3">
      <c r="A440" s="168">
        <v>44656</v>
      </c>
      <c r="B440" s="3">
        <v>429</v>
      </c>
      <c r="D440" s="7">
        <v>85</v>
      </c>
      <c r="E440" s="7">
        <v>71.428571428571431</v>
      </c>
      <c r="F440" s="264"/>
      <c r="G440" s="258"/>
      <c r="H440" s="267"/>
      <c r="I440" s="267"/>
    </row>
    <row r="441" spans="1:9" ht="30" customHeight="1" x14ac:dyDescent="0.3">
      <c r="A441" s="169">
        <v>44657</v>
      </c>
      <c r="B441" s="4">
        <v>430</v>
      </c>
      <c r="C441" s="4"/>
      <c r="D441" s="8">
        <v>81</v>
      </c>
      <c r="E441" s="8">
        <v>88.888888888888886</v>
      </c>
      <c r="F441" s="264"/>
      <c r="G441" s="258"/>
      <c r="H441" s="267"/>
      <c r="I441" s="267"/>
    </row>
    <row r="442" spans="1:9" ht="30" customHeight="1" x14ac:dyDescent="0.3">
      <c r="A442" s="168">
        <v>44658</v>
      </c>
      <c r="B442" s="3">
        <v>431</v>
      </c>
      <c r="D442" s="7">
        <v>91</v>
      </c>
      <c r="E442" s="7">
        <v>100</v>
      </c>
      <c r="F442" s="264"/>
      <c r="G442" s="258"/>
      <c r="H442" s="267"/>
      <c r="I442" s="267"/>
    </row>
    <row r="443" spans="1:9" ht="30" customHeight="1" x14ac:dyDescent="0.3">
      <c r="A443" s="169">
        <v>44659</v>
      </c>
      <c r="B443" s="4">
        <v>432</v>
      </c>
      <c r="C443" s="4"/>
      <c r="D443" s="8">
        <v>81</v>
      </c>
      <c r="E443" s="8">
        <v>77.777777777777771</v>
      </c>
      <c r="F443" s="264"/>
      <c r="G443" s="258"/>
      <c r="H443" s="267"/>
      <c r="I443" s="267"/>
    </row>
    <row r="444" spans="1:9" ht="30" customHeight="1" x14ac:dyDescent="0.3">
      <c r="A444" s="168">
        <v>44660</v>
      </c>
      <c r="B444" s="3">
        <v>433</v>
      </c>
      <c r="D444" s="7">
        <v>90</v>
      </c>
      <c r="E444" s="7">
        <v>100</v>
      </c>
      <c r="F444" s="264"/>
      <c r="G444" s="258"/>
      <c r="H444" s="267"/>
      <c r="I444" s="267"/>
    </row>
    <row r="445" spans="1:9" ht="30" customHeight="1" x14ac:dyDescent="0.3">
      <c r="A445" s="169">
        <v>44661</v>
      </c>
      <c r="B445" s="4">
        <v>434</v>
      </c>
      <c r="C445" s="4"/>
      <c r="D445" s="8">
        <v>86</v>
      </c>
      <c r="E445" s="8">
        <v>70</v>
      </c>
      <c r="F445" s="264"/>
      <c r="G445" s="258"/>
      <c r="H445" s="267"/>
      <c r="I445" s="267"/>
    </row>
    <row r="446" spans="1:9" ht="30" customHeight="1" x14ac:dyDescent="0.3">
      <c r="A446" s="168">
        <v>44662</v>
      </c>
      <c r="B446" s="3">
        <v>435</v>
      </c>
      <c r="D446" s="7">
        <v>87</v>
      </c>
      <c r="E446" s="7">
        <v>76.92307692307692</v>
      </c>
      <c r="F446" s="264"/>
      <c r="G446" s="258"/>
      <c r="H446" s="267"/>
      <c r="I446" s="267"/>
    </row>
    <row r="447" spans="1:9" ht="30" customHeight="1" x14ac:dyDescent="0.3">
      <c r="A447" s="169">
        <v>44663</v>
      </c>
      <c r="B447" s="4">
        <v>436</v>
      </c>
      <c r="C447" s="4"/>
      <c r="D447" s="8">
        <v>78</v>
      </c>
      <c r="E447" s="8">
        <v>85</v>
      </c>
      <c r="F447" s="264"/>
      <c r="G447" s="258"/>
      <c r="H447" s="267"/>
      <c r="I447" s="267"/>
    </row>
    <row r="448" spans="1:9" ht="30" customHeight="1" x14ac:dyDescent="0.3">
      <c r="A448" s="168">
        <v>44664</v>
      </c>
      <c r="B448" s="3">
        <v>437</v>
      </c>
      <c r="D448" s="7">
        <v>82</v>
      </c>
      <c r="E448" s="7">
        <v>76.470588235294116</v>
      </c>
      <c r="F448" s="264"/>
      <c r="G448" s="258"/>
      <c r="H448" s="267"/>
      <c r="I448" s="267"/>
    </row>
    <row r="449" spans="1:9" ht="30" customHeight="1" x14ac:dyDescent="0.3">
      <c r="A449" s="169">
        <v>44665</v>
      </c>
      <c r="B449" s="4">
        <v>438</v>
      </c>
      <c r="C449" s="4"/>
      <c r="D449" s="8">
        <v>75</v>
      </c>
      <c r="E449" s="8">
        <v>70.833333333333329</v>
      </c>
      <c r="F449" s="264"/>
      <c r="G449" s="258"/>
      <c r="H449" s="267"/>
      <c r="I449" s="267"/>
    </row>
    <row r="450" spans="1:9" ht="30" customHeight="1" x14ac:dyDescent="0.3">
      <c r="A450" s="168">
        <v>44666</v>
      </c>
      <c r="B450" s="3">
        <v>439</v>
      </c>
      <c r="D450" s="7">
        <v>87</v>
      </c>
      <c r="E450" s="7">
        <v>91.666666666666671</v>
      </c>
      <c r="F450" s="264"/>
      <c r="G450" s="258"/>
      <c r="H450" s="267"/>
      <c r="I450" s="267"/>
    </row>
    <row r="451" spans="1:9" ht="30" customHeight="1" x14ac:dyDescent="0.3">
      <c r="A451" s="169">
        <v>44667</v>
      </c>
      <c r="B451" s="4">
        <v>440</v>
      </c>
      <c r="C451" s="4"/>
      <c r="D451" s="8">
        <v>87</v>
      </c>
      <c r="E451" s="8">
        <v>69.230769230769226</v>
      </c>
      <c r="F451" s="264"/>
      <c r="G451" s="258"/>
      <c r="H451" s="267"/>
      <c r="I451" s="267"/>
    </row>
    <row r="452" spans="1:9" ht="30" customHeight="1" x14ac:dyDescent="0.3">
      <c r="A452" s="168">
        <v>44669</v>
      </c>
      <c r="B452" s="3">
        <v>441</v>
      </c>
      <c r="D452" s="7">
        <v>84</v>
      </c>
      <c r="E452" s="7">
        <v>80</v>
      </c>
      <c r="F452" s="264"/>
      <c r="G452" s="258"/>
      <c r="H452" s="267"/>
      <c r="I452" s="267"/>
    </row>
    <row r="453" spans="1:9" ht="30" customHeight="1" x14ac:dyDescent="0.3">
      <c r="A453" s="169">
        <v>44670</v>
      </c>
      <c r="B453" s="4">
        <v>442</v>
      </c>
      <c r="C453" s="4"/>
      <c r="D453" s="8">
        <v>83</v>
      </c>
      <c r="E453" s="8">
        <v>64.705882352941174</v>
      </c>
      <c r="F453" s="264"/>
      <c r="G453" s="258"/>
      <c r="H453" s="267"/>
      <c r="I453" s="267"/>
    </row>
    <row r="454" spans="1:9" ht="30" customHeight="1" x14ac:dyDescent="0.3">
      <c r="A454" s="168">
        <v>44671</v>
      </c>
      <c r="B454" s="3">
        <v>443</v>
      </c>
      <c r="D454" s="7">
        <v>78</v>
      </c>
      <c r="E454" s="7">
        <v>66.666666666666671</v>
      </c>
      <c r="F454" s="264"/>
      <c r="G454" s="258"/>
      <c r="H454" s="267"/>
      <c r="I454" s="267"/>
    </row>
    <row r="455" spans="1:9" ht="30" customHeight="1" x14ac:dyDescent="0.3">
      <c r="A455" s="169">
        <v>44672</v>
      </c>
      <c r="B455" s="4">
        <v>444</v>
      </c>
      <c r="C455" s="4"/>
      <c r="D455" s="8">
        <v>84</v>
      </c>
      <c r="E455" s="8">
        <v>86.666666666666671</v>
      </c>
      <c r="F455" s="264"/>
      <c r="G455" s="258"/>
      <c r="H455" s="267"/>
      <c r="I455" s="267"/>
    </row>
    <row r="456" spans="1:9" ht="30" customHeight="1" x14ac:dyDescent="0.3">
      <c r="A456" s="168">
        <v>44673</v>
      </c>
      <c r="B456" s="3">
        <v>445</v>
      </c>
      <c r="D456" s="7">
        <v>80</v>
      </c>
      <c r="E456" s="7">
        <v>79</v>
      </c>
      <c r="F456" s="264"/>
      <c r="G456" s="258"/>
      <c r="H456" s="267"/>
      <c r="I456" s="267"/>
    </row>
    <row r="457" spans="1:9" ht="30" customHeight="1" x14ac:dyDescent="0.3">
      <c r="A457" s="169">
        <v>44674</v>
      </c>
      <c r="B457" s="4">
        <v>446</v>
      </c>
      <c r="C457" s="4"/>
      <c r="D457" s="8">
        <v>84</v>
      </c>
      <c r="E457" s="8">
        <v>85.714285714285722</v>
      </c>
      <c r="F457" s="264"/>
      <c r="G457" s="258"/>
      <c r="H457" s="267"/>
      <c r="I457" s="267"/>
    </row>
    <row r="458" spans="1:9" ht="30" customHeight="1" x14ac:dyDescent="0.3">
      <c r="A458" s="168">
        <v>44675</v>
      </c>
      <c r="B458" s="3">
        <v>447</v>
      </c>
      <c r="D458" s="7">
        <v>85</v>
      </c>
      <c r="E458" s="7">
        <v>64.285714285714278</v>
      </c>
      <c r="F458" s="264"/>
      <c r="G458" s="258"/>
      <c r="H458" s="267"/>
      <c r="I458" s="267"/>
    </row>
    <row r="459" spans="1:9" ht="30" customHeight="1" x14ac:dyDescent="0.3">
      <c r="A459" s="169">
        <v>44676</v>
      </c>
      <c r="B459" s="4">
        <v>448</v>
      </c>
      <c r="C459" s="4"/>
      <c r="D459" s="8">
        <v>85</v>
      </c>
      <c r="E459" s="8">
        <v>92.857142857142861</v>
      </c>
      <c r="F459" s="264"/>
      <c r="G459" s="258"/>
      <c r="H459" s="267"/>
      <c r="I459" s="267"/>
    </row>
    <row r="460" spans="1:9" ht="30" customHeight="1" x14ac:dyDescent="0.3">
      <c r="A460" s="168">
        <v>44677</v>
      </c>
      <c r="B460" s="3">
        <v>449</v>
      </c>
      <c r="D460" s="7">
        <v>79</v>
      </c>
      <c r="E460" s="7">
        <v>100</v>
      </c>
      <c r="F460" s="264"/>
      <c r="G460" s="258"/>
      <c r="H460" s="267"/>
      <c r="I460" s="267"/>
    </row>
    <row r="461" spans="1:9" ht="30" customHeight="1" x14ac:dyDescent="0.3">
      <c r="A461" s="169">
        <v>44678</v>
      </c>
      <c r="B461" s="4">
        <v>450</v>
      </c>
      <c r="C461" s="4"/>
      <c r="D461" s="8">
        <v>84</v>
      </c>
      <c r="E461" s="8">
        <v>80</v>
      </c>
      <c r="F461" s="264"/>
      <c r="G461" s="258"/>
      <c r="H461" s="267"/>
      <c r="I461" s="267"/>
    </row>
    <row r="462" spans="1:9" ht="30" customHeight="1" x14ac:dyDescent="0.3">
      <c r="A462" s="168">
        <v>44679</v>
      </c>
      <c r="B462" s="3">
        <v>451</v>
      </c>
      <c r="D462" s="7">
        <v>80</v>
      </c>
      <c r="E462" s="7">
        <v>78.94736842105263</v>
      </c>
      <c r="F462" s="264"/>
      <c r="G462" s="258"/>
      <c r="H462" s="267"/>
      <c r="I462" s="267"/>
    </row>
    <row r="463" spans="1:9" ht="30" customHeight="1" x14ac:dyDescent="0.3">
      <c r="A463" s="169">
        <v>44680</v>
      </c>
      <c r="B463" s="4">
        <v>452</v>
      </c>
      <c r="C463" s="4"/>
      <c r="D463" s="8">
        <v>79</v>
      </c>
      <c r="E463" s="8">
        <v>72.222222222222229</v>
      </c>
      <c r="F463" s="264"/>
      <c r="G463" s="258"/>
      <c r="H463" s="267"/>
      <c r="I463" s="267"/>
    </row>
    <row r="464" spans="1:9" ht="30" customHeight="1" x14ac:dyDescent="0.3">
      <c r="A464" s="168">
        <v>44681</v>
      </c>
      <c r="B464" s="3">
        <v>453</v>
      </c>
      <c r="D464" s="7">
        <v>85</v>
      </c>
      <c r="E464" s="7">
        <v>80</v>
      </c>
      <c r="F464" s="264"/>
      <c r="G464" s="258"/>
      <c r="H464" s="267"/>
      <c r="I464" s="267"/>
    </row>
    <row r="465" spans="1:9" ht="30" customHeight="1" x14ac:dyDescent="0.3">
      <c r="A465" s="169">
        <v>44682</v>
      </c>
      <c r="B465" s="4">
        <v>454</v>
      </c>
      <c r="C465" s="4"/>
      <c r="D465" s="8">
        <v>84</v>
      </c>
      <c r="E465" s="8">
        <v>75</v>
      </c>
      <c r="F465" s="264"/>
      <c r="G465" s="258"/>
      <c r="H465" s="267"/>
      <c r="I465" s="267"/>
    </row>
    <row r="466" spans="1:9" ht="30" customHeight="1" x14ac:dyDescent="0.3">
      <c r="A466" s="168">
        <v>44683</v>
      </c>
      <c r="B466" s="3">
        <v>455</v>
      </c>
      <c r="D466" s="7">
        <v>87</v>
      </c>
      <c r="E466" s="7">
        <v>53.846153846153847</v>
      </c>
      <c r="F466" s="264"/>
      <c r="G466" s="258"/>
      <c r="H466" s="267"/>
      <c r="I466" s="267"/>
    </row>
    <row r="467" spans="1:9" ht="30" customHeight="1" x14ac:dyDescent="0.3">
      <c r="A467" s="169">
        <v>44684</v>
      </c>
      <c r="B467" s="4">
        <v>456</v>
      </c>
      <c r="C467" s="4"/>
      <c r="D467" s="8">
        <v>83</v>
      </c>
      <c r="E467" s="8">
        <v>64.705882352941174</v>
      </c>
      <c r="F467" s="264"/>
      <c r="G467" s="258"/>
      <c r="H467" s="267"/>
      <c r="I467" s="267"/>
    </row>
    <row r="468" spans="1:9" ht="30" customHeight="1" x14ac:dyDescent="0.3">
      <c r="A468" s="168">
        <v>44685</v>
      </c>
      <c r="B468" s="3">
        <v>457</v>
      </c>
      <c r="D468" s="7">
        <v>85</v>
      </c>
      <c r="E468" s="7">
        <v>64.285714285714278</v>
      </c>
      <c r="F468" s="264"/>
      <c r="G468" s="258"/>
      <c r="H468" s="267"/>
      <c r="I468" s="267"/>
    </row>
    <row r="469" spans="1:9" ht="30" customHeight="1" x14ac:dyDescent="0.3">
      <c r="A469" s="169">
        <v>44686</v>
      </c>
      <c r="B469" s="4">
        <v>458</v>
      </c>
      <c r="C469" s="4"/>
      <c r="D469" s="8">
        <v>86</v>
      </c>
      <c r="E469" s="8">
        <v>92.307692307692307</v>
      </c>
      <c r="F469" s="264"/>
      <c r="G469" s="258"/>
      <c r="H469" s="267"/>
      <c r="I469" s="267"/>
    </row>
    <row r="470" spans="1:9" ht="30" customHeight="1" x14ac:dyDescent="0.3">
      <c r="A470" s="168">
        <v>44687</v>
      </c>
      <c r="B470" s="3">
        <v>459</v>
      </c>
      <c r="D470" s="7">
        <v>86</v>
      </c>
      <c r="E470" s="7">
        <v>69.230769230769226</v>
      </c>
      <c r="F470" s="264"/>
      <c r="G470" s="258"/>
      <c r="H470" s="267"/>
      <c r="I470" s="267"/>
    </row>
    <row r="471" spans="1:9" ht="30" customHeight="1" x14ac:dyDescent="0.3">
      <c r="A471" s="169">
        <v>44688</v>
      </c>
      <c r="B471" s="4">
        <v>460</v>
      </c>
      <c r="C471" s="4"/>
      <c r="D471" s="8">
        <v>81</v>
      </c>
      <c r="E471" s="8">
        <v>78.94736842105263</v>
      </c>
      <c r="F471" s="264"/>
      <c r="G471" s="258"/>
      <c r="H471" s="267"/>
      <c r="I471" s="267"/>
    </row>
    <row r="472" spans="1:9" ht="30" customHeight="1" x14ac:dyDescent="0.3">
      <c r="A472" s="168">
        <v>44689</v>
      </c>
      <c r="B472" s="3">
        <v>461</v>
      </c>
      <c r="D472" s="7">
        <v>80</v>
      </c>
      <c r="E472" s="7">
        <v>72.222222222222229</v>
      </c>
      <c r="F472" s="264"/>
      <c r="G472" s="258"/>
      <c r="H472" s="267"/>
      <c r="I472" s="267"/>
    </row>
    <row r="473" spans="1:9" ht="30" customHeight="1" x14ac:dyDescent="0.3">
      <c r="A473" s="169">
        <v>44690</v>
      </c>
      <c r="B473" s="4">
        <v>462</v>
      </c>
      <c r="C473" s="4"/>
      <c r="D473" s="8">
        <v>72</v>
      </c>
      <c r="E473" s="8">
        <v>84.615384615384613</v>
      </c>
      <c r="F473" s="264"/>
      <c r="G473" s="258"/>
      <c r="H473" s="267"/>
      <c r="I473" s="267"/>
    </row>
    <row r="474" spans="1:9" ht="30" customHeight="1" x14ac:dyDescent="0.3">
      <c r="A474" s="168">
        <v>44691</v>
      </c>
      <c r="B474" s="3">
        <v>463</v>
      </c>
      <c r="D474" s="7">
        <v>78</v>
      </c>
      <c r="E474" s="7">
        <v>78.94736842105263</v>
      </c>
      <c r="F474" s="264"/>
      <c r="G474" s="258"/>
      <c r="H474" s="267"/>
      <c r="I474" s="267"/>
    </row>
    <row r="475" spans="1:9" ht="30" customHeight="1" x14ac:dyDescent="0.3">
      <c r="A475" s="169">
        <v>44692</v>
      </c>
      <c r="B475" s="4">
        <v>464</v>
      </c>
      <c r="C475" s="4"/>
      <c r="D475" s="8">
        <v>83</v>
      </c>
      <c r="E475" s="8">
        <v>94.117647058823536</v>
      </c>
      <c r="F475" s="264"/>
      <c r="G475" s="258"/>
      <c r="H475" s="267"/>
      <c r="I475" s="267"/>
    </row>
    <row r="476" spans="1:9" ht="30" customHeight="1" x14ac:dyDescent="0.3">
      <c r="A476" s="168">
        <v>44693</v>
      </c>
      <c r="B476" s="3">
        <v>465</v>
      </c>
      <c r="D476" s="7">
        <v>81</v>
      </c>
      <c r="E476" s="7">
        <v>55.555555555555557</v>
      </c>
      <c r="F476" s="264"/>
      <c r="G476" s="258"/>
      <c r="H476" s="267"/>
      <c r="I476" s="267"/>
    </row>
    <row r="477" spans="1:9" ht="30" customHeight="1" x14ac:dyDescent="0.3">
      <c r="A477" s="169">
        <v>44694</v>
      </c>
      <c r="B477" s="4">
        <v>466</v>
      </c>
      <c r="C477" s="4"/>
      <c r="D477" s="8">
        <v>80</v>
      </c>
      <c r="E477" s="8">
        <v>85</v>
      </c>
      <c r="F477" s="264"/>
      <c r="G477" s="258"/>
      <c r="H477" s="267"/>
      <c r="I477" s="267"/>
    </row>
    <row r="478" spans="1:9" ht="30" customHeight="1" x14ac:dyDescent="0.3">
      <c r="A478" s="168">
        <v>44695</v>
      </c>
      <c r="B478" s="3">
        <v>467</v>
      </c>
      <c r="D478" s="7">
        <v>82</v>
      </c>
      <c r="E478" s="7">
        <v>72.222222222222229</v>
      </c>
      <c r="F478" s="264"/>
      <c r="G478" s="258"/>
      <c r="H478" s="267"/>
      <c r="I478" s="267"/>
    </row>
    <row r="479" spans="1:9" ht="30" customHeight="1" x14ac:dyDescent="0.3">
      <c r="A479" s="169">
        <v>44696</v>
      </c>
      <c r="B479" s="4">
        <v>468</v>
      </c>
      <c r="C479" s="4"/>
      <c r="D479" s="8">
        <v>83</v>
      </c>
      <c r="E479" s="8">
        <v>75</v>
      </c>
      <c r="F479" s="264"/>
      <c r="G479" s="258"/>
      <c r="H479" s="267"/>
      <c r="I479" s="267"/>
    </row>
    <row r="480" spans="1:9" ht="30" customHeight="1" x14ac:dyDescent="0.3">
      <c r="A480" s="168">
        <v>44697</v>
      </c>
      <c r="B480" s="3">
        <v>469</v>
      </c>
      <c r="D480" s="7">
        <v>85</v>
      </c>
      <c r="E480" s="7">
        <v>69.230769230769226</v>
      </c>
      <c r="F480" s="264"/>
      <c r="G480" s="258"/>
      <c r="H480" s="267"/>
      <c r="I480" s="267"/>
    </row>
    <row r="481" spans="1:9" ht="30" customHeight="1" x14ac:dyDescent="0.3">
      <c r="A481" s="169">
        <v>44698</v>
      </c>
      <c r="B481" s="4">
        <v>470</v>
      </c>
      <c r="C481" s="4"/>
      <c r="D481" s="8">
        <v>88</v>
      </c>
      <c r="E481" s="8">
        <v>100</v>
      </c>
      <c r="F481" s="264"/>
      <c r="G481" s="258"/>
      <c r="H481" s="267"/>
      <c r="I481" s="267"/>
    </row>
    <row r="482" spans="1:9" ht="30" customHeight="1" x14ac:dyDescent="0.3">
      <c r="A482" s="168">
        <v>44699</v>
      </c>
      <c r="B482" s="3">
        <v>471</v>
      </c>
      <c r="D482" s="7">
        <v>78</v>
      </c>
      <c r="E482" s="7">
        <v>86.36363636363636</v>
      </c>
      <c r="F482" s="264"/>
      <c r="G482" s="258"/>
      <c r="H482" s="267"/>
      <c r="I482" s="267"/>
    </row>
    <row r="483" spans="1:9" ht="30" customHeight="1" x14ac:dyDescent="0.3">
      <c r="A483" s="169">
        <v>44700</v>
      </c>
      <c r="B483" s="4">
        <v>472</v>
      </c>
      <c r="C483" s="4"/>
      <c r="D483" s="8">
        <v>89</v>
      </c>
      <c r="E483" s="8">
        <v>72.727272727272734</v>
      </c>
      <c r="F483" s="264"/>
      <c r="G483" s="258"/>
      <c r="H483" s="267"/>
      <c r="I483" s="267"/>
    </row>
    <row r="484" spans="1:9" ht="30" customHeight="1" x14ac:dyDescent="0.3">
      <c r="A484" s="168">
        <v>44701</v>
      </c>
      <c r="B484" s="3">
        <v>473</v>
      </c>
      <c r="D484" s="7">
        <v>83</v>
      </c>
      <c r="E484" s="7">
        <v>82</v>
      </c>
      <c r="F484" s="264"/>
      <c r="G484" s="258"/>
      <c r="H484" s="267"/>
      <c r="I484" s="267"/>
    </row>
    <row r="485" spans="1:9" ht="30" customHeight="1" x14ac:dyDescent="0.3">
      <c r="A485" s="169">
        <v>44702</v>
      </c>
      <c r="B485" s="4">
        <v>474</v>
      </c>
      <c r="C485" s="4"/>
      <c r="D485" s="8">
        <v>78</v>
      </c>
      <c r="E485" s="8">
        <v>63.636363636363633</v>
      </c>
      <c r="F485" s="264"/>
      <c r="G485" s="258"/>
      <c r="H485" s="267"/>
      <c r="I485" s="267"/>
    </row>
    <row r="486" spans="1:9" ht="30" customHeight="1" x14ac:dyDescent="0.3">
      <c r="A486" s="168">
        <v>44703</v>
      </c>
      <c r="B486" s="3">
        <v>475</v>
      </c>
      <c r="D486" s="7">
        <v>82</v>
      </c>
      <c r="E486" s="7">
        <v>62.5</v>
      </c>
      <c r="F486" s="264"/>
      <c r="G486" s="258"/>
      <c r="H486" s="267"/>
      <c r="I486" s="267"/>
    </row>
    <row r="487" spans="1:9" ht="30" customHeight="1" x14ac:dyDescent="0.3">
      <c r="A487" s="169">
        <v>44704</v>
      </c>
      <c r="B487" s="4">
        <v>476</v>
      </c>
      <c r="C487" s="4"/>
      <c r="D487" s="8">
        <v>84</v>
      </c>
      <c r="E487" s="8">
        <v>86.666666666666671</v>
      </c>
      <c r="F487" s="264"/>
      <c r="G487" s="258"/>
      <c r="H487" s="267"/>
      <c r="I487" s="267"/>
    </row>
    <row r="488" spans="1:9" ht="30" customHeight="1" x14ac:dyDescent="0.3">
      <c r="A488" s="168">
        <v>44706</v>
      </c>
      <c r="B488" s="3">
        <v>477</v>
      </c>
      <c r="D488" s="7">
        <v>80</v>
      </c>
      <c r="E488" s="7">
        <v>70</v>
      </c>
      <c r="F488" s="264"/>
      <c r="G488" s="258"/>
      <c r="H488" s="267"/>
      <c r="I488" s="267"/>
    </row>
    <row r="489" spans="1:9" ht="30" customHeight="1" x14ac:dyDescent="0.3">
      <c r="A489" s="169">
        <v>44707</v>
      </c>
      <c r="B489" s="4">
        <v>478</v>
      </c>
      <c r="C489" s="4"/>
      <c r="D489" s="8">
        <v>88</v>
      </c>
      <c r="E489" s="8">
        <v>63.636363636363633</v>
      </c>
      <c r="F489" s="264"/>
      <c r="G489" s="258"/>
      <c r="H489" s="267"/>
      <c r="I489" s="267"/>
    </row>
    <row r="490" spans="1:9" ht="30" customHeight="1" x14ac:dyDescent="0.3">
      <c r="A490" s="168">
        <v>44708</v>
      </c>
      <c r="B490" s="3">
        <v>479</v>
      </c>
      <c r="D490" s="7">
        <v>89</v>
      </c>
      <c r="E490" s="7">
        <v>100</v>
      </c>
      <c r="F490" s="264"/>
      <c r="G490" s="258"/>
      <c r="H490" s="267"/>
      <c r="I490" s="267"/>
    </row>
    <row r="491" spans="1:9" ht="30" customHeight="1" x14ac:dyDescent="0.3">
      <c r="A491" s="169">
        <v>44709</v>
      </c>
      <c r="B491" s="4">
        <v>480</v>
      </c>
      <c r="C491" s="4"/>
      <c r="D491" s="8">
        <v>86</v>
      </c>
      <c r="E491" s="8">
        <v>85.714285714285722</v>
      </c>
      <c r="F491" s="264"/>
      <c r="G491" s="258"/>
      <c r="H491" s="267"/>
      <c r="I491" s="267"/>
    </row>
    <row r="492" spans="1:9" ht="30" customHeight="1" x14ac:dyDescent="0.3">
      <c r="A492" s="168">
        <v>44711</v>
      </c>
      <c r="B492" s="3">
        <v>481</v>
      </c>
      <c r="D492" s="7">
        <v>87</v>
      </c>
      <c r="E492" s="7">
        <v>63.636363636363633</v>
      </c>
      <c r="F492" s="264"/>
      <c r="G492" s="258"/>
      <c r="H492" s="267"/>
      <c r="I492" s="267"/>
    </row>
    <row r="493" spans="1:9" ht="30" customHeight="1" x14ac:dyDescent="0.3">
      <c r="A493" s="169">
        <v>44712</v>
      </c>
      <c r="B493" s="4">
        <v>482</v>
      </c>
      <c r="C493" s="4"/>
      <c r="D493" s="8">
        <v>85</v>
      </c>
      <c r="E493" s="8">
        <v>76.92307692307692</v>
      </c>
      <c r="F493" s="264"/>
      <c r="G493" s="258"/>
      <c r="H493" s="267"/>
      <c r="I493" s="267"/>
    </row>
    <row r="494" spans="1:9" ht="30" customHeight="1" x14ac:dyDescent="0.3">
      <c r="A494" s="168">
        <v>44713</v>
      </c>
      <c r="B494" s="3">
        <v>483</v>
      </c>
      <c r="D494" s="7">
        <v>83</v>
      </c>
      <c r="E494" s="7">
        <v>70.588235294117652</v>
      </c>
      <c r="F494" s="264"/>
      <c r="G494" s="258"/>
      <c r="H494" s="267"/>
      <c r="I494" s="267"/>
    </row>
    <row r="495" spans="1:9" ht="30" customHeight="1" x14ac:dyDescent="0.3">
      <c r="A495" s="169">
        <v>44714</v>
      </c>
      <c r="B495" s="4">
        <v>484</v>
      </c>
      <c r="C495" s="4"/>
      <c r="D495" s="8">
        <v>80</v>
      </c>
      <c r="E495" s="8">
        <v>78.94736842105263</v>
      </c>
      <c r="F495" s="264"/>
      <c r="G495" s="258"/>
      <c r="H495" s="267"/>
      <c r="I495" s="267"/>
    </row>
    <row r="496" spans="1:9" ht="30" customHeight="1" x14ac:dyDescent="0.3">
      <c r="A496" s="168">
        <v>44715</v>
      </c>
      <c r="B496" s="3">
        <v>485</v>
      </c>
      <c r="D496" s="7">
        <v>85</v>
      </c>
      <c r="E496" s="7">
        <v>78.571428571428569</v>
      </c>
      <c r="F496" s="264"/>
      <c r="G496" s="258"/>
      <c r="H496" s="267"/>
      <c r="I496" s="267"/>
    </row>
    <row r="497" spans="1:9" ht="30" customHeight="1" x14ac:dyDescent="0.3">
      <c r="A497" s="169">
        <v>44716</v>
      </c>
      <c r="B497" s="4">
        <v>486</v>
      </c>
      <c r="C497" s="4"/>
      <c r="D497" s="8">
        <v>80</v>
      </c>
      <c r="E497" s="8">
        <v>83.333333333333343</v>
      </c>
      <c r="F497" s="264"/>
      <c r="G497" s="258"/>
      <c r="H497" s="267"/>
      <c r="I497" s="267"/>
    </row>
    <row r="498" spans="1:9" ht="30" customHeight="1" x14ac:dyDescent="0.3">
      <c r="A498" s="168">
        <v>44717</v>
      </c>
      <c r="B498" s="3">
        <v>487</v>
      </c>
      <c r="D498" s="7">
        <v>82</v>
      </c>
      <c r="E498" s="7">
        <v>81.25</v>
      </c>
      <c r="F498" s="264"/>
      <c r="G498" s="258"/>
      <c r="H498" s="267"/>
      <c r="I498" s="267"/>
    </row>
    <row r="499" spans="1:9" ht="30" customHeight="1" x14ac:dyDescent="0.3">
      <c r="A499" s="169">
        <v>44718</v>
      </c>
      <c r="B499" s="4">
        <v>488</v>
      </c>
      <c r="C499" s="4"/>
      <c r="D499" s="8">
        <v>81</v>
      </c>
      <c r="E499" s="8">
        <v>57.894736842105267</v>
      </c>
      <c r="F499" s="264"/>
      <c r="G499" s="258"/>
      <c r="H499" s="267"/>
      <c r="I499" s="267"/>
    </row>
    <row r="500" spans="1:9" ht="30" customHeight="1" x14ac:dyDescent="0.3">
      <c r="A500" s="168">
        <v>44719</v>
      </c>
      <c r="B500" s="3">
        <v>489</v>
      </c>
      <c r="D500" s="7">
        <v>88</v>
      </c>
      <c r="E500" s="7">
        <v>100</v>
      </c>
      <c r="F500" s="264"/>
      <c r="G500" s="258"/>
      <c r="H500" s="267"/>
      <c r="I500" s="267"/>
    </row>
    <row r="501" spans="1:9" ht="30" customHeight="1" x14ac:dyDescent="0.3">
      <c r="A501" s="169">
        <v>44720</v>
      </c>
      <c r="B501" s="4">
        <v>490</v>
      </c>
      <c r="C501" s="4"/>
      <c r="D501" s="8">
        <v>82</v>
      </c>
      <c r="E501" s="8">
        <v>88.235294117647058</v>
      </c>
      <c r="F501" s="264"/>
      <c r="G501" s="258"/>
      <c r="H501" s="267"/>
      <c r="I501" s="267"/>
    </row>
    <row r="502" spans="1:9" ht="30" customHeight="1" x14ac:dyDescent="0.3">
      <c r="A502" s="168">
        <v>44721</v>
      </c>
      <c r="B502" s="3">
        <v>491</v>
      </c>
      <c r="D502" s="7">
        <v>87</v>
      </c>
      <c r="E502" s="7">
        <v>91</v>
      </c>
      <c r="F502" s="264"/>
      <c r="G502" s="258"/>
      <c r="H502" s="267"/>
      <c r="I502" s="267"/>
    </row>
    <row r="503" spans="1:9" ht="30" customHeight="1" x14ac:dyDescent="0.3">
      <c r="A503" s="169">
        <v>44722</v>
      </c>
      <c r="B503" s="4">
        <v>492</v>
      </c>
      <c r="C503" s="4"/>
      <c r="D503" s="8">
        <v>76</v>
      </c>
      <c r="E503" s="8">
        <v>65</v>
      </c>
      <c r="F503" s="264"/>
      <c r="G503" s="258"/>
      <c r="H503" s="267"/>
      <c r="I503" s="267"/>
    </row>
    <row r="504" spans="1:9" ht="30" customHeight="1" x14ac:dyDescent="0.3">
      <c r="A504" s="168">
        <v>44723</v>
      </c>
      <c r="B504" s="3">
        <v>493</v>
      </c>
      <c r="D504" s="7">
        <v>84</v>
      </c>
      <c r="E504" s="7">
        <v>92.857142857142861</v>
      </c>
      <c r="F504" s="264"/>
      <c r="G504" s="258"/>
      <c r="H504" s="267"/>
      <c r="I504" s="267"/>
    </row>
    <row r="505" spans="1:9" ht="30" customHeight="1" x14ac:dyDescent="0.3">
      <c r="A505" s="169">
        <v>44724</v>
      </c>
      <c r="B505" s="4">
        <v>494</v>
      </c>
      <c r="C505" s="4"/>
      <c r="D505" s="8">
        <v>81</v>
      </c>
      <c r="E505" s="8">
        <v>77.777777777777771</v>
      </c>
      <c r="F505" s="264"/>
      <c r="G505" s="258"/>
      <c r="H505" s="267"/>
      <c r="I505" s="267"/>
    </row>
    <row r="506" spans="1:9" ht="30" customHeight="1" x14ac:dyDescent="0.3">
      <c r="A506" s="168">
        <v>44725</v>
      </c>
      <c r="B506" s="3">
        <v>495</v>
      </c>
      <c r="D506" s="7">
        <v>81</v>
      </c>
      <c r="E506" s="7">
        <v>67</v>
      </c>
      <c r="F506" s="264"/>
      <c r="G506" s="258"/>
      <c r="H506" s="267"/>
      <c r="I506" s="267"/>
    </row>
    <row r="507" spans="1:9" ht="30" customHeight="1" x14ac:dyDescent="0.3">
      <c r="A507" s="169">
        <v>44726</v>
      </c>
      <c r="B507" s="4">
        <v>496</v>
      </c>
      <c r="C507" s="4"/>
      <c r="D507" s="8">
        <v>85</v>
      </c>
      <c r="E507" s="8">
        <v>57.142857142857146</v>
      </c>
      <c r="F507" s="264"/>
      <c r="G507" s="258"/>
      <c r="H507" s="267"/>
      <c r="I507" s="267"/>
    </row>
    <row r="508" spans="1:9" ht="30" customHeight="1" x14ac:dyDescent="0.3">
      <c r="A508" s="168">
        <v>44727</v>
      </c>
      <c r="B508" s="3">
        <v>497</v>
      </c>
      <c r="D508" s="7">
        <v>80</v>
      </c>
      <c r="E508" s="7">
        <v>89.473684210526315</v>
      </c>
      <c r="F508" s="264"/>
      <c r="G508" s="258"/>
      <c r="H508" s="267"/>
      <c r="I508" s="267"/>
    </row>
    <row r="509" spans="1:9" ht="30" customHeight="1" x14ac:dyDescent="0.3">
      <c r="A509" s="169">
        <v>44728</v>
      </c>
      <c r="B509" s="4">
        <v>498</v>
      </c>
      <c r="C509" s="4"/>
      <c r="D509" s="8">
        <v>82</v>
      </c>
      <c r="E509" s="8">
        <v>72.222222222222229</v>
      </c>
      <c r="F509" s="264"/>
      <c r="G509" s="258"/>
      <c r="H509" s="267"/>
      <c r="I509" s="267"/>
    </row>
    <row r="510" spans="1:9" ht="30" customHeight="1" x14ac:dyDescent="0.3">
      <c r="A510" s="168">
        <v>44729</v>
      </c>
      <c r="B510" s="3">
        <v>499</v>
      </c>
      <c r="D510" s="7">
        <v>82</v>
      </c>
      <c r="E510" s="7">
        <v>61.111111111111107</v>
      </c>
      <c r="F510" s="264"/>
      <c r="G510" s="258"/>
      <c r="H510" s="267"/>
      <c r="I510" s="267"/>
    </row>
    <row r="511" spans="1:9" ht="30" customHeight="1" x14ac:dyDescent="0.3">
      <c r="A511" s="169">
        <v>44730</v>
      </c>
      <c r="B511" s="4">
        <v>500</v>
      </c>
      <c r="C511" s="4"/>
      <c r="D511" s="8">
        <v>83</v>
      </c>
      <c r="E511" s="8">
        <v>81</v>
      </c>
      <c r="F511" s="264"/>
      <c r="G511" s="258"/>
      <c r="H511" s="267"/>
      <c r="I511" s="267"/>
    </row>
    <row r="512" spans="1:9" ht="30" customHeight="1" x14ac:dyDescent="0.3">
      <c r="A512" s="168">
        <v>44731</v>
      </c>
      <c r="B512" s="3">
        <v>501</v>
      </c>
      <c r="D512" s="7">
        <v>82</v>
      </c>
      <c r="E512" s="7">
        <v>72.222222222222229</v>
      </c>
      <c r="F512" s="264"/>
      <c r="G512" s="258"/>
      <c r="H512" s="267"/>
      <c r="I512" s="267"/>
    </row>
    <row r="513" spans="1:10" ht="30" customHeight="1" x14ac:dyDescent="0.3">
      <c r="A513" s="169">
        <v>44732</v>
      </c>
      <c r="B513" s="4">
        <v>502</v>
      </c>
      <c r="C513" s="4"/>
      <c r="D513" s="8">
        <v>86</v>
      </c>
      <c r="E513" s="8">
        <v>92.307692307692307</v>
      </c>
      <c r="F513" s="264"/>
      <c r="G513" s="258"/>
      <c r="H513" s="267"/>
      <c r="I513" s="267"/>
    </row>
    <row r="514" spans="1:10" ht="30" customHeight="1" x14ac:dyDescent="0.3">
      <c r="A514" s="168">
        <v>44733</v>
      </c>
      <c r="B514" s="3">
        <v>503</v>
      </c>
      <c r="D514" s="7">
        <v>82</v>
      </c>
      <c r="E514" s="7">
        <v>58.82352941176471</v>
      </c>
      <c r="F514" s="264"/>
      <c r="G514" s="258"/>
      <c r="H514" s="267"/>
      <c r="I514" s="267"/>
      <c r="J514" s="267"/>
    </row>
    <row r="515" spans="1:10" ht="30" customHeight="1" x14ac:dyDescent="0.3">
      <c r="A515" s="169">
        <v>44734</v>
      </c>
      <c r="B515" s="4">
        <v>504</v>
      </c>
      <c r="C515" s="4"/>
      <c r="D515" s="8">
        <v>80</v>
      </c>
      <c r="E515" s="8">
        <v>70.588235294117652</v>
      </c>
      <c r="F515" s="264"/>
      <c r="G515" s="258"/>
      <c r="H515" s="267"/>
      <c r="I515" s="267"/>
    </row>
    <row r="516" spans="1:10" ht="30" customHeight="1" x14ac:dyDescent="0.3">
      <c r="A516" s="168">
        <v>44735</v>
      </c>
      <c r="B516" s="3">
        <v>505</v>
      </c>
      <c r="D516" s="7">
        <v>87</v>
      </c>
      <c r="E516" s="7">
        <v>92.307692307692307</v>
      </c>
      <c r="F516" s="264"/>
      <c r="G516" s="258"/>
      <c r="H516" s="267"/>
      <c r="I516" s="267"/>
    </row>
    <row r="517" spans="1:10" ht="30" customHeight="1" x14ac:dyDescent="0.3">
      <c r="A517" s="169">
        <v>44736</v>
      </c>
      <c r="B517" s="4">
        <v>506</v>
      </c>
      <c r="C517" s="4"/>
      <c r="D517" s="8">
        <v>85</v>
      </c>
      <c r="E517" s="8">
        <v>66.666666666666671</v>
      </c>
      <c r="F517" s="264"/>
      <c r="G517" s="258"/>
      <c r="H517" s="267"/>
      <c r="I517" s="267"/>
    </row>
    <row r="518" spans="1:10" ht="30" customHeight="1" x14ac:dyDescent="0.3">
      <c r="A518" s="168">
        <v>44737</v>
      </c>
      <c r="B518" s="3">
        <v>507</v>
      </c>
      <c r="D518" s="7">
        <v>82</v>
      </c>
      <c r="E518" s="7">
        <v>73.333333333333329</v>
      </c>
      <c r="F518" s="264"/>
      <c r="G518" s="258"/>
      <c r="H518" s="267"/>
      <c r="I518" s="267"/>
    </row>
    <row r="519" spans="1:10" ht="30" customHeight="1" x14ac:dyDescent="0.3">
      <c r="A519" s="169">
        <v>44739</v>
      </c>
      <c r="B519" s="4">
        <v>508</v>
      </c>
      <c r="C519" s="4"/>
      <c r="D519" s="8">
        <v>82</v>
      </c>
      <c r="E519" s="8">
        <v>70.588235294117652</v>
      </c>
      <c r="F519" s="264"/>
      <c r="G519" s="258"/>
      <c r="H519" s="267"/>
      <c r="I519" s="267"/>
    </row>
    <row r="520" spans="1:10" ht="30" customHeight="1" x14ac:dyDescent="0.3">
      <c r="A520" s="168">
        <v>44744</v>
      </c>
      <c r="B520" s="3">
        <v>509</v>
      </c>
      <c r="D520" s="7">
        <v>83</v>
      </c>
      <c r="E520" s="7">
        <v>88.235294117647058</v>
      </c>
      <c r="F520" s="264"/>
      <c r="G520" s="258"/>
      <c r="H520" s="267"/>
      <c r="I520" s="267"/>
    </row>
    <row r="521" spans="1:10" ht="30" customHeight="1" x14ac:dyDescent="0.3">
      <c r="A521" s="169">
        <v>44748</v>
      </c>
      <c r="B521" s="4">
        <v>510</v>
      </c>
      <c r="C521" s="4"/>
      <c r="D521" s="8">
        <v>84</v>
      </c>
      <c r="E521" s="8">
        <v>84.615384615384613</v>
      </c>
      <c r="F521" s="264"/>
      <c r="G521" s="258"/>
      <c r="H521" s="267"/>
      <c r="I521" s="267"/>
    </row>
    <row r="522" spans="1:10" ht="30" customHeight="1" x14ac:dyDescent="0.3">
      <c r="A522" s="168">
        <v>44750</v>
      </c>
      <c r="B522" s="3">
        <v>511</v>
      </c>
      <c r="D522" s="7">
        <v>79</v>
      </c>
      <c r="E522" s="7">
        <v>80</v>
      </c>
      <c r="F522" s="264"/>
      <c r="G522" s="258"/>
      <c r="H522" s="267"/>
      <c r="I522" s="267"/>
    </row>
    <row r="523" spans="1:10" ht="30" customHeight="1" x14ac:dyDescent="0.3">
      <c r="A523" s="169">
        <v>44751</v>
      </c>
      <c r="B523" s="4">
        <v>512</v>
      </c>
      <c r="C523" s="4"/>
      <c r="D523" s="8">
        <v>76</v>
      </c>
      <c r="E523" s="8">
        <v>63</v>
      </c>
      <c r="F523" s="264"/>
      <c r="G523" s="258"/>
      <c r="H523" s="267"/>
      <c r="I523" s="267"/>
    </row>
    <row r="524" spans="1:10" ht="30" customHeight="1" x14ac:dyDescent="0.3">
      <c r="A524" s="168">
        <v>44752</v>
      </c>
      <c r="B524" s="3">
        <v>513</v>
      </c>
      <c r="D524" s="7">
        <v>76</v>
      </c>
      <c r="E524" s="7">
        <v>85.714285714285722</v>
      </c>
      <c r="F524" s="264"/>
      <c r="G524" s="258"/>
      <c r="H524" s="267"/>
      <c r="I524" s="267"/>
    </row>
    <row r="525" spans="1:10" ht="30" customHeight="1" x14ac:dyDescent="0.3">
      <c r="A525" s="169">
        <v>44755</v>
      </c>
      <c r="B525" s="4">
        <v>514</v>
      </c>
      <c r="C525" s="4"/>
      <c r="D525" s="8">
        <v>82</v>
      </c>
      <c r="E525" s="8">
        <v>82.35294117647058</v>
      </c>
      <c r="F525" s="264"/>
      <c r="G525" s="258"/>
      <c r="H525" s="267"/>
      <c r="I525" s="267"/>
    </row>
    <row r="526" spans="1:10" ht="30" customHeight="1" x14ac:dyDescent="0.3">
      <c r="A526" s="168">
        <v>44756</v>
      </c>
      <c r="B526" s="3">
        <v>515</v>
      </c>
      <c r="D526" s="7">
        <v>83</v>
      </c>
      <c r="E526" s="7">
        <v>50</v>
      </c>
      <c r="F526" s="264"/>
      <c r="G526" s="258"/>
      <c r="H526" s="267"/>
      <c r="I526" s="267"/>
    </row>
    <row r="527" spans="1:10" ht="30" customHeight="1" x14ac:dyDescent="0.3">
      <c r="A527" s="169">
        <v>44757</v>
      </c>
      <c r="B527" s="4">
        <v>516</v>
      </c>
      <c r="C527" s="4"/>
      <c r="D527" s="8">
        <v>83</v>
      </c>
      <c r="E527" s="8">
        <v>64.705882352941174</v>
      </c>
      <c r="F527" s="264"/>
      <c r="G527" s="258"/>
      <c r="H527" s="267"/>
      <c r="I527" s="267"/>
    </row>
    <row r="528" spans="1:10" ht="30" customHeight="1" x14ac:dyDescent="0.3">
      <c r="A528" s="168">
        <v>44760</v>
      </c>
      <c r="B528" s="3">
        <v>517</v>
      </c>
      <c r="D528" s="7">
        <v>78</v>
      </c>
      <c r="E528" s="7">
        <v>71.428571428571431</v>
      </c>
      <c r="F528" s="264"/>
      <c r="G528" s="258"/>
      <c r="H528" s="267"/>
      <c r="I528" s="267"/>
    </row>
    <row r="529" spans="1:9" ht="30" customHeight="1" x14ac:dyDescent="0.3">
      <c r="A529" s="169">
        <v>44762</v>
      </c>
      <c r="B529" s="4">
        <v>518</v>
      </c>
      <c r="C529" s="4"/>
      <c r="D529" s="8">
        <v>80</v>
      </c>
      <c r="E529" s="8">
        <v>68.75</v>
      </c>
      <c r="F529" s="264"/>
      <c r="G529" s="258"/>
      <c r="H529" s="267"/>
      <c r="I529" s="267"/>
    </row>
    <row r="530" spans="1:9" ht="30" customHeight="1" x14ac:dyDescent="0.3">
      <c r="A530" s="168">
        <v>44766</v>
      </c>
      <c r="B530" s="3">
        <v>519</v>
      </c>
      <c r="D530" s="7">
        <v>78</v>
      </c>
      <c r="E530" s="7">
        <v>80</v>
      </c>
      <c r="F530" s="264"/>
      <c r="G530" s="258"/>
      <c r="H530" s="267"/>
      <c r="I530" s="267"/>
    </row>
    <row r="531" spans="1:9" ht="30" customHeight="1" x14ac:dyDescent="0.3">
      <c r="A531" s="169">
        <v>44769</v>
      </c>
      <c r="B531" s="4">
        <v>520</v>
      </c>
      <c r="C531" s="4"/>
      <c r="D531" s="8">
        <v>77</v>
      </c>
      <c r="E531" s="8">
        <v>71.428571428571431</v>
      </c>
      <c r="F531" s="264"/>
      <c r="G531" s="258"/>
      <c r="H531" s="267"/>
      <c r="I531" s="267"/>
    </row>
    <row r="532" spans="1:9" ht="30" customHeight="1" x14ac:dyDescent="0.3">
      <c r="A532" s="168">
        <v>44770</v>
      </c>
      <c r="B532" s="3">
        <v>521</v>
      </c>
      <c r="D532" s="7">
        <v>76</v>
      </c>
      <c r="E532" s="7">
        <v>77.27272727272728</v>
      </c>
      <c r="F532" s="264"/>
      <c r="G532" s="258"/>
      <c r="H532" s="267"/>
      <c r="I532" s="267"/>
    </row>
    <row r="533" spans="1:9" ht="30" customHeight="1" x14ac:dyDescent="0.3">
      <c r="A533" s="169">
        <v>44771</v>
      </c>
      <c r="B533" s="4">
        <v>522</v>
      </c>
      <c r="C533" s="4"/>
      <c r="D533" s="8">
        <v>85</v>
      </c>
      <c r="E533" s="8">
        <v>41.666666666666664</v>
      </c>
      <c r="F533" s="264"/>
      <c r="G533" s="258"/>
      <c r="H533" s="267"/>
      <c r="I533" s="267"/>
    </row>
    <row r="534" spans="1:9" ht="30" customHeight="1" x14ac:dyDescent="0.3">
      <c r="A534" s="168">
        <v>44772</v>
      </c>
      <c r="B534" s="3">
        <v>523</v>
      </c>
      <c r="D534" s="7">
        <v>78</v>
      </c>
      <c r="E534" s="7">
        <v>85.714285714285722</v>
      </c>
      <c r="F534" s="264"/>
      <c r="G534" s="258"/>
      <c r="H534" s="267"/>
      <c r="I534" s="267"/>
    </row>
    <row r="535" spans="1:9" ht="30" customHeight="1" x14ac:dyDescent="0.3">
      <c r="A535" s="169">
        <v>44773</v>
      </c>
      <c r="B535" s="4">
        <v>524</v>
      </c>
      <c r="C535" s="4"/>
      <c r="D535" s="8">
        <v>80</v>
      </c>
      <c r="E535" s="8">
        <v>95</v>
      </c>
      <c r="F535" s="264"/>
      <c r="G535" s="258"/>
      <c r="H535" s="267"/>
      <c r="I535" s="267"/>
    </row>
    <row r="536" spans="1:9" ht="30" customHeight="1" x14ac:dyDescent="0.3">
      <c r="A536" s="168">
        <v>44774</v>
      </c>
      <c r="B536" s="3">
        <v>525</v>
      </c>
      <c r="D536" s="7">
        <v>81</v>
      </c>
      <c r="E536" s="7">
        <v>52.941176470588239</v>
      </c>
      <c r="F536" s="264"/>
      <c r="G536" s="258"/>
      <c r="H536" s="267"/>
      <c r="I536" s="267"/>
    </row>
    <row r="537" spans="1:9" ht="30" customHeight="1" x14ac:dyDescent="0.3">
      <c r="A537" s="169">
        <v>44775</v>
      </c>
      <c r="B537" s="4">
        <v>526</v>
      </c>
      <c r="C537" s="4"/>
      <c r="D537" s="8">
        <v>79</v>
      </c>
      <c r="E537" s="8">
        <v>57</v>
      </c>
      <c r="F537" s="264"/>
      <c r="G537" s="258"/>
      <c r="H537" s="267"/>
      <c r="I537" s="267"/>
    </row>
    <row r="538" spans="1:9" ht="30" customHeight="1" x14ac:dyDescent="0.3">
      <c r="A538" s="168">
        <v>44776</v>
      </c>
      <c r="B538" s="3">
        <v>527</v>
      </c>
      <c r="D538" s="7">
        <v>80</v>
      </c>
      <c r="E538" s="7">
        <v>78.94736842105263</v>
      </c>
      <c r="F538" s="264"/>
      <c r="G538" s="258"/>
      <c r="H538" s="267"/>
      <c r="I538" s="267"/>
    </row>
    <row r="539" spans="1:9" ht="30" customHeight="1" x14ac:dyDescent="0.3">
      <c r="A539" s="169">
        <v>44777</v>
      </c>
      <c r="B539" s="4">
        <v>528</v>
      </c>
      <c r="C539" s="4"/>
      <c r="D539" s="8">
        <v>84</v>
      </c>
      <c r="E539" s="8">
        <v>80</v>
      </c>
      <c r="F539" s="264"/>
      <c r="G539" s="258"/>
      <c r="H539" s="267"/>
      <c r="I539" s="267"/>
    </row>
    <row r="540" spans="1:9" ht="30" customHeight="1" x14ac:dyDescent="0.3">
      <c r="A540" s="168">
        <v>44778</v>
      </c>
      <c r="B540" s="3">
        <v>529</v>
      </c>
      <c r="D540" s="7">
        <v>83</v>
      </c>
      <c r="E540" s="7">
        <v>73.333333333333329</v>
      </c>
      <c r="F540" s="264"/>
      <c r="G540" s="258"/>
      <c r="H540" s="267"/>
      <c r="I540" s="267"/>
    </row>
    <row r="541" spans="1:9" ht="30" customHeight="1" x14ac:dyDescent="0.3">
      <c r="A541" s="169">
        <v>44779</v>
      </c>
      <c r="B541" s="4">
        <v>530</v>
      </c>
      <c r="C541" s="4"/>
      <c r="D541" s="8">
        <v>81</v>
      </c>
      <c r="E541" s="8">
        <v>88.888888888888886</v>
      </c>
      <c r="F541" s="264"/>
      <c r="G541" s="258"/>
      <c r="H541" s="267"/>
      <c r="I541" s="267"/>
    </row>
    <row r="542" spans="1:9" ht="30" customHeight="1" x14ac:dyDescent="0.3">
      <c r="A542" s="168">
        <v>44780</v>
      </c>
      <c r="B542" s="3">
        <v>531</v>
      </c>
      <c r="D542" s="7">
        <v>86</v>
      </c>
      <c r="E542" s="7">
        <v>84.615384615384613</v>
      </c>
      <c r="F542" s="264"/>
      <c r="G542" s="258"/>
      <c r="H542" s="267"/>
      <c r="I542" s="267"/>
    </row>
    <row r="543" spans="1:9" ht="30" customHeight="1" x14ac:dyDescent="0.3">
      <c r="A543" s="169">
        <v>44781</v>
      </c>
      <c r="B543" s="4">
        <v>532</v>
      </c>
      <c r="C543" s="4"/>
      <c r="D543" s="8">
        <v>80</v>
      </c>
      <c r="E543" s="8">
        <v>66.666666666666671</v>
      </c>
      <c r="F543" s="264"/>
      <c r="G543" s="258"/>
      <c r="H543" s="267"/>
      <c r="I543" s="267"/>
    </row>
    <row r="544" spans="1:9" ht="30" customHeight="1" x14ac:dyDescent="0.3">
      <c r="A544" s="168">
        <v>44782</v>
      </c>
      <c r="B544" s="3">
        <v>533</v>
      </c>
      <c r="D544" s="7">
        <v>76</v>
      </c>
      <c r="E544" s="7">
        <v>82.608695652173907</v>
      </c>
      <c r="F544" s="264"/>
      <c r="G544" s="258"/>
      <c r="H544" s="267"/>
      <c r="I544" s="267"/>
    </row>
    <row r="545" spans="1:9" ht="30" customHeight="1" x14ac:dyDescent="0.3">
      <c r="A545" s="169">
        <v>44783</v>
      </c>
      <c r="B545" s="4">
        <v>534</v>
      </c>
      <c r="C545" s="4"/>
      <c r="D545" s="8">
        <v>84</v>
      </c>
      <c r="E545" s="8">
        <v>86.666666666666671</v>
      </c>
      <c r="F545" s="264"/>
      <c r="G545" s="258"/>
      <c r="H545" s="267"/>
      <c r="I545" s="267"/>
    </row>
    <row r="546" spans="1:9" ht="30" customHeight="1" x14ac:dyDescent="0.3">
      <c r="A546" s="168">
        <v>44784</v>
      </c>
      <c r="B546" s="3">
        <v>535</v>
      </c>
      <c r="D546" s="7">
        <v>80</v>
      </c>
      <c r="E546" s="7">
        <v>58.82352941176471</v>
      </c>
      <c r="F546" s="264"/>
      <c r="G546" s="258"/>
      <c r="H546" s="267"/>
      <c r="I546" s="267"/>
    </row>
    <row r="547" spans="1:9" ht="30" customHeight="1" x14ac:dyDescent="0.3">
      <c r="A547" s="169">
        <v>44786</v>
      </c>
      <c r="B547" s="4">
        <v>536</v>
      </c>
      <c r="C547" s="4"/>
      <c r="D547" s="8">
        <v>82</v>
      </c>
      <c r="E547" s="8">
        <v>64.705882352941174</v>
      </c>
      <c r="F547" s="264"/>
      <c r="G547" s="258"/>
      <c r="H547" s="267"/>
      <c r="I547" s="267"/>
    </row>
    <row r="548" spans="1:9" ht="30" customHeight="1" x14ac:dyDescent="0.3">
      <c r="A548" s="168">
        <v>44789</v>
      </c>
      <c r="B548" s="3">
        <v>537</v>
      </c>
      <c r="D548" s="7">
        <v>77</v>
      </c>
      <c r="E548" s="7">
        <v>63.636363636363633</v>
      </c>
      <c r="F548" s="264"/>
      <c r="G548" s="258"/>
      <c r="H548" s="267"/>
      <c r="I548" s="267"/>
    </row>
    <row r="549" spans="1:9" ht="30" customHeight="1" x14ac:dyDescent="0.3">
      <c r="A549" s="169">
        <v>44792</v>
      </c>
      <c r="B549" s="4">
        <v>538</v>
      </c>
      <c r="C549" s="4"/>
      <c r="D549" s="8">
        <v>78</v>
      </c>
      <c r="E549" s="8">
        <v>88.888888888888886</v>
      </c>
      <c r="F549" s="264"/>
      <c r="G549" s="258"/>
      <c r="H549" s="267"/>
      <c r="I549" s="267"/>
    </row>
    <row r="550" spans="1:9" ht="30" customHeight="1" x14ac:dyDescent="0.3">
      <c r="A550" s="168">
        <v>44793</v>
      </c>
      <c r="B550" s="3">
        <v>539</v>
      </c>
      <c r="D550" s="7">
        <v>83</v>
      </c>
      <c r="E550" s="7">
        <v>93.333333333333329</v>
      </c>
      <c r="F550" s="264"/>
      <c r="G550" s="258"/>
      <c r="H550" s="267"/>
      <c r="I550" s="267"/>
    </row>
    <row r="551" spans="1:9" ht="30" customHeight="1" x14ac:dyDescent="0.3">
      <c r="A551" s="169">
        <v>44794</v>
      </c>
      <c r="B551" s="4">
        <v>540</v>
      </c>
      <c r="C551" s="4"/>
      <c r="D551" s="8">
        <v>82</v>
      </c>
      <c r="E551" s="8">
        <v>68.75</v>
      </c>
      <c r="F551" s="264"/>
      <c r="G551" s="258"/>
      <c r="H551" s="267"/>
      <c r="I551" s="267"/>
    </row>
    <row r="552" spans="1:9" ht="30" customHeight="1" x14ac:dyDescent="0.3">
      <c r="A552" s="168">
        <v>44795</v>
      </c>
      <c r="B552" s="3">
        <v>541</v>
      </c>
      <c r="D552" s="7">
        <v>82</v>
      </c>
      <c r="E552" s="7">
        <v>83.333333333333343</v>
      </c>
      <c r="F552" s="264"/>
      <c r="G552" s="258"/>
      <c r="H552" s="267"/>
      <c r="I552" s="267"/>
    </row>
    <row r="553" spans="1:9" ht="30" customHeight="1" x14ac:dyDescent="0.3">
      <c r="A553" s="169">
        <v>44796</v>
      </c>
      <c r="B553" s="4">
        <v>542</v>
      </c>
      <c r="C553" s="4"/>
      <c r="D553" s="8">
        <v>91</v>
      </c>
      <c r="E553" s="8">
        <v>77.777777777777771</v>
      </c>
      <c r="F553" s="264"/>
      <c r="G553" s="258"/>
      <c r="H553" s="267"/>
      <c r="I553" s="267"/>
    </row>
    <row r="554" spans="1:9" ht="30" customHeight="1" x14ac:dyDescent="0.3">
      <c r="A554" s="168">
        <v>44797</v>
      </c>
      <c r="B554" s="3">
        <v>543</v>
      </c>
      <c r="D554" s="7">
        <v>83</v>
      </c>
      <c r="E554" s="7">
        <v>84.615384615384613</v>
      </c>
      <c r="F554" s="264"/>
      <c r="G554" s="258"/>
      <c r="H554" s="267"/>
      <c r="I554" s="267"/>
    </row>
    <row r="555" spans="1:9" ht="30" customHeight="1" x14ac:dyDescent="0.3">
      <c r="A555" s="169">
        <v>44798</v>
      </c>
      <c r="B555" s="4">
        <v>544</v>
      </c>
      <c r="C555" s="4"/>
      <c r="D555" s="8">
        <v>85</v>
      </c>
      <c r="E555" s="8">
        <v>86.666666666666671</v>
      </c>
      <c r="F555" s="264"/>
      <c r="G555" s="258"/>
      <c r="H555" s="267"/>
      <c r="I555" s="267"/>
    </row>
    <row r="556" spans="1:9" ht="30" customHeight="1" x14ac:dyDescent="0.3">
      <c r="A556" s="168">
        <v>44799</v>
      </c>
      <c r="B556" s="3">
        <v>545</v>
      </c>
      <c r="D556" s="7">
        <v>76</v>
      </c>
      <c r="E556" s="7">
        <v>60.869565217391305</v>
      </c>
      <c r="F556" s="264"/>
      <c r="G556" s="258"/>
      <c r="H556" s="267"/>
      <c r="I556" s="267"/>
    </row>
    <row r="557" spans="1:9" ht="30" customHeight="1" x14ac:dyDescent="0.3">
      <c r="A557" s="169">
        <v>44800</v>
      </c>
      <c r="B557" s="4">
        <v>546</v>
      </c>
      <c r="C557" s="4"/>
      <c r="D557" s="8">
        <v>80</v>
      </c>
      <c r="E557" s="8">
        <v>66</v>
      </c>
      <c r="F557" s="264"/>
      <c r="G557" s="258"/>
      <c r="H557" s="267"/>
      <c r="I557" s="267"/>
    </row>
    <row r="558" spans="1:9" ht="30" customHeight="1" x14ac:dyDescent="0.3">
      <c r="A558" s="168">
        <v>44801</v>
      </c>
      <c r="B558" s="3">
        <v>547</v>
      </c>
      <c r="D558" s="7">
        <v>80</v>
      </c>
      <c r="E558" s="7">
        <v>70</v>
      </c>
      <c r="F558" s="264"/>
      <c r="G558" s="258"/>
      <c r="H558" s="267"/>
      <c r="I558" s="267"/>
    </row>
    <row r="559" spans="1:9" ht="30" customHeight="1" x14ac:dyDescent="0.3">
      <c r="A559" s="169">
        <v>44802</v>
      </c>
      <c r="B559" s="4">
        <v>548</v>
      </c>
      <c r="C559" s="4"/>
      <c r="D559" s="8">
        <v>83</v>
      </c>
      <c r="E559" s="8">
        <v>52.941176470588239</v>
      </c>
      <c r="F559" s="264"/>
      <c r="G559" s="258"/>
      <c r="H559" s="267"/>
      <c r="I559" s="267"/>
    </row>
    <row r="560" spans="1:9" ht="30" customHeight="1" x14ac:dyDescent="0.3">
      <c r="A560" s="168">
        <v>44803</v>
      </c>
      <c r="B560" s="3">
        <v>549</v>
      </c>
      <c r="D560" s="7">
        <v>87</v>
      </c>
      <c r="E560" s="7">
        <v>90.909090909090907</v>
      </c>
      <c r="F560" s="264"/>
      <c r="G560" s="258"/>
      <c r="H560" s="267"/>
      <c r="I560" s="267"/>
    </row>
    <row r="561" spans="1:9" ht="30" customHeight="1" x14ac:dyDescent="0.3">
      <c r="A561" s="169">
        <v>44804</v>
      </c>
      <c r="B561" s="4">
        <v>550</v>
      </c>
      <c r="C561" s="4"/>
      <c r="D561" s="8">
        <v>79</v>
      </c>
      <c r="E561" s="8">
        <v>66.666666666666671</v>
      </c>
      <c r="F561" s="264"/>
      <c r="G561" s="258"/>
      <c r="H561" s="267"/>
      <c r="I561" s="267"/>
    </row>
    <row r="562" spans="1:9" ht="30" customHeight="1" x14ac:dyDescent="0.3">
      <c r="A562" s="168">
        <v>44805</v>
      </c>
      <c r="B562" s="3">
        <v>551</v>
      </c>
      <c r="D562" s="7">
        <v>79</v>
      </c>
      <c r="E562" s="7">
        <v>80</v>
      </c>
      <c r="F562" s="264"/>
      <c r="G562" s="258"/>
      <c r="H562" s="267"/>
      <c r="I562" s="267"/>
    </row>
    <row r="563" spans="1:9" ht="30" customHeight="1" x14ac:dyDescent="0.3">
      <c r="A563" s="169">
        <v>44806</v>
      </c>
      <c r="B563" s="4">
        <v>552</v>
      </c>
      <c r="C563" s="4"/>
      <c r="D563" s="8">
        <v>77</v>
      </c>
      <c r="E563" s="8">
        <v>60</v>
      </c>
      <c r="F563" s="264"/>
      <c r="G563" s="258"/>
      <c r="H563" s="267"/>
      <c r="I563" s="267"/>
    </row>
    <row r="564" spans="1:9" ht="30" customHeight="1" x14ac:dyDescent="0.3">
      <c r="A564" s="168">
        <v>44808</v>
      </c>
      <c r="B564" s="3">
        <v>553</v>
      </c>
      <c r="D564" s="7">
        <v>83</v>
      </c>
      <c r="E564" s="7">
        <v>86</v>
      </c>
      <c r="F564" s="264"/>
      <c r="G564" s="258"/>
      <c r="H564" s="267"/>
      <c r="I564" s="267"/>
    </row>
    <row r="565" spans="1:9" ht="30" customHeight="1" x14ac:dyDescent="0.3">
      <c r="A565" s="169">
        <v>44810</v>
      </c>
      <c r="B565" s="4">
        <v>554</v>
      </c>
      <c r="C565" s="4"/>
      <c r="D565" s="8">
        <v>80</v>
      </c>
      <c r="E565" s="8">
        <v>89.473684210526315</v>
      </c>
      <c r="F565" s="264"/>
      <c r="G565" s="258"/>
      <c r="H565" s="267"/>
      <c r="I565" s="267"/>
    </row>
    <row r="566" spans="1:9" ht="30" customHeight="1" x14ac:dyDescent="0.3">
      <c r="A566" s="168">
        <v>44811</v>
      </c>
      <c r="B566" s="3">
        <v>555</v>
      </c>
      <c r="D566" s="7">
        <v>75</v>
      </c>
      <c r="E566" s="7">
        <v>78.260869565217391</v>
      </c>
      <c r="F566" s="264"/>
      <c r="G566" s="258"/>
      <c r="H566" s="267"/>
      <c r="I566" s="267"/>
    </row>
    <row r="567" spans="1:9" ht="30" customHeight="1" x14ac:dyDescent="0.3">
      <c r="A567" s="169">
        <v>44812</v>
      </c>
      <c r="B567" s="4">
        <v>556</v>
      </c>
      <c r="C567" s="4"/>
      <c r="D567" s="8">
        <v>81</v>
      </c>
      <c r="E567" s="8">
        <v>73.684210526315795</v>
      </c>
      <c r="F567" s="264"/>
      <c r="G567" s="258"/>
      <c r="H567" s="267"/>
      <c r="I567" s="267"/>
    </row>
    <row r="568" spans="1:9" ht="30" customHeight="1" x14ac:dyDescent="0.3">
      <c r="A568" s="168">
        <v>44813</v>
      </c>
      <c r="B568" s="3">
        <v>557</v>
      </c>
      <c r="D568" s="7">
        <v>77</v>
      </c>
      <c r="E568" s="7">
        <v>61.904761904761905</v>
      </c>
      <c r="F568" s="264"/>
      <c r="G568" s="258"/>
      <c r="H568" s="267"/>
      <c r="I568" s="267"/>
    </row>
    <row r="569" spans="1:9" ht="30" customHeight="1" x14ac:dyDescent="0.3">
      <c r="A569" s="169">
        <v>44814</v>
      </c>
      <c r="B569" s="4">
        <v>558</v>
      </c>
      <c r="C569" s="4"/>
      <c r="D569" s="8">
        <v>78</v>
      </c>
      <c r="E569" s="8">
        <v>72.727272727272734</v>
      </c>
      <c r="F569" s="264"/>
      <c r="G569" s="258"/>
      <c r="H569" s="267"/>
      <c r="I569" s="267"/>
    </row>
    <row r="570" spans="1:9" ht="30" customHeight="1" x14ac:dyDescent="0.3">
      <c r="A570" s="168">
        <v>44815</v>
      </c>
      <c r="B570" s="3">
        <v>559</v>
      </c>
      <c r="D570" s="7">
        <v>87</v>
      </c>
      <c r="E570" s="7">
        <v>63.636363636363633</v>
      </c>
      <c r="F570" s="264"/>
      <c r="G570" s="258"/>
      <c r="H570" s="267"/>
      <c r="I570" s="267"/>
    </row>
    <row r="571" spans="1:9" ht="30" customHeight="1" x14ac:dyDescent="0.3">
      <c r="A571" s="169">
        <v>44820</v>
      </c>
      <c r="B571" s="4">
        <v>560</v>
      </c>
      <c r="C571" s="4"/>
      <c r="D571" s="8">
        <v>82</v>
      </c>
      <c r="E571" s="8">
        <v>78</v>
      </c>
      <c r="F571" s="264"/>
      <c r="G571" s="258"/>
      <c r="H571" s="267"/>
      <c r="I571" s="267"/>
    </row>
    <row r="572" spans="1:9" ht="30" customHeight="1" x14ac:dyDescent="0.3">
      <c r="A572" s="168">
        <v>44823</v>
      </c>
      <c r="B572" s="3">
        <v>561</v>
      </c>
      <c r="D572" s="7">
        <v>88</v>
      </c>
      <c r="E572" s="7">
        <v>83.333333333333343</v>
      </c>
      <c r="F572" s="264"/>
      <c r="G572" s="258"/>
      <c r="H572" s="267"/>
      <c r="I572" s="267"/>
    </row>
    <row r="573" spans="1:9" ht="30" customHeight="1" x14ac:dyDescent="0.3">
      <c r="A573" s="169">
        <v>44826</v>
      </c>
      <c r="B573" s="4">
        <v>562</v>
      </c>
      <c r="C573" s="4"/>
      <c r="D573" s="8">
        <v>79</v>
      </c>
      <c r="E573" s="8">
        <v>63.15789473684211</v>
      </c>
      <c r="F573" s="264"/>
      <c r="G573" s="258"/>
      <c r="H573" s="267"/>
      <c r="I573" s="267"/>
    </row>
    <row r="574" spans="1:9" ht="30" customHeight="1" x14ac:dyDescent="0.3">
      <c r="A574" s="168">
        <v>44827</v>
      </c>
      <c r="B574" s="3">
        <v>563</v>
      </c>
      <c r="D574" s="7">
        <v>82</v>
      </c>
      <c r="E574" s="7">
        <v>83</v>
      </c>
      <c r="F574" s="264"/>
      <c r="G574" s="258"/>
      <c r="H574" s="267"/>
      <c r="I574" s="267"/>
    </row>
    <row r="575" spans="1:9" ht="30" customHeight="1" x14ac:dyDescent="0.3">
      <c r="A575" s="169">
        <v>44828</v>
      </c>
      <c r="B575" s="4">
        <v>564</v>
      </c>
      <c r="C575" s="4"/>
      <c r="D575" s="8">
        <v>82</v>
      </c>
      <c r="E575" s="8">
        <v>72.222222222222229</v>
      </c>
      <c r="F575" s="264"/>
      <c r="G575" s="258"/>
      <c r="H575" s="267"/>
      <c r="I575" s="267"/>
    </row>
    <row r="576" spans="1:9" ht="30" customHeight="1" x14ac:dyDescent="0.3">
      <c r="A576" s="168">
        <v>44829</v>
      </c>
      <c r="B576" s="3">
        <v>565</v>
      </c>
      <c r="D576" s="7">
        <v>80</v>
      </c>
      <c r="E576" s="7">
        <v>72.222222222222229</v>
      </c>
      <c r="F576" s="264"/>
      <c r="G576" s="258"/>
      <c r="H576" s="267"/>
      <c r="I576" s="267"/>
    </row>
    <row r="577" spans="1:9" ht="30" customHeight="1" x14ac:dyDescent="0.3">
      <c r="A577" s="169">
        <v>44830</v>
      </c>
      <c r="B577" s="4">
        <v>566</v>
      </c>
      <c r="C577" s="4"/>
      <c r="D577" s="8">
        <v>87</v>
      </c>
      <c r="E577" s="8">
        <v>54</v>
      </c>
      <c r="F577" s="264"/>
      <c r="G577" s="258"/>
      <c r="H577" s="267"/>
      <c r="I577" s="267"/>
    </row>
    <row r="578" spans="1:9" ht="30" customHeight="1" x14ac:dyDescent="0.3">
      <c r="A578" s="168">
        <v>44831</v>
      </c>
      <c r="B578" s="3">
        <v>567</v>
      </c>
      <c r="D578" s="7">
        <v>81</v>
      </c>
      <c r="E578" s="7">
        <v>75</v>
      </c>
      <c r="F578" s="264"/>
      <c r="G578" s="258"/>
      <c r="H578" s="267"/>
      <c r="I578" s="267"/>
    </row>
    <row r="579" spans="1:9" ht="30" customHeight="1" x14ac:dyDescent="0.3">
      <c r="A579" s="169">
        <v>44832</v>
      </c>
      <c r="B579" s="4">
        <v>568</v>
      </c>
      <c r="C579" s="4"/>
      <c r="D579" s="8">
        <v>77</v>
      </c>
      <c r="E579" s="8">
        <v>73.913043478260875</v>
      </c>
      <c r="F579" s="264"/>
      <c r="G579" s="258"/>
      <c r="H579" s="267"/>
      <c r="I579" s="267"/>
    </row>
    <row r="580" spans="1:9" ht="30" customHeight="1" x14ac:dyDescent="0.3">
      <c r="A580" s="168">
        <v>44833</v>
      </c>
      <c r="B580" s="3">
        <v>569</v>
      </c>
      <c r="D580" s="7">
        <v>84</v>
      </c>
      <c r="E580" s="7">
        <v>100</v>
      </c>
      <c r="F580" s="264"/>
      <c r="G580" s="258"/>
      <c r="H580" s="267"/>
      <c r="I580" s="267"/>
    </row>
    <row r="581" spans="1:9" ht="30" customHeight="1" x14ac:dyDescent="0.3">
      <c r="A581" s="169">
        <v>44834</v>
      </c>
      <c r="B581" s="4">
        <v>570</v>
      </c>
      <c r="C581" s="4"/>
      <c r="D581" s="8">
        <v>74</v>
      </c>
      <c r="E581" s="8">
        <v>68</v>
      </c>
      <c r="F581" s="264"/>
      <c r="G581" s="258"/>
      <c r="H581" s="267"/>
      <c r="I581" s="267"/>
    </row>
    <row r="582" spans="1:9" ht="30" customHeight="1" x14ac:dyDescent="0.3">
      <c r="A582" s="168">
        <v>44835</v>
      </c>
      <c r="B582" s="3">
        <v>571</v>
      </c>
      <c r="D582" s="7">
        <v>82</v>
      </c>
      <c r="E582" s="7">
        <v>83.333333333333343</v>
      </c>
      <c r="F582" s="264"/>
      <c r="G582" s="258"/>
      <c r="H582" s="267"/>
      <c r="I582" s="267"/>
    </row>
    <row r="583" spans="1:9" ht="30" customHeight="1" x14ac:dyDescent="0.3">
      <c r="A583" s="169">
        <v>44836</v>
      </c>
      <c r="B583" s="4">
        <v>572</v>
      </c>
      <c r="C583" s="4"/>
      <c r="D583" s="8">
        <v>85</v>
      </c>
      <c r="E583" s="8">
        <v>71.428571428571431</v>
      </c>
      <c r="F583" s="264"/>
      <c r="G583" s="258"/>
      <c r="H583" s="267"/>
      <c r="I583" s="267"/>
    </row>
    <row r="584" spans="1:9" ht="30" customHeight="1" x14ac:dyDescent="0.3">
      <c r="A584" s="168">
        <v>44837</v>
      </c>
      <c r="B584" s="3">
        <v>573</v>
      </c>
      <c r="D584" s="7">
        <v>88</v>
      </c>
      <c r="E584" s="7">
        <v>63.636363636363633</v>
      </c>
      <c r="F584" s="264"/>
      <c r="G584" s="258"/>
      <c r="H584" s="267"/>
      <c r="I584" s="267"/>
    </row>
    <row r="585" spans="1:9" ht="30" customHeight="1" x14ac:dyDescent="0.3">
      <c r="A585" s="169">
        <v>44838</v>
      </c>
      <c r="B585" s="4">
        <v>574</v>
      </c>
      <c r="C585" s="4"/>
      <c r="D585" s="8">
        <v>79</v>
      </c>
      <c r="E585" s="8">
        <v>75</v>
      </c>
      <c r="F585" s="264"/>
      <c r="G585" s="258"/>
      <c r="H585" s="267"/>
      <c r="I585" s="267"/>
    </row>
    <row r="586" spans="1:9" ht="30" customHeight="1" x14ac:dyDescent="0.3">
      <c r="A586" s="168">
        <v>44839</v>
      </c>
      <c r="B586" s="3">
        <v>575</v>
      </c>
      <c r="D586" s="7">
        <v>85</v>
      </c>
      <c r="E586" s="7">
        <v>84.615384615384613</v>
      </c>
      <c r="F586" s="264"/>
      <c r="G586" s="258"/>
      <c r="H586" s="267"/>
      <c r="I586" s="267"/>
    </row>
    <row r="587" spans="1:9" ht="30" customHeight="1" x14ac:dyDescent="0.3">
      <c r="A587" s="169">
        <v>44840</v>
      </c>
      <c r="B587" s="4">
        <v>576</v>
      </c>
      <c r="C587" s="4"/>
      <c r="D587" s="8">
        <v>84</v>
      </c>
      <c r="E587" s="8">
        <v>87.5</v>
      </c>
      <c r="F587" s="264"/>
      <c r="G587" s="258"/>
      <c r="H587" s="267"/>
      <c r="I587" s="267"/>
    </row>
    <row r="588" spans="1:9" ht="30" customHeight="1" x14ac:dyDescent="0.3">
      <c r="A588" s="168">
        <v>44841</v>
      </c>
      <c r="B588" s="3">
        <v>577</v>
      </c>
      <c r="D588" s="7">
        <v>73</v>
      </c>
      <c r="E588" s="7">
        <v>92</v>
      </c>
      <c r="F588" s="264"/>
      <c r="G588" s="258"/>
      <c r="H588" s="267"/>
      <c r="I588" s="267"/>
    </row>
    <row r="589" spans="1:9" ht="30" customHeight="1" x14ac:dyDescent="0.3">
      <c r="A589" s="169">
        <v>44842</v>
      </c>
      <c r="B589" s="4">
        <v>578</v>
      </c>
      <c r="C589" s="4"/>
      <c r="D589" s="8">
        <v>83</v>
      </c>
      <c r="E589" s="8">
        <v>86.666666666666671</v>
      </c>
      <c r="F589" s="264"/>
      <c r="G589" s="258"/>
      <c r="H589" s="267"/>
      <c r="I589" s="267"/>
    </row>
    <row r="590" spans="1:9" ht="30" customHeight="1" x14ac:dyDescent="0.3">
      <c r="A590" s="168">
        <v>44843</v>
      </c>
      <c r="B590" s="3">
        <v>579</v>
      </c>
      <c r="D590" s="7">
        <v>87</v>
      </c>
      <c r="E590" s="7">
        <v>91.666666666666671</v>
      </c>
      <c r="F590" s="264"/>
      <c r="G590" s="258"/>
      <c r="H590" s="267"/>
      <c r="I590" s="267"/>
    </row>
    <row r="591" spans="1:9" ht="30" customHeight="1" x14ac:dyDescent="0.3">
      <c r="A591" s="169">
        <v>44845</v>
      </c>
      <c r="B591" s="4">
        <v>580</v>
      </c>
      <c r="C591" s="4"/>
      <c r="D591" s="8">
        <v>82</v>
      </c>
      <c r="E591" s="8">
        <v>77.777777777777771</v>
      </c>
      <c r="F591" s="264"/>
      <c r="G591" s="258"/>
      <c r="H591" s="267"/>
      <c r="I591" s="267"/>
    </row>
    <row r="592" spans="1:9" ht="30" customHeight="1" x14ac:dyDescent="0.3">
      <c r="A592" s="168">
        <v>44846</v>
      </c>
      <c r="B592" s="3">
        <v>581</v>
      </c>
      <c r="D592" s="7">
        <v>82</v>
      </c>
      <c r="E592" s="7">
        <v>81.25</v>
      </c>
      <c r="F592" s="264"/>
      <c r="G592" s="258"/>
      <c r="H592" s="267"/>
      <c r="I592" s="267"/>
    </row>
    <row r="593" spans="1:9" ht="30" customHeight="1" x14ac:dyDescent="0.3">
      <c r="A593" s="169">
        <v>44847</v>
      </c>
      <c r="B593" s="4">
        <v>582</v>
      </c>
      <c r="C593" s="4"/>
      <c r="D593" s="8">
        <v>78</v>
      </c>
      <c r="E593" s="8">
        <v>65</v>
      </c>
      <c r="F593" s="264"/>
      <c r="G593" s="258"/>
      <c r="H593" s="267"/>
      <c r="I593" s="267"/>
    </row>
    <row r="594" spans="1:9" ht="30" customHeight="1" x14ac:dyDescent="0.3">
      <c r="A594" s="168">
        <v>44848</v>
      </c>
      <c r="B594" s="3">
        <v>583</v>
      </c>
      <c r="D594" s="7">
        <v>81</v>
      </c>
      <c r="E594" s="7">
        <v>60</v>
      </c>
      <c r="F594" s="264"/>
      <c r="G594" s="258"/>
      <c r="H594" s="267"/>
      <c r="I594" s="267"/>
    </row>
    <row r="595" spans="1:9" ht="30" customHeight="1" x14ac:dyDescent="0.3">
      <c r="A595" s="169">
        <v>44849</v>
      </c>
      <c r="B595" s="4">
        <v>584</v>
      </c>
      <c r="C595" s="4"/>
      <c r="D595" s="8">
        <v>89</v>
      </c>
      <c r="E595" s="8">
        <v>90</v>
      </c>
      <c r="F595" s="264"/>
      <c r="G595" s="258"/>
      <c r="H595" s="267"/>
      <c r="I595" s="267"/>
    </row>
    <row r="596" spans="1:9" ht="30" customHeight="1" x14ac:dyDescent="0.3">
      <c r="A596" s="168">
        <v>44850</v>
      </c>
      <c r="B596" s="3">
        <v>585</v>
      </c>
      <c r="D596" s="7">
        <v>86</v>
      </c>
      <c r="E596" s="7">
        <v>71.428571428571431</v>
      </c>
      <c r="F596" s="264"/>
      <c r="G596" s="258"/>
      <c r="H596" s="267"/>
      <c r="I596" s="267"/>
    </row>
    <row r="597" spans="1:9" ht="30" customHeight="1" x14ac:dyDescent="0.3">
      <c r="A597" s="169">
        <v>44851</v>
      </c>
      <c r="B597" s="4">
        <v>586</v>
      </c>
      <c r="C597" s="4"/>
      <c r="D597" s="8">
        <v>81</v>
      </c>
      <c r="E597" s="8">
        <v>84.21052631578948</v>
      </c>
      <c r="F597" s="264"/>
      <c r="G597" s="258"/>
      <c r="H597" s="267"/>
      <c r="I597" s="267"/>
    </row>
    <row r="598" spans="1:9" ht="30" customHeight="1" x14ac:dyDescent="0.3">
      <c r="A598" s="168">
        <v>44852</v>
      </c>
      <c r="B598" s="3">
        <v>587</v>
      </c>
      <c r="D598" s="7">
        <v>80</v>
      </c>
      <c r="E598" s="7">
        <v>61.111111111111107</v>
      </c>
      <c r="F598" s="264"/>
      <c r="G598" s="258"/>
      <c r="H598" s="267"/>
      <c r="I598" s="267"/>
    </row>
    <row r="599" spans="1:9" ht="30" customHeight="1" x14ac:dyDescent="0.3">
      <c r="A599" s="169">
        <v>44853</v>
      </c>
      <c r="B599" s="4">
        <v>588</v>
      </c>
      <c r="C599" s="4"/>
      <c r="D599" s="8">
        <v>79</v>
      </c>
      <c r="E599" s="8">
        <v>75</v>
      </c>
      <c r="F599" s="264"/>
      <c r="G599" s="258"/>
      <c r="H599" s="267"/>
      <c r="I599" s="267"/>
    </row>
    <row r="600" spans="1:9" ht="30" customHeight="1" x14ac:dyDescent="0.3">
      <c r="A600" s="168">
        <v>44854</v>
      </c>
      <c r="B600" s="3">
        <v>589</v>
      </c>
      <c r="D600" s="7">
        <v>82</v>
      </c>
      <c r="E600" s="7">
        <v>75</v>
      </c>
      <c r="F600" s="264"/>
      <c r="G600" s="258"/>
      <c r="H600" s="267"/>
      <c r="I600" s="267"/>
    </row>
    <row r="601" spans="1:9" ht="30" customHeight="1" x14ac:dyDescent="0.3">
      <c r="A601" s="169">
        <v>44855</v>
      </c>
      <c r="B601" s="4">
        <v>590</v>
      </c>
      <c r="C601" s="4"/>
      <c r="D601" s="8">
        <v>79</v>
      </c>
      <c r="E601" s="8">
        <v>88.888888888888886</v>
      </c>
      <c r="F601" s="264"/>
      <c r="G601" s="258"/>
      <c r="H601" s="267"/>
      <c r="I601" s="267"/>
    </row>
    <row r="602" spans="1:9" ht="30" customHeight="1" x14ac:dyDescent="0.3">
      <c r="A602" s="168">
        <v>44856</v>
      </c>
      <c r="B602" s="3">
        <v>591</v>
      </c>
      <c r="D602" s="7">
        <v>81</v>
      </c>
      <c r="E602" s="7">
        <v>82.35294117647058</v>
      </c>
      <c r="F602" s="264"/>
      <c r="G602" s="258"/>
      <c r="H602" s="267"/>
      <c r="I602" s="267"/>
    </row>
    <row r="603" spans="1:9" ht="30" customHeight="1" x14ac:dyDescent="0.3">
      <c r="A603" s="169">
        <v>44857</v>
      </c>
      <c r="B603" s="4">
        <v>592</v>
      </c>
      <c r="C603" s="4"/>
      <c r="D603" s="8">
        <v>82</v>
      </c>
      <c r="E603" s="8">
        <v>76.470588235294116</v>
      </c>
      <c r="F603" s="264"/>
      <c r="G603" s="258"/>
      <c r="H603" s="267"/>
      <c r="I603" s="267"/>
    </row>
    <row r="604" spans="1:9" ht="30" customHeight="1" x14ac:dyDescent="0.3">
      <c r="A604" s="168">
        <v>44859</v>
      </c>
      <c r="B604" s="3">
        <v>593</v>
      </c>
      <c r="D604" s="7">
        <v>82</v>
      </c>
      <c r="E604" s="7">
        <v>82.35294117647058</v>
      </c>
      <c r="F604" s="264"/>
      <c r="G604" s="258"/>
      <c r="H604" s="267"/>
      <c r="I604" s="267"/>
    </row>
    <row r="605" spans="1:9" ht="30" customHeight="1" x14ac:dyDescent="0.3">
      <c r="A605" s="169">
        <v>44860</v>
      </c>
      <c r="B605" s="4">
        <v>594</v>
      </c>
      <c r="C605" s="4"/>
      <c r="D605" s="8">
        <v>82</v>
      </c>
      <c r="E605" s="8">
        <v>88.235294117647058</v>
      </c>
      <c r="F605" s="264"/>
      <c r="G605" s="258"/>
      <c r="H605" s="267"/>
      <c r="I605" s="267"/>
    </row>
    <row r="606" spans="1:9" ht="30" customHeight="1" x14ac:dyDescent="0.3">
      <c r="A606" s="168">
        <v>44861</v>
      </c>
      <c r="B606" s="3">
        <v>595</v>
      </c>
      <c r="D606" s="7">
        <v>85</v>
      </c>
      <c r="E606" s="7">
        <v>93.333333333333329</v>
      </c>
      <c r="F606" s="264"/>
      <c r="G606" s="258"/>
      <c r="H606" s="267"/>
      <c r="I606" s="267"/>
    </row>
    <row r="607" spans="1:9" ht="30" customHeight="1" x14ac:dyDescent="0.3">
      <c r="A607" s="169">
        <v>44862</v>
      </c>
      <c r="B607" s="4">
        <v>596</v>
      </c>
      <c r="C607" s="4"/>
      <c r="D607" s="8">
        <v>78</v>
      </c>
      <c r="E607" s="8">
        <v>90</v>
      </c>
      <c r="F607" s="264"/>
      <c r="G607" s="258"/>
      <c r="H607" s="267"/>
      <c r="I607" s="267"/>
    </row>
    <row r="608" spans="1:9" ht="30" customHeight="1" x14ac:dyDescent="0.3">
      <c r="A608" s="168">
        <v>44863</v>
      </c>
      <c r="B608" s="3">
        <v>597</v>
      </c>
      <c r="D608" s="7">
        <v>84</v>
      </c>
      <c r="E608" s="7">
        <v>78.571428571428569</v>
      </c>
      <c r="F608" s="264"/>
      <c r="G608" s="258"/>
      <c r="H608" s="267"/>
      <c r="I608" s="267"/>
    </row>
    <row r="609" spans="1:9" ht="30" customHeight="1" x14ac:dyDescent="0.3">
      <c r="A609" s="169">
        <v>44864</v>
      </c>
      <c r="B609" s="4">
        <v>598</v>
      </c>
      <c r="C609" s="4"/>
      <c r="D609" s="8">
        <v>84</v>
      </c>
      <c r="E609" s="8">
        <v>80</v>
      </c>
      <c r="F609" s="264"/>
      <c r="G609" s="258"/>
      <c r="H609" s="267"/>
      <c r="I609" s="267"/>
    </row>
    <row r="610" spans="1:9" ht="30" customHeight="1" x14ac:dyDescent="0.3">
      <c r="A610" s="168">
        <v>44865</v>
      </c>
      <c r="B610" s="3">
        <v>599</v>
      </c>
      <c r="D610" s="7">
        <v>71</v>
      </c>
      <c r="E610" s="7">
        <v>66</v>
      </c>
      <c r="F610" s="264"/>
      <c r="G610" s="258"/>
      <c r="H610" s="267"/>
      <c r="I610" s="267"/>
    </row>
    <row r="611" spans="1:9" ht="30" customHeight="1" x14ac:dyDescent="0.3">
      <c r="A611" s="169">
        <v>44866</v>
      </c>
      <c r="B611" s="4">
        <v>600</v>
      </c>
      <c r="C611" s="4"/>
      <c r="D611" s="8">
        <v>87</v>
      </c>
      <c r="E611" s="8">
        <v>83.333333333333343</v>
      </c>
      <c r="F611" s="264"/>
      <c r="G611" s="258"/>
      <c r="H611" s="267"/>
      <c r="I611" s="267"/>
    </row>
    <row r="612" spans="1:9" ht="30" customHeight="1" x14ac:dyDescent="0.3">
      <c r="A612" s="168">
        <v>44867</v>
      </c>
      <c r="B612" s="3">
        <v>601</v>
      </c>
      <c r="D612" s="7">
        <v>81</v>
      </c>
      <c r="E612" s="7">
        <v>87.5</v>
      </c>
      <c r="F612" s="264"/>
      <c r="G612" s="258"/>
      <c r="H612" s="267"/>
      <c r="I612" s="267"/>
    </row>
    <row r="613" spans="1:9" ht="30" customHeight="1" x14ac:dyDescent="0.3">
      <c r="A613" s="169">
        <v>44868</v>
      </c>
      <c r="B613" s="4">
        <v>602</v>
      </c>
      <c r="C613" s="4"/>
      <c r="D613" s="8">
        <v>82</v>
      </c>
      <c r="E613" s="8">
        <v>77.777777777777771</v>
      </c>
      <c r="F613" s="264"/>
      <c r="G613" s="258"/>
      <c r="H613" s="267"/>
      <c r="I613" s="267"/>
    </row>
    <row r="614" spans="1:9" ht="30" customHeight="1" x14ac:dyDescent="0.3">
      <c r="A614" s="168">
        <v>44869</v>
      </c>
      <c r="B614" s="3">
        <v>603</v>
      </c>
      <c r="D614" s="7">
        <v>79</v>
      </c>
      <c r="E614" s="7">
        <v>90</v>
      </c>
      <c r="F614" s="264"/>
      <c r="G614" s="258"/>
      <c r="H614" s="267"/>
      <c r="I614" s="267"/>
    </row>
    <row r="615" spans="1:9" ht="30" customHeight="1" x14ac:dyDescent="0.3">
      <c r="A615" s="169">
        <v>44870</v>
      </c>
      <c r="B615" s="4">
        <v>604</v>
      </c>
      <c r="C615" s="4"/>
      <c r="D615" s="8">
        <v>79</v>
      </c>
      <c r="E615" s="8">
        <v>80</v>
      </c>
      <c r="F615" s="264"/>
      <c r="G615" s="258"/>
      <c r="H615" s="267"/>
      <c r="I615" s="267"/>
    </row>
    <row r="616" spans="1:9" ht="30" customHeight="1" x14ac:dyDescent="0.3">
      <c r="A616" s="168">
        <v>44871</v>
      </c>
      <c r="B616" s="3">
        <v>605</v>
      </c>
      <c r="D616" s="7">
        <v>86</v>
      </c>
      <c r="E616" s="7">
        <v>76.92307692307692</v>
      </c>
      <c r="F616" s="264"/>
      <c r="G616" s="258"/>
      <c r="H616" s="267"/>
      <c r="I616" s="267"/>
    </row>
    <row r="617" spans="1:9" ht="30" customHeight="1" x14ac:dyDescent="0.3">
      <c r="A617" s="169">
        <v>44872</v>
      </c>
      <c r="B617" s="4">
        <v>606</v>
      </c>
      <c r="C617" s="4"/>
      <c r="D617" s="8">
        <v>82</v>
      </c>
      <c r="E617" s="8">
        <v>70.588235294117638</v>
      </c>
      <c r="F617" s="264"/>
      <c r="G617" s="258"/>
      <c r="H617" s="267"/>
      <c r="I617" s="267"/>
    </row>
    <row r="618" spans="1:9" ht="30" customHeight="1" x14ac:dyDescent="0.3">
      <c r="A618" s="168">
        <v>44873</v>
      </c>
      <c r="B618" s="3">
        <v>607</v>
      </c>
      <c r="D618" s="7">
        <v>91</v>
      </c>
      <c r="E618" s="7">
        <v>100</v>
      </c>
      <c r="F618" s="264"/>
      <c r="G618" s="258"/>
      <c r="H618" s="267"/>
      <c r="I618" s="267"/>
    </row>
    <row r="619" spans="1:9" ht="30" customHeight="1" x14ac:dyDescent="0.3">
      <c r="A619" s="169">
        <v>44874</v>
      </c>
      <c r="B619" s="4">
        <v>608</v>
      </c>
      <c r="C619" s="4"/>
      <c r="D619" s="8">
        <v>86</v>
      </c>
      <c r="E619" s="8">
        <v>66.666666666666671</v>
      </c>
      <c r="F619" s="264"/>
      <c r="G619" s="258"/>
      <c r="H619" s="267"/>
      <c r="I619" s="267"/>
    </row>
    <row r="620" spans="1:9" ht="30" customHeight="1" x14ac:dyDescent="0.3">
      <c r="A620" s="168">
        <v>44875</v>
      </c>
      <c r="B620" s="3">
        <v>609</v>
      </c>
      <c r="D620" s="7">
        <v>80</v>
      </c>
      <c r="E620" s="7">
        <v>63.157894736842103</v>
      </c>
      <c r="F620" s="264"/>
      <c r="G620" s="258"/>
      <c r="H620" s="267"/>
      <c r="I620" s="267"/>
    </row>
    <row r="621" spans="1:9" ht="30" customHeight="1" x14ac:dyDescent="0.3">
      <c r="A621" s="169">
        <v>44876</v>
      </c>
      <c r="B621" s="4">
        <v>610</v>
      </c>
      <c r="C621" s="4"/>
      <c r="D621" s="8">
        <v>87</v>
      </c>
      <c r="E621" s="8">
        <v>75</v>
      </c>
      <c r="F621" s="264"/>
      <c r="G621" s="258"/>
      <c r="H621" s="267"/>
      <c r="I621" s="267"/>
    </row>
    <row r="622" spans="1:9" ht="30" customHeight="1" x14ac:dyDescent="0.3">
      <c r="A622" s="168">
        <v>44877</v>
      </c>
      <c r="B622" s="3">
        <v>611</v>
      </c>
      <c r="D622" s="7">
        <v>92</v>
      </c>
      <c r="E622" s="7">
        <v>66.666666666666671</v>
      </c>
      <c r="F622" s="264"/>
      <c r="G622" s="258"/>
      <c r="H622" s="267"/>
      <c r="I622" s="267"/>
    </row>
    <row r="623" spans="1:9" ht="30" customHeight="1" x14ac:dyDescent="0.3">
      <c r="A623" s="169">
        <v>44878</v>
      </c>
      <c r="B623" s="4">
        <v>612</v>
      </c>
      <c r="C623" s="4"/>
      <c r="D623" s="8">
        <v>84</v>
      </c>
      <c r="E623" s="8">
        <v>100</v>
      </c>
      <c r="F623" s="264"/>
      <c r="G623" s="258"/>
      <c r="H623" s="267"/>
      <c r="I623" s="267"/>
    </row>
    <row r="624" spans="1:9" ht="30" customHeight="1" x14ac:dyDescent="0.3">
      <c r="A624" s="168">
        <v>44879</v>
      </c>
      <c r="B624" s="3">
        <v>613</v>
      </c>
      <c r="D624" s="7">
        <v>79</v>
      </c>
      <c r="E624" s="7">
        <v>80.952380952380949</v>
      </c>
      <c r="F624" s="264"/>
      <c r="G624" s="258"/>
      <c r="H624" s="267"/>
      <c r="I624" s="267"/>
    </row>
    <row r="625" spans="1:9" ht="30" customHeight="1" x14ac:dyDescent="0.3">
      <c r="A625" s="169">
        <v>44880</v>
      </c>
      <c r="B625" s="4">
        <v>614</v>
      </c>
      <c r="C625" s="4"/>
      <c r="D625" s="8">
        <v>81</v>
      </c>
      <c r="E625" s="8">
        <v>82.35294117647058</v>
      </c>
      <c r="F625" s="264"/>
      <c r="G625" s="258"/>
      <c r="H625" s="267"/>
      <c r="I625" s="267"/>
    </row>
    <row r="626" spans="1:9" ht="30" customHeight="1" x14ac:dyDescent="0.3">
      <c r="A626" s="168">
        <v>44881</v>
      </c>
      <c r="B626" s="3">
        <v>615</v>
      </c>
      <c r="D626" s="7">
        <v>84</v>
      </c>
      <c r="E626" s="7">
        <v>87.5</v>
      </c>
      <c r="F626" s="264"/>
      <c r="G626" s="258"/>
      <c r="H626" s="267"/>
      <c r="I626" s="267"/>
    </row>
    <row r="627" spans="1:9" ht="30" customHeight="1" x14ac:dyDescent="0.3">
      <c r="A627" s="169">
        <v>44882</v>
      </c>
      <c r="B627" s="4">
        <v>616</v>
      </c>
      <c r="C627" s="4"/>
      <c r="D627" s="8">
        <v>81</v>
      </c>
      <c r="E627" s="8">
        <v>70.588235294117638</v>
      </c>
      <c r="F627" s="264"/>
      <c r="G627" s="258"/>
      <c r="H627" s="267"/>
      <c r="I627" s="267"/>
    </row>
    <row r="628" spans="1:9" ht="30" customHeight="1" x14ac:dyDescent="0.3">
      <c r="A628" s="168">
        <v>44883</v>
      </c>
      <c r="B628" s="3">
        <v>617</v>
      </c>
      <c r="D628" s="7">
        <v>76</v>
      </c>
      <c r="E628" s="7">
        <v>68.421052631578945</v>
      </c>
      <c r="F628" s="264"/>
      <c r="G628" s="258"/>
      <c r="H628" s="267"/>
      <c r="I628" s="267"/>
    </row>
    <row r="629" spans="1:9" ht="30" customHeight="1" x14ac:dyDescent="0.3">
      <c r="A629" s="169">
        <v>44884</v>
      </c>
      <c r="B629" s="4">
        <v>618</v>
      </c>
      <c r="C629" s="4"/>
      <c r="D629" s="8">
        <v>86</v>
      </c>
      <c r="E629" s="8">
        <v>85.714285714285722</v>
      </c>
      <c r="F629" s="264"/>
      <c r="G629" s="258"/>
      <c r="H629" s="267"/>
      <c r="I629" s="267"/>
    </row>
    <row r="630" spans="1:9" ht="30" customHeight="1" x14ac:dyDescent="0.3">
      <c r="A630" s="168">
        <v>44885</v>
      </c>
      <c r="B630" s="3">
        <v>619</v>
      </c>
      <c r="D630" s="7">
        <v>83</v>
      </c>
      <c r="E630" s="7">
        <v>75</v>
      </c>
      <c r="F630" s="264"/>
      <c r="G630" s="258"/>
      <c r="H630" s="267"/>
      <c r="I630" s="267"/>
    </row>
    <row r="631" spans="1:9" ht="30" customHeight="1" x14ac:dyDescent="0.3">
      <c r="A631" s="169">
        <v>44886</v>
      </c>
      <c r="B631" s="4">
        <v>620</v>
      </c>
      <c r="C631" s="4"/>
      <c r="D631" s="8">
        <v>80</v>
      </c>
      <c r="E631" s="8">
        <v>65</v>
      </c>
      <c r="F631" s="264"/>
      <c r="G631" s="258"/>
      <c r="H631" s="267"/>
      <c r="I631" s="267"/>
    </row>
    <row r="632" spans="1:9" ht="30" customHeight="1" x14ac:dyDescent="0.3">
      <c r="A632" s="168">
        <v>44887</v>
      </c>
      <c r="B632" s="3">
        <v>621</v>
      </c>
      <c r="D632" s="7">
        <v>79</v>
      </c>
      <c r="E632" s="7">
        <v>52.941176470588239</v>
      </c>
      <c r="F632" s="264"/>
      <c r="G632" s="258"/>
      <c r="H632" s="267"/>
      <c r="I632" s="267"/>
    </row>
    <row r="633" spans="1:9" ht="30" customHeight="1" x14ac:dyDescent="0.3">
      <c r="A633" s="169">
        <v>44888</v>
      </c>
      <c r="B633" s="4">
        <v>622</v>
      </c>
      <c r="C633" s="4"/>
      <c r="D633" s="8">
        <v>83</v>
      </c>
      <c r="E633" s="8">
        <v>80</v>
      </c>
      <c r="F633" s="264"/>
      <c r="G633" s="258"/>
      <c r="H633" s="267"/>
      <c r="I633" s="267"/>
    </row>
    <row r="634" spans="1:9" ht="30" customHeight="1" x14ac:dyDescent="0.3">
      <c r="A634" s="168">
        <v>44889</v>
      </c>
      <c r="B634" s="3">
        <v>623</v>
      </c>
      <c r="D634" s="7">
        <v>83</v>
      </c>
      <c r="E634" s="7">
        <v>76.470588235294116</v>
      </c>
      <c r="F634" s="264"/>
      <c r="G634" s="258"/>
      <c r="H634" s="267"/>
      <c r="I634" s="267"/>
    </row>
    <row r="635" spans="1:9" ht="30" customHeight="1" x14ac:dyDescent="0.3">
      <c r="A635" s="169">
        <v>44890</v>
      </c>
      <c r="B635" s="4">
        <v>624</v>
      </c>
      <c r="C635" s="4"/>
      <c r="D635" s="8">
        <v>78</v>
      </c>
      <c r="E635" s="8">
        <v>68.181818181818187</v>
      </c>
      <c r="F635" s="264"/>
      <c r="G635" s="258"/>
      <c r="H635" s="267"/>
      <c r="I635" s="267"/>
    </row>
    <row r="636" spans="1:9" ht="30" customHeight="1" x14ac:dyDescent="0.3">
      <c r="A636" s="168">
        <v>44891</v>
      </c>
      <c r="B636" s="3">
        <v>625</v>
      </c>
      <c r="D636" s="7">
        <v>87</v>
      </c>
      <c r="E636" s="7">
        <v>84.615384615384613</v>
      </c>
      <c r="F636" s="264"/>
      <c r="G636" s="258"/>
      <c r="H636" s="267"/>
      <c r="I636" s="267"/>
    </row>
    <row r="637" spans="1:9" ht="30" customHeight="1" x14ac:dyDescent="0.3">
      <c r="A637" s="169">
        <v>44892</v>
      </c>
      <c r="B637" s="4">
        <v>626</v>
      </c>
      <c r="C637" s="4"/>
      <c r="D637" s="8">
        <v>85</v>
      </c>
      <c r="E637" s="8">
        <v>57.142857142857139</v>
      </c>
      <c r="F637" s="264"/>
      <c r="G637" s="258"/>
      <c r="H637" s="267"/>
      <c r="I637" s="267"/>
    </row>
    <row r="638" spans="1:9" ht="30" customHeight="1" x14ac:dyDescent="0.3">
      <c r="A638" s="168">
        <v>44893</v>
      </c>
      <c r="B638" s="3">
        <v>627</v>
      </c>
      <c r="D638" s="7">
        <v>77</v>
      </c>
      <c r="E638" s="7">
        <v>85</v>
      </c>
      <c r="F638" s="264"/>
      <c r="G638" s="258"/>
      <c r="H638" s="267"/>
      <c r="I638" s="267"/>
    </row>
    <row r="639" spans="1:9" ht="30" customHeight="1" x14ac:dyDescent="0.3">
      <c r="A639" s="169">
        <v>44894</v>
      </c>
      <c r="B639" s="4">
        <v>628</v>
      </c>
      <c r="C639" s="4"/>
      <c r="D639" s="8">
        <v>82</v>
      </c>
      <c r="E639" s="8">
        <v>88.235294117647058</v>
      </c>
      <c r="F639" s="264"/>
      <c r="G639" s="258"/>
      <c r="H639" s="267"/>
      <c r="I639" s="267"/>
    </row>
    <row r="640" spans="1:9" ht="30" customHeight="1" x14ac:dyDescent="0.3">
      <c r="A640" s="168">
        <v>44895</v>
      </c>
      <c r="B640" s="3">
        <v>629</v>
      </c>
      <c r="D640" s="7">
        <v>82</v>
      </c>
      <c r="E640" s="7">
        <v>72.222222222222214</v>
      </c>
      <c r="F640" s="264"/>
      <c r="G640" s="258"/>
      <c r="H640" s="267"/>
      <c r="I640" s="267"/>
    </row>
    <row r="641" spans="1:9" ht="30" customHeight="1" x14ac:dyDescent="0.3">
      <c r="A641" s="169">
        <v>44896</v>
      </c>
      <c r="B641" s="4">
        <v>630</v>
      </c>
      <c r="C641" s="4"/>
      <c r="D641" s="8">
        <v>83</v>
      </c>
      <c r="E641" s="8">
        <v>67</v>
      </c>
      <c r="F641" s="264"/>
      <c r="G641" s="258"/>
      <c r="H641" s="267"/>
      <c r="I641" s="267"/>
    </row>
    <row r="642" spans="1:9" ht="30" customHeight="1" x14ac:dyDescent="0.3">
      <c r="A642" s="168">
        <v>44897</v>
      </c>
      <c r="B642" s="3">
        <v>631</v>
      </c>
      <c r="D642" s="7">
        <v>87</v>
      </c>
      <c r="E642" s="7">
        <v>54.54545454545454</v>
      </c>
      <c r="F642" s="264"/>
      <c r="G642" s="258"/>
      <c r="H642" s="267"/>
      <c r="I642" s="267"/>
    </row>
    <row r="643" spans="1:9" ht="30" customHeight="1" x14ac:dyDescent="0.3">
      <c r="A643" s="169">
        <v>44898</v>
      </c>
      <c r="B643" s="4">
        <v>632</v>
      </c>
      <c r="C643" s="4"/>
      <c r="D643" s="8">
        <v>81</v>
      </c>
      <c r="E643" s="8">
        <v>78.94736842105263</v>
      </c>
      <c r="F643" s="264"/>
      <c r="G643" s="258"/>
      <c r="H643" s="267"/>
      <c r="I643" s="267"/>
    </row>
    <row r="644" spans="1:9" ht="30" customHeight="1" x14ac:dyDescent="0.3">
      <c r="A644" s="168">
        <v>44899</v>
      </c>
      <c r="B644" s="3">
        <v>633</v>
      </c>
      <c r="D644" s="7">
        <v>79</v>
      </c>
      <c r="E644" s="7">
        <v>66.666666666666671</v>
      </c>
      <c r="F644" s="264"/>
      <c r="G644" s="258"/>
      <c r="H644" s="267"/>
      <c r="I644" s="267"/>
    </row>
    <row r="645" spans="1:9" ht="30" customHeight="1" x14ac:dyDescent="0.3">
      <c r="A645" s="169">
        <v>44900</v>
      </c>
      <c r="B645" s="4">
        <v>634</v>
      </c>
      <c r="C645" s="4"/>
      <c r="D645" s="8">
        <v>86</v>
      </c>
      <c r="E645" s="8">
        <v>90.909090909090907</v>
      </c>
      <c r="F645" s="264"/>
      <c r="G645" s="258"/>
      <c r="H645" s="267"/>
      <c r="I645" s="267"/>
    </row>
    <row r="646" spans="1:9" ht="30" customHeight="1" x14ac:dyDescent="0.3">
      <c r="A646" s="168">
        <v>44901</v>
      </c>
      <c r="B646" s="3">
        <v>635</v>
      </c>
      <c r="D646" s="7">
        <v>81</v>
      </c>
      <c r="E646" s="7">
        <v>70.588235294117638</v>
      </c>
      <c r="F646" s="264"/>
      <c r="G646" s="258"/>
      <c r="H646" s="267"/>
      <c r="I646" s="267"/>
    </row>
    <row r="647" spans="1:9" ht="30" customHeight="1" x14ac:dyDescent="0.3">
      <c r="A647" s="169">
        <v>44902</v>
      </c>
      <c r="B647" s="4">
        <v>636</v>
      </c>
      <c r="C647" s="4"/>
      <c r="D647" s="8">
        <v>84</v>
      </c>
      <c r="E647" s="8">
        <v>46.666666666666664</v>
      </c>
      <c r="F647" s="264"/>
      <c r="G647" s="258"/>
      <c r="H647" s="267"/>
      <c r="I647" s="267"/>
    </row>
    <row r="648" spans="1:9" ht="30" customHeight="1" x14ac:dyDescent="0.3">
      <c r="A648" s="168">
        <v>44903</v>
      </c>
      <c r="B648" s="3">
        <v>637</v>
      </c>
      <c r="D648" s="7">
        <v>84</v>
      </c>
      <c r="E648" s="7">
        <v>71.428571428571431</v>
      </c>
      <c r="F648" s="264"/>
      <c r="G648" s="258"/>
      <c r="H648" s="267"/>
      <c r="I648" s="267"/>
    </row>
    <row r="649" spans="1:9" ht="30" customHeight="1" x14ac:dyDescent="0.3">
      <c r="A649" s="169">
        <v>44904</v>
      </c>
      <c r="B649" s="4">
        <v>638</v>
      </c>
      <c r="C649" s="4"/>
      <c r="D649" s="8">
        <v>83</v>
      </c>
      <c r="E649" s="8">
        <v>86.666666666666671</v>
      </c>
      <c r="F649" s="264"/>
      <c r="G649" s="258"/>
      <c r="H649" s="267"/>
      <c r="I649" s="267"/>
    </row>
    <row r="650" spans="1:9" ht="30" customHeight="1" x14ac:dyDescent="0.3">
      <c r="A650" s="168">
        <v>44905</v>
      </c>
      <c r="B650" s="3">
        <v>639</v>
      </c>
      <c r="D650" s="214">
        <v>89</v>
      </c>
      <c r="E650" s="7">
        <v>90.909090909090907</v>
      </c>
      <c r="F650" s="264"/>
      <c r="G650" s="258"/>
      <c r="H650" s="267"/>
      <c r="I650" s="267"/>
    </row>
    <row r="651" spans="1:9" ht="30" customHeight="1" x14ac:dyDescent="0.3">
      <c r="A651" s="169">
        <v>44906</v>
      </c>
      <c r="B651" s="4">
        <v>640</v>
      </c>
      <c r="C651" s="4"/>
      <c r="D651" s="8">
        <v>82</v>
      </c>
      <c r="E651" s="8">
        <v>75</v>
      </c>
      <c r="F651" s="264"/>
      <c r="G651" s="258"/>
      <c r="H651" s="267"/>
      <c r="I651" s="267"/>
    </row>
    <row r="652" spans="1:9" ht="30" customHeight="1" x14ac:dyDescent="0.3">
      <c r="A652" s="168">
        <v>44907</v>
      </c>
      <c r="B652" s="3">
        <v>641</v>
      </c>
      <c r="D652" s="7">
        <v>85</v>
      </c>
      <c r="E652" s="7">
        <v>78.571428571428569</v>
      </c>
      <c r="F652" s="264"/>
      <c r="G652" s="258"/>
      <c r="H652" s="267"/>
      <c r="I652" s="267"/>
    </row>
    <row r="653" spans="1:9" ht="30" customHeight="1" x14ac:dyDescent="0.3">
      <c r="A653" s="169">
        <v>44908</v>
      </c>
      <c r="B653" s="4">
        <v>642</v>
      </c>
      <c r="C653" s="4"/>
      <c r="D653" s="8">
        <v>84</v>
      </c>
      <c r="E653" s="8">
        <v>66.666666666666671</v>
      </c>
      <c r="F653" s="264"/>
      <c r="G653" s="258"/>
      <c r="H653" s="267"/>
      <c r="I653" s="267"/>
    </row>
    <row r="654" spans="1:9" ht="30" customHeight="1" x14ac:dyDescent="0.3">
      <c r="A654" s="168">
        <v>44909</v>
      </c>
      <c r="B654" s="3">
        <v>643</v>
      </c>
      <c r="D654" s="7">
        <v>85</v>
      </c>
      <c r="E654" s="7">
        <v>61.53846153846154</v>
      </c>
      <c r="F654" s="264"/>
      <c r="G654" s="258"/>
      <c r="H654" s="267"/>
      <c r="I654" s="267"/>
    </row>
    <row r="655" spans="1:9" ht="30" customHeight="1" x14ac:dyDescent="0.3">
      <c r="A655" s="169">
        <v>44910</v>
      </c>
      <c r="B655" s="4">
        <v>644</v>
      </c>
      <c r="C655" s="4"/>
      <c r="D655" s="8">
        <v>80</v>
      </c>
      <c r="E655" s="8">
        <v>75</v>
      </c>
      <c r="F655" s="264"/>
      <c r="G655" s="258"/>
      <c r="H655" s="267"/>
      <c r="I655" s="267"/>
    </row>
    <row r="656" spans="1:9" ht="30" customHeight="1" x14ac:dyDescent="0.3">
      <c r="A656" s="168">
        <v>44911</v>
      </c>
      <c r="B656" s="3">
        <v>645</v>
      </c>
      <c r="D656" s="7">
        <v>84</v>
      </c>
      <c r="E656" s="7">
        <v>76.92307692307692</v>
      </c>
      <c r="F656" s="264"/>
      <c r="G656" s="258"/>
      <c r="H656" s="267"/>
      <c r="I656" s="267"/>
    </row>
    <row r="657" spans="1:9" ht="30" customHeight="1" x14ac:dyDescent="0.3">
      <c r="A657" s="169">
        <v>44912</v>
      </c>
      <c r="B657" s="4">
        <v>646</v>
      </c>
      <c r="C657" s="4"/>
      <c r="D657" s="8">
        <v>86</v>
      </c>
      <c r="E657" s="8">
        <v>78.571428571428569</v>
      </c>
      <c r="F657" s="264"/>
      <c r="G657" s="258"/>
      <c r="H657" s="267"/>
      <c r="I657" s="267"/>
    </row>
    <row r="658" spans="1:9" ht="30" customHeight="1" x14ac:dyDescent="0.3">
      <c r="A658" s="168">
        <v>44913</v>
      </c>
      <c r="B658" s="3">
        <v>647</v>
      </c>
      <c r="D658" s="7">
        <v>87</v>
      </c>
      <c r="E658" s="7">
        <v>72.727272727272734</v>
      </c>
      <c r="F658" s="264"/>
      <c r="G658" s="258"/>
      <c r="H658" s="267"/>
      <c r="I658" s="267"/>
    </row>
    <row r="659" spans="1:9" ht="30" customHeight="1" x14ac:dyDescent="0.3">
      <c r="A659" s="169">
        <v>44914</v>
      </c>
      <c r="B659" s="4">
        <v>648</v>
      </c>
      <c r="C659" s="4"/>
      <c r="D659" s="8">
        <v>85</v>
      </c>
      <c r="E659" s="8">
        <v>57.142857142857139</v>
      </c>
      <c r="F659" s="264"/>
      <c r="G659" s="258"/>
      <c r="H659" s="267"/>
      <c r="I659" s="267"/>
    </row>
    <row r="660" spans="1:9" ht="30" customHeight="1" x14ac:dyDescent="0.3">
      <c r="A660" s="168">
        <v>44915</v>
      </c>
      <c r="B660" s="3">
        <v>649</v>
      </c>
      <c r="D660" s="7">
        <v>79</v>
      </c>
      <c r="E660" s="7">
        <v>75</v>
      </c>
      <c r="F660" s="264"/>
      <c r="G660" s="258"/>
      <c r="H660" s="267"/>
      <c r="I660" s="267"/>
    </row>
    <row r="661" spans="1:9" ht="30" customHeight="1" x14ac:dyDescent="0.3">
      <c r="A661" s="169">
        <v>44916</v>
      </c>
      <c r="B661" s="4">
        <v>650</v>
      </c>
      <c r="C661" s="4"/>
      <c r="D661" s="8">
        <v>80</v>
      </c>
      <c r="E661" s="8">
        <v>70</v>
      </c>
      <c r="F661" s="264"/>
      <c r="G661" s="258"/>
      <c r="H661" s="267"/>
      <c r="I661" s="267"/>
    </row>
    <row r="662" spans="1:9" ht="30" customHeight="1" x14ac:dyDescent="0.3">
      <c r="A662" s="168">
        <v>44917</v>
      </c>
      <c r="B662" s="3">
        <v>651</v>
      </c>
      <c r="D662" s="7">
        <v>80</v>
      </c>
      <c r="E662" s="7">
        <v>61.111111111111114</v>
      </c>
      <c r="F662" s="264"/>
      <c r="G662" s="258"/>
      <c r="H662" s="267"/>
      <c r="I662" s="267"/>
    </row>
    <row r="663" spans="1:9" ht="30" customHeight="1" x14ac:dyDescent="0.3">
      <c r="A663" s="169">
        <v>44918</v>
      </c>
      <c r="B663" s="4">
        <v>652</v>
      </c>
      <c r="C663" s="4"/>
      <c r="D663" s="8">
        <v>84</v>
      </c>
      <c r="E663" s="8">
        <v>71.428571428571431</v>
      </c>
      <c r="F663" s="264"/>
      <c r="G663" s="258"/>
      <c r="H663" s="267"/>
      <c r="I663" s="267"/>
    </row>
    <row r="664" spans="1:9" ht="30" customHeight="1" x14ac:dyDescent="0.3">
      <c r="A664" s="168">
        <v>44919</v>
      </c>
      <c r="B664" s="3">
        <v>653</v>
      </c>
      <c r="D664" s="7">
        <v>76</v>
      </c>
      <c r="E664" s="7">
        <v>76.19047619047619</v>
      </c>
      <c r="F664" s="264"/>
      <c r="G664" s="258"/>
      <c r="H664" s="267"/>
      <c r="I664" s="267"/>
    </row>
    <row r="665" spans="1:9" ht="30" customHeight="1" x14ac:dyDescent="0.3">
      <c r="A665" s="169">
        <v>44920</v>
      </c>
      <c r="B665" s="4">
        <v>654</v>
      </c>
      <c r="C665" s="4"/>
      <c r="D665" s="8">
        <v>83</v>
      </c>
      <c r="E665" s="8">
        <v>92.857142857142861</v>
      </c>
      <c r="F665" s="264"/>
      <c r="G665" s="258"/>
      <c r="H665" s="267"/>
      <c r="I665" s="267"/>
    </row>
    <row r="666" spans="1:9" ht="30" customHeight="1" x14ac:dyDescent="0.3">
      <c r="A666" s="168">
        <v>44921</v>
      </c>
      <c r="B666" s="3">
        <v>655</v>
      </c>
      <c r="D666" s="7">
        <v>88</v>
      </c>
      <c r="E666" s="7">
        <v>100</v>
      </c>
      <c r="F666" s="264"/>
      <c r="G666" s="258"/>
      <c r="H666" s="267"/>
      <c r="I666" s="267"/>
    </row>
    <row r="667" spans="1:9" ht="30" customHeight="1" x14ac:dyDescent="0.3">
      <c r="A667" s="169">
        <v>44922</v>
      </c>
      <c r="B667" s="4">
        <v>656</v>
      </c>
      <c r="C667" s="4"/>
      <c r="D667" s="8">
        <v>88</v>
      </c>
      <c r="E667" s="8">
        <v>81.818181818181813</v>
      </c>
    </row>
    <row r="668" spans="1:9" ht="30" customHeight="1" x14ac:dyDescent="0.3">
      <c r="A668" s="168">
        <v>44923</v>
      </c>
      <c r="B668" s="3">
        <v>657</v>
      </c>
      <c r="D668" s="7">
        <v>87</v>
      </c>
      <c r="E668" s="7">
        <v>58.333333333333329</v>
      </c>
    </row>
    <row r="669" spans="1:9" ht="30" customHeight="1" x14ac:dyDescent="0.3">
      <c r="A669" s="169">
        <v>44924</v>
      </c>
      <c r="B669" s="4">
        <v>658</v>
      </c>
      <c r="C669" s="4"/>
      <c r="D669" s="8">
        <v>90</v>
      </c>
      <c r="E669" s="8">
        <v>75</v>
      </c>
    </row>
    <row r="670" spans="1:9" ht="30" customHeight="1" x14ac:dyDescent="0.3">
      <c r="A670" s="168">
        <v>44925</v>
      </c>
      <c r="B670" s="3">
        <v>659</v>
      </c>
      <c r="D670" s="7">
        <v>92</v>
      </c>
      <c r="E670" s="7">
        <v>100</v>
      </c>
    </row>
    <row r="671" spans="1:9" ht="30" customHeight="1" x14ac:dyDescent="0.3">
      <c r="A671" s="169">
        <v>44926</v>
      </c>
      <c r="B671" s="4">
        <v>660</v>
      </c>
      <c r="C671" s="4"/>
      <c r="D671" s="8">
        <v>85</v>
      </c>
      <c r="E671" s="8">
        <v>92.307692307692307</v>
      </c>
    </row>
    <row r="672" spans="1:9" ht="30" customHeight="1" x14ac:dyDescent="0.3">
      <c r="A672" s="168">
        <v>44927</v>
      </c>
      <c r="B672" s="3">
        <v>661</v>
      </c>
      <c r="D672" s="7">
        <v>81</v>
      </c>
      <c r="E672" s="7">
        <v>75</v>
      </c>
    </row>
    <row r="673" spans="1:5" ht="30" customHeight="1" x14ac:dyDescent="0.3">
      <c r="A673" s="169">
        <v>44928</v>
      </c>
      <c r="B673" s="4">
        <v>662</v>
      </c>
      <c r="C673" s="4"/>
      <c r="D673" s="8">
        <v>91</v>
      </c>
      <c r="E673" s="8">
        <v>77.777777777777786</v>
      </c>
    </row>
    <row r="674" spans="1:5" ht="30" customHeight="1" x14ac:dyDescent="0.3">
      <c r="A674" s="168">
        <v>44929</v>
      </c>
      <c r="B674" s="3">
        <v>663</v>
      </c>
      <c r="D674" s="7">
        <v>81</v>
      </c>
      <c r="E674" s="7">
        <v>76.470588235294116</v>
      </c>
    </row>
    <row r="675" spans="1:5" ht="30" customHeight="1" x14ac:dyDescent="0.3">
      <c r="A675" s="169">
        <v>44930</v>
      </c>
      <c r="B675" s="4">
        <v>664</v>
      </c>
      <c r="C675" s="4"/>
      <c r="D675" s="8">
        <v>78</v>
      </c>
      <c r="E675" s="8">
        <v>73.684210526315795</v>
      </c>
    </row>
    <row r="676" spans="1:5" ht="30" customHeight="1" x14ac:dyDescent="0.3">
      <c r="A676" s="168">
        <v>44931</v>
      </c>
      <c r="B676" s="3">
        <v>665</v>
      </c>
      <c r="D676" s="7">
        <v>80</v>
      </c>
      <c r="E676" s="7">
        <v>68.421052631578945</v>
      </c>
    </row>
    <row r="677" spans="1:5" ht="30" customHeight="1" x14ac:dyDescent="0.3">
      <c r="A677" s="169">
        <v>44932</v>
      </c>
      <c r="B677" s="4">
        <v>666</v>
      </c>
      <c r="C677" s="4"/>
      <c r="D677" s="8">
        <v>83</v>
      </c>
      <c r="E677" s="8">
        <v>68.75</v>
      </c>
    </row>
    <row r="678" spans="1:5" ht="30" customHeight="1" x14ac:dyDescent="0.3">
      <c r="A678" s="168">
        <v>44933</v>
      </c>
      <c r="B678" s="3">
        <v>667</v>
      </c>
      <c r="D678" s="7">
        <v>90</v>
      </c>
      <c r="E678" s="7">
        <v>100</v>
      </c>
    </row>
    <row r="679" spans="1:5" ht="30" customHeight="1" x14ac:dyDescent="0.3">
      <c r="A679" s="169">
        <v>44934</v>
      </c>
      <c r="B679" s="4">
        <v>668</v>
      </c>
      <c r="C679" s="4"/>
      <c r="D679" s="8">
        <v>88</v>
      </c>
      <c r="E679" s="8">
        <v>100</v>
      </c>
    </row>
    <row r="680" spans="1:5" ht="30" customHeight="1" x14ac:dyDescent="0.3">
      <c r="A680" s="168">
        <v>44935</v>
      </c>
      <c r="B680" s="3">
        <v>669</v>
      </c>
      <c r="D680" s="7">
        <v>85</v>
      </c>
      <c r="E680" s="7">
        <v>60</v>
      </c>
    </row>
    <row r="681" spans="1:5" ht="30" customHeight="1" x14ac:dyDescent="0.3">
      <c r="A681" s="169">
        <v>44936</v>
      </c>
      <c r="B681" s="4">
        <v>670</v>
      </c>
      <c r="C681" s="4"/>
      <c r="D681" s="8">
        <v>81</v>
      </c>
      <c r="E681" s="8">
        <v>86.666666666666671</v>
      </c>
    </row>
    <row r="682" spans="1:5" ht="30" customHeight="1" x14ac:dyDescent="0.3">
      <c r="A682" s="168">
        <v>44938</v>
      </c>
      <c r="B682" s="3">
        <v>671</v>
      </c>
      <c r="D682" s="7">
        <v>78</v>
      </c>
      <c r="E682" s="7">
        <v>72.222222222222214</v>
      </c>
    </row>
    <row r="683" spans="1:5" ht="30" customHeight="1" x14ac:dyDescent="0.3">
      <c r="A683" s="169">
        <v>44939</v>
      </c>
      <c r="B683" s="4">
        <v>672</v>
      </c>
      <c r="C683" s="4"/>
      <c r="D683" s="8">
        <v>87</v>
      </c>
      <c r="E683" s="8">
        <v>45</v>
      </c>
    </row>
    <row r="684" spans="1:5" ht="30" customHeight="1" x14ac:dyDescent="0.3">
      <c r="A684" s="168">
        <v>44941</v>
      </c>
      <c r="B684" s="3">
        <v>673</v>
      </c>
      <c r="D684" s="7">
        <v>83</v>
      </c>
      <c r="E684" s="7">
        <v>75</v>
      </c>
    </row>
    <row r="685" spans="1:5" ht="30" customHeight="1" x14ac:dyDescent="0.3">
      <c r="A685" s="169">
        <v>44942</v>
      </c>
      <c r="B685" s="4">
        <v>674</v>
      </c>
      <c r="C685" s="4"/>
      <c r="D685" s="8">
        <v>85</v>
      </c>
      <c r="E685" s="8">
        <v>85.714285714285722</v>
      </c>
    </row>
    <row r="686" spans="1:5" ht="30" customHeight="1" x14ac:dyDescent="0.3">
      <c r="A686" s="168">
        <v>44943</v>
      </c>
      <c r="B686" s="3">
        <v>675</v>
      </c>
      <c r="D686" s="7">
        <v>82</v>
      </c>
      <c r="E686" s="7">
        <v>88.235294117647058</v>
      </c>
    </row>
    <row r="687" spans="1:5" ht="30" customHeight="1" x14ac:dyDescent="0.3">
      <c r="A687" s="169">
        <v>44944</v>
      </c>
      <c r="B687" s="4">
        <v>676</v>
      </c>
      <c r="C687" s="4"/>
      <c r="D687" s="8">
        <v>79</v>
      </c>
      <c r="E687" s="8">
        <v>64.705882352941174</v>
      </c>
    </row>
    <row r="688" spans="1:5" ht="30" customHeight="1" x14ac:dyDescent="0.3">
      <c r="A688" s="168">
        <v>44945</v>
      </c>
      <c r="B688" s="3">
        <v>677</v>
      </c>
      <c r="D688" s="7">
        <v>83</v>
      </c>
      <c r="E688" s="7">
        <v>87.5</v>
      </c>
    </row>
    <row r="689" spans="1:5" ht="30" customHeight="1" x14ac:dyDescent="0.3">
      <c r="A689" s="169">
        <v>44946</v>
      </c>
      <c r="B689" s="4">
        <v>678</v>
      </c>
      <c r="C689" s="4"/>
      <c r="D689" s="8">
        <v>77</v>
      </c>
      <c r="E689" s="8">
        <v>73</v>
      </c>
    </row>
    <row r="690" spans="1:5" ht="30" customHeight="1" x14ac:dyDescent="0.3">
      <c r="A690" s="168">
        <v>44947</v>
      </c>
      <c r="B690" s="3">
        <v>679</v>
      </c>
      <c r="D690" s="7">
        <v>87</v>
      </c>
      <c r="E690" s="7">
        <v>84.615384615384613</v>
      </c>
    </row>
    <row r="691" spans="1:5" ht="30" customHeight="1" x14ac:dyDescent="0.3">
      <c r="A691" s="169">
        <v>44948</v>
      </c>
      <c r="B691" s="4">
        <v>680</v>
      </c>
      <c r="C691" s="4"/>
      <c r="D691" s="8">
        <v>91</v>
      </c>
      <c r="E691" s="8">
        <v>87.5</v>
      </c>
    </row>
    <row r="692" spans="1:5" ht="30" customHeight="1" x14ac:dyDescent="0.3">
      <c r="A692" s="168">
        <v>44949</v>
      </c>
      <c r="B692" s="3">
        <v>681</v>
      </c>
      <c r="D692" s="7">
        <v>83</v>
      </c>
      <c r="E692" s="7">
        <v>91.666666666666657</v>
      </c>
    </row>
    <row r="693" spans="1:5" ht="30" customHeight="1" x14ac:dyDescent="0.3">
      <c r="A693" s="169">
        <v>44950</v>
      </c>
      <c r="B693" s="4">
        <v>682</v>
      </c>
      <c r="C693" s="4"/>
      <c r="D693" s="8">
        <v>79</v>
      </c>
      <c r="E693" s="8">
        <v>68.421052631578945</v>
      </c>
    </row>
    <row r="694" spans="1:5" ht="30" customHeight="1" x14ac:dyDescent="0.3">
      <c r="A694" s="168">
        <v>44951</v>
      </c>
      <c r="B694" s="3">
        <v>683</v>
      </c>
      <c r="D694" s="7">
        <v>84</v>
      </c>
      <c r="E694" s="7">
        <v>66.666666666666671</v>
      </c>
    </row>
    <row r="695" spans="1:5" ht="30" customHeight="1" x14ac:dyDescent="0.3">
      <c r="A695" s="169">
        <v>44952</v>
      </c>
      <c r="B695" s="4">
        <v>684</v>
      </c>
      <c r="C695" s="4"/>
      <c r="D695" s="8">
        <v>86</v>
      </c>
      <c r="E695" s="8">
        <v>81.818181818181813</v>
      </c>
    </row>
    <row r="696" spans="1:5" ht="30" customHeight="1" x14ac:dyDescent="0.3">
      <c r="A696" s="168">
        <v>44954</v>
      </c>
      <c r="B696" s="3">
        <v>685</v>
      </c>
      <c r="D696" s="7">
        <v>80</v>
      </c>
      <c r="E696" s="7">
        <v>80</v>
      </c>
    </row>
    <row r="697" spans="1:5" ht="30" customHeight="1" x14ac:dyDescent="0.3">
      <c r="A697" s="169">
        <v>44955</v>
      </c>
      <c r="B697" s="4">
        <v>686</v>
      </c>
      <c r="C697" s="4"/>
      <c r="D697" s="8">
        <v>82</v>
      </c>
      <c r="E697" s="8">
        <v>62.5</v>
      </c>
    </row>
    <row r="698" spans="1:5" ht="30" customHeight="1" x14ac:dyDescent="0.3">
      <c r="A698" s="168">
        <v>44956</v>
      </c>
      <c r="B698" s="3">
        <v>687</v>
      </c>
      <c r="D698" s="7">
        <v>81</v>
      </c>
      <c r="E698" s="7">
        <v>62</v>
      </c>
    </row>
    <row r="699" spans="1:5" ht="30" customHeight="1" x14ac:dyDescent="0.3">
      <c r="A699" s="169">
        <v>44957</v>
      </c>
      <c r="B699" s="4">
        <v>688</v>
      </c>
      <c r="C699" s="4"/>
      <c r="D699" s="8">
        <v>84</v>
      </c>
      <c r="E699" s="8">
        <v>66.666666666666671</v>
      </c>
    </row>
    <row r="700" spans="1:5" ht="30" customHeight="1" x14ac:dyDescent="0.3">
      <c r="A700" s="168">
        <v>44958</v>
      </c>
      <c r="B700" s="3">
        <v>689</v>
      </c>
      <c r="D700" s="7">
        <v>82</v>
      </c>
      <c r="E700" s="7">
        <v>88.888888888888886</v>
      </c>
    </row>
    <row r="701" spans="1:5" ht="30" customHeight="1" x14ac:dyDescent="0.3">
      <c r="A701" s="169">
        <v>44959</v>
      </c>
      <c r="B701" s="4">
        <v>690</v>
      </c>
      <c r="C701" s="4"/>
      <c r="D701" s="8">
        <v>86</v>
      </c>
      <c r="E701" s="8">
        <v>92.857142857142861</v>
      </c>
    </row>
    <row r="702" spans="1:5" ht="30" customHeight="1" x14ac:dyDescent="0.3">
      <c r="A702" s="168">
        <v>44960</v>
      </c>
      <c r="B702" s="3">
        <v>691</v>
      </c>
      <c r="D702" s="7">
        <v>80</v>
      </c>
      <c r="E702" s="7">
        <v>66.666666666666671</v>
      </c>
    </row>
    <row r="703" spans="1:5" ht="30" customHeight="1" x14ac:dyDescent="0.3">
      <c r="A703" s="169">
        <v>44961</v>
      </c>
      <c r="B703" s="4">
        <v>692</v>
      </c>
      <c r="C703" s="4"/>
      <c r="D703" s="8">
        <v>87</v>
      </c>
      <c r="E703" s="8">
        <v>90</v>
      </c>
    </row>
    <row r="704" spans="1:5" ht="30" customHeight="1" x14ac:dyDescent="0.3">
      <c r="A704" s="168">
        <v>44962</v>
      </c>
      <c r="B704" s="3">
        <v>693</v>
      </c>
      <c r="D704" s="7">
        <v>87</v>
      </c>
      <c r="E704" s="7">
        <v>100</v>
      </c>
    </row>
    <row r="705" spans="1:5" ht="30" customHeight="1" x14ac:dyDescent="0.3">
      <c r="A705" s="169">
        <v>44963</v>
      </c>
      <c r="B705" s="4">
        <v>694</v>
      </c>
      <c r="C705" s="4"/>
      <c r="D705" s="8">
        <v>87</v>
      </c>
      <c r="E705" s="8">
        <v>81.818181818181813</v>
      </c>
    </row>
    <row r="706" spans="1:5" ht="30" customHeight="1" x14ac:dyDescent="0.3">
      <c r="A706" s="168">
        <v>44964</v>
      </c>
      <c r="B706" s="3">
        <v>695</v>
      </c>
      <c r="D706" s="7">
        <v>86</v>
      </c>
      <c r="E706" s="7">
        <v>73</v>
      </c>
    </row>
    <row r="707" spans="1:5" ht="30" customHeight="1" x14ac:dyDescent="0.3">
      <c r="A707" s="169">
        <v>44965</v>
      </c>
      <c r="B707" s="4">
        <v>696</v>
      </c>
      <c r="C707" s="4"/>
      <c r="D707" s="8">
        <v>84</v>
      </c>
      <c r="E707" s="8">
        <v>60</v>
      </c>
    </row>
    <row r="708" spans="1:5" ht="30" customHeight="1" x14ac:dyDescent="0.3">
      <c r="A708" s="168">
        <v>44966</v>
      </c>
      <c r="B708" s="3">
        <v>697</v>
      </c>
      <c r="D708" s="7">
        <v>80</v>
      </c>
      <c r="E708" s="7">
        <v>88.235294117647058</v>
      </c>
    </row>
    <row r="709" spans="1:5" ht="30" customHeight="1" x14ac:dyDescent="0.3">
      <c r="A709" s="169">
        <v>44967</v>
      </c>
      <c r="B709" s="4">
        <v>698</v>
      </c>
      <c r="C709" s="4"/>
      <c r="D709" s="8">
        <v>76</v>
      </c>
      <c r="E709" s="8">
        <v>44.999999999999993</v>
      </c>
    </row>
    <row r="710" spans="1:5" ht="30" customHeight="1" x14ac:dyDescent="0.3">
      <c r="A710" s="168">
        <v>44968</v>
      </c>
      <c r="B710" s="3">
        <v>699</v>
      </c>
      <c r="D710" s="7">
        <v>85</v>
      </c>
      <c r="E710" s="7">
        <v>71.428571428571431</v>
      </c>
    </row>
    <row r="711" spans="1:5" ht="30" customHeight="1" x14ac:dyDescent="0.3">
      <c r="A711" s="169">
        <v>44969</v>
      </c>
      <c r="B711" s="4">
        <v>700</v>
      </c>
      <c r="C711" s="4"/>
      <c r="D711" s="8">
        <v>82</v>
      </c>
      <c r="E711" s="8">
        <v>76.470588235294116</v>
      </c>
    </row>
    <row r="712" spans="1:5" ht="30" customHeight="1" x14ac:dyDescent="0.3">
      <c r="A712" s="168">
        <v>44970</v>
      </c>
      <c r="B712" s="3">
        <v>701</v>
      </c>
      <c r="D712" s="7">
        <v>85</v>
      </c>
      <c r="E712" s="7">
        <v>78.571428571428569</v>
      </c>
    </row>
    <row r="713" spans="1:5" ht="30" customHeight="1" x14ac:dyDescent="0.3">
      <c r="A713" s="169">
        <v>44971</v>
      </c>
      <c r="B713" s="4">
        <v>702</v>
      </c>
      <c r="C713" s="4"/>
      <c r="D713" s="8">
        <v>61</v>
      </c>
      <c r="E713" s="8">
        <v>60</v>
      </c>
    </row>
    <row r="714" spans="1:5" ht="30" customHeight="1" x14ac:dyDescent="0.3">
      <c r="A714" s="168">
        <v>44972</v>
      </c>
      <c r="B714" s="3">
        <v>703</v>
      </c>
      <c r="D714" s="7">
        <v>85</v>
      </c>
      <c r="E714" s="7">
        <v>83.333333333333343</v>
      </c>
    </row>
    <row r="715" spans="1:5" ht="30" customHeight="1" x14ac:dyDescent="0.3">
      <c r="A715" s="169">
        <v>44974</v>
      </c>
      <c r="B715" s="4">
        <v>704</v>
      </c>
      <c r="C715" s="4"/>
      <c r="D715" s="8">
        <v>84</v>
      </c>
      <c r="E715" s="8">
        <v>53.846153846153847</v>
      </c>
    </row>
    <row r="716" spans="1:5" ht="30" customHeight="1" x14ac:dyDescent="0.3">
      <c r="A716" s="168">
        <v>44974</v>
      </c>
      <c r="B716" s="3">
        <v>705</v>
      </c>
      <c r="D716" s="7">
        <v>73</v>
      </c>
      <c r="E716" s="7">
        <v>62</v>
      </c>
    </row>
    <row r="717" spans="1:5" ht="30" customHeight="1" x14ac:dyDescent="0.3">
      <c r="A717" s="169">
        <v>44975</v>
      </c>
      <c r="B717" s="4">
        <v>706</v>
      </c>
      <c r="C717" s="4"/>
      <c r="D717" s="8">
        <v>87</v>
      </c>
      <c r="E717" s="8">
        <v>61.53846153846154</v>
      </c>
    </row>
    <row r="718" spans="1:5" ht="30" customHeight="1" x14ac:dyDescent="0.3">
      <c r="A718" s="168">
        <v>44976</v>
      </c>
      <c r="B718" s="3">
        <v>707</v>
      </c>
      <c r="D718" s="7">
        <v>80</v>
      </c>
      <c r="E718" s="7">
        <v>82.35294117647058</v>
      </c>
    </row>
    <row r="719" spans="1:5" ht="30" customHeight="1" x14ac:dyDescent="0.3">
      <c r="A719" s="169">
        <v>44977</v>
      </c>
      <c r="B719" s="4">
        <v>708</v>
      </c>
      <c r="C719" s="4"/>
      <c r="D719" s="8">
        <v>83</v>
      </c>
      <c r="E719" s="8">
        <v>93.333333333333329</v>
      </c>
    </row>
    <row r="720" spans="1:5" ht="30" customHeight="1" x14ac:dyDescent="0.3">
      <c r="A720" s="168">
        <v>44978</v>
      </c>
      <c r="B720" s="3">
        <v>709</v>
      </c>
      <c r="D720" s="7">
        <v>82</v>
      </c>
      <c r="E720" s="7">
        <v>93.333333333333329</v>
      </c>
    </row>
    <row r="721" spans="1:5" ht="30" customHeight="1" x14ac:dyDescent="0.3">
      <c r="A721" s="169">
        <v>44979</v>
      </c>
      <c r="B721" s="4">
        <v>710</v>
      </c>
      <c r="C721" s="4"/>
      <c r="D721" s="8">
        <v>88</v>
      </c>
      <c r="E721" s="8">
        <v>72.727272727272734</v>
      </c>
    </row>
    <row r="722" spans="1:5" ht="30" customHeight="1" x14ac:dyDescent="0.3">
      <c r="A722" s="168">
        <v>44980</v>
      </c>
      <c r="B722" s="3">
        <v>711</v>
      </c>
      <c r="D722" s="7">
        <v>89</v>
      </c>
      <c r="E722" s="7">
        <v>81.818181818181813</v>
      </c>
    </row>
    <row r="723" spans="1:5" ht="30" customHeight="1" x14ac:dyDescent="0.3">
      <c r="A723" s="169">
        <v>44981</v>
      </c>
      <c r="B723" s="4">
        <v>712</v>
      </c>
      <c r="C723" s="4"/>
      <c r="D723" s="8">
        <v>82</v>
      </c>
      <c r="E723" s="8">
        <v>64.705882352941174</v>
      </c>
    </row>
    <row r="724" spans="1:5" ht="30" customHeight="1" x14ac:dyDescent="0.3">
      <c r="A724" s="168">
        <v>44982</v>
      </c>
      <c r="B724" s="3">
        <v>713</v>
      </c>
      <c r="D724" s="7">
        <v>82</v>
      </c>
      <c r="E724" s="7">
        <v>94.444444444444443</v>
      </c>
    </row>
    <row r="725" spans="1:5" ht="30" customHeight="1" x14ac:dyDescent="0.3">
      <c r="A725" s="169">
        <v>44983</v>
      </c>
      <c r="B725" s="4">
        <v>714</v>
      </c>
      <c r="C725" s="4"/>
      <c r="D725" s="8">
        <v>82</v>
      </c>
      <c r="E725" s="8">
        <v>62.5</v>
      </c>
    </row>
    <row r="726" spans="1:5" ht="30" customHeight="1" x14ac:dyDescent="0.3">
      <c r="A726" s="168">
        <v>44984</v>
      </c>
      <c r="B726" s="3">
        <v>715</v>
      </c>
      <c r="D726" s="7">
        <v>77</v>
      </c>
      <c r="E726" s="7">
        <v>83.333333333333343</v>
      </c>
    </row>
    <row r="727" spans="1:5" ht="30" customHeight="1" x14ac:dyDescent="0.3">
      <c r="A727" s="169">
        <v>44985</v>
      </c>
      <c r="B727" s="4">
        <v>716</v>
      </c>
      <c r="C727" s="4"/>
      <c r="D727" s="8">
        <v>83</v>
      </c>
      <c r="E727" s="8">
        <v>64.705882352941174</v>
      </c>
    </row>
    <row r="728" spans="1:5" ht="30" customHeight="1" x14ac:dyDescent="0.3">
      <c r="A728" s="168">
        <v>44986</v>
      </c>
      <c r="B728" s="3">
        <v>717</v>
      </c>
      <c r="D728" s="7">
        <v>84</v>
      </c>
      <c r="E728" s="7">
        <v>86.666666666666671</v>
      </c>
    </row>
    <row r="729" spans="1:5" ht="30" customHeight="1" x14ac:dyDescent="0.3">
      <c r="A729" s="169"/>
      <c r="B729" s="4"/>
      <c r="C729" s="4"/>
      <c r="D729" s="8"/>
      <c r="E729" s="8"/>
    </row>
    <row r="730" spans="1:5" ht="30" customHeight="1" x14ac:dyDescent="0.3">
      <c r="D730" s="7"/>
      <c r="E730" s="7"/>
    </row>
    <row r="731" spans="1:5" ht="30" customHeight="1" x14ac:dyDescent="0.3">
      <c r="A731" s="169"/>
      <c r="B731" s="4"/>
      <c r="C731" s="4"/>
      <c r="D731" s="8"/>
      <c r="E731" s="8"/>
    </row>
    <row r="732" spans="1:5" ht="30" customHeight="1" x14ac:dyDescent="0.3">
      <c r="D732" s="7"/>
      <c r="E732" s="7"/>
    </row>
    <row r="733" spans="1:5" ht="30" customHeight="1" x14ac:dyDescent="0.3">
      <c r="A733" s="169"/>
      <c r="B733" s="4"/>
      <c r="C733" s="4"/>
      <c r="D733" s="8"/>
      <c r="E733" s="8"/>
    </row>
    <row r="734" spans="1:5" ht="30" customHeight="1" x14ac:dyDescent="0.3">
      <c r="D734" s="7"/>
      <c r="E734" s="7"/>
    </row>
    <row r="735" spans="1:5" ht="30" customHeight="1" x14ac:dyDescent="0.3">
      <c r="A735" s="169"/>
      <c r="B735" s="4"/>
      <c r="C735" s="4"/>
      <c r="D735" s="8"/>
      <c r="E735" s="8"/>
    </row>
    <row r="736" spans="1:5" ht="30" customHeight="1" x14ac:dyDescent="0.3">
      <c r="D736" s="7"/>
      <c r="E736" s="7"/>
    </row>
    <row r="737" spans="1:5" ht="30" customHeight="1" x14ac:dyDescent="0.3">
      <c r="A737" s="169"/>
      <c r="B737" s="4"/>
      <c r="C737" s="4"/>
      <c r="D737" s="8"/>
      <c r="E737" s="8"/>
    </row>
    <row r="738" spans="1:5" ht="30" customHeight="1" x14ac:dyDescent="0.3">
      <c r="D738" s="7"/>
      <c r="E738" s="7"/>
    </row>
    <row r="739" spans="1:5" ht="30" customHeight="1" x14ac:dyDescent="0.3">
      <c r="A739" s="169"/>
      <c r="B739" s="4"/>
      <c r="C739" s="4"/>
      <c r="D739" s="8"/>
      <c r="E739" s="8"/>
    </row>
    <row r="740" spans="1:5" ht="30" customHeight="1" x14ac:dyDescent="0.3">
      <c r="D740" s="7"/>
      <c r="E740" s="7"/>
    </row>
    <row r="741" spans="1:5" ht="30" customHeight="1" x14ac:dyDescent="0.3">
      <c r="A741" s="169"/>
      <c r="B741" s="4"/>
      <c r="C741" s="4"/>
      <c r="D741" s="8"/>
      <c r="E741" s="8"/>
    </row>
    <row r="742" spans="1:5" ht="30" customHeight="1" x14ac:dyDescent="0.3">
      <c r="D742" s="7"/>
      <c r="E742" s="7"/>
    </row>
    <row r="743" spans="1:5" ht="30" customHeight="1" x14ac:dyDescent="0.3">
      <c r="A743" s="169"/>
      <c r="B743" s="4"/>
      <c r="C743" s="4"/>
      <c r="D743" s="8"/>
      <c r="E743" s="8"/>
    </row>
    <row r="744" spans="1:5" ht="30" customHeight="1" x14ac:dyDescent="0.3">
      <c r="D744" s="7"/>
      <c r="E744" s="7"/>
    </row>
    <row r="745" spans="1:5" ht="30" customHeight="1" x14ac:dyDescent="0.3">
      <c r="A745" s="169"/>
      <c r="B745" s="4"/>
      <c r="C745" s="4"/>
      <c r="D745" s="8"/>
      <c r="E745" s="8"/>
    </row>
    <row r="746" spans="1:5" ht="30" customHeight="1" x14ac:dyDescent="0.3">
      <c r="D746" s="7"/>
      <c r="E746" s="7"/>
    </row>
    <row r="747" spans="1:5" ht="30" customHeight="1" x14ac:dyDescent="0.3">
      <c r="A747" s="169"/>
      <c r="B747" s="4"/>
      <c r="C747" s="4"/>
      <c r="D747" s="8"/>
      <c r="E747" s="8"/>
    </row>
    <row r="748" spans="1:5" ht="30" customHeight="1" x14ac:dyDescent="0.3">
      <c r="D748" s="7"/>
      <c r="E748" s="7"/>
    </row>
    <row r="749" spans="1:5" ht="30" customHeight="1" x14ac:dyDescent="0.3">
      <c r="A749" s="169"/>
      <c r="B749" s="4"/>
      <c r="C749" s="4"/>
      <c r="D749" s="8"/>
      <c r="E749" s="8"/>
    </row>
    <row r="750" spans="1:5" ht="30" customHeight="1" x14ac:dyDescent="0.3">
      <c r="D750" s="7"/>
      <c r="E750" s="7"/>
    </row>
    <row r="751" spans="1:5" ht="30" customHeight="1" x14ac:dyDescent="0.3">
      <c r="A751" s="169"/>
      <c r="B751" s="4"/>
      <c r="C751" s="4"/>
      <c r="D751" s="8"/>
      <c r="E751" s="8"/>
    </row>
    <row r="752" spans="1:5" ht="30" customHeight="1" x14ac:dyDescent="0.3">
      <c r="D752" s="7"/>
      <c r="E752" s="7"/>
    </row>
    <row r="753" spans="1:5" ht="30" customHeight="1" x14ac:dyDescent="0.3">
      <c r="A753" s="169"/>
      <c r="B753" s="4"/>
      <c r="C753" s="4"/>
      <c r="D753" s="8"/>
      <c r="E753" s="8"/>
    </row>
    <row r="754" spans="1:5" ht="30" customHeight="1" x14ac:dyDescent="0.3">
      <c r="D754" s="7"/>
      <c r="E754" s="7"/>
    </row>
    <row r="755" spans="1:5" ht="30" customHeight="1" x14ac:dyDescent="0.3">
      <c r="A755" s="169"/>
      <c r="B755" s="4"/>
      <c r="C755" s="4"/>
      <c r="D755" s="8"/>
      <c r="E755" s="8"/>
    </row>
    <row r="756" spans="1:5" ht="30" customHeight="1" x14ac:dyDescent="0.3">
      <c r="D756" s="7"/>
      <c r="E756" s="7"/>
    </row>
    <row r="757" spans="1:5" ht="30" customHeight="1" x14ac:dyDescent="0.3">
      <c r="A757" s="169"/>
      <c r="B757" s="4"/>
      <c r="C757" s="4"/>
      <c r="D757" s="8"/>
      <c r="E757" s="8"/>
    </row>
    <row r="758" spans="1:5" ht="30" customHeight="1" x14ac:dyDescent="0.3">
      <c r="D758" s="7"/>
      <c r="E758" s="7"/>
    </row>
    <row r="759" spans="1:5" ht="30" customHeight="1" x14ac:dyDescent="0.3">
      <c r="A759" s="169"/>
      <c r="B759" s="4"/>
      <c r="C759" s="4"/>
      <c r="D759" s="8"/>
      <c r="E759" s="8"/>
    </row>
    <row r="760" spans="1:5" ht="30" customHeight="1" x14ac:dyDescent="0.3">
      <c r="D760" s="7"/>
      <c r="E760" s="7"/>
    </row>
    <row r="761" spans="1:5" ht="30" customHeight="1" x14ac:dyDescent="0.3">
      <c r="A761" s="169"/>
      <c r="B761" s="4"/>
      <c r="C761" s="4"/>
      <c r="D761" s="8"/>
      <c r="E761" s="8"/>
    </row>
    <row r="762" spans="1:5" ht="30" customHeight="1" x14ac:dyDescent="0.3">
      <c r="D762" s="7"/>
      <c r="E762" s="7"/>
    </row>
    <row r="763" spans="1:5" ht="30" customHeight="1" x14ac:dyDescent="0.3">
      <c r="A763" s="169"/>
      <c r="B763" s="4"/>
      <c r="C763" s="4"/>
      <c r="D763" s="8"/>
      <c r="E763" s="8"/>
    </row>
    <row r="764" spans="1:5" ht="30" customHeight="1" x14ac:dyDescent="0.3">
      <c r="D764" s="7"/>
      <c r="E764" s="7"/>
    </row>
    <row r="765" spans="1:5" ht="30" customHeight="1" x14ac:dyDescent="0.3">
      <c r="A765" s="169"/>
      <c r="B765" s="4"/>
      <c r="C765" s="4"/>
      <c r="D765" s="8"/>
      <c r="E765" s="8"/>
    </row>
    <row r="766" spans="1:5" ht="30" customHeight="1" x14ac:dyDescent="0.3">
      <c r="D766" s="7"/>
      <c r="E766" s="7"/>
    </row>
    <row r="767" spans="1:5" ht="30" customHeight="1" x14ac:dyDescent="0.3">
      <c r="A767" s="169"/>
      <c r="B767" s="4"/>
      <c r="C767" s="4"/>
      <c r="D767" s="8"/>
      <c r="E767" s="8"/>
    </row>
    <row r="768" spans="1:5" ht="30" customHeight="1" x14ac:dyDescent="0.3">
      <c r="D768" s="7"/>
      <c r="E768" s="7"/>
    </row>
    <row r="769" spans="1:5" ht="30" customHeight="1" x14ac:dyDescent="0.3">
      <c r="A769" s="169"/>
      <c r="B769" s="4"/>
      <c r="C769" s="4"/>
      <c r="D769" s="8"/>
      <c r="E769" s="8"/>
    </row>
    <row r="770" spans="1:5" ht="30" customHeight="1" x14ac:dyDescent="0.3">
      <c r="D770" s="7"/>
      <c r="E770" s="7"/>
    </row>
    <row r="771" spans="1:5" ht="30" customHeight="1" x14ac:dyDescent="0.3">
      <c r="A771" s="169"/>
      <c r="B771" s="4"/>
      <c r="C771" s="4"/>
      <c r="D771" s="8"/>
      <c r="E771" s="8"/>
    </row>
    <row r="772" spans="1:5" ht="30" customHeight="1" x14ac:dyDescent="0.3">
      <c r="D772" s="7"/>
      <c r="E772" s="7"/>
    </row>
    <row r="773" spans="1:5" ht="30" customHeight="1" x14ac:dyDescent="0.3">
      <c r="A773" s="169"/>
      <c r="B773" s="4"/>
      <c r="C773" s="4"/>
      <c r="D773" s="8"/>
      <c r="E773" s="8"/>
    </row>
    <row r="774" spans="1:5" ht="30" customHeight="1" x14ac:dyDescent="0.3">
      <c r="D774" s="7"/>
      <c r="E774" s="7"/>
    </row>
    <row r="775" spans="1:5" ht="30" customHeight="1" x14ac:dyDescent="0.3">
      <c r="A775" s="169"/>
      <c r="B775" s="4"/>
      <c r="C775" s="4"/>
      <c r="D775" s="8"/>
      <c r="E775" s="8"/>
    </row>
    <row r="776" spans="1:5" ht="30" customHeight="1" x14ac:dyDescent="0.3">
      <c r="D776" s="7"/>
      <c r="E776" s="7"/>
    </row>
    <row r="777" spans="1:5" ht="30" customHeight="1" x14ac:dyDescent="0.3">
      <c r="A777" s="169"/>
      <c r="B777" s="4"/>
      <c r="C777" s="4"/>
      <c r="D777" s="8"/>
      <c r="E777" s="8"/>
    </row>
    <row r="778" spans="1:5" ht="30" customHeight="1" x14ac:dyDescent="0.3">
      <c r="D778" s="7"/>
      <c r="E778" s="7"/>
    </row>
    <row r="779" spans="1:5" ht="30" customHeight="1" x14ac:dyDescent="0.3">
      <c r="A779" s="169"/>
      <c r="B779" s="4"/>
      <c r="C779" s="4"/>
      <c r="D779" s="8"/>
      <c r="E779" s="8"/>
    </row>
    <row r="780" spans="1:5" ht="30" customHeight="1" x14ac:dyDescent="0.3">
      <c r="D780" s="7"/>
      <c r="E780" s="7"/>
    </row>
    <row r="781" spans="1:5" ht="30" customHeight="1" x14ac:dyDescent="0.3">
      <c r="A781" s="169"/>
      <c r="B781" s="4"/>
      <c r="C781" s="4"/>
      <c r="D781" s="8"/>
      <c r="E781" s="8"/>
    </row>
    <row r="782" spans="1:5" ht="30" customHeight="1" x14ac:dyDescent="0.3">
      <c r="D782" s="7"/>
      <c r="E782" s="7"/>
    </row>
    <row r="783" spans="1:5" ht="30" customHeight="1" x14ac:dyDescent="0.3">
      <c r="A783" s="169"/>
      <c r="B783" s="4"/>
      <c r="C783" s="4"/>
      <c r="D783" s="8"/>
      <c r="E783" s="8"/>
    </row>
    <row r="784" spans="1:5" ht="30" customHeight="1" x14ac:dyDescent="0.3">
      <c r="D784" s="7"/>
      <c r="E784" s="7"/>
    </row>
    <row r="785" spans="1:5" ht="30" customHeight="1" x14ac:dyDescent="0.3">
      <c r="A785" s="169"/>
      <c r="B785" s="4"/>
      <c r="C785" s="4"/>
      <c r="D785" s="8"/>
      <c r="E785" s="8"/>
    </row>
    <row r="786" spans="1:5" ht="30" customHeight="1" x14ac:dyDescent="0.3">
      <c r="D786" s="7"/>
      <c r="E786" s="7"/>
    </row>
    <row r="787" spans="1:5" ht="30" customHeight="1" x14ac:dyDescent="0.3">
      <c r="A787" s="169"/>
      <c r="B787" s="4"/>
      <c r="C787" s="4"/>
      <c r="D787" s="8"/>
      <c r="E787" s="8"/>
    </row>
    <row r="788" spans="1:5" ht="30" customHeight="1" x14ac:dyDescent="0.3">
      <c r="D788" s="7"/>
      <c r="E788" s="7"/>
    </row>
    <row r="789" spans="1:5" ht="30" customHeight="1" x14ac:dyDescent="0.3">
      <c r="A789" s="169"/>
      <c r="B789" s="4"/>
      <c r="C789" s="4"/>
      <c r="D789" s="8"/>
      <c r="E789" s="8"/>
    </row>
    <row r="790" spans="1:5" ht="30" customHeight="1" x14ac:dyDescent="0.3">
      <c r="D790" s="7"/>
      <c r="E790" s="7"/>
    </row>
    <row r="791" spans="1:5" ht="30" customHeight="1" x14ac:dyDescent="0.3">
      <c r="A791" s="169"/>
      <c r="B791" s="4"/>
      <c r="C791" s="4"/>
      <c r="D791" s="8"/>
      <c r="E791" s="8"/>
    </row>
    <row r="792" spans="1:5" ht="30" customHeight="1" x14ac:dyDescent="0.3">
      <c r="D792" s="7"/>
      <c r="E792" s="7"/>
    </row>
    <row r="793" spans="1:5" ht="30" customHeight="1" x14ac:dyDescent="0.3">
      <c r="A793" s="169"/>
      <c r="B793" s="4"/>
      <c r="C793" s="4"/>
      <c r="D793" s="8"/>
      <c r="E793" s="8"/>
    </row>
    <row r="794" spans="1:5" ht="30" customHeight="1" x14ac:dyDescent="0.3">
      <c r="D794" s="7"/>
      <c r="E794" s="7"/>
    </row>
    <row r="795" spans="1:5" ht="30" customHeight="1" x14ac:dyDescent="0.3">
      <c r="A795" s="169"/>
      <c r="B795" s="4"/>
      <c r="C795" s="4"/>
      <c r="D795" s="8"/>
      <c r="E795" s="8"/>
    </row>
    <row r="796" spans="1:5" ht="30" customHeight="1" x14ac:dyDescent="0.3">
      <c r="D796" s="7"/>
      <c r="E796" s="7"/>
    </row>
    <row r="797" spans="1:5" ht="30" customHeight="1" x14ac:dyDescent="0.3">
      <c r="A797" s="169"/>
      <c r="B797" s="4"/>
      <c r="C797" s="4"/>
      <c r="D797" s="8"/>
      <c r="E797" s="8"/>
    </row>
    <row r="798" spans="1:5" ht="30" customHeight="1" x14ac:dyDescent="0.3">
      <c r="D798" s="7"/>
      <c r="E798" s="7"/>
    </row>
    <row r="799" spans="1:5" ht="30" customHeight="1" x14ac:dyDescent="0.3">
      <c r="A799" s="169"/>
      <c r="B799" s="4"/>
      <c r="C799" s="4"/>
      <c r="D799" s="8"/>
      <c r="E799" s="8"/>
    </row>
    <row r="800" spans="1:5" ht="30" customHeight="1" x14ac:dyDescent="0.3">
      <c r="D800" s="7"/>
      <c r="E800" s="7"/>
    </row>
    <row r="801" spans="1:5" ht="30" customHeight="1" x14ac:dyDescent="0.3">
      <c r="A801" s="169"/>
      <c r="B801" s="4"/>
      <c r="C801" s="4"/>
      <c r="D801" s="8"/>
      <c r="E801" s="8"/>
    </row>
    <row r="802" spans="1:5" ht="30" customHeight="1" x14ac:dyDescent="0.3">
      <c r="D802" s="7"/>
      <c r="E802" s="7"/>
    </row>
    <row r="803" spans="1:5" ht="30" customHeight="1" x14ac:dyDescent="0.3">
      <c r="A803" s="169"/>
      <c r="B803" s="4"/>
      <c r="C803" s="4"/>
      <c r="D803" s="8"/>
      <c r="E803" s="8"/>
    </row>
    <row r="804" spans="1:5" ht="30" customHeight="1" x14ac:dyDescent="0.3">
      <c r="D804" s="7"/>
      <c r="E804" s="7"/>
    </row>
    <row r="805" spans="1:5" ht="30" customHeight="1" x14ac:dyDescent="0.3">
      <c r="A805" s="169"/>
      <c r="B805" s="4"/>
      <c r="C805" s="4"/>
      <c r="D805" s="8"/>
      <c r="E805" s="8"/>
    </row>
    <row r="806" spans="1:5" ht="30" customHeight="1" x14ac:dyDescent="0.3">
      <c r="D806" s="7"/>
      <c r="E806" s="7"/>
    </row>
    <row r="807" spans="1:5" ht="30" customHeight="1" x14ac:dyDescent="0.3">
      <c r="A807" s="169"/>
      <c r="B807" s="4"/>
      <c r="C807" s="4"/>
      <c r="D807" s="8"/>
      <c r="E807" s="8"/>
    </row>
    <row r="808" spans="1:5" ht="30" customHeight="1" x14ac:dyDescent="0.3">
      <c r="D808" s="7"/>
      <c r="E808" s="7"/>
    </row>
    <row r="809" spans="1:5" ht="30" customHeight="1" x14ac:dyDescent="0.3">
      <c r="A809" s="169"/>
      <c r="B809" s="4"/>
      <c r="C809" s="4"/>
      <c r="D809" s="8"/>
      <c r="E809" s="8"/>
    </row>
    <row r="810" spans="1:5" ht="30" customHeight="1" x14ac:dyDescent="0.3">
      <c r="D810" s="7"/>
      <c r="E810" s="7"/>
    </row>
    <row r="811" spans="1:5" ht="30" customHeight="1" x14ac:dyDescent="0.3">
      <c r="A811" s="169"/>
      <c r="B811" s="4"/>
      <c r="C811" s="4"/>
      <c r="D811" s="8"/>
      <c r="E811" s="8"/>
    </row>
    <row r="812" spans="1:5" ht="30" customHeight="1" x14ac:dyDescent="0.3">
      <c r="D812" s="7"/>
      <c r="E812" s="7"/>
    </row>
    <row r="813" spans="1:5" ht="30" customHeight="1" x14ac:dyDescent="0.3">
      <c r="A813" s="169"/>
      <c r="B813" s="4"/>
      <c r="C813" s="4"/>
      <c r="D813" s="8"/>
      <c r="E813" s="8"/>
    </row>
    <row r="814" spans="1:5" ht="30" customHeight="1" x14ac:dyDescent="0.3">
      <c r="D814" s="7"/>
      <c r="E814" s="7"/>
    </row>
    <row r="815" spans="1:5" ht="30" customHeight="1" x14ac:dyDescent="0.3">
      <c r="A815" s="169"/>
      <c r="B815" s="4"/>
      <c r="C815" s="4"/>
      <c r="D815" s="8"/>
      <c r="E815" s="8"/>
    </row>
    <row r="816" spans="1:5" ht="30" customHeight="1" x14ac:dyDescent="0.3">
      <c r="D816" s="7"/>
      <c r="E816" s="7"/>
    </row>
    <row r="817" spans="1:5" ht="30" customHeight="1" x14ac:dyDescent="0.3">
      <c r="A817" s="169"/>
      <c r="B817" s="4"/>
      <c r="C817" s="4"/>
      <c r="D817" s="8"/>
      <c r="E817" s="8"/>
    </row>
    <row r="818" spans="1:5" ht="30" customHeight="1" x14ac:dyDescent="0.3">
      <c r="D818" s="7"/>
      <c r="E818" s="7"/>
    </row>
    <row r="819" spans="1:5" ht="30" customHeight="1" x14ac:dyDescent="0.3">
      <c r="A819" s="169"/>
      <c r="B819" s="4"/>
      <c r="C819" s="4"/>
      <c r="D819" s="8"/>
      <c r="E819" s="8"/>
    </row>
    <row r="820" spans="1:5" ht="30" customHeight="1" x14ac:dyDescent="0.3">
      <c r="D820" s="7"/>
      <c r="E820" s="7"/>
    </row>
    <row r="821" spans="1:5" ht="30" customHeight="1" x14ac:dyDescent="0.3">
      <c r="A821" s="169"/>
      <c r="B821" s="4"/>
      <c r="C821" s="4"/>
      <c r="D821" s="8"/>
      <c r="E821" s="8"/>
    </row>
    <row r="822" spans="1:5" ht="30" customHeight="1" x14ac:dyDescent="0.3">
      <c r="D822" s="7"/>
      <c r="E822" s="7"/>
    </row>
    <row r="823" spans="1:5" ht="30" customHeight="1" x14ac:dyDescent="0.3">
      <c r="A823" s="169"/>
      <c r="B823" s="4"/>
      <c r="C823" s="4"/>
      <c r="D823" s="8"/>
      <c r="E823" s="8"/>
    </row>
    <row r="824" spans="1:5" ht="30" customHeight="1" x14ac:dyDescent="0.3">
      <c r="D824" s="7"/>
      <c r="E824" s="7"/>
    </row>
    <row r="825" spans="1:5" ht="30" customHeight="1" x14ac:dyDescent="0.3">
      <c r="A825" s="169"/>
      <c r="B825" s="4"/>
      <c r="C825" s="4"/>
      <c r="D825" s="8"/>
      <c r="E825" s="8"/>
    </row>
    <row r="826" spans="1:5" ht="30" customHeight="1" x14ac:dyDescent="0.3">
      <c r="D826" s="7"/>
      <c r="E826" s="7"/>
    </row>
    <row r="827" spans="1:5" ht="30" customHeight="1" x14ac:dyDescent="0.3">
      <c r="A827" s="169"/>
      <c r="B827" s="4"/>
      <c r="C827" s="4"/>
      <c r="D827" s="8"/>
      <c r="E827" s="8"/>
    </row>
    <row r="828" spans="1:5" ht="30" customHeight="1" x14ac:dyDescent="0.3">
      <c r="D828" s="7"/>
      <c r="E828" s="7"/>
    </row>
    <row r="829" spans="1:5" ht="30" customHeight="1" x14ac:dyDescent="0.3">
      <c r="A829" s="169"/>
      <c r="B829" s="4"/>
      <c r="C829" s="4"/>
      <c r="D829" s="8"/>
      <c r="E829" s="8"/>
    </row>
    <row r="830" spans="1:5" ht="30" customHeight="1" x14ac:dyDescent="0.3">
      <c r="D830" s="7"/>
      <c r="E830" s="7"/>
    </row>
    <row r="831" spans="1:5" ht="30" customHeight="1" x14ac:dyDescent="0.3">
      <c r="A831" s="169"/>
      <c r="B831" s="4"/>
      <c r="C831" s="4"/>
      <c r="D831" s="8"/>
      <c r="E831" s="8"/>
    </row>
    <row r="832" spans="1:5" ht="30" customHeight="1" x14ac:dyDescent="0.3">
      <c r="D832" s="7"/>
      <c r="E832" s="7"/>
    </row>
    <row r="833" spans="1:5" ht="30" customHeight="1" x14ac:dyDescent="0.3">
      <c r="A833" s="169"/>
      <c r="B833" s="4"/>
      <c r="C833" s="4"/>
      <c r="D833" s="8"/>
      <c r="E833" s="8"/>
    </row>
    <row r="834" spans="1:5" ht="30" customHeight="1" x14ac:dyDescent="0.3">
      <c r="D834" s="7"/>
      <c r="E834" s="7"/>
    </row>
    <row r="835" spans="1:5" ht="30" customHeight="1" x14ac:dyDescent="0.3">
      <c r="A835" s="169"/>
      <c r="B835" s="4"/>
      <c r="C835" s="4"/>
      <c r="D835" s="8"/>
      <c r="E835" s="8"/>
    </row>
    <row r="836" spans="1:5" ht="30" customHeight="1" x14ac:dyDescent="0.3">
      <c r="D836" s="7"/>
      <c r="E836" s="7"/>
    </row>
    <row r="837" spans="1:5" ht="30" customHeight="1" x14ac:dyDescent="0.3">
      <c r="A837" s="169"/>
      <c r="B837" s="4"/>
      <c r="C837" s="4"/>
      <c r="D837" s="8"/>
      <c r="E837" s="8"/>
    </row>
    <row r="838" spans="1:5" ht="30" customHeight="1" x14ac:dyDescent="0.3">
      <c r="D838" s="7"/>
      <c r="E838" s="7"/>
    </row>
    <row r="839" spans="1:5" ht="30" customHeight="1" x14ac:dyDescent="0.3">
      <c r="A839" s="169"/>
      <c r="B839" s="4"/>
      <c r="C839" s="4"/>
      <c r="D839" s="8"/>
      <c r="E839" s="8"/>
    </row>
    <row r="840" spans="1:5" ht="30" customHeight="1" x14ac:dyDescent="0.3">
      <c r="D840" s="7"/>
      <c r="E840" s="7"/>
    </row>
    <row r="841" spans="1:5" ht="30" customHeight="1" x14ac:dyDescent="0.3">
      <c r="A841" s="169"/>
      <c r="B841" s="4"/>
      <c r="C841" s="4"/>
      <c r="D841" s="8"/>
      <c r="E841" s="8"/>
    </row>
    <row r="842" spans="1:5" ht="30" customHeight="1" x14ac:dyDescent="0.3">
      <c r="D842" s="7"/>
      <c r="E842" s="7"/>
    </row>
    <row r="843" spans="1:5" ht="30" customHeight="1" x14ac:dyDescent="0.3">
      <c r="A843" s="169"/>
      <c r="B843" s="4"/>
      <c r="C843" s="4"/>
      <c r="D843" s="8"/>
      <c r="E843" s="8"/>
    </row>
    <row r="844" spans="1:5" ht="30" customHeight="1" x14ac:dyDescent="0.3">
      <c r="D844" s="7"/>
      <c r="E844" s="7"/>
    </row>
    <row r="845" spans="1:5" ht="30" customHeight="1" x14ac:dyDescent="0.3">
      <c r="A845" s="169"/>
      <c r="B845" s="4"/>
      <c r="C845" s="4"/>
      <c r="D845" s="8"/>
      <c r="E845" s="8"/>
    </row>
    <row r="846" spans="1:5" ht="30" customHeight="1" x14ac:dyDescent="0.3">
      <c r="D846" s="7"/>
      <c r="E846" s="7"/>
    </row>
    <row r="847" spans="1:5" ht="30" customHeight="1" x14ac:dyDescent="0.3">
      <c r="A847" s="169"/>
      <c r="B847" s="4"/>
      <c r="C847" s="4"/>
      <c r="D847" s="8"/>
      <c r="E847" s="8"/>
    </row>
    <row r="848" spans="1:5" ht="30" customHeight="1" x14ac:dyDescent="0.3">
      <c r="D848" s="7"/>
      <c r="E848" s="7"/>
    </row>
    <row r="849" spans="1:5" ht="30" customHeight="1" x14ac:dyDescent="0.3">
      <c r="A849" s="169"/>
      <c r="B849" s="4"/>
      <c r="C849" s="4"/>
      <c r="D849" s="8"/>
      <c r="E849" s="8"/>
    </row>
    <row r="850" spans="1:5" ht="30" customHeight="1" x14ac:dyDescent="0.3">
      <c r="D850" s="7"/>
      <c r="E850" s="7"/>
    </row>
    <row r="851" spans="1:5" ht="30" customHeight="1" x14ac:dyDescent="0.3">
      <c r="A851" s="169"/>
      <c r="B851" s="4"/>
      <c r="C851" s="4"/>
      <c r="D851" s="8"/>
      <c r="E851" s="8"/>
    </row>
    <row r="852" spans="1:5" ht="30" customHeight="1" x14ac:dyDescent="0.3">
      <c r="D852" s="7"/>
      <c r="E852" s="7"/>
    </row>
    <row r="853" spans="1:5" ht="30" customHeight="1" x14ac:dyDescent="0.3">
      <c r="A853" s="169"/>
      <c r="B853" s="4"/>
      <c r="C853" s="4"/>
      <c r="D853" s="8"/>
      <c r="E853" s="8"/>
    </row>
    <row r="854" spans="1:5" ht="30" customHeight="1" x14ac:dyDescent="0.3">
      <c r="D854" s="7"/>
      <c r="E854" s="7"/>
    </row>
    <row r="855" spans="1:5" ht="30" customHeight="1" x14ac:dyDescent="0.3">
      <c r="A855" s="169"/>
      <c r="B855" s="4"/>
      <c r="C855" s="4"/>
      <c r="D855" s="8"/>
      <c r="E855" s="8"/>
    </row>
    <row r="856" spans="1:5" ht="30" customHeight="1" x14ac:dyDescent="0.3">
      <c r="D856" s="7"/>
      <c r="E856" s="7"/>
    </row>
    <row r="857" spans="1:5" ht="30" customHeight="1" x14ac:dyDescent="0.3">
      <c r="A857" s="169"/>
      <c r="B857" s="4"/>
      <c r="C857" s="4"/>
      <c r="D857" s="8"/>
      <c r="E857" s="8"/>
    </row>
    <row r="858" spans="1:5" ht="30" customHeight="1" x14ac:dyDescent="0.3">
      <c r="D858" s="7"/>
      <c r="E858" s="7"/>
    </row>
    <row r="859" spans="1:5" ht="30" customHeight="1" x14ac:dyDescent="0.3">
      <c r="A859" s="169"/>
      <c r="B859" s="4"/>
      <c r="C859" s="4"/>
      <c r="D859" s="8"/>
      <c r="E859" s="8"/>
    </row>
    <row r="860" spans="1:5" ht="30" customHeight="1" x14ac:dyDescent="0.3">
      <c r="D860" s="7"/>
      <c r="E860" s="7"/>
    </row>
    <row r="861" spans="1:5" ht="30" customHeight="1" x14ac:dyDescent="0.3">
      <c r="A861" s="169"/>
      <c r="B861" s="4"/>
      <c r="C861" s="4"/>
      <c r="D861" s="8"/>
      <c r="E861" s="8"/>
    </row>
    <row r="862" spans="1:5" ht="30" customHeight="1" x14ac:dyDescent="0.3">
      <c r="D862" s="7"/>
      <c r="E862" s="7"/>
    </row>
    <row r="863" spans="1:5" ht="30" customHeight="1" x14ac:dyDescent="0.3">
      <c r="A863" s="169"/>
      <c r="B863" s="4"/>
      <c r="C863" s="4"/>
      <c r="D863" s="8"/>
      <c r="E863" s="8"/>
    </row>
    <row r="864" spans="1:5" ht="30" customHeight="1" x14ac:dyDescent="0.3">
      <c r="D864" s="7"/>
      <c r="E864" s="7"/>
    </row>
    <row r="865" spans="1:5" ht="30" customHeight="1" x14ac:dyDescent="0.3">
      <c r="A865" s="169"/>
      <c r="B865" s="4"/>
      <c r="C865" s="4"/>
      <c r="D865" s="8"/>
      <c r="E865" s="8"/>
    </row>
    <row r="866" spans="1:5" ht="30" customHeight="1" x14ac:dyDescent="0.3">
      <c r="D866" s="7"/>
      <c r="E866" s="7"/>
    </row>
    <row r="867" spans="1:5" ht="30" customHeight="1" x14ac:dyDescent="0.3">
      <c r="A867" s="169"/>
      <c r="B867" s="4"/>
      <c r="C867" s="4"/>
      <c r="D867" s="8"/>
      <c r="E867" s="8"/>
    </row>
    <row r="868" spans="1:5" ht="30" customHeight="1" x14ac:dyDescent="0.3">
      <c r="D868" s="7"/>
      <c r="E868" s="7"/>
    </row>
    <row r="869" spans="1:5" ht="30" customHeight="1" x14ac:dyDescent="0.3">
      <c r="A869" s="169"/>
      <c r="B869" s="4"/>
      <c r="C869" s="4"/>
      <c r="D869" s="8"/>
      <c r="E869" s="8"/>
    </row>
    <row r="870" spans="1:5" ht="30" customHeight="1" x14ac:dyDescent="0.3">
      <c r="D870" s="7"/>
      <c r="E870" s="7"/>
    </row>
    <row r="871" spans="1:5" ht="30" customHeight="1" x14ac:dyDescent="0.3">
      <c r="A871" s="169"/>
      <c r="B871" s="4"/>
      <c r="C871" s="4"/>
      <c r="D871" s="8"/>
      <c r="E871" s="8"/>
    </row>
    <row r="872" spans="1:5" ht="30" customHeight="1" x14ac:dyDescent="0.3">
      <c r="D872" s="7"/>
      <c r="E872" s="7"/>
    </row>
    <row r="873" spans="1:5" ht="30" customHeight="1" x14ac:dyDescent="0.3">
      <c r="A873" s="169"/>
      <c r="B873" s="4"/>
      <c r="C873" s="4"/>
      <c r="D873" s="8"/>
      <c r="E873" s="8"/>
    </row>
    <row r="874" spans="1:5" ht="30" customHeight="1" x14ac:dyDescent="0.3">
      <c r="D874" s="7"/>
      <c r="E874" s="7"/>
    </row>
    <row r="875" spans="1:5" ht="30" customHeight="1" x14ac:dyDescent="0.3">
      <c r="A875" s="169"/>
      <c r="B875" s="4"/>
      <c r="C875" s="4"/>
      <c r="D875" s="8"/>
      <c r="E875" s="8"/>
    </row>
    <row r="876" spans="1:5" ht="30" customHeight="1" x14ac:dyDescent="0.3">
      <c r="D876" s="7"/>
      <c r="E876" s="7"/>
    </row>
    <row r="877" spans="1:5" ht="30" customHeight="1" x14ac:dyDescent="0.3">
      <c r="A877" s="169"/>
      <c r="B877" s="4"/>
      <c r="C877" s="4"/>
      <c r="D877" s="357"/>
      <c r="E877" s="8"/>
    </row>
    <row r="878" spans="1:5" ht="30" customHeight="1" x14ac:dyDescent="0.3">
      <c r="D878" s="7"/>
      <c r="E878" s="7"/>
    </row>
    <row r="879" spans="1:5" ht="30" customHeight="1" x14ac:dyDescent="0.3">
      <c r="A879" s="169"/>
      <c r="B879" s="4"/>
      <c r="C879" s="4"/>
      <c r="D879" s="357"/>
      <c r="E879" s="8"/>
    </row>
    <row r="880" spans="1:5" ht="30" customHeight="1" x14ac:dyDescent="0.3">
      <c r="D880" s="7"/>
      <c r="E880" s="7"/>
    </row>
    <row r="881" spans="1:5" ht="30" customHeight="1" x14ac:dyDescent="0.3">
      <c r="A881" s="169"/>
      <c r="B881" s="4"/>
      <c r="C881" s="4"/>
      <c r="D881" s="357"/>
      <c r="E881" s="8"/>
    </row>
    <row r="882" spans="1:5" ht="30" customHeight="1" x14ac:dyDescent="0.3">
      <c r="D882" s="7"/>
      <c r="E882" s="7"/>
    </row>
    <row r="883" spans="1:5" ht="30" customHeight="1" x14ac:dyDescent="0.3">
      <c r="A883" s="169"/>
      <c r="B883" s="4"/>
      <c r="C883" s="4"/>
      <c r="D883" s="357"/>
      <c r="E883" s="8"/>
    </row>
    <row r="884" spans="1:5" ht="30" customHeight="1" x14ac:dyDescent="0.3">
      <c r="D884" s="7"/>
      <c r="E884" s="7"/>
    </row>
    <row r="885" spans="1:5" ht="30" customHeight="1" x14ac:dyDescent="0.3">
      <c r="A885" s="169"/>
      <c r="B885" s="4"/>
      <c r="C885" s="4"/>
      <c r="D885" s="357"/>
      <c r="E885" s="8"/>
    </row>
    <row r="886" spans="1:5" ht="30" customHeight="1" x14ac:dyDescent="0.3">
      <c r="D886" s="7"/>
      <c r="E886" s="7"/>
    </row>
    <row r="887" spans="1:5" ht="30" customHeight="1" x14ac:dyDescent="0.3">
      <c r="A887" s="169"/>
      <c r="B887" s="4"/>
      <c r="C887" s="4"/>
      <c r="D887" s="357"/>
      <c r="E887" s="8"/>
    </row>
    <row r="888" spans="1:5" ht="30" customHeight="1" x14ac:dyDescent="0.3">
      <c r="D888" s="7"/>
      <c r="E888" s="7"/>
    </row>
    <row r="889" spans="1:5" ht="30" customHeight="1" x14ac:dyDescent="0.3">
      <c r="A889" s="169"/>
      <c r="B889" s="4"/>
      <c r="C889" s="4"/>
      <c r="D889" s="357"/>
      <c r="E889" s="8"/>
    </row>
    <row r="890" spans="1:5" ht="30" customHeight="1" x14ac:dyDescent="0.3">
      <c r="D890" s="7"/>
      <c r="E890" s="7"/>
    </row>
    <row r="891" spans="1:5" ht="30" customHeight="1" x14ac:dyDescent="0.3">
      <c r="A891" s="169"/>
      <c r="B891" s="4"/>
      <c r="C891" s="4"/>
      <c r="D891" s="357"/>
      <c r="E891" s="8"/>
    </row>
    <row r="892" spans="1:5" ht="30" customHeight="1" x14ac:dyDescent="0.3">
      <c r="D892" s="7"/>
      <c r="E892" s="7"/>
    </row>
    <row r="893" spans="1:5" ht="30" customHeight="1" x14ac:dyDescent="0.3">
      <c r="A893" s="169"/>
      <c r="B893" s="4"/>
      <c r="C893" s="4"/>
      <c r="D893" s="357"/>
      <c r="E893" s="8"/>
    </row>
    <row r="894" spans="1:5" ht="30" customHeight="1" x14ac:dyDescent="0.3">
      <c r="D894" s="7"/>
      <c r="E894" s="7"/>
    </row>
    <row r="895" spans="1:5" ht="30" customHeight="1" x14ac:dyDescent="0.3">
      <c r="A895" s="169"/>
      <c r="B895" s="4"/>
      <c r="C895" s="4"/>
      <c r="D895" s="357"/>
      <c r="E895" s="8"/>
    </row>
    <row r="896" spans="1:5" ht="30" customHeight="1" x14ac:dyDescent="0.3">
      <c r="D896" s="7"/>
      <c r="E896" s="7"/>
    </row>
    <row r="897" spans="1:5" ht="30" customHeight="1" x14ac:dyDescent="0.3">
      <c r="A897" s="169"/>
      <c r="B897" s="4"/>
      <c r="C897" s="4"/>
      <c r="D897" s="357"/>
      <c r="E897" s="8"/>
    </row>
    <row r="898" spans="1:5" ht="30" customHeight="1" x14ac:dyDescent="0.3">
      <c r="D898" s="7"/>
      <c r="E898" s="7"/>
    </row>
    <row r="899" spans="1:5" ht="30" customHeight="1" x14ac:dyDescent="0.3">
      <c r="A899" s="169"/>
      <c r="B899" s="4"/>
      <c r="C899" s="4"/>
      <c r="D899" s="357"/>
      <c r="E899" s="8"/>
    </row>
    <row r="900" spans="1:5" ht="30" customHeight="1" x14ac:dyDescent="0.3">
      <c r="D900" s="7"/>
      <c r="E900" s="7"/>
    </row>
    <row r="901" spans="1:5" ht="30" customHeight="1" x14ac:dyDescent="0.3">
      <c r="A901" s="169"/>
      <c r="B901" s="4"/>
      <c r="C901" s="4"/>
      <c r="D901" s="357"/>
      <c r="E901" s="8"/>
    </row>
    <row r="902" spans="1:5" ht="30" customHeight="1" x14ac:dyDescent="0.3">
      <c r="D902" s="7"/>
      <c r="E902" s="7"/>
    </row>
    <row r="903" spans="1:5" ht="30" customHeight="1" x14ac:dyDescent="0.3">
      <c r="A903" s="169"/>
      <c r="B903" s="4"/>
      <c r="C903" s="4"/>
      <c r="D903" s="357"/>
      <c r="E903" s="8"/>
    </row>
    <row r="904" spans="1:5" ht="30" customHeight="1" x14ac:dyDescent="0.3">
      <c r="D904" s="7"/>
      <c r="E904" s="7"/>
    </row>
    <row r="905" spans="1:5" ht="30" customHeight="1" x14ac:dyDescent="0.3">
      <c r="A905" s="169"/>
      <c r="B905" s="4"/>
      <c r="C905" s="4"/>
      <c r="D905" s="357"/>
      <c r="E905" s="8"/>
    </row>
    <row r="906" spans="1:5" ht="30" customHeight="1" x14ac:dyDescent="0.3">
      <c r="D906" s="7"/>
      <c r="E906" s="7"/>
    </row>
    <row r="907" spans="1:5" ht="30" customHeight="1" x14ac:dyDescent="0.3">
      <c r="A907" s="169"/>
      <c r="B907" s="4"/>
      <c r="C907" s="4"/>
      <c r="D907" s="357"/>
      <c r="E907" s="8"/>
    </row>
    <row r="908" spans="1:5" ht="30" customHeight="1" x14ac:dyDescent="0.3">
      <c r="D908" s="7"/>
      <c r="E908" s="7"/>
    </row>
    <row r="909" spans="1:5" ht="30" customHeight="1" x14ac:dyDescent="0.3">
      <c r="A909" s="169"/>
      <c r="B909" s="4"/>
      <c r="C909" s="4"/>
      <c r="D909" s="357"/>
      <c r="E909" s="8"/>
    </row>
    <row r="910" spans="1:5" ht="30" customHeight="1" x14ac:dyDescent="0.3">
      <c r="D910" s="7"/>
      <c r="E910" s="7"/>
    </row>
    <row r="911" spans="1:5" ht="30" customHeight="1" x14ac:dyDescent="0.3">
      <c r="A911" s="169"/>
      <c r="B911" s="4"/>
      <c r="C911" s="4"/>
      <c r="D911" s="357"/>
      <c r="E911" s="8"/>
    </row>
    <row r="912" spans="1:5" ht="30" customHeight="1" x14ac:dyDescent="0.3">
      <c r="D912" s="7"/>
      <c r="E912" s="7"/>
    </row>
    <row r="913" spans="1:5" ht="30" customHeight="1" x14ac:dyDescent="0.3">
      <c r="A913" s="169"/>
      <c r="B913" s="4"/>
      <c r="C913" s="4"/>
      <c r="D913" s="357"/>
      <c r="E913" s="8"/>
    </row>
    <row r="914" spans="1:5" ht="30" customHeight="1" x14ac:dyDescent="0.3">
      <c r="D914" s="7"/>
      <c r="E914" s="7"/>
    </row>
    <row r="915" spans="1:5" ht="30" customHeight="1" x14ac:dyDescent="0.3">
      <c r="A915" s="169"/>
      <c r="B915" s="4"/>
      <c r="C915" s="4"/>
      <c r="D915" s="357"/>
      <c r="E915" s="8"/>
    </row>
    <row r="916" spans="1:5" ht="30" customHeight="1" x14ac:dyDescent="0.3">
      <c r="D916" s="7"/>
      <c r="E916" s="7"/>
    </row>
    <row r="917" spans="1:5" ht="30" customHeight="1" x14ac:dyDescent="0.3">
      <c r="A917" s="169"/>
      <c r="B917" s="4"/>
      <c r="C917" s="4"/>
      <c r="D917" s="357"/>
      <c r="E917" s="8"/>
    </row>
    <row r="918" spans="1:5" ht="30" customHeight="1" x14ac:dyDescent="0.3">
      <c r="D918" s="7"/>
      <c r="E918" s="7"/>
    </row>
    <row r="919" spans="1:5" ht="30" customHeight="1" x14ac:dyDescent="0.3">
      <c r="A919" s="169"/>
      <c r="B919" s="4"/>
      <c r="C919" s="4"/>
      <c r="D919" s="357"/>
      <c r="E919" s="8"/>
    </row>
    <row r="920" spans="1:5" ht="30" customHeight="1" x14ac:dyDescent="0.3">
      <c r="D920" s="7"/>
      <c r="E920" s="7"/>
    </row>
    <row r="921" spans="1:5" ht="30" customHeight="1" x14ac:dyDescent="0.3">
      <c r="A921" s="169"/>
      <c r="B921" s="4"/>
      <c r="C921" s="4"/>
      <c r="D921" s="357"/>
      <c r="E921" s="8"/>
    </row>
    <row r="922" spans="1:5" ht="30" customHeight="1" x14ac:dyDescent="0.3">
      <c r="D922" s="7"/>
      <c r="E922" s="7"/>
    </row>
    <row r="923" spans="1:5" ht="30" customHeight="1" x14ac:dyDescent="0.3">
      <c r="A923" s="169"/>
      <c r="B923" s="4"/>
      <c r="C923" s="4"/>
      <c r="D923" s="357"/>
      <c r="E923" s="8"/>
    </row>
    <row r="924" spans="1:5" ht="30" customHeight="1" x14ac:dyDescent="0.3">
      <c r="D924" s="7"/>
      <c r="E924" s="7"/>
    </row>
    <row r="925" spans="1:5" ht="30" customHeight="1" x14ac:dyDescent="0.3">
      <c r="A925" s="169"/>
      <c r="B925" s="4"/>
      <c r="C925" s="4"/>
      <c r="D925" s="357"/>
      <c r="E925" s="8"/>
    </row>
    <row r="926" spans="1:5" ht="30" customHeight="1" x14ac:dyDescent="0.3">
      <c r="D926" s="7"/>
      <c r="E926" s="7"/>
    </row>
    <row r="927" spans="1:5" ht="30" customHeight="1" x14ac:dyDescent="0.3">
      <c r="A927" s="169"/>
      <c r="B927" s="4"/>
      <c r="C927" s="4"/>
      <c r="D927" s="357"/>
      <c r="E927" s="8"/>
    </row>
    <row r="928" spans="1:5" ht="30" customHeight="1" x14ac:dyDescent="0.3">
      <c r="D928" s="7"/>
      <c r="E928" s="7"/>
    </row>
    <row r="929" spans="1:5" ht="30" customHeight="1" x14ac:dyDescent="0.3">
      <c r="A929" s="169"/>
      <c r="B929" s="4"/>
      <c r="C929" s="4"/>
      <c r="D929" s="357"/>
      <c r="E929" s="8"/>
    </row>
    <row r="930" spans="1:5" ht="30" customHeight="1" x14ac:dyDescent="0.3">
      <c r="D930" s="7"/>
      <c r="E930" s="7"/>
    </row>
    <row r="931" spans="1:5" ht="30" customHeight="1" x14ac:dyDescent="0.3">
      <c r="A931" s="169"/>
      <c r="B931" s="4"/>
      <c r="C931" s="4"/>
      <c r="D931" s="357"/>
      <c r="E931" s="8"/>
    </row>
    <row r="932" spans="1:5" ht="30" customHeight="1" x14ac:dyDescent="0.3">
      <c r="D932" s="7"/>
      <c r="E932" s="7"/>
    </row>
    <row r="933" spans="1:5" ht="30" customHeight="1" x14ac:dyDescent="0.3">
      <c r="A933" s="169"/>
      <c r="B933" s="4"/>
      <c r="C933" s="4"/>
      <c r="D933" s="357"/>
      <c r="E933" s="8"/>
    </row>
    <row r="934" spans="1:5" ht="30" customHeight="1" x14ac:dyDescent="0.3">
      <c r="D934" s="7"/>
      <c r="E934" s="7"/>
    </row>
    <row r="935" spans="1:5" ht="30" customHeight="1" x14ac:dyDescent="0.3">
      <c r="A935" s="169"/>
      <c r="B935" s="4"/>
      <c r="C935" s="4"/>
      <c r="D935" s="357"/>
      <c r="E935" s="8"/>
    </row>
    <row r="936" spans="1:5" ht="30" customHeight="1" x14ac:dyDescent="0.3">
      <c r="D936" s="7"/>
      <c r="E936" s="7"/>
    </row>
    <row r="937" spans="1:5" ht="30" customHeight="1" x14ac:dyDescent="0.3">
      <c r="A937" s="169"/>
      <c r="B937" s="4"/>
      <c r="C937" s="4"/>
      <c r="D937" s="357"/>
      <c r="E937" s="8"/>
    </row>
    <row r="938" spans="1:5" ht="30" customHeight="1" x14ac:dyDescent="0.3">
      <c r="D938" s="7"/>
      <c r="E938" s="7"/>
    </row>
    <row r="939" spans="1:5" ht="30" customHeight="1" x14ac:dyDescent="0.3">
      <c r="A939" s="169"/>
      <c r="B939" s="4"/>
      <c r="C939" s="4"/>
      <c r="D939" s="357"/>
      <c r="E939" s="8"/>
    </row>
    <row r="940" spans="1:5" ht="30" customHeight="1" x14ac:dyDescent="0.3">
      <c r="D940" s="7"/>
      <c r="E940" s="7"/>
    </row>
    <row r="941" spans="1:5" ht="30" customHeight="1" x14ac:dyDescent="0.3">
      <c r="A941" s="169"/>
      <c r="B941" s="4"/>
      <c r="C941" s="4"/>
      <c r="D941" s="357"/>
      <c r="E941" s="8"/>
    </row>
    <row r="942" spans="1:5" ht="30" customHeight="1" x14ac:dyDescent="0.3">
      <c r="D942" s="7"/>
      <c r="E942" s="7"/>
    </row>
    <row r="943" spans="1:5" ht="30" customHeight="1" x14ac:dyDescent="0.3">
      <c r="A943" s="169"/>
      <c r="B943" s="4"/>
      <c r="C943" s="4"/>
      <c r="D943" s="357"/>
      <c r="E943" s="8"/>
    </row>
    <row r="944" spans="1:5" ht="30" customHeight="1" x14ac:dyDescent="0.3">
      <c r="D944" s="7"/>
      <c r="E944" s="7"/>
    </row>
    <row r="945" spans="1:5" ht="30" customHeight="1" x14ac:dyDescent="0.3">
      <c r="A945" s="169"/>
      <c r="B945" s="4"/>
      <c r="C945" s="4"/>
      <c r="D945" s="357"/>
      <c r="E945" s="8"/>
    </row>
    <row r="946" spans="1:5" ht="30" customHeight="1" x14ac:dyDescent="0.3">
      <c r="D946" s="7"/>
      <c r="E946" s="7"/>
    </row>
    <row r="947" spans="1:5" ht="30" customHeight="1" x14ac:dyDescent="0.3">
      <c r="A947" s="169"/>
      <c r="B947" s="4"/>
      <c r="C947" s="4"/>
      <c r="D947" s="357"/>
      <c r="E947" s="8"/>
    </row>
    <row r="948" spans="1:5" ht="30" customHeight="1" x14ac:dyDescent="0.3">
      <c r="D948" s="7"/>
      <c r="E948" s="7"/>
    </row>
    <row r="949" spans="1:5" ht="30" customHeight="1" x14ac:dyDescent="0.3">
      <c r="A949" s="169"/>
      <c r="B949" s="4"/>
      <c r="C949" s="4"/>
      <c r="D949" s="357"/>
      <c r="E949" s="8"/>
    </row>
    <row r="950" spans="1:5" ht="30" customHeight="1" x14ac:dyDescent="0.3">
      <c r="D950" s="7"/>
      <c r="E950" s="7"/>
    </row>
    <row r="951" spans="1:5" ht="30" customHeight="1" x14ac:dyDescent="0.3">
      <c r="A951" s="169"/>
      <c r="B951" s="4"/>
      <c r="C951" s="4"/>
      <c r="D951" s="357"/>
      <c r="E951" s="8"/>
    </row>
    <row r="952" spans="1:5" ht="30" customHeight="1" x14ac:dyDescent="0.3">
      <c r="D952" s="7"/>
      <c r="E952" s="7"/>
    </row>
    <row r="953" spans="1:5" ht="30" customHeight="1" x14ac:dyDescent="0.3">
      <c r="A953" s="169"/>
      <c r="B953" s="4"/>
      <c r="C953" s="4"/>
      <c r="D953" s="357"/>
      <c r="E953" s="8"/>
    </row>
    <row r="954" spans="1:5" ht="30" customHeight="1" x14ac:dyDescent="0.3">
      <c r="D954" s="7"/>
      <c r="E954" s="7"/>
    </row>
    <row r="955" spans="1:5" ht="30" customHeight="1" x14ac:dyDescent="0.3">
      <c r="A955" s="169"/>
      <c r="B955" s="4"/>
      <c r="C955" s="4"/>
      <c r="D955" s="357"/>
      <c r="E955" s="8"/>
    </row>
    <row r="956" spans="1:5" ht="30" customHeight="1" x14ac:dyDescent="0.3">
      <c r="D956" s="7"/>
      <c r="E956" s="7"/>
    </row>
    <row r="957" spans="1:5" ht="30" customHeight="1" x14ac:dyDescent="0.3">
      <c r="A957" s="169"/>
      <c r="B957" s="4"/>
      <c r="C957" s="4"/>
      <c r="D957" s="357"/>
      <c r="E957" s="8"/>
    </row>
    <row r="958" spans="1:5" ht="30" customHeight="1" x14ac:dyDescent="0.3">
      <c r="D958" s="7"/>
      <c r="E958" s="7"/>
    </row>
    <row r="959" spans="1:5" ht="30" customHeight="1" x14ac:dyDescent="0.3">
      <c r="A959" s="169"/>
      <c r="B959" s="4"/>
      <c r="C959" s="4"/>
      <c r="D959" s="357"/>
      <c r="E959" s="8"/>
    </row>
    <row r="960" spans="1:5" ht="30" customHeight="1" x14ac:dyDescent="0.3">
      <c r="D960" s="7"/>
      <c r="E960" s="7"/>
    </row>
    <row r="961" spans="1:5" ht="30" customHeight="1" x14ac:dyDescent="0.3">
      <c r="A961" s="169"/>
      <c r="B961" s="4"/>
      <c r="C961" s="4"/>
      <c r="D961" s="357"/>
      <c r="E961" s="8"/>
    </row>
    <row r="962" spans="1:5" ht="30" customHeight="1" x14ac:dyDescent="0.3">
      <c r="D962" s="7"/>
      <c r="E962" s="7"/>
    </row>
    <row r="963" spans="1:5" ht="30" customHeight="1" x14ac:dyDescent="0.3">
      <c r="A963" s="169"/>
      <c r="B963" s="4"/>
      <c r="C963" s="4"/>
      <c r="D963" s="357"/>
      <c r="E963" s="8"/>
    </row>
    <row r="964" spans="1:5" ht="30" customHeight="1" x14ac:dyDescent="0.3">
      <c r="D964" s="7"/>
      <c r="E964" s="7"/>
    </row>
    <row r="965" spans="1:5" ht="30" customHeight="1" x14ac:dyDescent="0.3">
      <c r="A965" s="169"/>
      <c r="B965" s="4"/>
      <c r="C965" s="4"/>
      <c r="D965" s="357"/>
      <c r="E965" s="8"/>
    </row>
    <row r="966" spans="1:5" ht="30" customHeight="1" x14ac:dyDescent="0.3">
      <c r="D966" s="7"/>
      <c r="E966" s="7"/>
    </row>
    <row r="967" spans="1:5" ht="30" customHeight="1" x14ac:dyDescent="0.3">
      <c r="A967" s="169"/>
      <c r="B967" s="4"/>
      <c r="C967" s="4"/>
      <c r="D967" s="357"/>
      <c r="E967" s="8"/>
    </row>
    <row r="968" spans="1:5" ht="30" customHeight="1" x14ac:dyDescent="0.3">
      <c r="D968" s="7"/>
      <c r="E968" s="7"/>
    </row>
    <row r="969" spans="1:5" ht="30" customHeight="1" x14ac:dyDescent="0.3">
      <c r="A969" s="169"/>
      <c r="B969" s="4"/>
      <c r="C969" s="4"/>
      <c r="D969" s="357"/>
      <c r="E969" s="8"/>
    </row>
    <row r="970" spans="1:5" ht="30" customHeight="1" x14ac:dyDescent="0.3">
      <c r="D970" s="7"/>
      <c r="E970" s="7"/>
    </row>
    <row r="971" spans="1:5" ht="30" customHeight="1" x14ac:dyDescent="0.3">
      <c r="A971" s="169"/>
      <c r="B971" s="4"/>
      <c r="C971" s="4"/>
      <c r="D971" s="357"/>
      <c r="E971" s="8"/>
    </row>
    <row r="972" spans="1:5" ht="30" customHeight="1" x14ac:dyDescent="0.3">
      <c r="D972" s="7"/>
      <c r="E972" s="7"/>
    </row>
    <row r="973" spans="1:5" ht="30" customHeight="1" x14ac:dyDescent="0.3">
      <c r="A973" s="169"/>
      <c r="B973" s="4"/>
      <c r="C973" s="4"/>
      <c r="D973" s="357"/>
      <c r="E973" s="8"/>
    </row>
    <row r="974" spans="1:5" ht="30" customHeight="1" x14ac:dyDescent="0.3">
      <c r="D974" s="7"/>
      <c r="E974" s="7"/>
    </row>
    <row r="975" spans="1:5" ht="30" customHeight="1" x14ac:dyDescent="0.3">
      <c r="A975" s="169"/>
      <c r="B975" s="4"/>
      <c r="C975" s="4"/>
      <c r="D975" s="357"/>
      <c r="E975" s="8"/>
    </row>
    <row r="976" spans="1:5" ht="30" customHeight="1" x14ac:dyDescent="0.3">
      <c r="D976" s="7"/>
      <c r="E976" s="7"/>
    </row>
    <row r="977" spans="1:5" ht="30" customHeight="1" x14ac:dyDescent="0.3">
      <c r="A977" s="169"/>
      <c r="B977" s="4"/>
      <c r="C977" s="4"/>
      <c r="D977" s="357"/>
      <c r="E977" s="8"/>
    </row>
    <row r="978" spans="1:5" ht="30" customHeight="1" x14ac:dyDescent="0.3">
      <c r="D978" s="7"/>
      <c r="E978" s="7"/>
    </row>
    <row r="979" spans="1:5" ht="30" customHeight="1" x14ac:dyDescent="0.3">
      <c r="A979" s="169"/>
      <c r="B979" s="4"/>
      <c r="C979" s="4"/>
      <c r="D979" s="357"/>
      <c r="E979" s="8"/>
    </row>
    <row r="980" spans="1:5" ht="30" customHeight="1" x14ac:dyDescent="0.3">
      <c r="D980" s="7"/>
      <c r="E980" s="7"/>
    </row>
    <row r="981" spans="1:5" ht="30" customHeight="1" x14ac:dyDescent="0.3">
      <c r="A981" s="169"/>
      <c r="B981" s="4"/>
      <c r="C981" s="4"/>
      <c r="D981" s="357"/>
      <c r="E981" s="8"/>
    </row>
    <row r="982" spans="1:5" ht="30" customHeight="1" x14ac:dyDescent="0.3">
      <c r="D982" s="7"/>
      <c r="E982" s="7"/>
    </row>
    <row r="983" spans="1:5" ht="30" customHeight="1" x14ac:dyDescent="0.3">
      <c r="A983" s="169"/>
      <c r="B983" s="4"/>
      <c r="C983" s="4"/>
      <c r="D983" s="357"/>
      <c r="E983" s="8"/>
    </row>
    <row r="984" spans="1:5" ht="30" customHeight="1" x14ac:dyDescent="0.3">
      <c r="D984" s="7"/>
      <c r="E984" s="7"/>
    </row>
    <row r="985" spans="1:5" ht="30" customHeight="1" x14ac:dyDescent="0.3">
      <c r="A985" s="169"/>
      <c r="B985" s="4"/>
      <c r="C985" s="4"/>
      <c r="D985" s="357"/>
      <c r="E985" s="8"/>
    </row>
    <row r="986" spans="1:5" ht="30" customHeight="1" x14ac:dyDescent="0.3">
      <c r="D986" s="7"/>
      <c r="E986" s="7"/>
    </row>
    <row r="987" spans="1:5" ht="30" customHeight="1" x14ac:dyDescent="0.3">
      <c r="A987" s="169"/>
      <c r="B987" s="4"/>
      <c r="C987" s="4"/>
      <c r="D987" s="357"/>
      <c r="E987" s="8"/>
    </row>
    <row r="988" spans="1:5" ht="30" customHeight="1" x14ac:dyDescent="0.3">
      <c r="D988" s="7"/>
      <c r="E988" s="7"/>
    </row>
    <row r="989" spans="1:5" ht="30" customHeight="1" x14ac:dyDescent="0.3">
      <c r="A989" s="169"/>
      <c r="B989" s="4"/>
      <c r="C989" s="4"/>
      <c r="D989" s="357"/>
      <c r="E989" s="8"/>
    </row>
    <row r="990" spans="1:5" ht="30" customHeight="1" x14ac:dyDescent="0.3">
      <c r="D990" s="7"/>
      <c r="E990" s="7"/>
    </row>
    <row r="991" spans="1:5" ht="30" customHeight="1" x14ac:dyDescent="0.3">
      <c r="A991" s="169"/>
      <c r="B991" s="4"/>
      <c r="C991" s="4"/>
      <c r="D991" s="357"/>
      <c r="E991" s="8"/>
    </row>
    <row r="992" spans="1:5" ht="30" customHeight="1" x14ac:dyDescent="0.3">
      <c r="D992" s="7"/>
      <c r="E992" s="7"/>
    </row>
    <row r="993" spans="1:5" ht="30" customHeight="1" x14ac:dyDescent="0.3">
      <c r="A993" s="169"/>
      <c r="B993" s="4"/>
      <c r="C993" s="4"/>
      <c r="D993" s="357"/>
      <c r="E993" s="8"/>
    </row>
    <row r="994" spans="1:5" ht="30" customHeight="1" x14ac:dyDescent="0.3">
      <c r="D994" s="7"/>
      <c r="E994" s="7"/>
    </row>
    <row r="995" spans="1:5" ht="30" customHeight="1" x14ac:dyDescent="0.3">
      <c r="A995" s="169"/>
      <c r="B995" s="4"/>
      <c r="C995" s="4"/>
      <c r="D995" s="357"/>
      <c r="E995" s="8"/>
    </row>
    <row r="996" spans="1:5" ht="30" customHeight="1" x14ac:dyDescent="0.3">
      <c r="D996" s="7"/>
      <c r="E996" s="7"/>
    </row>
    <row r="997" spans="1:5" ht="30" customHeight="1" x14ac:dyDescent="0.3">
      <c r="A997" s="169"/>
      <c r="B997" s="4"/>
      <c r="C997" s="4"/>
      <c r="D997" s="357"/>
      <c r="E997" s="8"/>
    </row>
    <row r="998" spans="1:5" ht="30" customHeight="1" x14ac:dyDescent="0.3">
      <c r="D998" s="7"/>
      <c r="E998" s="7"/>
    </row>
    <row r="999" spans="1:5" ht="30" customHeight="1" x14ac:dyDescent="0.3">
      <c r="A999" s="169"/>
      <c r="B999" s="4"/>
      <c r="C999" s="4"/>
      <c r="D999" s="357"/>
      <c r="E999" s="8"/>
    </row>
    <row r="1000" spans="1:5" ht="30" customHeight="1" x14ac:dyDescent="0.3">
      <c r="D1000" s="7"/>
      <c r="E1000" s="7"/>
    </row>
    <row r="1001" spans="1:5" ht="30" customHeight="1" x14ac:dyDescent="0.3">
      <c r="A1001" s="169"/>
      <c r="B1001" s="4"/>
      <c r="C1001" s="4"/>
      <c r="D1001" s="357"/>
      <c r="E1001" s="8"/>
    </row>
    <row r="1002" spans="1:5" ht="30" customHeight="1" x14ac:dyDescent="0.3">
      <c r="D1002" s="7"/>
      <c r="E1002" s="7"/>
    </row>
    <row r="1003" spans="1:5" ht="30" customHeight="1" x14ac:dyDescent="0.3">
      <c r="A1003" s="169"/>
      <c r="B1003" s="4"/>
      <c r="C1003" s="4"/>
      <c r="D1003" s="357"/>
      <c r="E1003" s="8"/>
    </row>
    <row r="1004" spans="1:5" ht="30" customHeight="1" x14ac:dyDescent="0.3">
      <c r="D1004" s="7"/>
      <c r="E1004" s="7"/>
    </row>
    <row r="1005" spans="1:5" ht="30" customHeight="1" x14ac:dyDescent="0.3">
      <c r="A1005" s="169"/>
      <c r="B1005" s="4"/>
      <c r="C1005" s="4"/>
      <c r="D1005" s="357"/>
      <c r="E1005" s="8"/>
    </row>
    <row r="1006" spans="1:5" ht="30" customHeight="1" x14ac:dyDescent="0.3">
      <c r="D1006" s="7"/>
      <c r="E1006" s="7"/>
    </row>
    <row r="1007" spans="1:5" ht="30" customHeight="1" x14ac:dyDescent="0.3">
      <c r="A1007" s="169"/>
      <c r="B1007" s="4"/>
      <c r="C1007" s="4"/>
      <c r="D1007" s="357"/>
      <c r="E1007" s="8"/>
    </row>
    <row r="1008" spans="1:5" ht="30" customHeight="1" x14ac:dyDescent="0.3">
      <c r="D1008" s="7"/>
      <c r="E1008" s="7"/>
    </row>
    <row r="1009" spans="1:5" ht="30" customHeight="1" x14ac:dyDescent="0.3">
      <c r="A1009" s="169"/>
      <c r="B1009" s="4"/>
      <c r="C1009" s="4"/>
      <c r="D1009" s="357"/>
      <c r="E1009" s="8"/>
    </row>
    <row r="1010" spans="1:5" ht="30" customHeight="1" x14ac:dyDescent="0.3">
      <c r="D1010" s="7"/>
      <c r="E1010" s="7"/>
    </row>
    <row r="1011" spans="1:5" ht="30" customHeight="1" x14ac:dyDescent="0.3">
      <c r="A1011" s="169"/>
      <c r="B1011" s="4"/>
      <c r="C1011" s="4"/>
      <c r="D1011" s="357"/>
      <c r="E1011" s="8"/>
    </row>
    <row r="1012" spans="1:5" ht="30" customHeight="1" x14ac:dyDescent="0.3">
      <c r="D1012" s="7"/>
      <c r="E1012" s="7"/>
    </row>
    <row r="1013" spans="1:5" ht="30" customHeight="1" x14ac:dyDescent="0.3">
      <c r="A1013" s="169"/>
      <c r="B1013" s="4"/>
      <c r="C1013" s="4"/>
      <c r="D1013" s="357"/>
      <c r="E1013" s="8"/>
    </row>
    <row r="1014" spans="1:5" ht="30" customHeight="1" x14ac:dyDescent="0.3">
      <c r="D1014" s="7"/>
      <c r="E1014" s="7"/>
    </row>
    <row r="1015" spans="1:5" ht="30" customHeight="1" x14ac:dyDescent="0.3">
      <c r="A1015" s="169"/>
      <c r="B1015" s="4"/>
      <c r="C1015" s="4"/>
      <c r="D1015" s="357"/>
      <c r="E1015" s="8"/>
    </row>
    <row r="1016" spans="1:5" ht="30" customHeight="1" x14ac:dyDescent="0.3">
      <c r="D1016" s="7"/>
      <c r="E1016" s="7"/>
    </row>
    <row r="1017" spans="1:5" ht="30" customHeight="1" x14ac:dyDescent="0.3">
      <c r="A1017" s="169"/>
      <c r="B1017" s="4"/>
      <c r="C1017" s="4"/>
      <c r="D1017" s="357"/>
      <c r="E1017" s="8"/>
    </row>
    <row r="1018" spans="1:5" ht="30" customHeight="1" x14ac:dyDescent="0.3">
      <c r="D1018" s="7"/>
      <c r="E1018" s="7"/>
    </row>
    <row r="1019" spans="1:5" ht="30" customHeight="1" x14ac:dyDescent="0.3">
      <c r="A1019" s="169"/>
      <c r="B1019" s="4"/>
      <c r="C1019" s="4"/>
      <c r="D1019" s="357"/>
      <c r="E1019" s="8"/>
    </row>
    <row r="1020" spans="1:5" ht="30" customHeight="1" x14ac:dyDescent="0.3">
      <c r="D1020" s="7"/>
      <c r="E1020" s="7"/>
    </row>
    <row r="1021" spans="1:5" ht="30" customHeight="1" x14ac:dyDescent="0.3">
      <c r="A1021" s="169"/>
      <c r="B1021" s="4"/>
      <c r="C1021" s="4"/>
      <c r="D1021" s="357"/>
      <c r="E1021" s="8"/>
    </row>
    <row r="1022" spans="1:5" ht="30" customHeight="1" x14ac:dyDescent="0.3">
      <c r="D1022" s="7"/>
      <c r="E1022" s="7"/>
    </row>
    <row r="1023" spans="1:5" ht="30" customHeight="1" x14ac:dyDescent="0.3">
      <c r="A1023" s="169"/>
      <c r="B1023" s="4"/>
      <c r="C1023" s="4"/>
      <c r="D1023" s="357"/>
      <c r="E1023" s="8"/>
    </row>
    <row r="1024" spans="1:5" ht="30" customHeight="1" x14ac:dyDescent="0.3">
      <c r="D1024" s="7"/>
      <c r="E1024" s="7"/>
    </row>
    <row r="1025" spans="1:5" ht="30" customHeight="1" x14ac:dyDescent="0.3">
      <c r="A1025" s="169"/>
      <c r="B1025" s="4"/>
      <c r="C1025" s="4"/>
      <c r="D1025" s="357"/>
      <c r="E1025" s="8"/>
    </row>
    <row r="1026" spans="1:5" ht="30" customHeight="1" x14ac:dyDescent="0.3">
      <c r="D1026" s="7"/>
      <c r="E1026" s="7"/>
    </row>
    <row r="1027" spans="1:5" ht="30" customHeight="1" x14ac:dyDescent="0.3">
      <c r="A1027" s="169"/>
      <c r="B1027" s="4"/>
      <c r="C1027" s="4"/>
      <c r="D1027" s="357"/>
      <c r="E1027" s="8"/>
    </row>
    <row r="1028" spans="1:5" ht="30" customHeight="1" x14ac:dyDescent="0.3">
      <c r="D1028" s="7"/>
      <c r="E1028" s="7"/>
    </row>
    <row r="1029" spans="1:5" ht="30" customHeight="1" x14ac:dyDescent="0.3">
      <c r="A1029" s="169"/>
      <c r="B1029" s="4"/>
      <c r="C1029" s="4"/>
      <c r="D1029" s="357"/>
      <c r="E1029" s="8"/>
    </row>
    <row r="1030" spans="1:5" ht="30" customHeight="1" x14ac:dyDescent="0.3">
      <c r="D1030" s="7"/>
      <c r="E1030" s="7"/>
    </row>
    <row r="1031" spans="1:5" ht="30" customHeight="1" x14ac:dyDescent="0.3">
      <c r="A1031" s="169"/>
      <c r="B1031" s="4"/>
      <c r="C1031" s="4"/>
      <c r="D1031" s="357"/>
      <c r="E1031" s="8"/>
    </row>
    <row r="1032" spans="1:5" ht="30" customHeight="1" x14ac:dyDescent="0.3">
      <c r="D1032" s="7"/>
      <c r="E1032" s="7"/>
    </row>
    <row r="1033" spans="1:5" ht="30" customHeight="1" x14ac:dyDescent="0.3">
      <c r="A1033" s="169"/>
      <c r="B1033" s="4"/>
      <c r="C1033" s="4"/>
      <c r="D1033" s="357"/>
      <c r="E1033" s="8"/>
    </row>
    <row r="1034" spans="1:5" ht="30" customHeight="1" x14ac:dyDescent="0.3">
      <c r="D1034" s="7"/>
      <c r="E1034" s="7"/>
    </row>
    <row r="1035" spans="1:5" ht="30" customHeight="1" x14ac:dyDescent="0.3">
      <c r="A1035" s="169"/>
      <c r="B1035" s="4"/>
      <c r="C1035" s="4"/>
      <c r="D1035" s="357"/>
      <c r="E1035" s="8"/>
    </row>
    <row r="1036" spans="1:5" ht="30" customHeight="1" x14ac:dyDescent="0.3">
      <c r="D1036" s="7"/>
      <c r="E1036" s="7"/>
    </row>
    <row r="1037" spans="1:5" ht="30" customHeight="1" x14ac:dyDescent="0.3">
      <c r="A1037" s="169"/>
      <c r="B1037" s="4"/>
      <c r="C1037" s="4"/>
      <c r="D1037" s="357"/>
      <c r="E1037" s="8"/>
    </row>
    <row r="1038" spans="1:5" ht="30" customHeight="1" x14ac:dyDescent="0.3">
      <c r="D1038" s="7"/>
      <c r="E1038" s="7"/>
    </row>
    <row r="1039" spans="1:5" ht="30" customHeight="1" x14ac:dyDescent="0.3">
      <c r="A1039" s="169"/>
      <c r="B1039" s="4"/>
      <c r="C1039" s="4"/>
      <c r="D1039" s="357"/>
      <c r="E1039" s="8"/>
    </row>
    <row r="1040" spans="1:5" ht="30" customHeight="1" x14ac:dyDescent="0.3">
      <c r="D1040" s="7"/>
      <c r="E1040" s="7"/>
    </row>
    <row r="1041" spans="1:5" ht="30" customHeight="1" x14ac:dyDescent="0.3">
      <c r="A1041" s="169"/>
      <c r="B1041" s="4"/>
      <c r="C1041" s="4"/>
      <c r="D1041" s="357"/>
      <c r="E1041" s="8"/>
    </row>
    <row r="1042" spans="1:5" ht="30" customHeight="1" x14ac:dyDescent="0.3">
      <c r="D1042" s="7"/>
      <c r="E1042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ocabulaire">
                <anchor moveWithCells="1" sizeWithCells="1">
                  <from>
                    <xdr:col>1</xdr:col>
                    <xdr:colOff>198120</xdr:colOff>
                    <xdr:row>3</xdr:row>
                    <xdr:rowOff>60960</xdr:rowOff>
                  </from>
                  <to>
                    <xdr:col>3</xdr:col>
                    <xdr:colOff>228600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F2788"/>
  <sheetViews>
    <sheetView showGridLines="0" zoomScaleNormal="100" workbookViewId="0">
      <pane ySplit="1" topLeftCell="A2767" activePane="bottomLeft" state="frozen"/>
      <selection pane="bottomLeft" activeCell="A2789" sqref="A2789"/>
    </sheetView>
  </sheetViews>
  <sheetFormatPr baseColWidth="10" defaultColWidth="11.44140625" defaultRowHeight="30" customHeight="1" x14ac:dyDescent="0.3"/>
  <cols>
    <col min="1" max="1" width="60.6640625" style="5" customWidth="1"/>
    <col min="2" max="2" width="60.6640625" style="6" customWidth="1"/>
    <col min="3" max="3" width="15.6640625" style="6" customWidth="1"/>
    <col min="4" max="4" width="10.6640625" style="6" customWidth="1"/>
    <col min="5" max="5" width="11.44140625" style="6"/>
    <col min="6" max="6" width="12.6640625" style="6" bestFit="1" customWidth="1"/>
    <col min="7" max="16384" width="11.44140625" style="6"/>
  </cols>
  <sheetData>
    <row r="1" spans="1:6" ht="20.100000000000001" customHeight="1" x14ac:dyDescent="0.3">
      <c r="A1" s="26" t="s">
        <v>721</v>
      </c>
      <c r="B1" s="27" t="s">
        <v>737</v>
      </c>
      <c r="C1" s="151" t="s">
        <v>0</v>
      </c>
      <c r="D1" s="26" t="s">
        <v>3704</v>
      </c>
      <c r="E1" s="50" t="s">
        <v>5055</v>
      </c>
      <c r="F1" s="151" t="s">
        <v>6207</v>
      </c>
    </row>
    <row r="2" spans="1:6" ht="30" customHeight="1" x14ac:dyDescent="0.3">
      <c r="A2" s="26" t="s">
        <v>1304</v>
      </c>
      <c r="B2" s="27" t="s">
        <v>3114</v>
      </c>
      <c r="C2" s="180">
        <v>43438</v>
      </c>
      <c r="D2" s="28">
        <v>10</v>
      </c>
      <c r="E2" s="49">
        <v>-10</v>
      </c>
      <c r="F2" s="211">
        <f>IFERROR(Tableau6[[#This Row],[Score]]/Tableau6[[#This Row],[Nb]],0)</f>
        <v>-1</v>
      </c>
    </row>
    <row r="3" spans="1:6" ht="30" customHeight="1" x14ac:dyDescent="0.3">
      <c r="A3" s="26" t="s">
        <v>5036</v>
      </c>
      <c r="B3" s="27" t="s">
        <v>5037</v>
      </c>
      <c r="C3" s="180">
        <v>44444</v>
      </c>
      <c r="D3" s="28">
        <v>13</v>
      </c>
      <c r="E3" s="49">
        <v>-13</v>
      </c>
      <c r="F3" s="211">
        <f>IFERROR(Tableau6[[#This Row],[Score]]/Tableau6[[#This Row],[Nb]],0)</f>
        <v>-1</v>
      </c>
    </row>
    <row r="4" spans="1:6" ht="30" customHeight="1" x14ac:dyDescent="0.3">
      <c r="A4" s="151" t="s">
        <v>5163</v>
      </c>
      <c r="B4" s="56" t="s">
        <v>5060</v>
      </c>
      <c r="C4" s="185">
        <v>44452</v>
      </c>
      <c r="D4" s="57">
        <v>7</v>
      </c>
      <c r="E4" s="57">
        <v>-7</v>
      </c>
      <c r="F4" s="211">
        <f>IFERROR(Tableau6[[#This Row],[Score]]/Tableau6[[#This Row],[Nb]],0)</f>
        <v>-1</v>
      </c>
    </row>
    <row r="5" spans="1:6" ht="30" customHeight="1" x14ac:dyDescent="0.3">
      <c r="A5" s="115" t="s">
        <v>5105</v>
      </c>
      <c r="B5" s="116" t="s">
        <v>5106</v>
      </c>
      <c r="C5" s="200">
        <v>44464</v>
      </c>
      <c r="D5" s="117">
        <v>13</v>
      </c>
      <c r="E5" s="117">
        <v>-13</v>
      </c>
      <c r="F5" s="211">
        <f>IFERROR(Tableau6[[#This Row],[Score]]/Tableau6[[#This Row],[Nb]],0)</f>
        <v>-1</v>
      </c>
    </row>
    <row r="6" spans="1:6" ht="30" customHeight="1" x14ac:dyDescent="0.3">
      <c r="A6" s="151" t="s">
        <v>5133</v>
      </c>
      <c r="B6" s="152" t="s">
        <v>5134</v>
      </c>
      <c r="C6" s="207">
        <v>44471</v>
      </c>
      <c r="D6" s="148">
        <v>8</v>
      </c>
      <c r="E6" s="148">
        <v>-8</v>
      </c>
      <c r="F6" s="211">
        <f>IFERROR(Tableau6[[#This Row],[Score]]/Tableau6[[#This Row],[Nb]],0)</f>
        <v>-1</v>
      </c>
    </row>
    <row r="7" spans="1:6" ht="30" customHeight="1" x14ac:dyDescent="0.3">
      <c r="A7" s="151" t="s">
        <v>5175</v>
      </c>
      <c r="B7" s="152" t="s">
        <v>5176</v>
      </c>
      <c r="C7" s="208">
        <v>44494</v>
      </c>
      <c r="D7" s="154">
        <v>6</v>
      </c>
      <c r="E7" s="154">
        <v>-6</v>
      </c>
      <c r="F7" s="211">
        <f>IFERROR(Tableau6[[#This Row],[Score]]/Tableau6[[#This Row],[Nb]],0)</f>
        <v>-1</v>
      </c>
    </row>
    <row r="8" spans="1:6" ht="30" customHeight="1" x14ac:dyDescent="0.3">
      <c r="A8" s="151" t="s">
        <v>5234</v>
      </c>
      <c r="B8" s="152" t="s">
        <v>5235</v>
      </c>
      <c r="C8" s="208">
        <v>44519</v>
      </c>
      <c r="D8" s="154">
        <v>11</v>
      </c>
      <c r="E8" s="154">
        <v>-11</v>
      </c>
      <c r="F8" s="211">
        <f>IFERROR(Tableau6[[#This Row],[Score]]/Tableau6[[#This Row],[Nb]],0)</f>
        <v>-1</v>
      </c>
    </row>
    <row r="9" spans="1:6" ht="30" customHeight="1" x14ac:dyDescent="0.3">
      <c r="A9" s="151" t="s">
        <v>5259</v>
      </c>
      <c r="B9" s="152" t="s">
        <v>5260</v>
      </c>
      <c r="C9" s="208">
        <v>44524</v>
      </c>
      <c r="D9" s="154">
        <v>7</v>
      </c>
      <c r="E9" s="154">
        <v>-7</v>
      </c>
      <c r="F9" s="211">
        <f>IFERROR(Tableau6[[#This Row],[Score]]/Tableau6[[#This Row],[Nb]],0)</f>
        <v>-1</v>
      </c>
    </row>
    <row r="10" spans="1:6" ht="30" customHeight="1" x14ac:dyDescent="0.3">
      <c r="A10" s="151" t="s">
        <v>5295</v>
      </c>
      <c r="B10" s="152" t="s">
        <v>5296</v>
      </c>
      <c r="C10" s="208">
        <v>44529</v>
      </c>
      <c r="D10" s="154">
        <v>13</v>
      </c>
      <c r="E10" s="154">
        <v>-13</v>
      </c>
      <c r="F10" s="211">
        <f>IFERROR(Tableau6[[#This Row],[Score]]/Tableau6[[#This Row],[Nb]],0)</f>
        <v>-1</v>
      </c>
    </row>
    <row r="11" spans="1:6" ht="30" customHeight="1" x14ac:dyDescent="0.3">
      <c r="A11" s="151" t="s">
        <v>5311</v>
      </c>
      <c r="B11" s="152" t="s">
        <v>5312</v>
      </c>
      <c r="C11" s="208">
        <v>44533</v>
      </c>
      <c r="D11" s="154">
        <v>16</v>
      </c>
      <c r="E11" s="154">
        <v>-16</v>
      </c>
      <c r="F11" s="211">
        <f>IFERROR(Tableau6[[#This Row],[Score]]/Tableau6[[#This Row],[Nb]],0)</f>
        <v>-1</v>
      </c>
    </row>
    <row r="12" spans="1:6" ht="30" customHeight="1" x14ac:dyDescent="0.3">
      <c r="A12" s="151" t="s">
        <v>5315</v>
      </c>
      <c r="B12" s="152" t="s">
        <v>5316</v>
      </c>
      <c r="C12" s="208">
        <v>44534</v>
      </c>
      <c r="D12" s="154">
        <v>8</v>
      </c>
      <c r="E12" s="154">
        <v>-8</v>
      </c>
      <c r="F12" s="211">
        <f>IFERROR(Tableau6[[#This Row],[Score]]/Tableau6[[#This Row],[Nb]],0)</f>
        <v>-1</v>
      </c>
    </row>
    <row r="13" spans="1:6" ht="30" customHeight="1" x14ac:dyDescent="0.3">
      <c r="A13" s="151" t="s">
        <v>5326</v>
      </c>
      <c r="B13" s="152" t="s">
        <v>5327</v>
      </c>
      <c r="C13" s="208">
        <v>44535</v>
      </c>
      <c r="D13" s="154">
        <v>8</v>
      </c>
      <c r="E13" s="154">
        <v>-8</v>
      </c>
      <c r="F13" s="211">
        <f>IFERROR(Tableau6[[#This Row],[Score]]/Tableau6[[#This Row],[Nb]],0)</f>
        <v>-1</v>
      </c>
    </row>
    <row r="14" spans="1:6" ht="30" customHeight="1" x14ac:dyDescent="0.3">
      <c r="A14" s="151" t="s">
        <v>5360</v>
      </c>
      <c r="B14" s="152" t="s">
        <v>5361</v>
      </c>
      <c r="C14" s="208">
        <v>44549</v>
      </c>
      <c r="D14" s="154">
        <v>12</v>
      </c>
      <c r="E14" s="154">
        <v>-12</v>
      </c>
      <c r="F14" s="211">
        <f>IFERROR(Tableau6[[#This Row],[Score]]/Tableau6[[#This Row],[Nb]],0)</f>
        <v>-1</v>
      </c>
    </row>
    <row r="15" spans="1:6" ht="30" customHeight="1" x14ac:dyDescent="0.3">
      <c r="A15" s="151" t="s">
        <v>5372</v>
      </c>
      <c r="B15" s="152" t="s">
        <v>5373</v>
      </c>
      <c r="C15" s="208">
        <v>44554</v>
      </c>
      <c r="D15" s="154">
        <v>7</v>
      </c>
      <c r="E15" s="154">
        <v>-7</v>
      </c>
      <c r="F15" s="211">
        <f>IFERROR(Tableau6[[#This Row],[Score]]/Tableau6[[#This Row],[Nb]],0)</f>
        <v>-1</v>
      </c>
    </row>
    <row r="16" spans="1:6" ht="30" customHeight="1" x14ac:dyDescent="0.3">
      <c r="A16" s="151" t="s">
        <v>5378</v>
      </c>
      <c r="B16" s="152" t="s">
        <v>5379</v>
      </c>
      <c r="C16" s="208">
        <v>44557</v>
      </c>
      <c r="D16" s="154">
        <v>14</v>
      </c>
      <c r="E16" s="154">
        <v>-14</v>
      </c>
      <c r="F16" s="211">
        <f>IFERROR(Tableau6[[#This Row],[Score]]/Tableau6[[#This Row],[Nb]],0)</f>
        <v>-1</v>
      </c>
    </row>
    <row r="17" spans="1:6" ht="30" customHeight="1" x14ac:dyDescent="0.3">
      <c r="A17" s="151" t="s">
        <v>5399</v>
      </c>
      <c r="B17" s="152" t="s">
        <v>5400</v>
      </c>
      <c r="C17" s="208">
        <v>44563</v>
      </c>
      <c r="D17" s="154">
        <v>13</v>
      </c>
      <c r="E17" s="154">
        <v>-13</v>
      </c>
      <c r="F17" s="211">
        <f>IFERROR(Tableau6[[#This Row],[Score]]/Tableau6[[#This Row],[Nb]],0)</f>
        <v>-1</v>
      </c>
    </row>
    <row r="18" spans="1:6" ht="30" customHeight="1" x14ac:dyDescent="0.3">
      <c r="A18" s="151" t="s">
        <v>5418</v>
      </c>
      <c r="B18" s="152" t="s">
        <v>5419</v>
      </c>
      <c r="C18" s="208">
        <v>44564</v>
      </c>
      <c r="D18" s="154">
        <v>10</v>
      </c>
      <c r="E18" s="154">
        <v>-10</v>
      </c>
      <c r="F18" s="211">
        <f>IFERROR(Tableau6[[#This Row],[Score]]/Tableau6[[#This Row],[Nb]],0)</f>
        <v>-1</v>
      </c>
    </row>
    <row r="19" spans="1:6" ht="30" customHeight="1" x14ac:dyDescent="0.3">
      <c r="A19" s="151" t="s">
        <v>5430</v>
      </c>
      <c r="B19" s="152" t="s">
        <v>5942</v>
      </c>
      <c r="C19" s="208">
        <v>44567</v>
      </c>
      <c r="D19" s="154">
        <v>13</v>
      </c>
      <c r="E19" s="154">
        <v>-13</v>
      </c>
      <c r="F19" s="211">
        <f>IFERROR(Tableau6[[#This Row],[Score]]/Tableau6[[#This Row],[Nb]],0)</f>
        <v>-1</v>
      </c>
    </row>
    <row r="20" spans="1:6" ht="30" customHeight="1" x14ac:dyDescent="0.3">
      <c r="A20" s="151" t="s">
        <v>5454</v>
      </c>
      <c r="B20" s="152" t="s">
        <v>5455</v>
      </c>
      <c r="C20" s="208">
        <v>44575</v>
      </c>
      <c r="D20" s="154">
        <v>8</v>
      </c>
      <c r="E20" s="154">
        <v>-8</v>
      </c>
      <c r="F20" s="211">
        <f>IFERROR(Tableau6[[#This Row],[Score]]/Tableau6[[#This Row],[Nb]],0)</f>
        <v>-1</v>
      </c>
    </row>
    <row r="21" spans="1:6" ht="30" customHeight="1" x14ac:dyDescent="0.3">
      <c r="A21" s="151" t="s">
        <v>5460</v>
      </c>
      <c r="B21" s="152" t="s">
        <v>5461</v>
      </c>
      <c r="C21" s="208">
        <v>44576</v>
      </c>
      <c r="D21" s="154">
        <v>5</v>
      </c>
      <c r="E21" s="154">
        <v>-5</v>
      </c>
      <c r="F21" s="211">
        <f>IFERROR(Tableau6[[#This Row],[Score]]/Tableau6[[#This Row],[Nb]],0)</f>
        <v>-1</v>
      </c>
    </row>
    <row r="22" spans="1:6" ht="30" customHeight="1" x14ac:dyDescent="0.3">
      <c r="A22" s="151" t="s">
        <v>5506</v>
      </c>
      <c r="B22" s="152" t="s">
        <v>5507</v>
      </c>
      <c r="C22" s="208">
        <v>44584</v>
      </c>
      <c r="D22" s="154">
        <v>9</v>
      </c>
      <c r="E22" s="154">
        <v>-9</v>
      </c>
      <c r="F22" s="211">
        <f>IFERROR(Tableau6[[#This Row],[Score]]/Tableau6[[#This Row],[Nb]],0)</f>
        <v>-1</v>
      </c>
    </row>
    <row r="23" spans="1:6" ht="30" customHeight="1" x14ac:dyDescent="0.3">
      <c r="A23" s="151" t="s">
        <v>5526</v>
      </c>
      <c r="B23" s="152" t="s">
        <v>5937</v>
      </c>
      <c r="C23" s="208">
        <v>44589</v>
      </c>
      <c r="D23" s="154">
        <v>11</v>
      </c>
      <c r="E23" s="154">
        <v>-11</v>
      </c>
      <c r="F23" s="211">
        <f>IFERROR(Tableau6[[#This Row],[Score]]/Tableau6[[#This Row],[Nb]],0)</f>
        <v>-1</v>
      </c>
    </row>
    <row r="24" spans="1:6" ht="30" customHeight="1" x14ac:dyDescent="0.3">
      <c r="A24" s="151" t="s">
        <v>5555</v>
      </c>
      <c r="B24" s="152" t="s">
        <v>5556</v>
      </c>
      <c r="C24" s="208">
        <v>44591</v>
      </c>
      <c r="D24" s="154">
        <v>12</v>
      </c>
      <c r="E24" s="154">
        <v>-12</v>
      </c>
      <c r="F24" s="211">
        <f>IFERROR(Tableau6[[#This Row],[Score]]/Tableau6[[#This Row],[Nb]],0)</f>
        <v>-1</v>
      </c>
    </row>
    <row r="25" spans="1:6" ht="30" customHeight="1" x14ac:dyDescent="0.3">
      <c r="A25" s="151" t="s">
        <v>5537</v>
      </c>
      <c r="B25" s="152" t="s">
        <v>5538</v>
      </c>
      <c r="C25" s="208">
        <v>44591</v>
      </c>
      <c r="D25" s="154">
        <v>11</v>
      </c>
      <c r="E25" s="154">
        <v>-11</v>
      </c>
      <c r="F25" s="211">
        <f>IFERROR(Tableau6[[#This Row],[Score]]/Tableau6[[#This Row],[Nb]],0)</f>
        <v>-1</v>
      </c>
    </row>
    <row r="26" spans="1:6" ht="30" customHeight="1" x14ac:dyDescent="0.3">
      <c r="A26" s="151" t="s">
        <v>5557</v>
      </c>
      <c r="B26" s="152" t="s">
        <v>5558</v>
      </c>
      <c r="C26" s="208">
        <v>44591</v>
      </c>
      <c r="D26" s="154">
        <v>8</v>
      </c>
      <c r="E26" s="154">
        <v>-8</v>
      </c>
      <c r="F26" s="211">
        <f>IFERROR(Tableau6[[#This Row],[Score]]/Tableau6[[#This Row],[Nb]],0)</f>
        <v>-1</v>
      </c>
    </row>
    <row r="27" spans="1:6" ht="30" customHeight="1" x14ac:dyDescent="0.3">
      <c r="A27" s="151" t="s">
        <v>5563</v>
      </c>
      <c r="B27" s="152" t="s">
        <v>5564</v>
      </c>
      <c r="C27" s="208">
        <v>44592</v>
      </c>
      <c r="D27" s="154">
        <v>12</v>
      </c>
      <c r="E27" s="154">
        <v>-12</v>
      </c>
      <c r="F27" s="211">
        <f>IFERROR(Tableau6[[#This Row],[Score]]/Tableau6[[#This Row],[Nb]],0)</f>
        <v>-1</v>
      </c>
    </row>
    <row r="28" spans="1:6" ht="30" customHeight="1" x14ac:dyDescent="0.3">
      <c r="A28" s="151" t="s">
        <v>5578</v>
      </c>
      <c r="B28" s="152" t="s">
        <v>5579</v>
      </c>
      <c r="C28" s="208">
        <v>44595</v>
      </c>
      <c r="D28" s="154">
        <v>14</v>
      </c>
      <c r="E28" s="154">
        <v>-14</v>
      </c>
      <c r="F28" s="211">
        <f>IFERROR(Tableau6[[#This Row],[Score]]/Tableau6[[#This Row],[Nb]],0)</f>
        <v>-1</v>
      </c>
    </row>
    <row r="29" spans="1:6" ht="30" customHeight="1" x14ac:dyDescent="0.3">
      <c r="A29" s="151" t="s">
        <v>5589</v>
      </c>
      <c r="B29" s="152" t="s">
        <v>591</v>
      </c>
      <c r="C29" s="208">
        <v>44596</v>
      </c>
      <c r="D29" s="154">
        <v>10</v>
      </c>
      <c r="E29" s="154">
        <v>-10</v>
      </c>
      <c r="F29" s="211">
        <f>IFERROR(Tableau6[[#This Row],[Score]]/Tableau6[[#This Row],[Nb]],0)</f>
        <v>-1</v>
      </c>
    </row>
    <row r="30" spans="1:6" ht="30" customHeight="1" x14ac:dyDescent="0.3">
      <c r="A30" s="151" t="s">
        <v>5595</v>
      </c>
      <c r="B30" s="152" t="s">
        <v>5594</v>
      </c>
      <c r="C30" s="208">
        <v>44597</v>
      </c>
      <c r="D30" s="154">
        <v>9</v>
      </c>
      <c r="E30" s="154">
        <v>-9</v>
      </c>
      <c r="F30" s="211">
        <f>IFERROR(Tableau6[[#This Row],[Score]]/Tableau6[[#This Row],[Nb]],0)</f>
        <v>-1</v>
      </c>
    </row>
    <row r="31" spans="1:6" ht="30" customHeight="1" x14ac:dyDescent="0.3">
      <c r="A31" s="151" t="s">
        <v>5607</v>
      </c>
      <c r="B31" s="152" t="s">
        <v>5608</v>
      </c>
      <c r="C31" s="208">
        <v>44602</v>
      </c>
      <c r="D31" s="154">
        <v>9</v>
      </c>
      <c r="E31" s="154">
        <v>-9</v>
      </c>
      <c r="F31" s="211">
        <f>IFERROR(Tableau6[[#This Row],[Score]]/Tableau6[[#This Row],[Nb]],0)</f>
        <v>-1</v>
      </c>
    </row>
    <row r="32" spans="1:6" ht="30" customHeight="1" x14ac:dyDescent="0.3">
      <c r="A32" s="151" t="s">
        <v>5614</v>
      </c>
      <c r="B32" s="152" t="s">
        <v>5615</v>
      </c>
      <c r="C32" s="208">
        <v>44604</v>
      </c>
      <c r="D32" s="154">
        <v>6</v>
      </c>
      <c r="E32" s="154">
        <v>-6</v>
      </c>
      <c r="F32" s="211">
        <f>IFERROR(Tableau6[[#This Row],[Score]]/Tableau6[[#This Row],[Nb]],0)</f>
        <v>-1</v>
      </c>
    </row>
    <row r="33" spans="1:6" ht="30" customHeight="1" x14ac:dyDescent="0.3">
      <c r="A33" s="151" t="s">
        <v>5620</v>
      </c>
      <c r="B33" s="152" t="s">
        <v>5621</v>
      </c>
      <c r="C33" s="208">
        <v>44605</v>
      </c>
      <c r="D33" s="154">
        <v>5</v>
      </c>
      <c r="E33" s="154">
        <v>-5</v>
      </c>
      <c r="F33" s="211">
        <f>IFERROR(Tableau6[[#This Row],[Score]]/Tableau6[[#This Row],[Nb]],0)</f>
        <v>-1</v>
      </c>
    </row>
    <row r="34" spans="1:6" ht="30" customHeight="1" x14ac:dyDescent="0.3">
      <c r="A34" s="151" t="s">
        <v>5626</v>
      </c>
      <c r="B34" s="152" t="s">
        <v>6232</v>
      </c>
      <c r="C34" s="208">
        <v>44607</v>
      </c>
      <c r="D34" s="154">
        <v>11</v>
      </c>
      <c r="E34" s="154">
        <v>-11</v>
      </c>
      <c r="F34" s="211">
        <f>IFERROR(Tableau6[[#This Row],[Score]]/Tableau6[[#This Row],[Nb]],0)</f>
        <v>-1</v>
      </c>
    </row>
    <row r="35" spans="1:6" ht="30" customHeight="1" x14ac:dyDescent="0.3">
      <c r="A35" s="151" t="s">
        <v>5627</v>
      </c>
      <c r="B35" s="152" t="s">
        <v>5628</v>
      </c>
      <c r="C35" s="208">
        <v>44607</v>
      </c>
      <c r="D35" s="154">
        <v>6</v>
      </c>
      <c r="E35" s="154">
        <v>-6</v>
      </c>
      <c r="F35" s="211">
        <f>IFERROR(Tableau6[[#This Row],[Score]]/Tableau6[[#This Row],[Nb]],0)</f>
        <v>-1</v>
      </c>
    </row>
    <row r="36" spans="1:6" ht="30" customHeight="1" x14ac:dyDescent="0.3">
      <c r="A36" s="151" t="s">
        <v>5662</v>
      </c>
      <c r="B36" s="152" t="s">
        <v>5663</v>
      </c>
      <c r="C36" s="208">
        <v>44615</v>
      </c>
      <c r="D36" s="154">
        <v>7</v>
      </c>
      <c r="E36" s="154">
        <v>-7</v>
      </c>
      <c r="F36" s="211">
        <f>IFERROR(Tableau6[[#This Row],[Score]]/Tableau6[[#This Row],[Nb]],0)</f>
        <v>-1</v>
      </c>
    </row>
    <row r="37" spans="1:6" ht="30" customHeight="1" x14ac:dyDescent="0.3">
      <c r="A37" s="151" t="s">
        <v>5664</v>
      </c>
      <c r="B37" s="152" t="s">
        <v>5665</v>
      </c>
      <c r="C37" s="208">
        <v>44615</v>
      </c>
      <c r="D37" s="154">
        <v>8</v>
      </c>
      <c r="E37" s="154">
        <v>-8</v>
      </c>
      <c r="F37" s="211">
        <f>IFERROR(Tableau6[[#This Row],[Score]]/Tableau6[[#This Row],[Nb]],0)</f>
        <v>-1</v>
      </c>
    </row>
    <row r="38" spans="1:6" ht="30" customHeight="1" x14ac:dyDescent="0.3">
      <c r="A38" s="151" t="s">
        <v>5671</v>
      </c>
      <c r="B38" s="152" t="s">
        <v>5672</v>
      </c>
      <c r="C38" s="208">
        <v>44620</v>
      </c>
      <c r="D38" s="154">
        <v>5</v>
      </c>
      <c r="E38" s="154">
        <v>-5</v>
      </c>
      <c r="F38" s="211">
        <f>IFERROR(Tableau6[[#This Row],[Score]]/Tableau6[[#This Row],[Nb]],0)</f>
        <v>-1</v>
      </c>
    </row>
    <row r="39" spans="1:6" ht="30" customHeight="1" x14ac:dyDescent="0.3">
      <c r="A39" s="151" t="s">
        <v>5702</v>
      </c>
      <c r="B39" s="152" t="s">
        <v>5703</v>
      </c>
      <c r="C39" s="208">
        <v>44626</v>
      </c>
      <c r="D39" s="154">
        <v>8</v>
      </c>
      <c r="E39" s="154">
        <v>-8</v>
      </c>
      <c r="F39" s="211">
        <f>IFERROR(Tableau6[[#This Row],[Score]]/Tableau6[[#This Row],[Nb]],0)</f>
        <v>-1</v>
      </c>
    </row>
    <row r="40" spans="1:6" ht="30" customHeight="1" x14ac:dyDescent="0.3">
      <c r="A40" s="151" t="s">
        <v>5698</v>
      </c>
      <c r="B40" s="152" t="s">
        <v>5699</v>
      </c>
      <c r="C40" s="208">
        <v>44626</v>
      </c>
      <c r="D40" s="154">
        <v>5</v>
      </c>
      <c r="E40" s="154">
        <v>-5</v>
      </c>
      <c r="F40" s="211">
        <f>IFERROR(Tableau6[[#This Row],[Score]]/Tableau6[[#This Row],[Nb]],0)</f>
        <v>-1</v>
      </c>
    </row>
    <row r="41" spans="1:6" ht="30" customHeight="1" x14ac:dyDescent="0.3">
      <c r="A41" s="151" t="s">
        <v>5737</v>
      </c>
      <c r="B41" s="152" t="s">
        <v>5738</v>
      </c>
      <c r="C41" s="208">
        <v>44633</v>
      </c>
      <c r="D41" s="154">
        <v>10</v>
      </c>
      <c r="E41" s="154">
        <v>-10</v>
      </c>
      <c r="F41" s="211">
        <f>IFERROR(Tableau6[[#This Row],[Score]]/Tableau6[[#This Row],[Nb]],0)</f>
        <v>-1</v>
      </c>
    </row>
    <row r="42" spans="1:6" ht="30" customHeight="1" x14ac:dyDescent="0.3">
      <c r="A42" s="151" t="s">
        <v>5734</v>
      </c>
      <c r="B42" s="152" t="s">
        <v>5735</v>
      </c>
      <c r="C42" s="208">
        <v>44633</v>
      </c>
      <c r="D42" s="154">
        <v>6</v>
      </c>
      <c r="E42" s="154">
        <v>-6</v>
      </c>
      <c r="F42" s="211">
        <f>IFERROR(Tableau6[[#This Row],[Score]]/Tableau6[[#This Row],[Nb]],0)</f>
        <v>-1</v>
      </c>
    </row>
    <row r="43" spans="1:6" ht="30" customHeight="1" x14ac:dyDescent="0.3">
      <c r="A43" s="151" t="s">
        <v>5724</v>
      </c>
      <c r="B43" s="152" t="s">
        <v>5725</v>
      </c>
      <c r="C43" s="208">
        <v>44633</v>
      </c>
      <c r="D43" s="154">
        <v>9</v>
      </c>
      <c r="E43" s="154">
        <v>-9</v>
      </c>
      <c r="F43" s="211">
        <f>IFERROR(Tableau6[[#This Row],[Score]]/Tableau6[[#This Row],[Nb]],0)</f>
        <v>-1</v>
      </c>
    </row>
    <row r="44" spans="1:6" ht="30" customHeight="1" x14ac:dyDescent="0.3">
      <c r="A44" s="151" t="s">
        <v>5728</v>
      </c>
      <c r="B44" s="152" t="s">
        <v>5729</v>
      </c>
      <c r="C44" s="208">
        <v>44633</v>
      </c>
      <c r="D44" s="154">
        <v>15</v>
      </c>
      <c r="E44" s="154">
        <v>-15</v>
      </c>
      <c r="F44" s="211">
        <f>IFERROR(Tableau6[[#This Row],[Score]]/Tableau6[[#This Row],[Nb]],0)</f>
        <v>-1</v>
      </c>
    </row>
    <row r="45" spans="1:6" ht="30" customHeight="1" x14ac:dyDescent="0.3">
      <c r="A45" s="151" t="s">
        <v>5730</v>
      </c>
      <c r="B45" s="152" t="s">
        <v>5731</v>
      </c>
      <c r="C45" s="208">
        <v>44633</v>
      </c>
      <c r="D45" s="154">
        <v>4</v>
      </c>
      <c r="E45" s="154">
        <v>-4</v>
      </c>
      <c r="F45" s="211">
        <f>IFERROR(Tableau6[[#This Row],[Score]]/Tableau6[[#This Row],[Nb]],0)</f>
        <v>-1</v>
      </c>
    </row>
    <row r="46" spans="1:6" ht="30" customHeight="1" x14ac:dyDescent="0.3">
      <c r="A46" s="151" t="s">
        <v>5750</v>
      </c>
      <c r="B46" s="152" t="s">
        <v>5751</v>
      </c>
      <c r="C46" s="208">
        <v>44635</v>
      </c>
      <c r="D46" s="154">
        <v>9</v>
      </c>
      <c r="E46" s="154">
        <v>-9</v>
      </c>
      <c r="F46" s="211">
        <f>IFERROR(Tableau6[[#This Row],[Score]]/Tableau6[[#This Row],[Nb]],0)</f>
        <v>-1</v>
      </c>
    </row>
    <row r="47" spans="1:6" ht="30" customHeight="1" x14ac:dyDescent="0.3">
      <c r="A47" s="151" t="s">
        <v>5776</v>
      </c>
      <c r="B47" s="152" t="s">
        <v>5777</v>
      </c>
      <c r="C47" s="208">
        <v>44639</v>
      </c>
      <c r="D47" s="154">
        <v>5</v>
      </c>
      <c r="E47" s="154">
        <v>-5</v>
      </c>
      <c r="F47" s="211">
        <f>IFERROR(Tableau6[[#This Row],[Score]]/Tableau6[[#This Row],[Nb]],0)</f>
        <v>-1</v>
      </c>
    </row>
    <row r="48" spans="1:6" ht="30" customHeight="1" x14ac:dyDescent="0.3">
      <c r="A48" s="151" t="s">
        <v>5792</v>
      </c>
      <c r="B48" s="152" t="s">
        <v>5793</v>
      </c>
      <c r="C48" s="208">
        <v>44640</v>
      </c>
      <c r="D48" s="154">
        <v>6</v>
      </c>
      <c r="E48" s="154">
        <v>-6</v>
      </c>
      <c r="F48" s="211">
        <f>IFERROR(Tableau6[[#This Row],[Score]]/Tableau6[[#This Row],[Nb]],0)</f>
        <v>-1</v>
      </c>
    </row>
    <row r="49" spans="1:6" ht="30" customHeight="1" x14ac:dyDescent="0.3">
      <c r="A49" s="151" t="s">
        <v>5782</v>
      </c>
      <c r="B49" s="152" t="s">
        <v>5783</v>
      </c>
      <c r="C49" s="208">
        <v>44640</v>
      </c>
      <c r="D49" s="154">
        <v>10</v>
      </c>
      <c r="E49" s="154">
        <v>-10</v>
      </c>
      <c r="F49" s="211">
        <f>IFERROR(Tableau6[[#This Row],[Score]]/Tableau6[[#This Row],[Nb]],0)</f>
        <v>-1</v>
      </c>
    </row>
    <row r="50" spans="1:6" ht="30" customHeight="1" x14ac:dyDescent="0.3">
      <c r="A50" s="151" t="s">
        <v>5781</v>
      </c>
      <c r="B50" s="152" t="s">
        <v>5780</v>
      </c>
      <c r="C50" s="208">
        <v>44640</v>
      </c>
      <c r="D50" s="154">
        <v>9</v>
      </c>
      <c r="E50" s="154">
        <v>-9</v>
      </c>
      <c r="F50" s="211">
        <f>IFERROR(Tableau6[[#This Row],[Score]]/Tableau6[[#This Row],[Nb]],0)</f>
        <v>-1</v>
      </c>
    </row>
    <row r="51" spans="1:6" ht="30" customHeight="1" x14ac:dyDescent="0.3">
      <c r="A51" s="151" t="s">
        <v>5801</v>
      </c>
      <c r="B51" s="152" t="s">
        <v>5802</v>
      </c>
      <c r="C51" s="208">
        <v>44641</v>
      </c>
      <c r="D51" s="154">
        <v>8</v>
      </c>
      <c r="E51" s="154">
        <v>-8</v>
      </c>
      <c r="F51" s="211">
        <f>IFERROR(Tableau6[[#This Row],[Score]]/Tableau6[[#This Row],[Nb]],0)</f>
        <v>-1</v>
      </c>
    </row>
    <row r="52" spans="1:6" ht="30" customHeight="1" x14ac:dyDescent="0.3">
      <c r="A52" s="151" t="s">
        <v>5803</v>
      </c>
      <c r="B52" s="152" t="s">
        <v>5804</v>
      </c>
      <c r="C52" s="208">
        <v>44642</v>
      </c>
      <c r="D52" s="154">
        <v>13</v>
      </c>
      <c r="E52" s="154">
        <v>-13</v>
      </c>
      <c r="F52" s="211">
        <f>IFERROR(Tableau6[[#This Row],[Score]]/Tableau6[[#This Row],[Nb]],0)</f>
        <v>-1</v>
      </c>
    </row>
    <row r="53" spans="1:6" ht="30" customHeight="1" x14ac:dyDescent="0.3">
      <c r="A53" s="151" t="s">
        <v>5810</v>
      </c>
      <c r="B53" s="152" t="s">
        <v>5811</v>
      </c>
      <c r="C53" s="208">
        <v>44647</v>
      </c>
      <c r="D53" s="154">
        <v>5</v>
      </c>
      <c r="E53" s="154">
        <v>-5</v>
      </c>
      <c r="F53" s="211">
        <f>IFERROR(Tableau6[[#This Row],[Score]]/Tableau6[[#This Row],[Nb]],0)</f>
        <v>-1</v>
      </c>
    </row>
    <row r="54" spans="1:6" ht="30" customHeight="1" x14ac:dyDescent="0.3">
      <c r="A54" s="151" t="s">
        <v>5833</v>
      </c>
      <c r="B54" s="152" t="s">
        <v>5834</v>
      </c>
      <c r="C54" s="208">
        <v>44651</v>
      </c>
      <c r="D54" s="154">
        <v>5</v>
      </c>
      <c r="E54" s="154">
        <v>-5</v>
      </c>
      <c r="F54" s="211">
        <f>IFERROR(Tableau6[[#This Row],[Score]]/Tableau6[[#This Row],[Nb]],0)</f>
        <v>-1</v>
      </c>
    </row>
    <row r="55" spans="1:6" ht="30" customHeight="1" x14ac:dyDescent="0.3">
      <c r="A55" s="151" t="s">
        <v>5825</v>
      </c>
      <c r="B55" s="152" t="s">
        <v>5826</v>
      </c>
      <c r="C55" s="208">
        <v>44651</v>
      </c>
      <c r="D55" s="154">
        <v>6</v>
      </c>
      <c r="E55" s="154">
        <v>-6</v>
      </c>
      <c r="F55" s="211">
        <f>IFERROR(Tableau6[[#This Row],[Score]]/Tableau6[[#This Row],[Nb]],0)</f>
        <v>-1</v>
      </c>
    </row>
    <row r="56" spans="1:6" ht="30" customHeight="1" x14ac:dyDescent="0.3">
      <c r="A56" s="151" t="s">
        <v>5838</v>
      </c>
      <c r="B56" s="152" t="s">
        <v>5839</v>
      </c>
      <c r="C56" s="208">
        <v>44652</v>
      </c>
      <c r="D56" s="154">
        <v>12</v>
      </c>
      <c r="E56" s="154">
        <v>-12</v>
      </c>
      <c r="F56" s="211">
        <f>IFERROR(Tableau6[[#This Row],[Score]]/Tableau6[[#This Row],[Nb]],0)</f>
        <v>-1</v>
      </c>
    </row>
    <row r="57" spans="1:6" ht="30" customHeight="1" x14ac:dyDescent="0.3">
      <c r="A57" s="151" t="s">
        <v>5848</v>
      </c>
      <c r="B57" s="152" t="s">
        <v>5849</v>
      </c>
      <c r="C57" s="208">
        <v>44653</v>
      </c>
      <c r="D57" s="154">
        <v>4</v>
      </c>
      <c r="E57" s="154">
        <v>-4</v>
      </c>
      <c r="F57" s="211">
        <f>IFERROR(Tableau6[[#This Row],[Score]]/Tableau6[[#This Row],[Nb]],0)</f>
        <v>-1</v>
      </c>
    </row>
    <row r="58" spans="1:6" ht="30" customHeight="1" x14ac:dyDescent="0.3">
      <c r="A58" s="151" t="s">
        <v>5845</v>
      </c>
      <c r="B58" s="152" t="s">
        <v>5846</v>
      </c>
      <c r="C58" s="208">
        <v>44653</v>
      </c>
      <c r="D58" s="154">
        <v>6</v>
      </c>
      <c r="E58" s="154">
        <v>-6</v>
      </c>
      <c r="F58" s="211">
        <f>IFERROR(Tableau6[[#This Row],[Score]]/Tableau6[[#This Row],[Nb]],0)</f>
        <v>-1</v>
      </c>
    </row>
    <row r="59" spans="1:6" ht="30" customHeight="1" x14ac:dyDescent="0.3">
      <c r="A59" s="151" t="s">
        <v>5856</v>
      </c>
      <c r="B59" s="152" t="s">
        <v>5857</v>
      </c>
      <c r="C59" s="208">
        <v>44656</v>
      </c>
      <c r="D59" s="154">
        <v>11</v>
      </c>
      <c r="E59" s="154">
        <v>-11</v>
      </c>
      <c r="F59" s="211">
        <f>IFERROR(Tableau6[[#This Row],[Score]]/Tableau6[[#This Row],[Nb]],0)</f>
        <v>-1</v>
      </c>
    </row>
    <row r="60" spans="1:6" ht="30" customHeight="1" x14ac:dyDescent="0.3">
      <c r="A60" s="151" t="s">
        <v>5866</v>
      </c>
      <c r="B60" s="152" t="s">
        <v>5867</v>
      </c>
      <c r="C60" s="208">
        <v>44659</v>
      </c>
      <c r="D60" s="154">
        <v>9</v>
      </c>
      <c r="E60" s="154">
        <v>-9</v>
      </c>
      <c r="F60" s="211">
        <f>IFERROR(Tableau6[[#This Row],[Score]]/Tableau6[[#This Row],[Nb]],0)</f>
        <v>-1</v>
      </c>
    </row>
    <row r="61" spans="1:6" ht="30" customHeight="1" x14ac:dyDescent="0.3">
      <c r="A61" s="151" t="s">
        <v>5892</v>
      </c>
      <c r="B61" s="152" t="s">
        <v>5893</v>
      </c>
      <c r="C61" s="208">
        <v>44669</v>
      </c>
      <c r="D61" s="154">
        <v>6</v>
      </c>
      <c r="E61" s="154">
        <v>-6</v>
      </c>
      <c r="F61" s="211">
        <f>IFERROR(Tableau6[[#This Row],[Score]]/Tableau6[[#This Row],[Nb]],0)</f>
        <v>-1</v>
      </c>
    </row>
    <row r="62" spans="1:6" ht="30" customHeight="1" x14ac:dyDescent="0.3">
      <c r="A62" s="151" t="s">
        <v>5898</v>
      </c>
      <c r="B62" s="152" t="s">
        <v>5899</v>
      </c>
      <c r="C62" s="208">
        <v>44670</v>
      </c>
      <c r="D62" s="154">
        <v>6</v>
      </c>
      <c r="E62" s="154">
        <v>-6</v>
      </c>
      <c r="F62" s="211">
        <f>IFERROR(Tableau6[[#This Row],[Score]]/Tableau6[[#This Row],[Nb]],0)</f>
        <v>-1</v>
      </c>
    </row>
    <row r="63" spans="1:6" ht="30" customHeight="1" x14ac:dyDescent="0.3">
      <c r="A63" s="151" t="s">
        <v>5908</v>
      </c>
      <c r="B63" s="152" t="s">
        <v>5909</v>
      </c>
      <c r="C63" s="208">
        <v>44675</v>
      </c>
      <c r="D63" s="154">
        <v>9</v>
      </c>
      <c r="E63" s="154">
        <v>-9</v>
      </c>
      <c r="F63" s="211">
        <f>IFERROR(Tableau6[[#This Row],[Score]]/Tableau6[[#This Row],[Nb]],0)</f>
        <v>-1</v>
      </c>
    </row>
    <row r="64" spans="1:6" ht="30" customHeight="1" x14ac:dyDescent="0.3">
      <c r="A64" s="151" t="s">
        <v>5954</v>
      </c>
      <c r="B64" s="152" t="s">
        <v>5955</v>
      </c>
      <c r="C64" s="208">
        <v>44697</v>
      </c>
      <c r="D64" s="154">
        <v>8</v>
      </c>
      <c r="E64" s="154">
        <v>-8</v>
      </c>
      <c r="F64" s="211">
        <f>IFERROR(Tableau6[[#This Row],[Score]]/Tableau6[[#This Row],[Nb]],0)</f>
        <v>-1</v>
      </c>
    </row>
    <row r="65" spans="1:6" ht="30" customHeight="1" x14ac:dyDescent="0.3">
      <c r="A65" s="151" t="s">
        <v>5964</v>
      </c>
      <c r="B65" s="152" t="s">
        <v>5965</v>
      </c>
      <c r="C65" s="208">
        <v>44699</v>
      </c>
      <c r="D65" s="154">
        <v>3</v>
      </c>
      <c r="E65" s="154">
        <v>-3</v>
      </c>
      <c r="F65" s="211">
        <f>IFERROR(Tableau6[[#This Row],[Score]]/Tableau6[[#This Row],[Nb]],0)</f>
        <v>-1</v>
      </c>
    </row>
    <row r="66" spans="1:6" ht="30" customHeight="1" x14ac:dyDescent="0.3">
      <c r="A66" s="151" t="s">
        <v>5971</v>
      </c>
      <c r="B66" s="152" t="s">
        <v>2615</v>
      </c>
      <c r="C66" s="208">
        <v>44702</v>
      </c>
      <c r="D66" s="154">
        <v>6</v>
      </c>
      <c r="E66" s="154">
        <v>-6</v>
      </c>
      <c r="F66" s="211">
        <f>IFERROR(Tableau6[[#This Row],[Score]]/Tableau6[[#This Row],[Nb]],0)</f>
        <v>-1</v>
      </c>
    </row>
    <row r="67" spans="1:6" ht="30" customHeight="1" x14ac:dyDescent="0.3">
      <c r="A67" s="151" t="s">
        <v>5976</v>
      </c>
      <c r="B67" s="152" t="s">
        <v>5977</v>
      </c>
      <c r="C67" s="208">
        <v>44703</v>
      </c>
      <c r="D67" s="154">
        <v>7</v>
      </c>
      <c r="E67" s="154">
        <v>-7</v>
      </c>
      <c r="F67" s="211">
        <f>IFERROR(Tableau6[[#This Row],[Score]]/Tableau6[[#This Row],[Nb]],0)</f>
        <v>-1</v>
      </c>
    </row>
    <row r="68" spans="1:6" ht="30" customHeight="1" x14ac:dyDescent="0.3">
      <c r="A68" s="151" t="s">
        <v>5989</v>
      </c>
      <c r="B68" s="152" t="s">
        <v>5990</v>
      </c>
      <c r="C68" s="208">
        <v>44707</v>
      </c>
      <c r="D68" s="154">
        <v>6</v>
      </c>
      <c r="E68" s="154">
        <v>-6</v>
      </c>
      <c r="F68" s="211">
        <f>IFERROR(Tableau6[[#This Row],[Score]]/Tableau6[[#This Row],[Nb]],0)</f>
        <v>-1</v>
      </c>
    </row>
    <row r="69" spans="1:6" ht="30" customHeight="1" x14ac:dyDescent="0.3">
      <c r="A69" s="151" t="s">
        <v>5998</v>
      </c>
      <c r="B69" s="152" t="s">
        <v>5999</v>
      </c>
      <c r="C69" s="208">
        <v>44707</v>
      </c>
      <c r="D69" s="154">
        <v>6</v>
      </c>
      <c r="E69" s="154">
        <v>-6</v>
      </c>
      <c r="F69" s="211">
        <f>IFERROR(Tableau6[[#This Row],[Score]]/Tableau6[[#This Row],[Nb]],0)</f>
        <v>-1</v>
      </c>
    </row>
    <row r="70" spans="1:6" ht="30" customHeight="1" x14ac:dyDescent="0.3">
      <c r="A70" s="151" t="s">
        <v>6044</v>
      </c>
      <c r="B70" s="152" t="s">
        <v>6045</v>
      </c>
      <c r="C70" s="208">
        <v>44723</v>
      </c>
      <c r="D70" s="154">
        <v>1</v>
      </c>
      <c r="E70" s="154">
        <v>-1</v>
      </c>
      <c r="F70" s="211">
        <f>IFERROR(Tableau6[[#This Row],[Score]]/Tableau6[[#This Row],[Nb]],0)</f>
        <v>-1</v>
      </c>
    </row>
    <row r="71" spans="1:6" ht="30" customHeight="1" x14ac:dyDescent="0.3">
      <c r="A71" s="151" t="s">
        <v>6067</v>
      </c>
      <c r="B71" s="152" t="s">
        <v>6068</v>
      </c>
      <c r="C71" s="208">
        <v>44732</v>
      </c>
      <c r="D71" s="154">
        <v>5</v>
      </c>
      <c r="E71" s="154">
        <v>-5</v>
      </c>
      <c r="F71" s="211">
        <f>IFERROR(Tableau6[[#This Row],[Score]]/Tableau6[[#This Row],[Nb]],0)</f>
        <v>-1</v>
      </c>
    </row>
    <row r="72" spans="1:6" ht="30" customHeight="1" x14ac:dyDescent="0.3">
      <c r="A72" s="151" t="s">
        <v>6086</v>
      </c>
      <c r="B72" s="152" t="s">
        <v>6087</v>
      </c>
      <c r="C72" s="208">
        <v>44735</v>
      </c>
      <c r="D72" s="154">
        <v>7</v>
      </c>
      <c r="E72" s="154">
        <v>-7</v>
      </c>
      <c r="F72" s="211">
        <f>IFERROR(Tableau6[[#This Row],[Score]]/Tableau6[[#This Row],[Nb]],0)</f>
        <v>-1</v>
      </c>
    </row>
    <row r="73" spans="1:6" ht="30" customHeight="1" x14ac:dyDescent="0.3">
      <c r="A73" s="151" t="s">
        <v>6095</v>
      </c>
      <c r="B73" s="152" t="s">
        <v>6096</v>
      </c>
      <c r="C73" s="208">
        <v>44749</v>
      </c>
      <c r="D73" s="154">
        <v>6</v>
      </c>
      <c r="E73" s="154">
        <v>-6</v>
      </c>
      <c r="F73" s="211">
        <f>IFERROR(Tableau6[[#This Row],[Score]]/Tableau6[[#This Row],[Nb]],0)</f>
        <v>-1</v>
      </c>
    </row>
    <row r="74" spans="1:6" ht="30" customHeight="1" x14ac:dyDescent="0.3">
      <c r="A74" s="151" t="s">
        <v>6131</v>
      </c>
      <c r="B74" s="152" t="s">
        <v>6166</v>
      </c>
      <c r="C74" s="208">
        <v>44773</v>
      </c>
      <c r="D74" s="154">
        <v>4</v>
      </c>
      <c r="E74" s="154">
        <v>-4</v>
      </c>
      <c r="F74" s="211">
        <f>IFERROR(Tableau6[[#This Row],[Score]]/Tableau6[[#This Row],[Nb]],0)</f>
        <v>-1</v>
      </c>
    </row>
    <row r="75" spans="1:6" ht="30" customHeight="1" x14ac:dyDescent="0.3">
      <c r="A75" s="151" t="s">
        <v>6138</v>
      </c>
      <c r="B75" s="152" t="s">
        <v>6139</v>
      </c>
      <c r="C75" s="208">
        <v>44780</v>
      </c>
      <c r="D75" s="154">
        <v>4</v>
      </c>
      <c r="E75" s="154">
        <v>-4</v>
      </c>
      <c r="F75" s="211">
        <f>IFERROR(Tableau6[[#This Row],[Score]]/Tableau6[[#This Row],[Nb]],0)</f>
        <v>-1</v>
      </c>
    </row>
    <row r="76" spans="1:6" ht="30" customHeight="1" x14ac:dyDescent="0.3">
      <c r="A76" s="151" t="s">
        <v>6136</v>
      </c>
      <c r="B76" s="152" t="s">
        <v>6137</v>
      </c>
      <c r="C76" s="208">
        <v>44780</v>
      </c>
      <c r="D76" s="154">
        <v>3</v>
      </c>
      <c r="E76" s="154">
        <v>-3</v>
      </c>
      <c r="F76" s="211">
        <f>IFERROR(Tableau6[[#This Row],[Score]]/Tableau6[[#This Row],[Nb]],0)</f>
        <v>-1</v>
      </c>
    </row>
    <row r="77" spans="1:6" ht="30" customHeight="1" x14ac:dyDescent="0.3">
      <c r="A77" s="151" t="s">
        <v>6146</v>
      </c>
      <c r="B77" s="152" t="s">
        <v>6147</v>
      </c>
      <c r="C77" s="208">
        <v>44783</v>
      </c>
      <c r="D77" s="154">
        <v>8</v>
      </c>
      <c r="E77" s="154">
        <v>-8</v>
      </c>
      <c r="F77" s="211">
        <f>IFERROR(Tableau6[[#This Row],[Score]]/Tableau6[[#This Row],[Nb]],0)</f>
        <v>-1</v>
      </c>
    </row>
    <row r="78" spans="1:6" ht="30" customHeight="1" x14ac:dyDescent="0.3">
      <c r="A78" s="528" t="s">
        <v>6593</v>
      </c>
      <c r="B78" s="152" t="s">
        <v>6155</v>
      </c>
      <c r="C78" s="208">
        <v>44794</v>
      </c>
      <c r="D78" s="154">
        <v>9</v>
      </c>
      <c r="E78" s="154">
        <v>-9</v>
      </c>
      <c r="F78" s="211">
        <f>IFERROR(Tableau6[[#This Row],[Score]]/Tableau6[[#This Row],[Nb]],0)</f>
        <v>-1</v>
      </c>
    </row>
    <row r="79" spans="1:6" ht="30" customHeight="1" x14ac:dyDescent="0.3">
      <c r="A79" s="151" t="s">
        <v>6168</v>
      </c>
      <c r="B79" s="152" t="s">
        <v>6169</v>
      </c>
      <c r="C79" s="208">
        <v>44805</v>
      </c>
      <c r="D79" s="154">
        <v>5</v>
      </c>
      <c r="E79" s="154">
        <v>-5</v>
      </c>
      <c r="F79" s="211">
        <f>IFERROR(Tableau6[[#This Row],[Score]]/Tableau6[[#This Row],[Nb]],0)</f>
        <v>-1</v>
      </c>
    </row>
    <row r="80" spans="1:6" ht="30" customHeight="1" x14ac:dyDescent="0.3">
      <c r="A80" s="151" t="s">
        <v>6176</v>
      </c>
      <c r="B80" s="152" t="s">
        <v>6177</v>
      </c>
      <c r="C80" s="208">
        <v>44807</v>
      </c>
      <c r="D80" s="154">
        <v>4</v>
      </c>
      <c r="E80" s="154">
        <v>-4</v>
      </c>
      <c r="F80" s="211">
        <f>IFERROR(Tableau6[[#This Row],[Score]]/Tableau6[[#This Row],[Nb]],0)</f>
        <v>-1</v>
      </c>
    </row>
    <row r="81" spans="1:6" ht="30" customHeight="1" x14ac:dyDescent="0.3">
      <c r="A81" s="151" t="s">
        <v>6184</v>
      </c>
      <c r="B81" s="152" t="s">
        <v>6185</v>
      </c>
      <c r="C81" s="208">
        <v>44811</v>
      </c>
      <c r="D81" s="154">
        <v>4</v>
      </c>
      <c r="E81" s="154">
        <v>-4</v>
      </c>
      <c r="F81" s="211">
        <f>IFERROR(Tableau6[[#This Row],[Score]]/Tableau6[[#This Row],[Nb]],0)</f>
        <v>-1</v>
      </c>
    </row>
    <row r="82" spans="1:6" ht="30" customHeight="1" x14ac:dyDescent="0.3">
      <c r="A82" s="151" t="s">
        <v>6182</v>
      </c>
      <c r="B82" s="152" t="s">
        <v>6183</v>
      </c>
      <c r="C82" s="208">
        <v>44811</v>
      </c>
      <c r="D82" s="154">
        <v>3</v>
      </c>
      <c r="E82" s="154">
        <v>-3</v>
      </c>
      <c r="F82" s="211">
        <f>IFERROR(Tableau6[[#This Row],[Score]]/Tableau6[[#This Row],[Nb]],0)</f>
        <v>-1</v>
      </c>
    </row>
    <row r="83" spans="1:6" ht="30" customHeight="1" x14ac:dyDescent="0.3">
      <c r="A83" s="151" t="s">
        <v>6197</v>
      </c>
      <c r="B83" s="152" t="s">
        <v>6198</v>
      </c>
      <c r="C83" s="208">
        <v>44817</v>
      </c>
      <c r="D83" s="154">
        <v>2</v>
      </c>
      <c r="E83" s="154">
        <v>-2</v>
      </c>
      <c r="F83" s="211">
        <f>IFERROR(Tableau6[[#This Row],[Score]]/Tableau6[[#This Row],[Nb]],0)</f>
        <v>-1</v>
      </c>
    </row>
    <row r="84" spans="1:6" ht="30" customHeight="1" x14ac:dyDescent="0.3">
      <c r="A84" s="151" t="s">
        <v>6222</v>
      </c>
      <c r="B84" s="152" t="s">
        <v>6223</v>
      </c>
      <c r="C84" s="208">
        <v>44840</v>
      </c>
      <c r="D84" s="154">
        <v>4</v>
      </c>
      <c r="E84" s="154">
        <v>-4</v>
      </c>
      <c r="F84" s="211">
        <f>IFERROR(Tableau6[[#This Row],[Score]]/Tableau6[[#This Row],[Nb]],0)</f>
        <v>-1</v>
      </c>
    </row>
    <row r="85" spans="1:6" ht="30" customHeight="1" x14ac:dyDescent="0.3">
      <c r="A85" s="151" t="s">
        <v>6259</v>
      </c>
      <c r="B85" s="152" t="s">
        <v>6260</v>
      </c>
      <c r="C85" s="208">
        <v>44862</v>
      </c>
      <c r="D85" s="154">
        <v>6</v>
      </c>
      <c r="E85" s="154">
        <v>-6</v>
      </c>
      <c r="F85" s="211">
        <f>IFERROR(Tableau6[[#This Row],[Score]]/Tableau6[[#This Row],[Nb]],0)</f>
        <v>-1</v>
      </c>
    </row>
    <row r="86" spans="1:6" ht="30" customHeight="1" x14ac:dyDescent="0.3">
      <c r="A86" s="151" t="s">
        <v>6280</v>
      </c>
      <c r="B86" s="152" t="s">
        <v>6281</v>
      </c>
      <c r="C86" s="208">
        <v>44866</v>
      </c>
      <c r="D86" s="154">
        <v>3</v>
      </c>
      <c r="E86" s="154">
        <v>-3</v>
      </c>
      <c r="F86" s="211">
        <f>IFERROR(Tableau6[[#This Row],[Score]]/Tableau6[[#This Row],[Nb]],0)</f>
        <v>-1</v>
      </c>
    </row>
    <row r="87" spans="1:6" ht="30" customHeight="1" x14ac:dyDescent="0.3">
      <c r="A87" s="151" t="s">
        <v>6285</v>
      </c>
      <c r="B87" s="152" t="s">
        <v>6286</v>
      </c>
      <c r="C87" s="208">
        <v>44866</v>
      </c>
      <c r="D87" s="154">
        <v>4</v>
      </c>
      <c r="E87" s="154">
        <v>-4</v>
      </c>
      <c r="F87" s="211">
        <f>IFERROR(Tableau6[[#This Row],[Score]]/Tableau6[[#This Row],[Nb]],0)</f>
        <v>-1</v>
      </c>
    </row>
    <row r="88" spans="1:6" ht="30" customHeight="1" x14ac:dyDescent="0.3">
      <c r="A88" s="151" t="s">
        <v>6300</v>
      </c>
      <c r="B88" s="152" t="s">
        <v>6301</v>
      </c>
      <c r="C88" s="208">
        <v>44877</v>
      </c>
      <c r="D88" s="154">
        <v>2</v>
      </c>
      <c r="E88" s="154">
        <v>-2</v>
      </c>
      <c r="F88" s="211">
        <f>IFERROR(Tableau6[[#This Row],[Score]]/Tableau6[[#This Row],[Nb]],0)</f>
        <v>-1</v>
      </c>
    </row>
    <row r="89" spans="1:6" ht="30" customHeight="1" x14ac:dyDescent="0.3">
      <c r="A89" s="151" t="s">
        <v>6302</v>
      </c>
      <c r="B89" s="152" t="s">
        <v>6303</v>
      </c>
      <c r="C89" s="208">
        <v>44877</v>
      </c>
      <c r="D89" s="154">
        <v>3</v>
      </c>
      <c r="E89" s="154">
        <v>-3</v>
      </c>
      <c r="F89" s="211">
        <f>IFERROR(Tableau6[[#This Row],[Score]]/Tableau6[[#This Row],[Nb]],0)</f>
        <v>-1</v>
      </c>
    </row>
    <row r="90" spans="1:6" ht="30" customHeight="1" x14ac:dyDescent="0.3">
      <c r="A90" s="151" t="s">
        <v>6304</v>
      </c>
      <c r="B90" s="152" t="s">
        <v>6305</v>
      </c>
      <c r="C90" s="208">
        <v>44878</v>
      </c>
      <c r="D90" s="154">
        <v>2</v>
      </c>
      <c r="E90" s="154">
        <v>-2</v>
      </c>
      <c r="F90" s="211">
        <f>IFERROR(Tableau6[[#This Row],[Score]]/Tableau6[[#This Row],[Nb]],0)</f>
        <v>-1</v>
      </c>
    </row>
    <row r="91" spans="1:6" ht="30" customHeight="1" x14ac:dyDescent="0.3">
      <c r="A91" s="151" t="s">
        <v>6326</v>
      </c>
      <c r="B91" s="152" t="s">
        <v>6327</v>
      </c>
      <c r="C91" s="208">
        <v>44882</v>
      </c>
      <c r="D91" s="154">
        <v>4</v>
      </c>
      <c r="E91" s="154">
        <v>-4</v>
      </c>
      <c r="F91" s="211">
        <f>IFERROR(Tableau6[[#This Row],[Score]]/Tableau6[[#This Row],[Nb]],0)</f>
        <v>-1</v>
      </c>
    </row>
    <row r="92" spans="1:6" ht="30" customHeight="1" x14ac:dyDescent="0.3">
      <c r="A92" s="151" t="s">
        <v>6334</v>
      </c>
      <c r="B92" s="152" t="s">
        <v>6335</v>
      </c>
      <c r="C92" s="208">
        <v>44884</v>
      </c>
      <c r="D92" s="154">
        <v>4</v>
      </c>
      <c r="E92" s="154">
        <v>-4</v>
      </c>
      <c r="F92" s="211">
        <f>IFERROR(Tableau6[[#This Row],[Score]]/Tableau6[[#This Row],[Nb]],0)</f>
        <v>-1</v>
      </c>
    </row>
    <row r="93" spans="1:6" ht="30" customHeight="1" x14ac:dyDescent="0.3">
      <c r="A93" s="151" t="s">
        <v>6331</v>
      </c>
      <c r="B93" s="152" t="s">
        <v>6351</v>
      </c>
      <c r="C93" s="208">
        <v>44884</v>
      </c>
      <c r="D93" s="154">
        <v>2</v>
      </c>
      <c r="E93" s="154">
        <v>-2</v>
      </c>
      <c r="F93" s="211">
        <f>IFERROR(Tableau6[[#This Row],[Score]]/Tableau6[[#This Row],[Nb]],0)</f>
        <v>-1</v>
      </c>
    </row>
    <row r="94" spans="1:6" ht="30" customHeight="1" x14ac:dyDescent="0.3">
      <c r="A94" s="151" t="s">
        <v>6341</v>
      </c>
      <c r="B94" s="152" t="s">
        <v>6342</v>
      </c>
      <c r="C94" s="208">
        <v>44885</v>
      </c>
      <c r="D94" s="154">
        <v>1</v>
      </c>
      <c r="E94" s="154">
        <v>-1</v>
      </c>
      <c r="F94" s="211">
        <f>IFERROR(Tableau6[[#This Row],[Score]]/Tableau6[[#This Row],[Nb]],0)</f>
        <v>-1</v>
      </c>
    </row>
    <row r="95" spans="1:6" ht="30" customHeight="1" x14ac:dyDescent="0.3">
      <c r="A95" s="151" t="s">
        <v>6352</v>
      </c>
      <c r="B95" s="152" t="s">
        <v>6353</v>
      </c>
      <c r="C95" s="208">
        <v>44886</v>
      </c>
      <c r="D95" s="154">
        <v>4</v>
      </c>
      <c r="E95" s="154">
        <v>-4</v>
      </c>
      <c r="F95" s="211">
        <f>IFERROR(Tableau6[[#This Row],[Score]]/Tableau6[[#This Row],[Nb]],0)</f>
        <v>-1</v>
      </c>
    </row>
    <row r="96" spans="1:6" ht="30" customHeight="1" x14ac:dyDescent="0.3">
      <c r="A96" s="151" t="s">
        <v>6357</v>
      </c>
      <c r="B96" s="152" t="s">
        <v>6358</v>
      </c>
      <c r="C96" s="208">
        <v>44889</v>
      </c>
      <c r="D96" s="154">
        <v>1</v>
      </c>
      <c r="E96" s="154">
        <v>-1</v>
      </c>
      <c r="F96" s="211">
        <f>IFERROR(Tableau6[[#This Row],[Score]]/Tableau6[[#This Row],[Nb]],0)</f>
        <v>-1</v>
      </c>
    </row>
    <row r="97" spans="1:6" ht="30" customHeight="1" x14ac:dyDescent="0.3">
      <c r="A97" s="151" t="s">
        <v>6368</v>
      </c>
      <c r="B97" s="152" t="s">
        <v>6369</v>
      </c>
      <c r="C97" s="208">
        <v>44892</v>
      </c>
      <c r="D97" s="154">
        <v>3</v>
      </c>
      <c r="E97" s="154">
        <v>-3</v>
      </c>
      <c r="F97" s="211">
        <f>IFERROR(Tableau6[[#This Row],[Score]]/Tableau6[[#This Row],[Nb]],0)</f>
        <v>-1</v>
      </c>
    </row>
    <row r="98" spans="1:6" ht="30" customHeight="1" x14ac:dyDescent="0.3">
      <c r="A98" s="212" t="s">
        <v>6388</v>
      </c>
      <c r="B98" s="152" t="s">
        <v>6389</v>
      </c>
      <c r="C98" s="208">
        <v>44904</v>
      </c>
      <c r="D98" s="154">
        <v>2</v>
      </c>
      <c r="E98" s="154">
        <v>-2</v>
      </c>
      <c r="F98" s="211">
        <f>IFERROR(Tableau6[[#This Row],[Score]]/Tableau6[[#This Row],[Nb]],0)</f>
        <v>-1</v>
      </c>
    </row>
    <row r="99" spans="1:6" ht="30" customHeight="1" x14ac:dyDescent="0.3">
      <c r="A99" s="151" t="s">
        <v>6393</v>
      </c>
      <c r="B99" s="152" t="s">
        <v>6394</v>
      </c>
      <c r="C99" s="208">
        <v>44905</v>
      </c>
      <c r="D99" s="154">
        <v>3</v>
      </c>
      <c r="E99" s="154">
        <v>-3</v>
      </c>
      <c r="F99" s="211">
        <f>IFERROR(Tableau6[[#This Row],[Score]]/Tableau6[[#This Row],[Nb]],0)</f>
        <v>-1</v>
      </c>
    </row>
    <row r="100" spans="1:6" ht="30" customHeight="1" x14ac:dyDescent="0.3">
      <c r="A100" s="151" t="s">
        <v>6400</v>
      </c>
      <c r="B100" s="152" t="s">
        <v>6399</v>
      </c>
      <c r="C100" s="208">
        <v>44906</v>
      </c>
      <c r="D100" s="154">
        <v>2</v>
      </c>
      <c r="E100" s="154">
        <v>-2</v>
      </c>
      <c r="F100" s="211">
        <f>IFERROR(Tableau6[[#This Row],[Score]]/Tableau6[[#This Row],[Nb]],0)</f>
        <v>-1</v>
      </c>
    </row>
    <row r="101" spans="1:6" ht="30" customHeight="1" x14ac:dyDescent="0.3">
      <c r="A101" s="238" t="s">
        <v>6423</v>
      </c>
      <c r="B101" s="239" t="s">
        <v>6424</v>
      </c>
      <c r="C101" s="240">
        <v>44918</v>
      </c>
      <c r="D101" s="241">
        <v>4</v>
      </c>
      <c r="E101" s="241">
        <v>-4</v>
      </c>
      <c r="F101" s="242">
        <f>IFERROR(Tableau6[[#This Row],[Score]]/Tableau6[[#This Row],[Nb]],0)</f>
        <v>-1</v>
      </c>
    </row>
    <row r="102" spans="1:6" ht="30" customHeight="1" x14ac:dyDescent="0.3">
      <c r="A102" s="238" t="s">
        <v>6427</v>
      </c>
      <c r="B102" s="239" t="s">
        <v>6428</v>
      </c>
      <c r="C102" s="240">
        <v>44918</v>
      </c>
      <c r="D102" s="241">
        <v>1</v>
      </c>
      <c r="E102" s="241">
        <v>-1</v>
      </c>
      <c r="F102" s="242">
        <f>IFERROR(Tableau6[[#This Row],[Score]]/Tableau6[[#This Row],[Nb]],0)</f>
        <v>-1</v>
      </c>
    </row>
    <row r="103" spans="1:6" ht="30" customHeight="1" x14ac:dyDescent="0.3">
      <c r="A103" s="238" t="s">
        <v>6429</v>
      </c>
      <c r="B103" s="239" t="s">
        <v>6430</v>
      </c>
      <c r="C103" s="240">
        <v>44918</v>
      </c>
      <c r="D103" s="241">
        <v>2</v>
      </c>
      <c r="E103" s="241">
        <v>-2</v>
      </c>
      <c r="F103" s="242">
        <f>IFERROR(Tableau6[[#This Row],[Score]]/Tableau6[[#This Row],[Nb]],0)</f>
        <v>-1</v>
      </c>
    </row>
    <row r="104" spans="1:6" ht="30" customHeight="1" x14ac:dyDescent="0.3">
      <c r="A104" s="238" t="s">
        <v>6437</v>
      </c>
      <c r="B104" s="239" t="s">
        <v>6438</v>
      </c>
      <c r="C104" s="240">
        <v>44918</v>
      </c>
      <c r="D104" s="241">
        <v>1</v>
      </c>
      <c r="E104" s="241">
        <v>-1</v>
      </c>
      <c r="F104" s="242">
        <f>IFERROR(Tableau6[[#This Row],[Score]]/Tableau6[[#This Row],[Nb]],0)</f>
        <v>-1</v>
      </c>
    </row>
    <row r="105" spans="1:6" ht="30" customHeight="1" x14ac:dyDescent="0.3">
      <c r="A105" s="238" t="s">
        <v>6425</v>
      </c>
      <c r="B105" s="239" t="s">
        <v>6426</v>
      </c>
      <c r="C105" s="240">
        <v>44918</v>
      </c>
      <c r="D105" s="241">
        <v>1</v>
      </c>
      <c r="E105" s="241">
        <v>-1</v>
      </c>
      <c r="F105" s="242">
        <f>IFERROR(Tableau6[[#This Row],[Score]]/Tableau6[[#This Row],[Nb]],0)</f>
        <v>-1</v>
      </c>
    </row>
    <row r="106" spans="1:6" ht="30" customHeight="1" x14ac:dyDescent="0.3">
      <c r="A106" s="238" t="s">
        <v>6439</v>
      </c>
      <c r="B106" s="239" t="s">
        <v>6440</v>
      </c>
      <c r="C106" s="240">
        <v>44918</v>
      </c>
      <c r="D106" s="241">
        <v>2</v>
      </c>
      <c r="E106" s="241">
        <v>-2</v>
      </c>
      <c r="F106" s="242">
        <f>IFERROR(Tableau6[[#This Row],[Score]]/Tableau6[[#This Row],[Nb]],0)</f>
        <v>-1</v>
      </c>
    </row>
    <row r="107" spans="1:6" ht="30" customHeight="1" x14ac:dyDescent="0.3">
      <c r="A107" s="253" t="s">
        <v>6447</v>
      </c>
      <c r="B107" s="254" t="s">
        <v>6448</v>
      </c>
      <c r="C107" s="255">
        <v>44920</v>
      </c>
      <c r="D107" s="256">
        <v>1</v>
      </c>
      <c r="E107" s="256">
        <v>-1</v>
      </c>
      <c r="F107" s="257">
        <f>IFERROR(Tableau6[[#This Row],[Score]]/Tableau6[[#This Row],[Nb]],0)</f>
        <v>-1</v>
      </c>
    </row>
    <row r="108" spans="1:6" ht="30" customHeight="1" x14ac:dyDescent="0.3">
      <c r="A108" s="273" t="s">
        <v>6450</v>
      </c>
      <c r="B108" s="274" t="s">
        <v>6451</v>
      </c>
      <c r="C108" s="275">
        <v>44923</v>
      </c>
      <c r="D108" s="276">
        <v>1</v>
      </c>
      <c r="E108" s="276">
        <v>-1</v>
      </c>
      <c r="F108" s="277">
        <f>IFERROR(Tableau6[[#This Row],[Score]]/Tableau6[[#This Row],[Nb]],0)</f>
        <v>-1</v>
      </c>
    </row>
    <row r="109" spans="1:6" ht="30" customHeight="1" x14ac:dyDescent="0.3">
      <c r="A109" s="282" t="s">
        <v>6452</v>
      </c>
      <c r="B109" s="283" t="s">
        <v>6453</v>
      </c>
      <c r="C109" s="284">
        <v>44924</v>
      </c>
      <c r="D109" s="285">
        <v>2</v>
      </c>
      <c r="E109" s="285">
        <v>-2</v>
      </c>
      <c r="F109" s="286">
        <f>IFERROR(Tableau6[[#This Row],[Score]]/Tableau6[[#This Row],[Nb]],0)</f>
        <v>-1</v>
      </c>
    </row>
    <row r="110" spans="1:6" ht="30" customHeight="1" x14ac:dyDescent="0.3">
      <c r="A110" s="295" t="s">
        <v>6458</v>
      </c>
      <c r="B110" s="296" t="s">
        <v>6459</v>
      </c>
      <c r="C110" s="297">
        <v>44926</v>
      </c>
      <c r="D110" s="285">
        <v>2</v>
      </c>
      <c r="E110" s="298">
        <v>-2</v>
      </c>
      <c r="F110" s="299">
        <f>IFERROR(Tableau6[[#This Row],[Score]]/Tableau6[[#This Row],[Nb]],0)</f>
        <v>-1</v>
      </c>
    </row>
    <row r="111" spans="1:6" ht="30" customHeight="1" x14ac:dyDescent="0.3">
      <c r="A111" s="304" t="s">
        <v>6462</v>
      </c>
      <c r="B111" s="305" t="s">
        <v>6463</v>
      </c>
      <c r="C111" s="306">
        <v>44927</v>
      </c>
      <c r="D111" s="307">
        <v>1</v>
      </c>
      <c r="E111" s="307">
        <v>-1</v>
      </c>
      <c r="F111" s="308">
        <f>IFERROR(Tableau6[[#This Row],[Score]]/Tableau6[[#This Row],[Nb]],0)</f>
        <v>-1</v>
      </c>
    </row>
    <row r="112" spans="1:6" ht="30" customHeight="1" x14ac:dyDescent="0.3">
      <c r="A112" s="311" t="s">
        <v>6465</v>
      </c>
      <c r="B112" s="312" t="s">
        <v>6466</v>
      </c>
      <c r="C112" s="313">
        <v>44928</v>
      </c>
      <c r="D112" s="314">
        <v>4</v>
      </c>
      <c r="E112" s="314">
        <v>-4</v>
      </c>
      <c r="F112" s="315">
        <f>IFERROR(Tableau6[[#This Row],[Score]]/Tableau6[[#This Row],[Nb]],0)</f>
        <v>-1</v>
      </c>
    </row>
    <row r="113" spans="1:6" ht="30" customHeight="1" x14ac:dyDescent="0.3">
      <c r="A113" s="336" t="s">
        <v>6477</v>
      </c>
      <c r="B113" s="337" t="s">
        <v>6478</v>
      </c>
      <c r="C113" s="338">
        <v>44933</v>
      </c>
      <c r="D113" s="339">
        <v>1</v>
      </c>
      <c r="E113" s="339">
        <v>-1</v>
      </c>
      <c r="F113" s="340">
        <f>IFERROR(Tableau6[[#This Row],[Score]]/Tableau6[[#This Row],[Nb]],0)</f>
        <v>-1</v>
      </c>
    </row>
    <row r="114" spans="1:6" ht="30" customHeight="1" x14ac:dyDescent="0.3">
      <c r="A114" s="377" t="s">
        <v>6500</v>
      </c>
      <c r="B114" s="378" t="s">
        <v>6501</v>
      </c>
      <c r="C114" s="379">
        <v>44944</v>
      </c>
      <c r="D114" s="380">
        <v>1</v>
      </c>
      <c r="E114" s="380">
        <v>-1</v>
      </c>
      <c r="F114" s="381">
        <f>IFERROR(Tableau6[[#This Row],[Score]]/Tableau6[[#This Row],[Nb]],0)</f>
        <v>-1</v>
      </c>
    </row>
    <row r="115" spans="1:6" ht="30" customHeight="1" x14ac:dyDescent="0.3">
      <c r="A115" s="395" t="s">
        <v>6509</v>
      </c>
      <c r="B115" s="396" t="s">
        <v>6510</v>
      </c>
      <c r="C115" s="397">
        <v>44946</v>
      </c>
      <c r="D115" s="398">
        <v>2</v>
      </c>
      <c r="E115" s="398">
        <v>-2</v>
      </c>
      <c r="F115" s="399">
        <f>IFERROR(Tableau6[[#This Row],[Score]]/Tableau6[[#This Row],[Nb]],0)</f>
        <v>-1</v>
      </c>
    </row>
    <row r="116" spans="1:6" ht="30" customHeight="1" x14ac:dyDescent="0.3">
      <c r="A116" s="401" t="s">
        <v>6511</v>
      </c>
      <c r="B116" s="402" t="s">
        <v>6512</v>
      </c>
      <c r="C116" s="403">
        <v>44946</v>
      </c>
      <c r="D116" s="404">
        <v>1</v>
      </c>
      <c r="E116" s="404">
        <v>-1</v>
      </c>
      <c r="F116" s="405">
        <f>IFERROR(Tableau6[[#This Row],[Score]]/Tableau6[[#This Row],[Nb]],0)</f>
        <v>-1</v>
      </c>
    </row>
    <row r="117" spans="1:6" ht="30" customHeight="1" x14ac:dyDescent="0.3">
      <c r="A117" s="406" t="s">
        <v>6513</v>
      </c>
      <c r="B117" s="402" t="s">
        <v>6514</v>
      </c>
      <c r="C117" s="403">
        <v>44946</v>
      </c>
      <c r="D117" s="404">
        <v>2</v>
      </c>
      <c r="E117" s="404">
        <v>-2</v>
      </c>
      <c r="F117" s="405">
        <f>IFERROR(Tableau6[[#This Row],[Score]]/Tableau6[[#This Row],[Nb]],0)</f>
        <v>-1</v>
      </c>
    </row>
    <row r="118" spans="1:6" ht="30" customHeight="1" x14ac:dyDescent="0.3">
      <c r="A118" s="409" t="s">
        <v>6516</v>
      </c>
      <c r="B118" s="410" t="s">
        <v>6517</v>
      </c>
      <c r="C118" s="411">
        <v>44948</v>
      </c>
      <c r="D118" s="412">
        <v>2</v>
      </c>
      <c r="E118" s="412">
        <v>-2</v>
      </c>
      <c r="F118" s="413">
        <f>IFERROR(Tableau6[[#This Row],[Score]]/Tableau6[[#This Row],[Nb]],0)</f>
        <v>-1</v>
      </c>
    </row>
    <row r="119" spans="1:6" ht="30" customHeight="1" x14ac:dyDescent="0.3">
      <c r="A119" s="429" t="s">
        <v>6531</v>
      </c>
      <c r="B119" s="430" t="s">
        <v>6532</v>
      </c>
      <c r="C119" s="431">
        <v>44950</v>
      </c>
      <c r="D119" s="432">
        <v>1</v>
      </c>
      <c r="E119" s="432">
        <v>-1</v>
      </c>
      <c r="F119" s="433">
        <f>IFERROR(Tableau6[[#This Row],[Score]]/Tableau6[[#This Row],[Nb]],0)</f>
        <v>-1</v>
      </c>
    </row>
    <row r="120" spans="1:6" ht="30" customHeight="1" x14ac:dyDescent="0.3">
      <c r="A120" s="429" t="s">
        <v>6529</v>
      </c>
      <c r="B120" s="430" t="s">
        <v>6530</v>
      </c>
      <c r="C120" s="431">
        <v>44950</v>
      </c>
      <c r="D120" s="432">
        <v>1</v>
      </c>
      <c r="E120" s="432">
        <v>-1</v>
      </c>
      <c r="F120" s="433">
        <f>IFERROR(Tableau6[[#This Row],[Score]]/Tableau6[[#This Row],[Nb]],0)</f>
        <v>-1</v>
      </c>
    </row>
    <row r="121" spans="1:6" ht="30" customHeight="1" x14ac:dyDescent="0.3">
      <c r="A121" s="440" t="s">
        <v>6538</v>
      </c>
      <c r="B121" s="441" t="s">
        <v>6539</v>
      </c>
      <c r="C121" s="442">
        <v>44952</v>
      </c>
      <c r="D121" s="443">
        <v>2</v>
      </c>
      <c r="E121" s="443">
        <v>-2</v>
      </c>
      <c r="F121" s="444">
        <f>IFERROR(Tableau6[[#This Row],[Score]]/Tableau6[[#This Row],[Nb]],0)</f>
        <v>-1</v>
      </c>
    </row>
    <row r="122" spans="1:6" ht="30" customHeight="1" x14ac:dyDescent="0.3">
      <c r="A122" s="453" t="s">
        <v>6545</v>
      </c>
      <c r="B122" s="454" t="s">
        <v>6546</v>
      </c>
      <c r="C122" s="455">
        <v>44955</v>
      </c>
      <c r="D122" s="456">
        <v>2</v>
      </c>
      <c r="E122" s="456">
        <v>-2</v>
      </c>
      <c r="F122" s="457">
        <f>IFERROR(Tableau6[[#This Row],[Score]]/Tableau6[[#This Row],[Nb]],0)</f>
        <v>-1</v>
      </c>
    </row>
    <row r="123" spans="1:6" ht="30" customHeight="1" x14ac:dyDescent="0.3">
      <c r="A123" s="477" t="s">
        <v>6557</v>
      </c>
      <c r="B123" s="478" t="s">
        <v>6558</v>
      </c>
      <c r="C123" s="479">
        <v>44959</v>
      </c>
      <c r="D123" s="480">
        <v>2</v>
      </c>
      <c r="E123" s="480">
        <v>-2</v>
      </c>
      <c r="F123" s="481">
        <f>IFERROR(Tableau6[[#This Row],[Score]]/Tableau6[[#This Row],[Nb]],0)</f>
        <v>-1</v>
      </c>
    </row>
    <row r="124" spans="1:6" ht="30" customHeight="1" x14ac:dyDescent="0.3">
      <c r="A124" s="477" t="s">
        <v>6555</v>
      </c>
      <c r="B124" s="478" t="s">
        <v>6556</v>
      </c>
      <c r="C124" s="479">
        <v>44959</v>
      </c>
      <c r="D124" s="480">
        <v>1</v>
      </c>
      <c r="E124" s="480">
        <v>-1</v>
      </c>
      <c r="F124" s="481">
        <f>IFERROR(Tableau6[[#This Row],[Score]]/Tableau6[[#This Row],[Nb]],0)</f>
        <v>-1</v>
      </c>
    </row>
    <row r="125" spans="1:6" ht="30" customHeight="1" x14ac:dyDescent="0.3">
      <c r="A125" s="486" t="s">
        <v>6561</v>
      </c>
      <c r="B125" s="487" t="s">
        <v>6562</v>
      </c>
      <c r="C125" s="488">
        <v>44961</v>
      </c>
      <c r="D125" s="489">
        <v>2</v>
      </c>
      <c r="E125" s="489">
        <v>-2</v>
      </c>
      <c r="F125" s="490">
        <f>IFERROR(Tableau6[[#This Row],[Score]]/Tableau6[[#This Row],[Nb]],0)</f>
        <v>-1</v>
      </c>
    </row>
    <row r="126" spans="1:6" ht="30" customHeight="1" x14ac:dyDescent="0.3">
      <c r="A126" s="497" t="s">
        <v>6575</v>
      </c>
      <c r="B126" s="498" t="s">
        <v>6576</v>
      </c>
      <c r="C126" s="499">
        <v>44962</v>
      </c>
      <c r="D126" s="500">
        <v>2</v>
      </c>
      <c r="E126" s="500">
        <v>-2</v>
      </c>
      <c r="F126" s="501">
        <f>IFERROR(Tableau6[[#This Row],[Score]]/Tableau6[[#This Row],[Nb]],0)</f>
        <v>-1</v>
      </c>
    </row>
    <row r="127" spans="1:6" ht="30" customHeight="1" x14ac:dyDescent="0.3">
      <c r="A127" s="502" t="s">
        <v>6581</v>
      </c>
      <c r="B127" s="503" t="s">
        <v>6582</v>
      </c>
      <c r="C127" s="504">
        <v>44962</v>
      </c>
      <c r="D127" s="505">
        <v>2</v>
      </c>
      <c r="E127" s="505">
        <v>-2</v>
      </c>
      <c r="F127" s="506">
        <f>IFERROR(Tableau6[[#This Row],[Score]]/Tableau6[[#This Row],[Nb]],0)</f>
        <v>-1</v>
      </c>
    </row>
    <row r="128" spans="1:6" ht="30" customHeight="1" x14ac:dyDescent="0.3">
      <c r="A128" s="507" t="s">
        <v>6583</v>
      </c>
      <c r="B128" s="508" t="s">
        <v>6584</v>
      </c>
      <c r="C128" s="509">
        <v>44962</v>
      </c>
      <c r="D128" s="510">
        <v>1</v>
      </c>
      <c r="E128" s="510">
        <v>-1</v>
      </c>
      <c r="F128" s="511">
        <f>IFERROR(Tableau6[[#This Row],[Score]]/Tableau6[[#This Row],[Nb]],0)</f>
        <v>-1</v>
      </c>
    </row>
    <row r="129" spans="1:6" ht="30" customHeight="1" x14ac:dyDescent="0.3">
      <c r="A129" s="547" t="s">
        <v>6613</v>
      </c>
      <c r="B129" s="548" t="s">
        <v>6614</v>
      </c>
      <c r="C129" s="549">
        <v>44969</v>
      </c>
      <c r="D129" s="550">
        <v>1</v>
      </c>
      <c r="E129" s="550">
        <v>-1</v>
      </c>
      <c r="F129" s="551">
        <f>IFERROR(Tableau6[[#This Row],[Score]]/Tableau6[[#This Row],[Nb]],0)</f>
        <v>-1</v>
      </c>
    </row>
    <row r="130" spans="1:6" ht="30" customHeight="1" x14ac:dyDescent="0.3">
      <c r="A130" s="576" t="s">
        <v>6638</v>
      </c>
      <c r="B130" s="577" t="s">
        <v>6637</v>
      </c>
      <c r="C130" s="578">
        <v>44976</v>
      </c>
      <c r="D130" s="579">
        <v>1</v>
      </c>
      <c r="E130" s="579">
        <v>-1</v>
      </c>
      <c r="F130" s="580">
        <f>IFERROR(Tableau6[[#This Row],[Score]]/Tableau6[[#This Row],[Nb]],0)</f>
        <v>-1</v>
      </c>
    </row>
    <row r="131" spans="1:6" ht="30" customHeight="1" x14ac:dyDescent="0.3">
      <c r="A131" s="598" t="s">
        <v>6646</v>
      </c>
      <c r="B131" s="599" t="s">
        <v>6647</v>
      </c>
      <c r="C131" s="600">
        <v>44979</v>
      </c>
      <c r="D131" s="601">
        <v>1</v>
      </c>
      <c r="E131" s="601">
        <v>-1</v>
      </c>
      <c r="F131" s="602">
        <f>IFERROR(Tableau6[[#This Row],[Score]]/Tableau6[[#This Row],[Nb]],0)</f>
        <v>-1</v>
      </c>
    </row>
    <row r="132" spans="1:6" ht="30" customHeight="1" x14ac:dyDescent="0.3">
      <c r="A132" s="26" t="s">
        <v>4760</v>
      </c>
      <c r="B132" s="27" t="s">
        <v>4761</v>
      </c>
      <c r="C132" s="180">
        <v>44372</v>
      </c>
      <c r="D132" s="28">
        <v>16</v>
      </c>
      <c r="E132" s="49">
        <v>-15</v>
      </c>
      <c r="F132" s="211">
        <f>IFERROR(Tableau6[[#This Row],[Score]]/Tableau6[[#This Row],[Nb]],0)</f>
        <v>-0.9375</v>
      </c>
    </row>
    <row r="133" spans="1:6" ht="30" customHeight="1" x14ac:dyDescent="0.3">
      <c r="A133" s="26" t="s">
        <v>4959</v>
      </c>
      <c r="B133" s="27" t="s">
        <v>3096</v>
      </c>
      <c r="C133" s="180">
        <v>44427</v>
      </c>
      <c r="D133" s="28">
        <v>11</v>
      </c>
      <c r="E133" s="49">
        <v>-10</v>
      </c>
      <c r="F133" s="211">
        <f>IFERROR(Tableau6[[#This Row],[Score]]/Tableau6[[#This Row],[Nb]],0)</f>
        <v>-0.90909090909090906</v>
      </c>
    </row>
    <row r="134" spans="1:6" ht="30" customHeight="1" x14ac:dyDescent="0.3">
      <c r="A134" s="26" t="s">
        <v>5038</v>
      </c>
      <c r="B134" s="27" t="s">
        <v>5039</v>
      </c>
      <c r="C134" s="180">
        <v>44445</v>
      </c>
      <c r="D134" s="28">
        <v>17</v>
      </c>
      <c r="E134" s="49">
        <v>-15</v>
      </c>
      <c r="F134" s="211">
        <f>IFERROR(Tableau6[[#This Row],[Score]]/Tableau6[[#This Row],[Nb]],0)</f>
        <v>-0.88235294117647056</v>
      </c>
    </row>
    <row r="135" spans="1:6" ht="30" customHeight="1" x14ac:dyDescent="0.3">
      <c r="A135" s="26" t="s">
        <v>260</v>
      </c>
      <c r="B135" s="27" t="s">
        <v>261</v>
      </c>
      <c r="C135" s="180">
        <v>43390</v>
      </c>
      <c r="D135" s="28">
        <v>16</v>
      </c>
      <c r="E135" s="49">
        <v>-14</v>
      </c>
      <c r="F135" s="211">
        <f>IFERROR(Tableau6[[#This Row],[Score]]/Tableau6[[#This Row],[Nb]],0)</f>
        <v>-0.875</v>
      </c>
    </row>
    <row r="136" spans="1:6" ht="30" customHeight="1" x14ac:dyDescent="0.3">
      <c r="A136" s="26" t="s">
        <v>4875</v>
      </c>
      <c r="B136" s="27" t="s">
        <v>4876</v>
      </c>
      <c r="C136" s="180">
        <v>44399</v>
      </c>
      <c r="D136" s="28">
        <v>8</v>
      </c>
      <c r="E136" s="49">
        <v>-7</v>
      </c>
      <c r="F136" s="211">
        <f>IFERROR(Tableau6[[#This Row],[Score]]/Tableau6[[#This Row],[Nb]],0)</f>
        <v>-0.875</v>
      </c>
    </row>
    <row r="137" spans="1:6" ht="30" customHeight="1" x14ac:dyDescent="0.3">
      <c r="A137" s="26" t="s">
        <v>4941</v>
      </c>
      <c r="B137" s="27" t="s">
        <v>4942</v>
      </c>
      <c r="C137" s="180">
        <v>44425</v>
      </c>
      <c r="D137" s="28">
        <v>16</v>
      </c>
      <c r="E137" s="49">
        <v>-14</v>
      </c>
      <c r="F137" s="211">
        <f>IFERROR(Tableau6[[#This Row],[Score]]/Tableau6[[#This Row],[Nb]],0)</f>
        <v>-0.875</v>
      </c>
    </row>
    <row r="138" spans="1:6" ht="30" customHeight="1" x14ac:dyDescent="0.3">
      <c r="A138" s="151" t="s">
        <v>5805</v>
      </c>
      <c r="B138" s="27" t="s">
        <v>4990</v>
      </c>
      <c r="C138" s="180">
        <v>44434</v>
      </c>
      <c r="D138" s="28">
        <v>15</v>
      </c>
      <c r="E138" s="49">
        <v>-13</v>
      </c>
      <c r="F138" s="211">
        <f>IFERROR(Tableau6[[#This Row],[Score]]/Tableau6[[#This Row],[Nb]],0)</f>
        <v>-0.8666666666666667</v>
      </c>
    </row>
    <row r="139" spans="1:6" ht="30" customHeight="1" x14ac:dyDescent="0.3">
      <c r="A139" s="151" t="s">
        <v>5369</v>
      </c>
      <c r="B139" s="152" t="s">
        <v>6050</v>
      </c>
      <c r="C139" s="208">
        <v>44553</v>
      </c>
      <c r="D139" s="154">
        <v>15</v>
      </c>
      <c r="E139" s="154">
        <v>-13</v>
      </c>
      <c r="F139" s="211">
        <f>IFERROR(Tableau6[[#This Row],[Score]]/Tableau6[[#This Row],[Nb]],0)</f>
        <v>-0.8666666666666667</v>
      </c>
    </row>
    <row r="140" spans="1:6" ht="30" customHeight="1" x14ac:dyDescent="0.3">
      <c r="A140" s="26" t="s">
        <v>4608</v>
      </c>
      <c r="B140" s="27" t="s">
        <v>4609</v>
      </c>
      <c r="C140" s="180">
        <v>44334</v>
      </c>
      <c r="D140" s="28">
        <v>14</v>
      </c>
      <c r="E140" s="49">
        <v>-12</v>
      </c>
      <c r="F140" s="211">
        <f>IFERROR(Tableau6[[#This Row],[Score]]/Tableau6[[#This Row],[Nb]],0)</f>
        <v>-0.8571428571428571</v>
      </c>
    </row>
    <row r="141" spans="1:6" ht="30" customHeight="1" x14ac:dyDescent="0.3">
      <c r="A141" s="112" t="s">
        <v>5103</v>
      </c>
      <c r="B141" s="113" t="s">
        <v>5104</v>
      </c>
      <c r="C141" s="199">
        <v>44464</v>
      </c>
      <c r="D141" s="114">
        <v>14</v>
      </c>
      <c r="E141" s="114">
        <v>-12</v>
      </c>
      <c r="F141" s="211">
        <f>IFERROR(Tableau6[[#This Row],[Score]]/Tableau6[[#This Row],[Nb]],0)</f>
        <v>-0.8571428571428571</v>
      </c>
    </row>
    <row r="142" spans="1:6" ht="30" customHeight="1" x14ac:dyDescent="0.3">
      <c r="A142" s="151" t="s">
        <v>5274</v>
      </c>
      <c r="B142" s="152" t="s">
        <v>5275</v>
      </c>
      <c r="C142" s="208">
        <v>44524</v>
      </c>
      <c r="D142" s="154">
        <v>14</v>
      </c>
      <c r="E142" s="154">
        <v>-12</v>
      </c>
      <c r="F142" s="211">
        <f>IFERROR(Tableau6[[#This Row],[Score]]/Tableau6[[#This Row],[Nb]],0)</f>
        <v>-0.8571428571428571</v>
      </c>
    </row>
    <row r="143" spans="1:6" ht="30" customHeight="1" x14ac:dyDescent="0.3">
      <c r="A143" s="151" t="s">
        <v>5697</v>
      </c>
      <c r="B143" s="152" t="s">
        <v>880</v>
      </c>
      <c r="C143" s="208">
        <v>44626</v>
      </c>
      <c r="D143" s="154">
        <v>14</v>
      </c>
      <c r="E143" s="154">
        <v>-12</v>
      </c>
      <c r="F143" s="211">
        <f>IFERROR(Tableau6[[#This Row],[Score]]/Tableau6[[#This Row],[Nb]],0)</f>
        <v>-0.8571428571428571</v>
      </c>
    </row>
    <row r="144" spans="1:6" ht="30" customHeight="1" x14ac:dyDescent="0.3">
      <c r="A144" s="26" t="s">
        <v>125</v>
      </c>
      <c r="B144" s="27" t="s">
        <v>126</v>
      </c>
      <c r="C144" s="180">
        <v>43341</v>
      </c>
      <c r="D144" s="28">
        <v>13</v>
      </c>
      <c r="E144" s="49">
        <v>-11</v>
      </c>
      <c r="F144" s="211">
        <f>IFERROR(Tableau6[[#This Row],[Score]]/Tableau6[[#This Row],[Nb]],0)</f>
        <v>-0.84615384615384615</v>
      </c>
    </row>
    <row r="145" spans="1:6" ht="30" customHeight="1" x14ac:dyDescent="0.3">
      <c r="A145" s="26" t="s">
        <v>4910</v>
      </c>
      <c r="B145" s="27" t="s">
        <v>1493</v>
      </c>
      <c r="C145" s="180">
        <v>44412</v>
      </c>
      <c r="D145" s="28">
        <v>19</v>
      </c>
      <c r="E145" s="49">
        <v>-16</v>
      </c>
      <c r="F145" s="211">
        <f>IFERROR(Tableau6[[#This Row],[Score]]/Tableau6[[#This Row],[Nb]],0)</f>
        <v>-0.84210526315789469</v>
      </c>
    </row>
    <row r="146" spans="1:6" ht="30" customHeight="1" x14ac:dyDescent="0.3">
      <c r="A146" s="26" t="s">
        <v>147</v>
      </c>
      <c r="B146" s="27" t="s">
        <v>148</v>
      </c>
      <c r="C146" s="180">
        <v>43370</v>
      </c>
      <c r="D146" s="28">
        <v>18</v>
      </c>
      <c r="E146" s="49">
        <v>-15</v>
      </c>
      <c r="F146" s="211">
        <f>IFERROR(Tableau6[[#This Row],[Score]]/Tableau6[[#This Row],[Nb]],0)</f>
        <v>-0.83333333333333337</v>
      </c>
    </row>
    <row r="147" spans="1:6" ht="30" customHeight="1" x14ac:dyDescent="0.3">
      <c r="A147" s="26" t="s">
        <v>4828</v>
      </c>
      <c r="B147" s="27" t="s">
        <v>3066</v>
      </c>
      <c r="C147" s="180">
        <v>44395</v>
      </c>
      <c r="D147" s="28">
        <v>12</v>
      </c>
      <c r="E147" s="49">
        <v>-10</v>
      </c>
      <c r="F147" s="211">
        <f>IFERROR(Tableau6[[#This Row],[Score]]/Tableau6[[#This Row],[Nb]],0)</f>
        <v>-0.83333333333333337</v>
      </c>
    </row>
    <row r="148" spans="1:6" ht="30" customHeight="1" x14ac:dyDescent="0.3">
      <c r="A148" s="26" t="s">
        <v>4841</v>
      </c>
      <c r="B148" s="27" t="s">
        <v>4842</v>
      </c>
      <c r="C148" s="180">
        <v>44395</v>
      </c>
      <c r="D148" s="28">
        <v>12</v>
      </c>
      <c r="E148" s="49">
        <v>-10</v>
      </c>
      <c r="F148" s="211">
        <f>IFERROR(Tableau6[[#This Row],[Score]]/Tableau6[[#This Row],[Nb]],0)</f>
        <v>-0.83333333333333337</v>
      </c>
    </row>
    <row r="149" spans="1:6" ht="30" customHeight="1" x14ac:dyDescent="0.3">
      <c r="A149" s="151" t="s">
        <v>6043</v>
      </c>
      <c r="B149" s="27" t="s">
        <v>5032</v>
      </c>
      <c r="C149" s="180">
        <v>44442</v>
      </c>
      <c r="D149" s="28">
        <v>12</v>
      </c>
      <c r="E149" s="49">
        <v>-10</v>
      </c>
      <c r="F149" s="211">
        <f>IFERROR(Tableau6[[#This Row],[Score]]/Tableau6[[#This Row],[Nb]],0)</f>
        <v>-0.83333333333333337</v>
      </c>
    </row>
    <row r="150" spans="1:6" ht="30" customHeight="1" x14ac:dyDescent="0.3">
      <c r="A150" s="133" t="s">
        <v>5116</v>
      </c>
      <c r="B150" s="134" t="s">
        <v>5117</v>
      </c>
      <c r="C150" s="204">
        <v>44467</v>
      </c>
      <c r="D150" s="135">
        <v>12</v>
      </c>
      <c r="E150" s="135">
        <v>-10</v>
      </c>
      <c r="F150" s="211">
        <f>IFERROR(Tableau6[[#This Row],[Score]]/Tableau6[[#This Row],[Nb]],0)</f>
        <v>-0.83333333333333337</v>
      </c>
    </row>
    <row r="151" spans="1:6" ht="30" customHeight="1" x14ac:dyDescent="0.3">
      <c r="A151" s="151" t="s">
        <v>5786</v>
      </c>
      <c r="B151" s="152" t="s">
        <v>5787</v>
      </c>
      <c r="C151" s="208">
        <v>44640</v>
      </c>
      <c r="D151" s="154">
        <v>12</v>
      </c>
      <c r="E151" s="154">
        <v>-10</v>
      </c>
      <c r="F151" s="211">
        <f>IFERROR(Tableau6[[#This Row],[Score]]/Tableau6[[#This Row],[Nb]],0)</f>
        <v>-0.83333333333333337</v>
      </c>
    </row>
    <row r="152" spans="1:6" ht="30" customHeight="1" x14ac:dyDescent="0.3">
      <c r="A152" s="26" t="s">
        <v>590</v>
      </c>
      <c r="B152" s="27" t="s">
        <v>591</v>
      </c>
      <c r="C152" s="180">
        <v>43404</v>
      </c>
      <c r="D152" s="28">
        <v>17</v>
      </c>
      <c r="E152" s="49">
        <v>-14</v>
      </c>
      <c r="F152" s="211">
        <f>IFERROR(Tableau6[[#This Row],[Score]]/Tableau6[[#This Row],[Nb]],0)</f>
        <v>-0.82352941176470584</v>
      </c>
    </row>
    <row r="153" spans="1:6" ht="30" customHeight="1" x14ac:dyDescent="0.3">
      <c r="A153" s="26" t="s">
        <v>3265</v>
      </c>
      <c r="B153" s="27" t="s">
        <v>3266</v>
      </c>
      <c r="C153" s="180">
        <v>44026</v>
      </c>
      <c r="D153" s="28">
        <v>11</v>
      </c>
      <c r="E153" s="49">
        <v>-9</v>
      </c>
      <c r="F153" s="211">
        <f>IFERROR(Tableau6[[#This Row],[Score]]/Tableau6[[#This Row],[Nb]],0)</f>
        <v>-0.81818181818181823</v>
      </c>
    </row>
    <row r="154" spans="1:6" ht="30" customHeight="1" x14ac:dyDescent="0.3">
      <c r="A154" s="151" t="s">
        <v>5377</v>
      </c>
      <c r="B154" s="27" t="s">
        <v>4938</v>
      </c>
      <c r="C154" s="180">
        <v>44425</v>
      </c>
      <c r="D154" s="28">
        <v>11</v>
      </c>
      <c r="E154" s="49">
        <v>-9</v>
      </c>
      <c r="F154" s="211">
        <f>IFERROR(Tableau6[[#This Row],[Score]]/Tableau6[[#This Row],[Nb]],0)</f>
        <v>-0.81818181818181823</v>
      </c>
    </row>
    <row r="155" spans="1:6" ht="30" customHeight="1" x14ac:dyDescent="0.3">
      <c r="A155" s="26" t="s">
        <v>5021</v>
      </c>
      <c r="B155" s="27" t="s">
        <v>5022</v>
      </c>
      <c r="C155" s="180">
        <v>44442</v>
      </c>
      <c r="D155" s="28">
        <v>11</v>
      </c>
      <c r="E155" s="49">
        <v>-9</v>
      </c>
      <c r="F155" s="211">
        <f>IFERROR(Tableau6[[#This Row],[Score]]/Tableau6[[#This Row],[Nb]],0)</f>
        <v>-0.81818181818181823</v>
      </c>
    </row>
    <row r="156" spans="1:6" ht="30" customHeight="1" x14ac:dyDescent="0.3">
      <c r="A156" s="26" t="s">
        <v>2380</v>
      </c>
      <c r="B156" s="27" t="s">
        <v>1402</v>
      </c>
      <c r="C156" s="180">
        <v>43775</v>
      </c>
      <c r="D156" s="28">
        <v>21</v>
      </c>
      <c r="E156" s="49">
        <v>-17</v>
      </c>
      <c r="F156" s="211">
        <f>IFERROR(Tableau6[[#This Row],[Score]]/Tableau6[[#This Row],[Nb]],0)</f>
        <v>-0.80952380952380953</v>
      </c>
    </row>
    <row r="157" spans="1:6" ht="30" customHeight="1" x14ac:dyDescent="0.3">
      <c r="A157" s="26" t="s">
        <v>581</v>
      </c>
      <c r="B157" s="27" t="s">
        <v>582</v>
      </c>
      <c r="C157" s="180">
        <v>43405</v>
      </c>
      <c r="D157" s="28">
        <v>20</v>
      </c>
      <c r="E157" s="49">
        <v>-16</v>
      </c>
      <c r="F157" s="211">
        <f>IFERROR(Tableau6[[#This Row],[Score]]/Tableau6[[#This Row],[Nb]],0)</f>
        <v>-0.8</v>
      </c>
    </row>
    <row r="158" spans="1:6" ht="30" customHeight="1" x14ac:dyDescent="0.3">
      <c r="A158" s="26" t="s">
        <v>1364</v>
      </c>
      <c r="B158" s="27" t="s">
        <v>1365</v>
      </c>
      <c r="C158" s="180">
        <v>43444</v>
      </c>
      <c r="D158" s="28">
        <v>10</v>
      </c>
      <c r="E158" s="49">
        <v>-8</v>
      </c>
      <c r="F158" s="211">
        <f>IFERROR(Tableau6[[#This Row],[Score]]/Tableau6[[#This Row],[Nb]],0)</f>
        <v>-0.8</v>
      </c>
    </row>
    <row r="159" spans="1:6" ht="30" customHeight="1" x14ac:dyDescent="0.3">
      <c r="A159" s="151" t="s">
        <v>5155</v>
      </c>
      <c r="B159" s="152" t="s">
        <v>5156</v>
      </c>
      <c r="C159" s="208">
        <v>44484</v>
      </c>
      <c r="D159" s="154">
        <v>10</v>
      </c>
      <c r="E159" s="154">
        <v>-8</v>
      </c>
      <c r="F159" s="211">
        <f>IFERROR(Tableau6[[#This Row],[Score]]/Tableau6[[#This Row],[Nb]],0)</f>
        <v>-0.8</v>
      </c>
    </row>
    <row r="160" spans="1:6" ht="30" customHeight="1" x14ac:dyDescent="0.3">
      <c r="A160" s="151" t="s">
        <v>5281</v>
      </c>
      <c r="B160" s="152" t="s">
        <v>5282</v>
      </c>
      <c r="C160" s="208">
        <v>44524</v>
      </c>
      <c r="D160" s="154">
        <v>10</v>
      </c>
      <c r="E160" s="154">
        <v>-8</v>
      </c>
      <c r="F160" s="211">
        <f>IFERROR(Tableau6[[#This Row],[Score]]/Tableau6[[#This Row],[Nb]],0)</f>
        <v>-0.8</v>
      </c>
    </row>
    <row r="161" spans="1:6" ht="30" customHeight="1" x14ac:dyDescent="0.3">
      <c r="A161" s="151" t="s">
        <v>5685</v>
      </c>
      <c r="B161" s="152" t="s">
        <v>5686</v>
      </c>
      <c r="C161" s="208">
        <v>44622</v>
      </c>
      <c r="D161" s="154">
        <v>10</v>
      </c>
      <c r="E161" s="154">
        <v>-8</v>
      </c>
      <c r="F161" s="211">
        <f>IFERROR(Tableau6[[#This Row],[Score]]/Tableau6[[#This Row],[Nb]],0)</f>
        <v>-0.8</v>
      </c>
    </row>
    <row r="162" spans="1:6" ht="30" customHeight="1" x14ac:dyDescent="0.3">
      <c r="A162" s="151" t="s">
        <v>5925</v>
      </c>
      <c r="B162" s="152" t="s">
        <v>5926</v>
      </c>
      <c r="C162" s="208">
        <v>44682</v>
      </c>
      <c r="D162" s="154">
        <v>10</v>
      </c>
      <c r="E162" s="154">
        <v>-8</v>
      </c>
      <c r="F162" s="211">
        <f>IFERROR(Tableau6[[#This Row],[Score]]/Tableau6[[#This Row],[Nb]],0)</f>
        <v>-0.8</v>
      </c>
    </row>
    <row r="163" spans="1:6" ht="30" customHeight="1" x14ac:dyDescent="0.3">
      <c r="A163" s="26" t="s">
        <v>4844</v>
      </c>
      <c r="B163" s="27" t="s">
        <v>4845</v>
      </c>
      <c r="C163" s="180">
        <v>44395</v>
      </c>
      <c r="D163" s="28">
        <v>14</v>
      </c>
      <c r="E163" s="49">
        <v>-11</v>
      </c>
      <c r="F163" s="211">
        <f>IFERROR(Tableau6[[#This Row],[Score]]/Tableau6[[#This Row],[Nb]],0)</f>
        <v>-0.7857142857142857</v>
      </c>
    </row>
    <row r="164" spans="1:6" ht="30" customHeight="1" x14ac:dyDescent="0.3">
      <c r="A164" s="26" t="s">
        <v>4927</v>
      </c>
      <c r="B164" s="27" t="s">
        <v>4928</v>
      </c>
      <c r="C164" s="180">
        <v>44422</v>
      </c>
      <c r="D164" s="28">
        <v>14</v>
      </c>
      <c r="E164" s="49">
        <v>-11</v>
      </c>
      <c r="F164" s="211">
        <f>IFERROR(Tableau6[[#This Row],[Score]]/Tableau6[[#This Row],[Nb]],0)</f>
        <v>-0.7857142857142857</v>
      </c>
    </row>
    <row r="165" spans="1:6" ht="30" customHeight="1" x14ac:dyDescent="0.3">
      <c r="A165" s="151" t="s">
        <v>5404</v>
      </c>
      <c r="B165" s="152" t="s">
        <v>5403</v>
      </c>
      <c r="C165" s="208">
        <v>44564</v>
      </c>
      <c r="D165" s="154">
        <v>9</v>
      </c>
      <c r="E165" s="154">
        <v>-7</v>
      </c>
      <c r="F165" s="211">
        <f>IFERROR(Tableau6[[#This Row],[Score]]/Tableau6[[#This Row],[Nb]],0)</f>
        <v>-0.77777777777777779</v>
      </c>
    </row>
    <row r="166" spans="1:6" ht="30" customHeight="1" x14ac:dyDescent="0.3">
      <c r="A166" s="151" t="s">
        <v>5870</v>
      </c>
      <c r="B166" s="152" t="s">
        <v>5871</v>
      </c>
      <c r="C166" s="208">
        <v>44659</v>
      </c>
      <c r="D166" s="154">
        <v>9</v>
      </c>
      <c r="E166" s="154">
        <v>-7</v>
      </c>
      <c r="F166" s="211">
        <f>IFERROR(Tableau6[[#This Row],[Score]]/Tableau6[[#This Row],[Nb]],0)</f>
        <v>-0.77777777777777779</v>
      </c>
    </row>
    <row r="167" spans="1:6" ht="30" customHeight="1" x14ac:dyDescent="0.3">
      <c r="A167" s="151" t="s">
        <v>5972</v>
      </c>
      <c r="B167" s="152" t="s">
        <v>5973</v>
      </c>
      <c r="C167" s="208">
        <v>44702</v>
      </c>
      <c r="D167" s="154">
        <v>9</v>
      </c>
      <c r="E167" s="154">
        <v>-7</v>
      </c>
      <c r="F167" s="211">
        <f>IFERROR(Tableau6[[#This Row],[Score]]/Tableau6[[#This Row],[Nb]],0)</f>
        <v>-0.77777777777777779</v>
      </c>
    </row>
    <row r="168" spans="1:6" ht="30" customHeight="1" x14ac:dyDescent="0.3">
      <c r="A168" s="136" t="s">
        <v>5120</v>
      </c>
      <c r="B168" s="27" t="s">
        <v>4746</v>
      </c>
      <c r="C168" s="180">
        <v>43341</v>
      </c>
      <c r="D168" s="28">
        <v>13</v>
      </c>
      <c r="E168" s="49">
        <v>-10</v>
      </c>
      <c r="F168" s="211">
        <f>IFERROR(Tableau6[[#This Row],[Score]]/Tableau6[[#This Row],[Nb]],0)</f>
        <v>-0.76923076923076927</v>
      </c>
    </row>
    <row r="169" spans="1:6" ht="30" customHeight="1" x14ac:dyDescent="0.3">
      <c r="A169" s="26" t="s">
        <v>2848</v>
      </c>
      <c r="B169" s="27" t="s">
        <v>2849</v>
      </c>
      <c r="C169" s="180">
        <v>43969</v>
      </c>
      <c r="D169" s="28">
        <v>13</v>
      </c>
      <c r="E169" s="49">
        <v>-10</v>
      </c>
      <c r="F169" s="211">
        <f>IFERROR(Tableau6[[#This Row],[Score]]/Tableau6[[#This Row],[Nb]],0)</f>
        <v>-0.76923076923076927</v>
      </c>
    </row>
    <row r="170" spans="1:6" ht="30" customHeight="1" x14ac:dyDescent="0.3">
      <c r="A170" s="151" t="s">
        <v>5272</v>
      </c>
      <c r="B170" s="152" t="s">
        <v>5273</v>
      </c>
      <c r="C170" s="208">
        <v>44524</v>
      </c>
      <c r="D170" s="154">
        <v>17</v>
      </c>
      <c r="E170" s="154">
        <v>-13</v>
      </c>
      <c r="F170" s="211">
        <f>IFERROR(Tableau6[[#This Row],[Score]]/Tableau6[[#This Row],[Nb]],0)</f>
        <v>-0.76470588235294112</v>
      </c>
    </row>
    <row r="171" spans="1:6" ht="30" customHeight="1" x14ac:dyDescent="0.3">
      <c r="A171" s="151" t="s">
        <v>5843</v>
      </c>
      <c r="B171" s="152" t="s">
        <v>5844</v>
      </c>
      <c r="C171" s="208">
        <v>44652</v>
      </c>
      <c r="D171" s="154">
        <v>17</v>
      </c>
      <c r="E171" s="154">
        <v>-13</v>
      </c>
      <c r="F171" s="211">
        <f>IFERROR(Tableau6[[#This Row],[Score]]/Tableau6[[#This Row],[Nb]],0)</f>
        <v>-0.76470588235294112</v>
      </c>
    </row>
    <row r="172" spans="1:6" ht="30" customHeight="1" x14ac:dyDescent="0.3">
      <c r="A172" s="26" t="s">
        <v>4644</v>
      </c>
      <c r="B172" s="27" t="s">
        <v>430</v>
      </c>
      <c r="C172" s="180">
        <v>43355</v>
      </c>
      <c r="D172" s="28">
        <v>20</v>
      </c>
      <c r="E172" s="49">
        <v>-15</v>
      </c>
      <c r="F172" s="211">
        <f>IFERROR(Tableau6[[#This Row],[Score]]/Tableau6[[#This Row],[Nb]],0)</f>
        <v>-0.75</v>
      </c>
    </row>
    <row r="173" spans="1:6" ht="30" customHeight="1" x14ac:dyDescent="0.3">
      <c r="A173" s="151" t="s">
        <v>5359</v>
      </c>
      <c r="B173" s="27" t="s">
        <v>2254</v>
      </c>
      <c r="C173" s="180">
        <v>43400</v>
      </c>
      <c r="D173" s="28">
        <v>20</v>
      </c>
      <c r="E173" s="49">
        <v>-15</v>
      </c>
      <c r="F173" s="211">
        <f>IFERROR(Tableau6[[#This Row],[Score]]/Tableau6[[#This Row],[Nb]],0)</f>
        <v>-0.75</v>
      </c>
    </row>
    <row r="174" spans="1:6" ht="30" customHeight="1" x14ac:dyDescent="0.3">
      <c r="A174" s="26" t="s">
        <v>1389</v>
      </c>
      <c r="B174" s="27" t="s">
        <v>2072</v>
      </c>
      <c r="C174" s="180">
        <v>43444</v>
      </c>
      <c r="D174" s="28">
        <v>24</v>
      </c>
      <c r="E174" s="49">
        <v>-18</v>
      </c>
      <c r="F174" s="211">
        <f>IFERROR(Tableau6[[#This Row],[Score]]/Tableau6[[#This Row],[Nb]],0)</f>
        <v>-0.75</v>
      </c>
    </row>
    <row r="175" spans="1:6" ht="30" customHeight="1" x14ac:dyDescent="0.3">
      <c r="A175" s="151" t="s">
        <v>6151</v>
      </c>
      <c r="B175" s="152" t="s">
        <v>6152</v>
      </c>
      <c r="C175" s="180">
        <v>43444</v>
      </c>
      <c r="D175" s="28">
        <v>8</v>
      </c>
      <c r="E175" s="49">
        <v>-6</v>
      </c>
      <c r="F175" s="211">
        <f>IFERROR(Tableau6[[#This Row],[Score]]/Tableau6[[#This Row],[Nb]],0)</f>
        <v>-0.75</v>
      </c>
    </row>
    <row r="176" spans="1:6" ht="30" customHeight="1" x14ac:dyDescent="0.3">
      <c r="A176" s="26" t="s">
        <v>4955</v>
      </c>
      <c r="B176" s="27" t="s">
        <v>4956</v>
      </c>
      <c r="C176" s="180">
        <v>44427</v>
      </c>
      <c r="D176" s="28">
        <v>16</v>
      </c>
      <c r="E176" s="49">
        <v>-12</v>
      </c>
      <c r="F176" s="211">
        <f>IFERROR(Tableau6[[#This Row],[Score]]/Tableau6[[#This Row],[Nb]],0)</f>
        <v>-0.75</v>
      </c>
    </row>
    <row r="177" spans="1:6" ht="30" customHeight="1" x14ac:dyDescent="0.3">
      <c r="A177" s="88" t="s">
        <v>5085</v>
      </c>
      <c r="B177" s="89" t="s">
        <v>5086</v>
      </c>
      <c r="C177" s="193">
        <v>44459</v>
      </c>
      <c r="D177" s="90">
        <v>8</v>
      </c>
      <c r="E177" s="90">
        <v>-6</v>
      </c>
      <c r="F177" s="211">
        <f>IFERROR(Tableau6[[#This Row],[Score]]/Tableau6[[#This Row],[Nb]],0)</f>
        <v>-0.75</v>
      </c>
    </row>
    <row r="178" spans="1:6" ht="30" customHeight="1" x14ac:dyDescent="0.3">
      <c r="A178" s="151" t="s">
        <v>5416</v>
      </c>
      <c r="B178" s="152" t="s">
        <v>5417</v>
      </c>
      <c r="C178" s="208">
        <v>44564</v>
      </c>
      <c r="D178" s="154">
        <v>8</v>
      </c>
      <c r="E178" s="154">
        <v>-6</v>
      </c>
      <c r="F178" s="211">
        <f>IFERROR(Tableau6[[#This Row],[Score]]/Tableau6[[#This Row],[Nb]],0)</f>
        <v>-0.75</v>
      </c>
    </row>
    <row r="179" spans="1:6" ht="30" customHeight="1" x14ac:dyDescent="0.3">
      <c r="A179" s="151" t="s">
        <v>5540</v>
      </c>
      <c r="B179" s="152" t="s">
        <v>5539</v>
      </c>
      <c r="C179" s="208">
        <v>44591</v>
      </c>
      <c r="D179" s="154">
        <v>8</v>
      </c>
      <c r="E179" s="154">
        <v>-6</v>
      </c>
      <c r="F179" s="211">
        <f>IFERROR(Tableau6[[#This Row],[Score]]/Tableau6[[#This Row],[Nb]],0)</f>
        <v>-0.75</v>
      </c>
    </row>
    <row r="180" spans="1:6" ht="30" customHeight="1" x14ac:dyDescent="0.3">
      <c r="A180" s="151" t="s">
        <v>5646</v>
      </c>
      <c r="B180" s="152" t="s">
        <v>5647</v>
      </c>
      <c r="C180" s="208">
        <v>44613</v>
      </c>
      <c r="D180" s="154">
        <v>16</v>
      </c>
      <c r="E180" s="154">
        <v>-12</v>
      </c>
      <c r="F180" s="211">
        <f>IFERROR(Tableau6[[#This Row],[Score]]/Tableau6[[#This Row],[Nb]],0)</f>
        <v>-0.75</v>
      </c>
    </row>
    <row r="181" spans="1:6" ht="30" customHeight="1" x14ac:dyDescent="0.3">
      <c r="A181" s="151" t="s">
        <v>5712</v>
      </c>
      <c r="B181" s="152" t="s">
        <v>5682</v>
      </c>
      <c r="C181" s="208">
        <v>44621</v>
      </c>
      <c r="D181" s="154">
        <v>8</v>
      </c>
      <c r="E181" s="154">
        <v>-6</v>
      </c>
      <c r="F181" s="211">
        <f>IFERROR(Tableau6[[#This Row],[Score]]/Tableau6[[#This Row],[Nb]],0)</f>
        <v>-0.75</v>
      </c>
    </row>
    <row r="182" spans="1:6" ht="30" customHeight="1" x14ac:dyDescent="0.3">
      <c r="A182" s="151" t="s">
        <v>5818</v>
      </c>
      <c r="B182" s="152" t="s">
        <v>5819</v>
      </c>
      <c r="C182" s="208">
        <v>44649</v>
      </c>
      <c r="D182" s="154">
        <v>8</v>
      </c>
      <c r="E182" s="154">
        <v>-6</v>
      </c>
      <c r="F182" s="211">
        <f>IFERROR(Tableau6[[#This Row],[Score]]/Tableau6[[#This Row],[Nb]],0)</f>
        <v>-0.75</v>
      </c>
    </row>
    <row r="183" spans="1:6" ht="30" customHeight="1" x14ac:dyDescent="0.3">
      <c r="A183" s="151" t="s">
        <v>5931</v>
      </c>
      <c r="B183" s="152" t="s">
        <v>5932</v>
      </c>
      <c r="C183" s="208">
        <v>44684</v>
      </c>
      <c r="D183" s="154">
        <v>8</v>
      </c>
      <c r="E183" s="154">
        <v>-6</v>
      </c>
      <c r="F183" s="211">
        <f>IFERROR(Tableau6[[#This Row],[Score]]/Tableau6[[#This Row],[Nb]],0)</f>
        <v>-0.75</v>
      </c>
    </row>
    <row r="184" spans="1:6" ht="30" customHeight="1" x14ac:dyDescent="0.3">
      <c r="A184" s="26" t="s">
        <v>1122</v>
      </c>
      <c r="B184" s="27" t="s">
        <v>1123</v>
      </c>
      <c r="C184" s="180">
        <v>43415</v>
      </c>
      <c r="D184" s="28">
        <v>19</v>
      </c>
      <c r="E184" s="49">
        <v>-14</v>
      </c>
      <c r="F184" s="211">
        <f>IFERROR(Tableau6[[#This Row],[Score]]/Tableau6[[#This Row],[Nb]],0)</f>
        <v>-0.73684210526315785</v>
      </c>
    </row>
    <row r="185" spans="1:6" ht="30" customHeight="1" x14ac:dyDescent="0.3">
      <c r="A185" s="151" t="s">
        <v>5462</v>
      </c>
      <c r="B185" s="152" t="s">
        <v>5463</v>
      </c>
      <c r="C185" s="208">
        <v>44577</v>
      </c>
      <c r="D185" s="154">
        <v>15</v>
      </c>
      <c r="E185" s="154">
        <v>-11</v>
      </c>
      <c r="F185" s="211">
        <f>IFERROR(Tableau6[[#This Row],[Score]]/Tableau6[[#This Row],[Nb]],0)</f>
        <v>-0.73333333333333328</v>
      </c>
    </row>
    <row r="186" spans="1:6" ht="30" customHeight="1" x14ac:dyDescent="0.3">
      <c r="A186" s="151" t="s">
        <v>5638</v>
      </c>
      <c r="B186" s="152" t="s">
        <v>5639</v>
      </c>
      <c r="C186" s="208">
        <v>44609</v>
      </c>
      <c r="D186" s="154">
        <v>15</v>
      </c>
      <c r="E186" s="154">
        <v>-11</v>
      </c>
      <c r="F186" s="211">
        <f>IFERROR(Tableau6[[#This Row],[Score]]/Tableau6[[#This Row],[Nb]],0)</f>
        <v>-0.73333333333333328</v>
      </c>
    </row>
    <row r="187" spans="1:6" ht="30" customHeight="1" x14ac:dyDescent="0.3">
      <c r="A187" s="26" t="s">
        <v>1233</v>
      </c>
      <c r="B187" s="27" t="s">
        <v>1234</v>
      </c>
      <c r="C187" s="180">
        <v>43428</v>
      </c>
      <c r="D187" s="28">
        <v>22</v>
      </c>
      <c r="E187" s="49">
        <v>-16</v>
      </c>
      <c r="F187" s="211">
        <f>IFERROR(Tableau6[[#This Row],[Score]]/Tableau6[[#This Row],[Nb]],0)</f>
        <v>-0.72727272727272729</v>
      </c>
    </row>
    <row r="188" spans="1:6" ht="30" customHeight="1" x14ac:dyDescent="0.3">
      <c r="A188" s="26" t="s">
        <v>2891</v>
      </c>
      <c r="B188" s="27" t="s">
        <v>2892</v>
      </c>
      <c r="C188" s="180">
        <v>43969</v>
      </c>
      <c r="D188" s="28">
        <v>11</v>
      </c>
      <c r="E188" s="49">
        <v>-8</v>
      </c>
      <c r="F188" s="211">
        <f>IFERROR(Tableau6[[#This Row],[Score]]/Tableau6[[#This Row],[Nb]],0)</f>
        <v>-0.72727272727272729</v>
      </c>
    </row>
    <row r="189" spans="1:6" ht="30" customHeight="1" x14ac:dyDescent="0.3">
      <c r="A189" s="26" t="s">
        <v>2872</v>
      </c>
      <c r="B189" s="27" t="s">
        <v>2873</v>
      </c>
      <c r="C189" s="180">
        <v>43969</v>
      </c>
      <c r="D189" s="28">
        <v>11</v>
      </c>
      <c r="E189" s="49">
        <v>-8</v>
      </c>
      <c r="F189" s="211">
        <f>IFERROR(Tableau6[[#This Row],[Score]]/Tableau6[[#This Row],[Nb]],0)</f>
        <v>-0.72727272727272729</v>
      </c>
    </row>
    <row r="190" spans="1:6" ht="30" customHeight="1" x14ac:dyDescent="0.3">
      <c r="A190" s="26" t="s">
        <v>526</v>
      </c>
      <c r="B190" s="27" t="s">
        <v>527</v>
      </c>
      <c r="C190" s="180">
        <v>43408</v>
      </c>
      <c r="D190" s="28">
        <v>18</v>
      </c>
      <c r="E190" s="49">
        <v>-13</v>
      </c>
      <c r="F190" s="211">
        <f>IFERROR(Tableau6[[#This Row],[Score]]/Tableau6[[#This Row],[Nb]],0)</f>
        <v>-0.72222222222222221</v>
      </c>
    </row>
    <row r="191" spans="1:6" ht="30" customHeight="1" x14ac:dyDescent="0.3">
      <c r="A191" s="26" t="s">
        <v>4449</v>
      </c>
      <c r="B191" s="27" t="s">
        <v>1374</v>
      </c>
      <c r="C191" s="180">
        <v>43444</v>
      </c>
      <c r="D191" s="28">
        <v>18</v>
      </c>
      <c r="E191" s="49">
        <v>-13</v>
      </c>
      <c r="F191" s="211">
        <f>IFERROR(Tableau6[[#This Row],[Score]]/Tableau6[[#This Row],[Nb]],0)</f>
        <v>-0.72222222222222221</v>
      </c>
    </row>
    <row r="192" spans="1:6" ht="30" customHeight="1" x14ac:dyDescent="0.3">
      <c r="A192" s="26" t="s">
        <v>2712</v>
      </c>
      <c r="B192" s="27" t="s">
        <v>2713</v>
      </c>
      <c r="C192" s="180">
        <v>43895</v>
      </c>
      <c r="D192" s="28">
        <v>18</v>
      </c>
      <c r="E192" s="49">
        <v>-13</v>
      </c>
      <c r="F192" s="211">
        <f>IFERROR(Tableau6[[#This Row],[Score]]/Tableau6[[#This Row],[Nb]],0)</f>
        <v>-0.72222222222222221</v>
      </c>
    </row>
    <row r="193" spans="1:6" ht="30" customHeight="1" x14ac:dyDescent="0.3">
      <c r="A193" s="26" t="s">
        <v>4934</v>
      </c>
      <c r="B193" s="27" t="s">
        <v>4935</v>
      </c>
      <c r="C193" s="180">
        <v>44422</v>
      </c>
      <c r="D193" s="28">
        <v>18</v>
      </c>
      <c r="E193" s="49">
        <v>-13</v>
      </c>
      <c r="F193" s="211">
        <f>IFERROR(Tableau6[[#This Row],[Score]]/Tableau6[[#This Row],[Nb]],0)</f>
        <v>-0.72222222222222221</v>
      </c>
    </row>
    <row r="194" spans="1:6" ht="30" customHeight="1" x14ac:dyDescent="0.3">
      <c r="A194" s="151" t="s">
        <v>5290</v>
      </c>
      <c r="B194" s="152" t="s">
        <v>5291</v>
      </c>
      <c r="C194" s="180">
        <v>44251</v>
      </c>
      <c r="D194" s="28">
        <v>14</v>
      </c>
      <c r="E194" s="49">
        <v>-10</v>
      </c>
      <c r="F194" s="211">
        <f>IFERROR(Tableau6[[#This Row],[Score]]/Tableau6[[#This Row],[Nb]],0)</f>
        <v>-0.7142857142857143</v>
      </c>
    </row>
    <row r="195" spans="1:6" ht="30" customHeight="1" x14ac:dyDescent="0.3">
      <c r="A195" s="26" t="s">
        <v>4915</v>
      </c>
      <c r="B195" s="27" t="s">
        <v>435</v>
      </c>
      <c r="C195" s="180">
        <v>44412</v>
      </c>
      <c r="D195" s="28">
        <v>7</v>
      </c>
      <c r="E195" s="49">
        <v>-5</v>
      </c>
      <c r="F195" s="211">
        <f>IFERROR(Tableau6[[#This Row],[Score]]/Tableau6[[#This Row],[Nb]],0)</f>
        <v>-0.7142857142857143</v>
      </c>
    </row>
    <row r="196" spans="1:6" ht="30" customHeight="1" x14ac:dyDescent="0.3">
      <c r="A196" s="151" t="s">
        <v>5307</v>
      </c>
      <c r="B196" s="152" t="s">
        <v>5308</v>
      </c>
      <c r="C196" s="208">
        <v>44532</v>
      </c>
      <c r="D196" s="154">
        <v>7</v>
      </c>
      <c r="E196" s="154">
        <v>-5</v>
      </c>
      <c r="F196" s="211">
        <f>IFERROR(Tableau6[[#This Row],[Score]]/Tableau6[[#This Row],[Nb]],0)</f>
        <v>-0.7142857142857143</v>
      </c>
    </row>
    <row r="197" spans="1:6" ht="30" customHeight="1" x14ac:dyDescent="0.3">
      <c r="A197" s="151" t="s">
        <v>5388</v>
      </c>
      <c r="B197" s="152" t="s">
        <v>5330</v>
      </c>
      <c r="C197" s="208">
        <v>44536</v>
      </c>
      <c r="D197" s="154">
        <v>14</v>
      </c>
      <c r="E197" s="154">
        <v>-10</v>
      </c>
      <c r="F197" s="211">
        <f>IFERROR(Tableau6[[#This Row],[Score]]/Tableau6[[#This Row],[Nb]],0)</f>
        <v>-0.7142857142857143</v>
      </c>
    </row>
    <row r="198" spans="1:6" ht="30" customHeight="1" x14ac:dyDescent="0.3">
      <c r="A198" s="151" t="s">
        <v>5405</v>
      </c>
      <c r="B198" s="152" t="s">
        <v>5406</v>
      </c>
      <c r="C198" s="208">
        <v>44564</v>
      </c>
      <c r="D198" s="154">
        <v>7</v>
      </c>
      <c r="E198" s="154">
        <v>-5</v>
      </c>
      <c r="F198" s="211">
        <f>IFERROR(Tableau6[[#This Row],[Score]]/Tableau6[[#This Row],[Nb]],0)</f>
        <v>-0.7142857142857143</v>
      </c>
    </row>
    <row r="199" spans="1:6" ht="30" customHeight="1" x14ac:dyDescent="0.3">
      <c r="A199" s="151" t="s">
        <v>5774</v>
      </c>
      <c r="B199" s="152" t="s">
        <v>5775</v>
      </c>
      <c r="C199" s="208">
        <v>44639</v>
      </c>
      <c r="D199" s="154">
        <v>7</v>
      </c>
      <c r="E199" s="154">
        <v>-5</v>
      </c>
      <c r="F199" s="211">
        <f>IFERROR(Tableau6[[#This Row],[Score]]/Tableau6[[#This Row],[Nb]],0)</f>
        <v>-0.7142857142857143</v>
      </c>
    </row>
    <row r="200" spans="1:6" ht="30" customHeight="1" x14ac:dyDescent="0.3">
      <c r="A200" s="151" t="s">
        <v>5816</v>
      </c>
      <c r="B200" s="152" t="s">
        <v>5817</v>
      </c>
      <c r="C200" s="208">
        <v>44648</v>
      </c>
      <c r="D200" s="154">
        <v>7</v>
      </c>
      <c r="E200" s="154">
        <v>-5</v>
      </c>
      <c r="F200" s="211">
        <f>IFERROR(Tableau6[[#This Row],[Score]]/Tableau6[[#This Row],[Nb]],0)</f>
        <v>-0.7142857142857143</v>
      </c>
    </row>
    <row r="201" spans="1:6" ht="30" customHeight="1" x14ac:dyDescent="0.3">
      <c r="A201" s="151" t="s">
        <v>5836</v>
      </c>
      <c r="B201" s="152" t="s">
        <v>5837</v>
      </c>
      <c r="C201" s="208">
        <v>44652</v>
      </c>
      <c r="D201" s="154">
        <v>7</v>
      </c>
      <c r="E201" s="154">
        <v>-5</v>
      </c>
      <c r="F201" s="211">
        <f>IFERROR(Tableau6[[#This Row],[Score]]/Tableau6[[#This Row],[Nb]],0)</f>
        <v>-0.7142857142857143</v>
      </c>
    </row>
    <row r="202" spans="1:6" ht="30" customHeight="1" x14ac:dyDescent="0.3">
      <c r="A202" s="151" t="s">
        <v>5986</v>
      </c>
      <c r="B202" s="152" t="s">
        <v>5985</v>
      </c>
      <c r="C202" s="208">
        <v>44706</v>
      </c>
      <c r="D202" s="154">
        <v>7</v>
      </c>
      <c r="E202" s="154">
        <v>-5</v>
      </c>
      <c r="F202" s="211">
        <f>IFERROR(Tableau6[[#This Row],[Score]]/Tableau6[[#This Row],[Nb]],0)</f>
        <v>-0.7142857142857143</v>
      </c>
    </row>
    <row r="203" spans="1:6" ht="30" customHeight="1" x14ac:dyDescent="0.3">
      <c r="A203" s="151" t="s">
        <v>6140</v>
      </c>
      <c r="B203" s="152" t="s">
        <v>6141</v>
      </c>
      <c r="C203" s="208">
        <v>44780</v>
      </c>
      <c r="D203" s="154">
        <v>7</v>
      </c>
      <c r="E203" s="154">
        <v>-5</v>
      </c>
      <c r="F203" s="211">
        <f>IFERROR(Tableau6[[#This Row],[Score]]/Tableau6[[#This Row],[Nb]],0)</f>
        <v>-0.7142857142857143</v>
      </c>
    </row>
    <row r="204" spans="1:6" ht="30" customHeight="1" x14ac:dyDescent="0.3">
      <c r="A204" s="26" t="s">
        <v>2499</v>
      </c>
      <c r="B204" s="27" t="s">
        <v>2500</v>
      </c>
      <c r="C204" s="180">
        <v>43802</v>
      </c>
      <c r="D204" s="28">
        <v>17</v>
      </c>
      <c r="E204" s="49">
        <v>-12</v>
      </c>
      <c r="F204" s="211">
        <f>IFERROR(Tableau6[[#This Row],[Score]]/Tableau6[[#This Row],[Nb]],0)</f>
        <v>-0.70588235294117652</v>
      </c>
    </row>
    <row r="205" spans="1:6" ht="30" customHeight="1" x14ac:dyDescent="0.3">
      <c r="A205" s="26" t="s">
        <v>4193</v>
      </c>
      <c r="B205" s="27" t="s">
        <v>4194</v>
      </c>
      <c r="C205" s="180">
        <v>44276</v>
      </c>
      <c r="D205" s="28">
        <v>17</v>
      </c>
      <c r="E205" s="49">
        <v>-12</v>
      </c>
      <c r="F205" s="211">
        <f>IFERROR(Tableau6[[#This Row],[Score]]/Tableau6[[#This Row],[Nb]],0)</f>
        <v>-0.70588235294117652</v>
      </c>
    </row>
    <row r="206" spans="1:6" ht="30" customHeight="1" x14ac:dyDescent="0.3">
      <c r="A206" s="26" t="s">
        <v>4266</v>
      </c>
      <c r="B206" s="27" t="s">
        <v>4267</v>
      </c>
      <c r="C206" s="180">
        <v>44283</v>
      </c>
      <c r="D206" s="28">
        <v>17</v>
      </c>
      <c r="E206" s="49">
        <v>-12</v>
      </c>
      <c r="F206" s="211">
        <f>IFERROR(Tableau6[[#This Row],[Score]]/Tableau6[[#This Row],[Nb]],0)</f>
        <v>-0.70588235294117652</v>
      </c>
    </row>
    <row r="207" spans="1:6" ht="30" customHeight="1" x14ac:dyDescent="0.3">
      <c r="A207" s="26" t="s">
        <v>597</v>
      </c>
      <c r="B207" s="27" t="s">
        <v>598</v>
      </c>
      <c r="C207" s="180">
        <v>43404</v>
      </c>
      <c r="D207" s="28">
        <v>20</v>
      </c>
      <c r="E207" s="49">
        <v>-14</v>
      </c>
      <c r="F207" s="211">
        <f>IFERROR(Tableau6[[#This Row],[Score]]/Tableau6[[#This Row],[Nb]],0)</f>
        <v>-0.7</v>
      </c>
    </row>
    <row r="208" spans="1:6" ht="30" customHeight="1" x14ac:dyDescent="0.3">
      <c r="A208" s="26" t="s">
        <v>4345</v>
      </c>
      <c r="B208" s="27" t="s">
        <v>4787</v>
      </c>
      <c r="C208" s="180">
        <v>44298</v>
      </c>
      <c r="D208" s="28">
        <v>20</v>
      </c>
      <c r="E208" s="49">
        <v>-14</v>
      </c>
      <c r="F208" s="211">
        <f>IFERROR(Tableau6[[#This Row],[Score]]/Tableau6[[#This Row],[Nb]],0)</f>
        <v>-0.7</v>
      </c>
    </row>
    <row r="209" spans="1:6" ht="30" customHeight="1" x14ac:dyDescent="0.3">
      <c r="A209" s="26" t="s">
        <v>1556</v>
      </c>
      <c r="B209" s="152" t="s">
        <v>5238</v>
      </c>
      <c r="C209" s="180">
        <v>43477</v>
      </c>
      <c r="D209" s="28">
        <v>23</v>
      </c>
      <c r="E209" s="49">
        <v>-16</v>
      </c>
      <c r="F209" s="211">
        <f>IFERROR(Tableau6[[#This Row],[Score]]/Tableau6[[#This Row],[Nb]],0)</f>
        <v>-0.69565217391304346</v>
      </c>
    </row>
    <row r="210" spans="1:6" ht="30" customHeight="1" x14ac:dyDescent="0.3">
      <c r="A210" s="151" t="s">
        <v>5152</v>
      </c>
      <c r="B210" s="152" t="s">
        <v>5153</v>
      </c>
      <c r="C210" s="208">
        <v>44484</v>
      </c>
      <c r="D210" s="154">
        <v>13</v>
      </c>
      <c r="E210" s="154">
        <v>-9</v>
      </c>
      <c r="F210" s="211">
        <f>IFERROR(Tableau6[[#This Row],[Score]]/Tableau6[[#This Row],[Nb]],0)</f>
        <v>-0.69230769230769229</v>
      </c>
    </row>
    <row r="211" spans="1:6" ht="30" customHeight="1" x14ac:dyDescent="0.3">
      <c r="A211" s="151" t="s">
        <v>5392</v>
      </c>
      <c r="B211" s="152" t="s">
        <v>5393</v>
      </c>
      <c r="C211" s="208">
        <v>44560</v>
      </c>
      <c r="D211" s="154">
        <v>13</v>
      </c>
      <c r="E211" s="154">
        <v>-9</v>
      </c>
      <c r="F211" s="211">
        <f>IFERROR(Tableau6[[#This Row],[Score]]/Tableau6[[#This Row],[Nb]],0)</f>
        <v>-0.69230769230769229</v>
      </c>
    </row>
    <row r="212" spans="1:6" ht="30" customHeight="1" x14ac:dyDescent="0.3">
      <c r="A212" s="26" t="s">
        <v>1445</v>
      </c>
      <c r="B212" s="27" t="s">
        <v>93</v>
      </c>
      <c r="C212" s="180">
        <v>43341</v>
      </c>
      <c r="D212" s="28">
        <v>19</v>
      </c>
      <c r="E212" s="49">
        <v>-13</v>
      </c>
      <c r="F212" s="211">
        <f>IFERROR(Tableau6[[#This Row],[Score]]/Tableau6[[#This Row],[Nb]],0)</f>
        <v>-0.68421052631578949</v>
      </c>
    </row>
    <row r="213" spans="1:6" ht="30" customHeight="1" x14ac:dyDescent="0.3">
      <c r="A213" s="26" t="s">
        <v>4729</v>
      </c>
      <c r="B213" s="27" t="s">
        <v>4730</v>
      </c>
      <c r="C213" s="180">
        <v>44366</v>
      </c>
      <c r="D213" s="28">
        <v>19</v>
      </c>
      <c r="E213" s="49">
        <v>-13</v>
      </c>
      <c r="F213" s="211">
        <f>IFERROR(Tableau6[[#This Row],[Score]]/Tableau6[[#This Row],[Nb]],0)</f>
        <v>-0.68421052631578949</v>
      </c>
    </row>
    <row r="214" spans="1:6" ht="30" customHeight="1" x14ac:dyDescent="0.3">
      <c r="A214" s="26" t="s">
        <v>4374</v>
      </c>
      <c r="B214" s="27" t="s">
        <v>4375</v>
      </c>
      <c r="C214" s="180">
        <v>44299</v>
      </c>
      <c r="D214" s="28">
        <v>22</v>
      </c>
      <c r="E214" s="49">
        <v>-15</v>
      </c>
      <c r="F214" s="211">
        <f>IFERROR(Tableau6[[#This Row],[Score]]/Tableau6[[#This Row],[Nb]],0)</f>
        <v>-0.68181818181818177</v>
      </c>
    </row>
    <row r="215" spans="1:6" ht="30" customHeight="1" x14ac:dyDescent="0.3">
      <c r="A215" s="26" t="s">
        <v>2359</v>
      </c>
      <c r="B215" s="27" t="s">
        <v>2360</v>
      </c>
      <c r="C215" s="180">
        <v>43771</v>
      </c>
      <c r="D215" s="28">
        <v>15</v>
      </c>
      <c r="E215" s="49">
        <v>-10</v>
      </c>
      <c r="F215" s="211">
        <f>IFERROR(Tableau6[[#This Row],[Score]]/Tableau6[[#This Row],[Nb]],0)</f>
        <v>-0.66666666666666663</v>
      </c>
    </row>
    <row r="216" spans="1:6" ht="30" customHeight="1" x14ac:dyDescent="0.3">
      <c r="A216" s="26" t="s">
        <v>3095</v>
      </c>
      <c r="B216" s="27" t="s">
        <v>3096</v>
      </c>
      <c r="C216" s="180">
        <v>44004</v>
      </c>
      <c r="D216" s="28">
        <v>21</v>
      </c>
      <c r="E216" s="49">
        <v>-14</v>
      </c>
      <c r="F216" s="211">
        <f>IFERROR(Tableau6[[#This Row],[Score]]/Tableau6[[#This Row],[Nb]],0)</f>
        <v>-0.66666666666666663</v>
      </c>
    </row>
    <row r="217" spans="1:6" ht="30" customHeight="1" x14ac:dyDescent="0.3">
      <c r="A217" s="26" t="s">
        <v>4791</v>
      </c>
      <c r="B217" s="27" t="s">
        <v>4792</v>
      </c>
      <c r="C217" s="180">
        <v>44381</v>
      </c>
      <c r="D217" s="28">
        <v>12</v>
      </c>
      <c r="E217" s="49">
        <v>-8</v>
      </c>
      <c r="F217" s="211">
        <f>IFERROR(Tableau6[[#This Row],[Score]]/Tableau6[[#This Row],[Nb]],0)</f>
        <v>-0.66666666666666663</v>
      </c>
    </row>
    <row r="218" spans="1:6" ht="30" customHeight="1" x14ac:dyDescent="0.3">
      <c r="A218" s="151" t="s">
        <v>5444</v>
      </c>
      <c r="B218" s="152" t="s">
        <v>5445</v>
      </c>
      <c r="C218" s="208">
        <v>44572</v>
      </c>
      <c r="D218" s="154">
        <v>12</v>
      </c>
      <c r="E218" s="154">
        <v>-8</v>
      </c>
      <c r="F218" s="211">
        <f>IFERROR(Tableau6[[#This Row],[Score]]/Tableau6[[#This Row],[Nb]],0)</f>
        <v>-0.66666666666666663</v>
      </c>
    </row>
    <row r="219" spans="1:6" ht="30" customHeight="1" x14ac:dyDescent="0.3">
      <c r="A219" s="151" t="s">
        <v>5573</v>
      </c>
      <c r="B219" s="152" t="s">
        <v>5574</v>
      </c>
      <c r="C219" s="208">
        <v>44594</v>
      </c>
      <c r="D219" s="154">
        <v>12</v>
      </c>
      <c r="E219" s="154">
        <v>-8</v>
      </c>
      <c r="F219" s="211">
        <f>IFERROR(Tableau6[[#This Row],[Score]]/Tableau6[[#This Row],[Nb]],0)</f>
        <v>-0.66666666666666663</v>
      </c>
    </row>
    <row r="220" spans="1:6" ht="30" customHeight="1" x14ac:dyDescent="0.3">
      <c r="A220" s="151" t="s">
        <v>5707</v>
      </c>
      <c r="B220" s="152" t="s">
        <v>5708</v>
      </c>
      <c r="C220" s="208">
        <v>44627</v>
      </c>
      <c r="D220" s="154">
        <v>6</v>
      </c>
      <c r="E220" s="154">
        <v>-4</v>
      </c>
      <c r="F220" s="211">
        <f>IFERROR(Tableau6[[#This Row],[Score]]/Tableau6[[#This Row],[Nb]],0)</f>
        <v>-0.66666666666666663</v>
      </c>
    </row>
    <row r="221" spans="1:6" ht="30" customHeight="1" x14ac:dyDescent="0.3">
      <c r="A221" s="151" t="s">
        <v>5958</v>
      </c>
      <c r="B221" s="152" t="s">
        <v>5959</v>
      </c>
      <c r="C221" s="208">
        <v>44698</v>
      </c>
      <c r="D221" s="154">
        <v>6</v>
      </c>
      <c r="E221" s="154">
        <v>-4</v>
      </c>
      <c r="F221" s="211">
        <f>IFERROR(Tableau6[[#This Row],[Score]]/Tableau6[[#This Row],[Nb]],0)</f>
        <v>-0.66666666666666663</v>
      </c>
    </row>
    <row r="222" spans="1:6" ht="30" customHeight="1" x14ac:dyDescent="0.3">
      <c r="A222" s="151" t="s">
        <v>6073</v>
      </c>
      <c r="B222" s="152" t="s">
        <v>6074</v>
      </c>
      <c r="C222" s="208">
        <v>44732</v>
      </c>
      <c r="D222" s="154">
        <v>6</v>
      </c>
      <c r="E222" s="154">
        <v>-4</v>
      </c>
      <c r="F222" s="211">
        <f>IFERROR(Tableau6[[#This Row],[Score]]/Tableau6[[#This Row],[Nb]],0)</f>
        <v>-0.66666666666666663</v>
      </c>
    </row>
    <row r="223" spans="1:6" ht="30" customHeight="1" x14ac:dyDescent="0.3">
      <c r="A223" s="151" t="s">
        <v>6115</v>
      </c>
      <c r="B223" s="152" t="s">
        <v>6116</v>
      </c>
      <c r="C223" s="208">
        <v>44756</v>
      </c>
      <c r="D223" s="154">
        <v>6</v>
      </c>
      <c r="E223" s="154">
        <v>-4</v>
      </c>
      <c r="F223" s="211">
        <f>IFERROR(Tableau6[[#This Row],[Score]]/Tableau6[[#This Row],[Nb]],0)</f>
        <v>-0.66666666666666663</v>
      </c>
    </row>
    <row r="224" spans="1:6" ht="30" customHeight="1" x14ac:dyDescent="0.3">
      <c r="A224" s="26" t="s">
        <v>1534</v>
      </c>
      <c r="B224" s="27" t="s">
        <v>4227</v>
      </c>
      <c r="C224" s="180">
        <v>43341</v>
      </c>
      <c r="D224" s="28">
        <v>26</v>
      </c>
      <c r="E224" s="49">
        <v>-17</v>
      </c>
      <c r="F224" s="211">
        <f>IFERROR(Tableau6[[#This Row],[Score]]/Tableau6[[#This Row],[Nb]],0)</f>
        <v>-0.65384615384615385</v>
      </c>
    </row>
    <row r="225" spans="1:6" ht="30" customHeight="1" x14ac:dyDescent="0.3">
      <c r="A225" s="26" t="s">
        <v>528</v>
      </c>
      <c r="B225" s="27" t="s">
        <v>529</v>
      </c>
      <c r="C225" s="180">
        <v>43408</v>
      </c>
      <c r="D225" s="28">
        <v>20</v>
      </c>
      <c r="E225" s="49">
        <v>-13</v>
      </c>
      <c r="F225" s="211">
        <f>IFERROR(Tableau6[[#This Row],[Score]]/Tableau6[[#This Row],[Nb]],0)</f>
        <v>-0.65</v>
      </c>
    </row>
    <row r="226" spans="1:6" ht="30" customHeight="1" x14ac:dyDescent="0.3">
      <c r="A226" s="26" t="s">
        <v>3285</v>
      </c>
      <c r="B226" s="27" t="s">
        <v>3286</v>
      </c>
      <c r="C226" s="180">
        <v>44033</v>
      </c>
      <c r="D226" s="28">
        <v>17</v>
      </c>
      <c r="E226" s="49">
        <v>-11</v>
      </c>
      <c r="F226" s="211">
        <f>IFERROR(Tableau6[[#This Row],[Score]]/Tableau6[[#This Row],[Nb]],0)</f>
        <v>-0.6470588235294118</v>
      </c>
    </row>
    <row r="227" spans="1:6" ht="30" customHeight="1" x14ac:dyDescent="0.3">
      <c r="A227" s="26" t="s">
        <v>1567</v>
      </c>
      <c r="B227" s="27" t="s">
        <v>1568</v>
      </c>
      <c r="C227" s="180">
        <v>41621</v>
      </c>
      <c r="D227" s="28">
        <v>14</v>
      </c>
      <c r="E227" s="49">
        <v>-9</v>
      </c>
      <c r="F227" s="211">
        <f>IFERROR(Tableau6[[#This Row],[Score]]/Tableau6[[#This Row],[Nb]],0)</f>
        <v>-0.6428571428571429</v>
      </c>
    </row>
    <row r="228" spans="1:6" ht="30" customHeight="1" x14ac:dyDescent="0.3">
      <c r="A228" s="26" t="s">
        <v>1507</v>
      </c>
      <c r="B228" s="27" t="s">
        <v>1508</v>
      </c>
      <c r="C228" s="180">
        <v>43472</v>
      </c>
      <c r="D228" s="28">
        <v>14</v>
      </c>
      <c r="E228" s="49">
        <v>-9</v>
      </c>
      <c r="F228" s="211">
        <f>IFERROR(Tableau6[[#This Row],[Score]]/Tableau6[[#This Row],[Nb]],0)</f>
        <v>-0.6428571428571429</v>
      </c>
    </row>
    <row r="229" spans="1:6" ht="30" customHeight="1" x14ac:dyDescent="0.3">
      <c r="A229" s="26" t="s">
        <v>3306</v>
      </c>
      <c r="B229" s="27" t="s">
        <v>2289</v>
      </c>
      <c r="C229" s="180">
        <v>43767</v>
      </c>
      <c r="D229" s="28">
        <v>22</v>
      </c>
      <c r="E229" s="49">
        <v>-14</v>
      </c>
      <c r="F229" s="211">
        <f>IFERROR(Tableau6[[#This Row],[Score]]/Tableau6[[#This Row],[Nb]],0)</f>
        <v>-0.63636363636363635</v>
      </c>
    </row>
    <row r="230" spans="1:6" ht="30" customHeight="1" x14ac:dyDescent="0.3">
      <c r="A230" s="151" t="s">
        <v>5486</v>
      </c>
      <c r="B230" s="27" t="s">
        <v>2574</v>
      </c>
      <c r="C230" s="180">
        <v>43848</v>
      </c>
      <c r="D230" s="28">
        <v>22</v>
      </c>
      <c r="E230" s="49">
        <v>-14</v>
      </c>
      <c r="F230" s="211">
        <f>IFERROR(Tableau6[[#This Row],[Score]]/Tableau6[[#This Row],[Nb]],0)</f>
        <v>-0.63636363636363635</v>
      </c>
    </row>
    <row r="231" spans="1:6" ht="30" customHeight="1" x14ac:dyDescent="0.3">
      <c r="A231" s="151" t="s">
        <v>5256</v>
      </c>
      <c r="B231" s="152" t="s">
        <v>5257</v>
      </c>
      <c r="C231" s="208">
        <v>44523</v>
      </c>
      <c r="D231" s="154">
        <v>11</v>
      </c>
      <c r="E231" s="154">
        <v>-7</v>
      </c>
      <c r="F231" s="211">
        <f>IFERROR(Tableau6[[#This Row],[Score]]/Tableau6[[#This Row],[Nb]],0)</f>
        <v>-0.63636363636363635</v>
      </c>
    </row>
    <row r="232" spans="1:6" ht="30" customHeight="1" x14ac:dyDescent="0.3">
      <c r="A232" s="151" t="s">
        <v>5529</v>
      </c>
      <c r="B232" s="152" t="s">
        <v>5530</v>
      </c>
      <c r="C232" s="208">
        <v>44589</v>
      </c>
      <c r="D232" s="154">
        <v>11</v>
      </c>
      <c r="E232" s="154">
        <v>-7</v>
      </c>
      <c r="F232" s="211">
        <f>IFERROR(Tableau6[[#This Row],[Score]]/Tableau6[[#This Row],[Nb]],0)</f>
        <v>-0.63636363636363635</v>
      </c>
    </row>
    <row r="233" spans="1:6" ht="30" customHeight="1" x14ac:dyDescent="0.3">
      <c r="A233" s="151" t="s">
        <v>5623</v>
      </c>
      <c r="B233" s="152" t="s">
        <v>5624</v>
      </c>
      <c r="C233" s="208">
        <v>44606</v>
      </c>
      <c r="D233" s="154">
        <v>11</v>
      </c>
      <c r="E233" s="154">
        <v>-7</v>
      </c>
      <c r="F233" s="211">
        <f>IFERROR(Tableau6[[#This Row],[Score]]/Tableau6[[#This Row],[Nb]],0)</f>
        <v>-0.63636363636363635</v>
      </c>
    </row>
    <row r="234" spans="1:6" ht="30" customHeight="1" x14ac:dyDescent="0.3">
      <c r="A234" s="151" t="s">
        <v>5711</v>
      </c>
      <c r="B234" s="152" t="s">
        <v>2116</v>
      </c>
      <c r="C234" s="208">
        <v>44628</v>
      </c>
      <c r="D234" s="154">
        <v>11</v>
      </c>
      <c r="E234" s="154">
        <v>-7</v>
      </c>
      <c r="F234" s="211">
        <f>IFERROR(Tableau6[[#This Row],[Score]]/Tableau6[[#This Row],[Nb]],0)</f>
        <v>-0.63636363636363635</v>
      </c>
    </row>
    <row r="235" spans="1:6" ht="30" customHeight="1" x14ac:dyDescent="0.3">
      <c r="A235" s="151" t="s">
        <v>5741</v>
      </c>
      <c r="B235" s="152" t="s">
        <v>5742</v>
      </c>
      <c r="C235" s="208">
        <v>44633</v>
      </c>
      <c r="D235" s="154">
        <v>11</v>
      </c>
      <c r="E235" s="154">
        <v>-7</v>
      </c>
      <c r="F235" s="211">
        <f>IFERROR(Tableau6[[#This Row],[Score]]/Tableau6[[#This Row],[Nb]],0)</f>
        <v>-0.63636363636363635</v>
      </c>
    </row>
    <row r="236" spans="1:6" ht="30" customHeight="1" x14ac:dyDescent="0.3">
      <c r="A236" s="26" t="s">
        <v>3058</v>
      </c>
      <c r="B236" s="27" t="s">
        <v>3059</v>
      </c>
      <c r="C236" s="180">
        <v>44004</v>
      </c>
      <c r="D236" s="28">
        <v>21</v>
      </c>
      <c r="E236" s="49">
        <v>-13</v>
      </c>
      <c r="F236" s="211">
        <f>IFERROR(Tableau6[[#This Row],[Score]]/Tableau6[[#This Row],[Nb]],0)</f>
        <v>-0.61904761904761907</v>
      </c>
    </row>
    <row r="237" spans="1:6" ht="30" customHeight="1" x14ac:dyDescent="0.3">
      <c r="A237" s="26" t="s">
        <v>3733</v>
      </c>
      <c r="B237" s="27" t="s">
        <v>3734</v>
      </c>
      <c r="C237" s="180">
        <v>44249</v>
      </c>
      <c r="D237" s="28">
        <v>21</v>
      </c>
      <c r="E237" s="49">
        <v>-13</v>
      </c>
      <c r="F237" s="211">
        <f>IFERROR(Tableau6[[#This Row],[Score]]/Tableau6[[#This Row],[Nb]],0)</f>
        <v>-0.61904761904761907</v>
      </c>
    </row>
    <row r="238" spans="1:6" ht="30" customHeight="1" x14ac:dyDescent="0.3">
      <c r="A238" s="26" t="s">
        <v>3644</v>
      </c>
      <c r="B238" s="27" t="s">
        <v>3645</v>
      </c>
      <c r="C238" s="180">
        <v>44241</v>
      </c>
      <c r="D238" s="28">
        <v>13</v>
      </c>
      <c r="E238" s="49">
        <v>-8</v>
      </c>
      <c r="F238" s="211">
        <f>IFERROR(Tableau6[[#This Row],[Score]]/Tableau6[[#This Row],[Nb]],0)</f>
        <v>-0.61538461538461542</v>
      </c>
    </row>
    <row r="239" spans="1:6" ht="30" customHeight="1" x14ac:dyDescent="0.3">
      <c r="A239" s="26" t="s">
        <v>1230</v>
      </c>
      <c r="B239" s="27" t="s">
        <v>1231</v>
      </c>
      <c r="C239" s="180">
        <v>43429</v>
      </c>
      <c r="D239" s="28">
        <v>23</v>
      </c>
      <c r="E239" s="49">
        <v>-14</v>
      </c>
      <c r="F239" s="211">
        <f>IFERROR(Tableau6[[#This Row],[Score]]/Tableau6[[#This Row],[Nb]],0)</f>
        <v>-0.60869565217391308</v>
      </c>
    </row>
    <row r="240" spans="1:6" ht="30" customHeight="1" x14ac:dyDescent="0.3">
      <c r="A240" s="26" t="s">
        <v>2152</v>
      </c>
      <c r="B240" s="27" t="s">
        <v>2153</v>
      </c>
      <c r="C240" s="180">
        <v>43682</v>
      </c>
      <c r="D240" s="28">
        <v>28</v>
      </c>
      <c r="E240" s="49">
        <v>-17</v>
      </c>
      <c r="F240" s="211">
        <f>IFERROR(Tableau6[[#This Row],[Score]]/Tableau6[[#This Row],[Nb]],0)</f>
        <v>-0.6071428571428571</v>
      </c>
    </row>
    <row r="241" spans="1:6" ht="30" customHeight="1" x14ac:dyDescent="0.3">
      <c r="A241" s="26" t="s">
        <v>1321</v>
      </c>
      <c r="B241" s="27" t="s">
        <v>2757</v>
      </c>
      <c r="C241" s="180">
        <v>43438</v>
      </c>
      <c r="D241" s="28">
        <v>20</v>
      </c>
      <c r="E241" s="49">
        <v>-12</v>
      </c>
      <c r="F241" s="211">
        <f>IFERROR(Tableau6[[#This Row],[Score]]/Tableau6[[#This Row],[Nb]],0)</f>
        <v>-0.6</v>
      </c>
    </row>
    <row r="242" spans="1:6" ht="30" customHeight="1" x14ac:dyDescent="0.3">
      <c r="A242" s="26" t="s">
        <v>4060</v>
      </c>
      <c r="B242" s="27" t="s">
        <v>2474</v>
      </c>
      <c r="C242" s="180">
        <v>43787</v>
      </c>
      <c r="D242" s="28">
        <v>20</v>
      </c>
      <c r="E242" s="49">
        <v>-12</v>
      </c>
      <c r="F242" s="211">
        <f>IFERROR(Tableau6[[#This Row],[Score]]/Tableau6[[#This Row],[Nb]],0)</f>
        <v>-0.6</v>
      </c>
    </row>
    <row r="243" spans="1:6" ht="30" customHeight="1" x14ac:dyDescent="0.3">
      <c r="A243" s="151" t="s">
        <v>5479</v>
      </c>
      <c r="B243" s="152" t="s">
        <v>5480</v>
      </c>
      <c r="C243" s="208">
        <v>44580</v>
      </c>
      <c r="D243" s="154">
        <v>15</v>
      </c>
      <c r="E243" s="154">
        <v>-9</v>
      </c>
      <c r="F243" s="211">
        <f>IFERROR(Tableau6[[#This Row],[Score]]/Tableau6[[#This Row],[Nb]],0)</f>
        <v>-0.6</v>
      </c>
    </row>
    <row r="244" spans="1:6" ht="30" customHeight="1" x14ac:dyDescent="0.3">
      <c r="A244" s="151" t="s">
        <v>5894</v>
      </c>
      <c r="B244" s="152" t="s">
        <v>5895</v>
      </c>
      <c r="C244" s="208">
        <v>44670</v>
      </c>
      <c r="D244" s="154">
        <v>5</v>
      </c>
      <c r="E244" s="154">
        <v>-3</v>
      </c>
      <c r="F244" s="211">
        <f>IFERROR(Tableau6[[#This Row],[Score]]/Tableau6[[#This Row],[Nb]],0)</f>
        <v>-0.6</v>
      </c>
    </row>
    <row r="245" spans="1:6" ht="30" customHeight="1" x14ac:dyDescent="0.3">
      <c r="A245" s="151" t="s">
        <v>5935</v>
      </c>
      <c r="B245" s="152" t="s">
        <v>5936</v>
      </c>
      <c r="C245" s="208">
        <v>44689</v>
      </c>
      <c r="D245" s="154">
        <v>10</v>
      </c>
      <c r="E245" s="154">
        <v>-6</v>
      </c>
      <c r="F245" s="211">
        <f>IFERROR(Tableau6[[#This Row],[Score]]/Tableau6[[#This Row],[Nb]],0)</f>
        <v>-0.6</v>
      </c>
    </row>
    <row r="246" spans="1:6" ht="30" customHeight="1" x14ac:dyDescent="0.3">
      <c r="A246" s="151" t="s">
        <v>6014</v>
      </c>
      <c r="B246" s="152" t="s">
        <v>6015</v>
      </c>
      <c r="C246" s="208">
        <v>44710</v>
      </c>
      <c r="D246" s="154">
        <v>5</v>
      </c>
      <c r="E246" s="154">
        <v>-3</v>
      </c>
      <c r="F246" s="211">
        <f>IFERROR(Tableau6[[#This Row],[Score]]/Tableau6[[#This Row],[Nb]],0)</f>
        <v>-0.6</v>
      </c>
    </row>
    <row r="247" spans="1:6" ht="30" customHeight="1" x14ac:dyDescent="0.3">
      <c r="A247" s="151" t="s">
        <v>6039</v>
      </c>
      <c r="B247" s="152" t="s">
        <v>6040</v>
      </c>
      <c r="C247" s="208">
        <v>44718</v>
      </c>
      <c r="D247" s="154">
        <v>5</v>
      </c>
      <c r="E247" s="154">
        <v>-3</v>
      </c>
      <c r="F247" s="211">
        <f>IFERROR(Tableau6[[#This Row],[Score]]/Tableau6[[#This Row],[Nb]],0)</f>
        <v>-0.6</v>
      </c>
    </row>
    <row r="248" spans="1:6" ht="30" customHeight="1" x14ac:dyDescent="0.3">
      <c r="A248" s="151" t="s">
        <v>6164</v>
      </c>
      <c r="B248" s="152" t="s">
        <v>6163</v>
      </c>
      <c r="C248" s="208">
        <v>44801</v>
      </c>
      <c r="D248" s="154">
        <v>5</v>
      </c>
      <c r="E248" s="154">
        <v>-3</v>
      </c>
      <c r="F248" s="211">
        <f>IFERROR(Tableau6[[#This Row],[Score]]/Tableau6[[#This Row],[Nb]],0)</f>
        <v>-0.6</v>
      </c>
    </row>
    <row r="249" spans="1:6" ht="30" customHeight="1" x14ac:dyDescent="0.3">
      <c r="A249" s="151" t="s">
        <v>6248</v>
      </c>
      <c r="B249" s="152" t="s">
        <v>6249</v>
      </c>
      <c r="C249" s="208">
        <v>44856</v>
      </c>
      <c r="D249" s="154">
        <v>5</v>
      </c>
      <c r="E249" s="154">
        <v>-3</v>
      </c>
      <c r="F249" s="211">
        <f>IFERROR(Tableau6[[#This Row],[Score]]/Tableau6[[#This Row],[Nb]],0)</f>
        <v>-0.6</v>
      </c>
    </row>
    <row r="250" spans="1:6" ht="30" customHeight="1" x14ac:dyDescent="0.3">
      <c r="A250" s="151" t="s">
        <v>5652</v>
      </c>
      <c r="B250" s="27" t="s">
        <v>29</v>
      </c>
      <c r="C250" s="180">
        <v>43247</v>
      </c>
      <c r="D250" s="28">
        <v>22</v>
      </c>
      <c r="E250" s="49">
        <v>-13</v>
      </c>
      <c r="F250" s="211">
        <f>IFERROR(Tableau6[[#This Row],[Score]]/Tableau6[[#This Row],[Nb]],0)</f>
        <v>-0.59090909090909094</v>
      </c>
    </row>
    <row r="251" spans="1:6" ht="30" customHeight="1" x14ac:dyDescent="0.3">
      <c r="A251" s="36" t="s">
        <v>5046</v>
      </c>
      <c r="B251" s="37" t="s">
        <v>5047</v>
      </c>
      <c r="C251" s="182">
        <v>44447</v>
      </c>
      <c r="D251" s="38">
        <v>24</v>
      </c>
      <c r="E251" s="49">
        <v>-14</v>
      </c>
      <c r="F251" s="211">
        <f>IFERROR(Tableau6[[#This Row],[Score]]/Tableau6[[#This Row],[Nb]],0)</f>
        <v>-0.58333333333333337</v>
      </c>
    </row>
    <row r="252" spans="1:6" ht="30" customHeight="1" x14ac:dyDescent="0.3">
      <c r="A252" s="151" t="s">
        <v>6033</v>
      </c>
      <c r="B252" s="152" t="s">
        <v>6034</v>
      </c>
      <c r="C252" s="208">
        <v>44483</v>
      </c>
      <c r="D252" s="154">
        <v>19</v>
      </c>
      <c r="E252" s="154">
        <v>-11</v>
      </c>
      <c r="F252" s="211">
        <f>IFERROR(Tableau6[[#This Row],[Score]]/Tableau6[[#This Row],[Nb]],0)</f>
        <v>-0.57894736842105265</v>
      </c>
    </row>
    <row r="253" spans="1:6" ht="30" customHeight="1" x14ac:dyDescent="0.3">
      <c r="A253" s="26" t="s">
        <v>1235</v>
      </c>
      <c r="B253" s="27" t="s">
        <v>1236</v>
      </c>
      <c r="C253" s="180">
        <v>43428</v>
      </c>
      <c r="D253" s="28">
        <v>21</v>
      </c>
      <c r="E253" s="49">
        <v>-12</v>
      </c>
      <c r="F253" s="211">
        <f>IFERROR(Tableau6[[#This Row],[Score]]/Tableau6[[#This Row],[Nb]],0)</f>
        <v>-0.5714285714285714</v>
      </c>
    </row>
    <row r="254" spans="1:6" ht="30" customHeight="1" x14ac:dyDescent="0.3">
      <c r="A254" s="26" t="s">
        <v>1453</v>
      </c>
      <c r="B254" s="27" t="s">
        <v>1454</v>
      </c>
      <c r="C254" s="180">
        <v>43451</v>
      </c>
      <c r="D254" s="28">
        <v>21</v>
      </c>
      <c r="E254" s="49">
        <v>-12</v>
      </c>
      <c r="F254" s="211">
        <f>IFERROR(Tableau6[[#This Row],[Score]]/Tableau6[[#This Row],[Nb]],0)</f>
        <v>-0.5714285714285714</v>
      </c>
    </row>
    <row r="255" spans="1:6" ht="30" customHeight="1" x14ac:dyDescent="0.3">
      <c r="A255" s="26" t="s">
        <v>2564</v>
      </c>
      <c r="B255" s="27" t="s">
        <v>504</v>
      </c>
      <c r="C255" s="180">
        <v>43826</v>
      </c>
      <c r="D255" s="28">
        <v>14</v>
      </c>
      <c r="E255" s="49">
        <v>-8</v>
      </c>
      <c r="F255" s="211">
        <f>IFERROR(Tableau6[[#This Row],[Score]]/Tableau6[[#This Row],[Nb]],0)</f>
        <v>-0.5714285714285714</v>
      </c>
    </row>
    <row r="256" spans="1:6" ht="30" customHeight="1" x14ac:dyDescent="0.3">
      <c r="A256" s="26" t="s">
        <v>3964</v>
      </c>
      <c r="B256" s="27" t="s">
        <v>3965</v>
      </c>
      <c r="C256" s="180">
        <v>44262</v>
      </c>
      <c r="D256" s="28">
        <v>21</v>
      </c>
      <c r="E256" s="49">
        <v>-12</v>
      </c>
      <c r="F256" s="211">
        <f>IFERROR(Tableau6[[#This Row],[Score]]/Tableau6[[#This Row],[Nb]],0)</f>
        <v>-0.5714285714285714</v>
      </c>
    </row>
    <row r="257" spans="1:6" ht="30" customHeight="1" x14ac:dyDescent="0.3">
      <c r="A257" s="26" t="s">
        <v>4276</v>
      </c>
      <c r="B257" s="27" t="s">
        <v>4277</v>
      </c>
      <c r="C257" s="180">
        <v>44283</v>
      </c>
      <c r="D257" s="28">
        <v>14</v>
      </c>
      <c r="E257" s="49">
        <v>-8</v>
      </c>
      <c r="F257" s="211">
        <f>IFERROR(Tableau6[[#This Row],[Score]]/Tableau6[[#This Row],[Nb]],0)</f>
        <v>-0.5714285714285714</v>
      </c>
    </row>
    <row r="258" spans="1:6" ht="30" customHeight="1" x14ac:dyDescent="0.3">
      <c r="A258" s="151" t="s">
        <v>5391</v>
      </c>
      <c r="B258" s="152" t="s">
        <v>5533</v>
      </c>
      <c r="C258" s="208">
        <v>44560</v>
      </c>
      <c r="D258" s="154">
        <v>14</v>
      </c>
      <c r="E258" s="154">
        <v>-8</v>
      </c>
      <c r="F258" s="211">
        <f>IFERROR(Tableau6[[#This Row],[Score]]/Tableau6[[#This Row],[Nb]],0)</f>
        <v>-0.5714285714285714</v>
      </c>
    </row>
    <row r="259" spans="1:6" ht="30" customHeight="1" x14ac:dyDescent="0.3">
      <c r="A259" s="26" t="s">
        <v>1956</v>
      </c>
      <c r="B259" s="27" t="s">
        <v>1957</v>
      </c>
      <c r="C259" s="180">
        <v>43603</v>
      </c>
      <c r="D259" s="28">
        <v>16</v>
      </c>
      <c r="E259" s="49">
        <v>-9</v>
      </c>
      <c r="F259" s="211">
        <f>IFERROR(Tableau6[[#This Row],[Score]]/Tableau6[[#This Row],[Nb]],0)</f>
        <v>-0.5625</v>
      </c>
    </row>
    <row r="260" spans="1:6" ht="30" customHeight="1" x14ac:dyDescent="0.3">
      <c r="A260" s="26" t="s">
        <v>1987</v>
      </c>
      <c r="B260" s="27" t="s">
        <v>1988</v>
      </c>
      <c r="C260" s="180">
        <v>43605</v>
      </c>
      <c r="D260" s="28">
        <v>16</v>
      </c>
      <c r="E260" s="49">
        <v>-9</v>
      </c>
      <c r="F260" s="211">
        <f>IFERROR(Tableau6[[#This Row],[Score]]/Tableau6[[#This Row],[Nb]],0)</f>
        <v>-0.5625</v>
      </c>
    </row>
    <row r="261" spans="1:6" ht="30" customHeight="1" x14ac:dyDescent="0.3">
      <c r="A261" s="26" t="s">
        <v>4376</v>
      </c>
      <c r="B261" s="27" t="s">
        <v>2533</v>
      </c>
      <c r="C261" s="180">
        <v>44299</v>
      </c>
      <c r="D261" s="28">
        <v>16</v>
      </c>
      <c r="E261" s="49">
        <v>-9</v>
      </c>
      <c r="F261" s="211">
        <f>IFERROR(Tableau6[[#This Row],[Score]]/Tableau6[[#This Row],[Nb]],0)</f>
        <v>-0.5625</v>
      </c>
    </row>
    <row r="262" spans="1:6" ht="30" customHeight="1" x14ac:dyDescent="0.3">
      <c r="A262" s="26" t="s">
        <v>4433</v>
      </c>
      <c r="B262" s="27" t="s">
        <v>4434</v>
      </c>
      <c r="C262" s="180">
        <v>44299</v>
      </c>
      <c r="D262" s="28">
        <v>16</v>
      </c>
      <c r="E262" s="49">
        <v>-9</v>
      </c>
      <c r="F262" s="211">
        <f>IFERROR(Tableau6[[#This Row],[Score]]/Tableau6[[#This Row],[Nb]],0)</f>
        <v>-0.5625</v>
      </c>
    </row>
    <row r="263" spans="1:6" ht="30" customHeight="1" x14ac:dyDescent="0.3">
      <c r="A263" s="26" t="s">
        <v>4035</v>
      </c>
      <c r="B263" s="27" t="s">
        <v>2170</v>
      </c>
      <c r="C263" s="180">
        <v>43689</v>
      </c>
      <c r="D263" s="28">
        <v>25</v>
      </c>
      <c r="E263" s="49">
        <v>-14</v>
      </c>
      <c r="F263" s="211">
        <f>IFERROR(Tableau6[[#This Row],[Score]]/Tableau6[[#This Row],[Nb]],0)</f>
        <v>-0.56000000000000005</v>
      </c>
    </row>
    <row r="264" spans="1:6" ht="30" customHeight="1" x14ac:dyDescent="0.3">
      <c r="A264" s="26" t="s">
        <v>4105</v>
      </c>
      <c r="B264" s="27" t="s">
        <v>4106</v>
      </c>
      <c r="C264" s="180">
        <v>44269</v>
      </c>
      <c r="D264" s="28">
        <v>18</v>
      </c>
      <c r="E264" s="49">
        <v>-10</v>
      </c>
      <c r="F264" s="211">
        <f>IFERROR(Tableau6[[#This Row],[Score]]/Tableau6[[#This Row],[Nb]],0)</f>
        <v>-0.55555555555555558</v>
      </c>
    </row>
    <row r="265" spans="1:6" ht="30" customHeight="1" x14ac:dyDescent="0.3">
      <c r="A265" s="223" t="s">
        <v>6417</v>
      </c>
      <c r="B265" s="27" t="s">
        <v>4655</v>
      </c>
      <c r="C265" s="180">
        <v>44349</v>
      </c>
      <c r="D265" s="28">
        <v>18</v>
      </c>
      <c r="E265" s="49">
        <v>-10</v>
      </c>
      <c r="F265" s="211">
        <f>IFERROR(Tableau6[[#This Row],[Score]]/Tableau6[[#This Row],[Nb]],0)</f>
        <v>-0.55555555555555558</v>
      </c>
    </row>
    <row r="266" spans="1:6" ht="30" customHeight="1" x14ac:dyDescent="0.3">
      <c r="A266" s="151" t="s">
        <v>5183</v>
      </c>
      <c r="B266" s="152" t="s">
        <v>5184</v>
      </c>
      <c r="C266" s="208">
        <v>44495</v>
      </c>
      <c r="D266" s="154">
        <v>9</v>
      </c>
      <c r="E266" s="154">
        <v>-5</v>
      </c>
      <c r="F266" s="211">
        <f>IFERROR(Tableau6[[#This Row],[Score]]/Tableau6[[#This Row],[Nb]],0)</f>
        <v>-0.55555555555555558</v>
      </c>
    </row>
    <row r="267" spans="1:6" ht="30" customHeight="1" x14ac:dyDescent="0.3">
      <c r="A267" s="151" t="s">
        <v>5912</v>
      </c>
      <c r="B267" s="152" t="s">
        <v>5913</v>
      </c>
      <c r="C267" s="208">
        <v>44677</v>
      </c>
      <c r="D267" s="154">
        <v>9</v>
      </c>
      <c r="E267" s="154">
        <v>-5</v>
      </c>
      <c r="F267" s="211">
        <f>IFERROR(Tableau6[[#This Row],[Score]]/Tableau6[[#This Row],[Nb]],0)</f>
        <v>-0.55555555555555558</v>
      </c>
    </row>
    <row r="268" spans="1:6" ht="30" customHeight="1" x14ac:dyDescent="0.3">
      <c r="A268" s="151" t="s">
        <v>5960</v>
      </c>
      <c r="B268" s="152" t="s">
        <v>5961</v>
      </c>
      <c r="C268" s="208">
        <v>44698</v>
      </c>
      <c r="D268" s="154">
        <v>9</v>
      </c>
      <c r="E268" s="154">
        <v>-5</v>
      </c>
      <c r="F268" s="211">
        <f>IFERROR(Tableau6[[#This Row],[Score]]/Tableau6[[#This Row],[Nb]],0)</f>
        <v>-0.55555555555555558</v>
      </c>
    </row>
    <row r="269" spans="1:6" ht="30" customHeight="1" x14ac:dyDescent="0.3">
      <c r="A269" s="26" t="s">
        <v>3199</v>
      </c>
      <c r="B269" s="27" t="s">
        <v>3200</v>
      </c>
      <c r="C269" s="180">
        <v>44026</v>
      </c>
      <c r="D269" s="28">
        <v>20</v>
      </c>
      <c r="E269" s="49">
        <v>-11</v>
      </c>
      <c r="F269" s="211">
        <f>IFERROR(Tableau6[[#This Row],[Score]]/Tableau6[[#This Row],[Nb]],0)</f>
        <v>-0.55000000000000004</v>
      </c>
    </row>
    <row r="270" spans="1:6" ht="30" customHeight="1" x14ac:dyDescent="0.3">
      <c r="A270" s="26" t="s">
        <v>927</v>
      </c>
      <c r="B270" s="27" t="s">
        <v>873</v>
      </c>
      <c r="C270" s="180">
        <v>41621</v>
      </c>
      <c r="D270" s="28">
        <v>22</v>
      </c>
      <c r="E270" s="49">
        <v>-12</v>
      </c>
      <c r="F270" s="211">
        <f>IFERROR(Tableau6[[#This Row],[Score]]/Tableau6[[#This Row],[Nb]],0)</f>
        <v>-0.54545454545454541</v>
      </c>
    </row>
    <row r="271" spans="1:6" ht="30" customHeight="1" x14ac:dyDescent="0.3">
      <c r="A271" s="26" t="s">
        <v>1312</v>
      </c>
      <c r="B271" s="27" t="s">
        <v>2734</v>
      </c>
      <c r="C271" s="180">
        <v>43438</v>
      </c>
      <c r="D271" s="28">
        <v>22</v>
      </c>
      <c r="E271" s="49">
        <v>-12</v>
      </c>
      <c r="F271" s="211">
        <f>IFERROR(Tableau6[[#This Row],[Score]]/Tableau6[[#This Row],[Nb]],0)</f>
        <v>-0.54545454545454541</v>
      </c>
    </row>
    <row r="272" spans="1:6" ht="30" customHeight="1" x14ac:dyDescent="0.3">
      <c r="A272" s="26" t="s">
        <v>3849</v>
      </c>
      <c r="B272" s="152" t="s">
        <v>6165</v>
      </c>
      <c r="C272" s="180">
        <v>43605</v>
      </c>
      <c r="D272" s="28">
        <v>11</v>
      </c>
      <c r="E272" s="49">
        <v>-6</v>
      </c>
      <c r="F272" s="211">
        <f>IFERROR(Tableau6[[#This Row],[Score]]/Tableau6[[#This Row],[Nb]],0)</f>
        <v>-0.54545454545454541</v>
      </c>
    </row>
    <row r="273" spans="1:6" ht="30" customHeight="1" x14ac:dyDescent="0.3">
      <c r="A273" s="26" t="s">
        <v>3404</v>
      </c>
      <c r="B273" s="27" t="s">
        <v>4522</v>
      </c>
      <c r="C273" s="180">
        <v>41621</v>
      </c>
      <c r="D273" s="28">
        <v>13</v>
      </c>
      <c r="E273" s="49">
        <v>-7</v>
      </c>
      <c r="F273" s="211">
        <f>IFERROR(Tableau6[[#This Row],[Score]]/Tableau6[[#This Row],[Nb]],0)</f>
        <v>-0.53846153846153844</v>
      </c>
    </row>
    <row r="274" spans="1:6" ht="30" customHeight="1" x14ac:dyDescent="0.3">
      <c r="A274" s="26" t="s">
        <v>973</v>
      </c>
      <c r="B274" s="27" t="s">
        <v>625</v>
      </c>
      <c r="C274" s="180">
        <v>41621</v>
      </c>
      <c r="D274" s="28">
        <v>15</v>
      </c>
      <c r="E274" s="49">
        <v>-8</v>
      </c>
      <c r="F274" s="211">
        <f>IFERROR(Tableau6[[#This Row],[Score]]/Tableau6[[#This Row],[Nb]],0)</f>
        <v>-0.53333333333333333</v>
      </c>
    </row>
    <row r="275" spans="1:6" ht="30" customHeight="1" x14ac:dyDescent="0.3">
      <c r="A275" s="26" t="s">
        <v>3680</v>
      </c>
      <c r="B275" s="27" t="s">
        <v>3681</v>
      </c>
      <c r="C275" s="180">
        <v>44242</v>
      </c>
      <c r="D275" s="28">
        <v>15</v>
      </c>
      <c r="E275" s="49">
        <v>-8</v>
      </c>
      <c r="F275" s="211">
        <f>IFERROR(Tableau6[[#This Row],[Score]]/Tableau6[[#This Row],[Nb]],0)</f>
        <v>-0.53333333333333333</v>
      </c>
    </row>
    <row r="276" spans="1:6" ht="30" customHeight="1" x14ac:dyDescent="0.3">
      <c r="A276" s="26" t="s">
        <v>4006</v>
      </c>
      <c r="B276" s="27" t="s">
        <v>2437</v>
      </c>
      <c r="C276" s="180">
        <v>44262</v>
      </c>
      <c r="D276" s="28">
        <v>15</v>
      </c>
      <c r="E276" s="49">
        <v>-8</v>
      </c>
      <c r="F276" s="211">
        <f>IFERROR(Tableau6[[#This Row],[Score]]/Tableau6[[#This Row],[Nb]],0)</f>
        <v>-0.53333333333333333</v>
      </c>
    </row>
    <row r="277" spans="1:6" ht="30" customHeight="1" x14ac:dyDescent="0.3">
      <c r="A277" s="26" t="s">
        <v>1467</v>
      </c>
      <c r="B277" s="27" t="s">
        <v>1468</v>
      </c>
      <c r="C277" s="180">
        <v>43206</v>
      </c>
      <c r="D277" s="28">
        <v>17</v>
      </c>
      <c r="E277" s="49">
        <v>-9</v>
      </c>
      <c r="F277" s="211">
        <f>IFERROR(Tableau6[[#This Row],[Score]]/Tableau6[[#This Row],[Nb]],0)</f>
        <v>-0.52941176470588236</v>
      </c>
    </row>
    <row r="278" spans="1:6" ht="30" customHeight="1" x14ac:dyDescent="0.3">
      <c r="A278" s="26" t="s">
        <v>702</v>
      </c>
      <c r="B278" s="27" t="s">
        <v>685</v>
      </c>
      <c r="C278" s="180">
        <v>43237</v>
      </c>
      <c r="D278" s="28">
        <v>17</v>
      </c>
      <c r="E278" s="49">
        <v>-9</v>
      </c>
      <c r="F278" s="211">
        <f>IFERROR(Tableau6[[#This Row],[Score]]/Tableau6[[#This Row],[Nb]],0)</f>
        <v>-0.52941176470588236</v>
      </c>
    </row>
    <row r="279" spans="1:6" ht="30" customHeight="1" x14ac:dyDescent="0.3">
      <c r="A279" s="26" t="s">
        <v>2399</v>
      </c>
      <c r="B279" s="27" t="s">
        <v>2400</v>
      </c>
      <c r="C279" s="180">
        <v>43775</v>
      </c>
      <c r="D279" s="28">
        <v>19</v>
      </c>
      <c r="E279" s="49">
        <v>-10</v>
      </c>
      <c r="F279" s="211">
        <f>IFERROR(Tableau6[[#This Row],[Score]]/Tableau6[[#This Row],[Nb]],0)</f>
        <v>-0.52631578947368418</v>
      </c>
    </row>
    <row r="280" spans="1:6" ht="30" customHeight="1" x14ac:dyDescent="0.3">
      <c r="A280" s="26" t="s">
        <v>2404</v>
      </c>
      <c r="B280" s="27" t="s">
        <v>2405</v>
      </c>
      <c r="C280" s="180">
        <v>43341</v>
      </c>
      <c r="D280" s="28">
        <v>21</v>
      </c>
      <c r="E280" s="49">
        <v>-11</v>
      </c>
      <c r="F280" s="211">
        <f>IFERROR(Tableau6[[#This Row],[Score]]/Tableau6[[#This Row],[Nb]],0)</f>
        <v>-0.52380952380952384</v>
      </c>
    </row>
    <row r="281" spans="1:6" ht="30" customHeight="1" x14ac:dyDescent="0.3">
      <c r="A281" s="26" t="s">
        <v>1488</v>
      </c>
      <c r="B281" s="27" t="s">
        <v>1489</v>
      </c>
      <c r="C281" s="180">
        <v>43472</v>
      </c>
      <c r="D281" s="28">
        <v>21</v>
      </c>
      <c r="E281" s="49">
        <v>-11</v>
      </c>
      <c r="F281" s="211">
        <f>IFERROR(Tableau6[[#This Row],[Score]]/Tableau6[[#This Row],[Nb]],0)</f>
        <v>-0.52380952380952384</v>
      </c>
    </row>
    <row r="282" spans="1:6" ht="30" customHeight="1" x14ac:dyDescent="0.3">
      <c r="A282" s="26" t="s">
        <v>4473</v>
      </c>
      <c r="B282" s="27" t="s">
        <v>2478</v>
      </c>
      <c r="C282" s="180">
        <v>43802</v>
      </c>
      <c r="D282" s="28">
        <v>21</v>
      </c>
      <c r="E282" s="49">
        <v>-11</v>
      </c>
      <c r="F282" s="211">
        <f>IFERROR(Tableau6[[#This Row],[Score]]/Tableau6[[#This Row],[Nb]],0)</f>
        <v>-0.52380952380952384</v>
      </c>
    </row>
    <row r="283" spans="1:6" ht="30" customHeight="1" x14ac:dyDescent="0.3">
      <c r="A283" s="26" t="s">
        <v>4612</v>
      </c>
      <c r="B283" s="27" t="s">
        <v>2794</v>
      </c>
      <c r="C283" s="180">
        <v>44334</v>
      </c>
      <c r="D283" s="28">
        <v>23</v>
      </c>
      <c r="E283" s="49">
        <v>-12</v>
      </c>
      <c r="F283" s="211">
        <f>IFERROR(Tableau6[[#This Row],[Score]]/Tableau6[[#This Row],[Nb]],0)</f>
        <v>-0.52173913043478259</v>
      </c>
    </row>
    <row r="284" spans="1:6" ht="30" customHeight="1" x14ac:dyDescent="0.3">
      <c r="A284" s="26" t="s">
        <v>1032</v>
      </c>
      <c r="B284" s="27" t="s">
        <v>759</v>
      </c>
      <c r="C284" s="180">
        <v>43205</v>
      </c>
      <c r="D284" s="28">
        <v>18</v>
      </c>
      <c r="E284" s="49">
        <v>-9</v>
      </c>
      <c r="F284" s="211">
        <f>IFERROR(Tableau6[[#This Row],[Score]]/Tableau6[[#This Row],[Nb]],0)</f>
        <v>-0.5</v>
      </c>
    </row>
    <row r="285" spans="1:6" ht="30" customHeight="1" x14ac:dyDescent="0.3">
      <c r="A285" s="26" t="s">
        <v>540</v>
      </c>
      <c r="B285" s="27" t="s">
        <v>541</v>
      </c>
      <c r="C285" s="180">
        <v>43408</v>
      </c>
      <c r="D285" s="28">
        <v>24</v>
      </c>
      <c r="E285" s="49">
        <v>-12</v>
      </c>
      <c r="F285" s="211">
        <f>IFERROR(Tableau6[[#This Row],[Score]]/Tableau6[[#This Row],[Nb]],0)</f>
        <v>-0.5</v>
      </c>
    </row>
    <row r="286" spans="1:6" ht="30" customHeight="1" x14ac:dyDescent="0.3">
      <c r="A286" s="26" t="s">
        <v>1459</v>
      </c>
      <c r="B286" s="27" t="s">
        <v>1460</v>
      </c>
      <c r="C286" s="180">
        <v>43451</v>
      </c>
      <c r="D286" s="28">
        <v>24</v>
      </c>
      <c r="E286" s="49">
        <v>-12</v>
      </c>
      <c r="F286" s="211">
        <f>IFERROR(Tableau6[[#This Row],[Score]]/Tableau6[[#This Row],[Nb]],0)</f>
        <v>-0.5</v>
      </c>
    </row>
    <row r="287" spans="1:6" ht="30" customHeight="1" x14ac:dyDescent="0.3">
      <c r="A287" s="26" t="s">
        <v>1483</v>
      </c>
      <c r="B287" s="27" t="s">
        <v>1484</v>
      </c>
      <c r="C287" s="180">
        <v>43472</v>
      </c>
      <c r="D287" s="28">
        <v>20</v>
      </c>
      <c r="E287" s="49">
        <v>-10</v>
      </c>
      <c r="F287" s="211">
        <f>IFERROR(Tableau6[[#This Row],[Score]]/Tableau6[[#This Row],[Nb]],0)</f>
        <v>-0.5</v>
      </c>
    </row>
    <row r="288" spans="1:6" ht="30" customHeight="1" x14ac:dyDescent="0.3">
      <c r="A288" s="26" t="s">
        <v>2470</v>
      </c>
      <c r="B288" s="27" t="s">
        <v>2471</v>
      </c>
      <c r="C288" s="180">
        <v>43787</v>
      </c>
      <c r="D288" s="28">
        <v>24</v>
      </c>
      <c r="E288" s="49">
        <v>-12</v>
      </c>
      <c r="F288" s="211">
        <f>IFERROR(Tableau6[[#This Row],[Score]]/Tableau6[[#This Row],[Nb]],0)</f>
        <v>-0.5</v>
      </c>
    </row>
    <row r="289" spans="1:6" ht="30" customHeight="1" x14ac:dyDescent="0.3">
      <c r="A289" s="26" t="s">
        <v>2644</v>
      </c>
      <c r="B289" s="27" t="s">
        <v>2645</v>
      </c>
      <c r="C289" s="180">
        <v>43872</v>
      </c>
      <c r="D289" s="28">
        <v>18</v>
      </c>
      <c r="E289" s="49">
        <v>-9</v>
      </c>
      <c r="F289" s="211">
        <f>IFERROR(Tableau6[[#This Row],[Score]]/Tableau6[[#This Row],[Nb]],0)</f>
        <v>-0.5</v>
      </c>
    </row>
    <row r="290" spans="1:6" ht="30" customHeight="1" x14ac:dyDescent="0.3">
      <c r="A290" s="26" t="s">
        <v>3047</v>
      </c>
      <c r="B290" s="27" t="s">
        <v>591</v>
      </c>
      <c r="C290" s="180">
        <v>44004</v>
      </c>
      <c r="D290" s="28">
        <v>18</v>
      </c>
      <c r="E290" s="49">
        <v>-9</v>
      </c>
      <c r="F290" s="211">
        <f>IFERROR(Tableau6[[#This Row],[Score]]/Tableau6[[#This Row],[Nb]],0)</f>
        <v>-0.5</v>
      </c>
    </row>
    <row r="291" spans="1:6" ht="30" customHeight="1" x14ac:dyDescent="0.3">
      <c r="A291" s="26" t="s">
        <v>3187</v>
      </c>
      <c r="B291" s="27" t="s">
        <v>3188</v>
      </c>
      <c r="C291" s="180">
        <v>44026</v>
      </c>
      <c r="D291" s="28">
        <v>20</v>
      </c>
      <c r="E291" s="49">
        <v>-10</v>
      </c>
      <c r="F291" s="211">
        <f>IFERROR(Tableau6[[#This Row],[Score]]/Tableau6[[#This Row],[Nb]],0)</f>
        <v>-0.5</v>
      </c>
    </row>
    <row r="292" spans="1:6" ht="30" customHeight="1" x14ac:dyDescent="0.3">
      <c r="A292" s="26" t="s">
        <v>4953</v>
      </c>
      <c r="B292" s="27" t="s">
        <v>4954</v>
      </c>
      <c r="C292" s="180">
        <v>44427</v>
      </c>
      <c r="D292" s="28">
        <v>14</v>
      </c>
      <c r="E292" s="49">
        <v>-7</v>
      </c>
      <c r="F292" s="211">
        <f>IFERROR(Tableau6[[#This Row],[Score]]/Tableau6[[#This Row],[Nb]],0)</f>
        <v>-0.5</v>
      </c>
    </row>
    <row r="293" spans="1:6" ht="30" customHeight="1" x14ac:dyDescent="0.3">
      <c r="A293" s="26" t="s">
        <v>4981</v>
      </c>
      <c r="B293" s="27" t="s">
        <v>4982</v>
      </c>
      <c r="C293" s="180">
        <v>44433</v>
      </c>
      <c r="D293" s="28">
        <v>12</v>
      </c>
      <c r="E293" s="49">
        <v>-6</v>
      </c>
      <c r="F293" s="211">
        <f>IFERROR(Tableau6[[#This Row],[Score]]/Tableau6[[#This Row],[Nb]],0)</f>
        <v>-0.5</v>
      </c>
    </row>
    <row r="294" spans="1:6" ht="30" customHeight="1" x14ac:dyDescent="0.3">
      <c r="A294" s="151" t="s">
        <v>5467</v>
      </c>
      <c r="B294" s="152" t="s">
        <v>5468</v>
      </c>
      <c r="C294" s="208">
        <v>44577</v>
      </c>
      <c r="D294" s="154">
        <v>12</v>
      </c>
      <c r="E294" s="154">
        <v>-6</v>
      </c>
      <c r="F294" s="211">
        <f>IFERROR(Tableau6[[#This Row],[Score]]/Tableau6[[#This Row],[Nb]],0)</f>
        <v>-0.5</v>
      </c>
    </row>
    <row r="295" spans="1:6" ht="30" customHeight="1" x14ac:dyDescent="0.3">
      <c r="A295" s="151" t="s">
        <v>5695</v>
      </c>
      <c r="B295" s="152" t="s">
        <v>5696</v>
      </c>
      <c r="C295" s="208">
        <v>44626</v>
      </c>
      <c r="D295" s="154">
        <v>12</v>
      </c>
      <c r="E295" s="154">
        <v>-6</v>
      </c>
      <c r="F295" s="211">
        <f>IFERROR(Tableau6[[#This Row],[Score]]/Tableau6[[#This Row],[Nb]],0)</f>
        <v>-0.5</v>
      </c>
    </row>
    <row r="296" spans="1:6" ht="30" customHeight="1" x14ac:dyDescent="0.3">
      <c r="A296" s="151" t="s">
        <v>5726</v>
      </c>
      <c r="B296" s="152" t="s">
        <v>5727</v>
      </c>
      <c r="C296" s="208">
        <v>44633</v>
      </c>
      <c r="D296" s="154">
        <v>8</v>
      </c>
      <c r="E296" s="154">
        <v>-4</v>
      </c>
      <c r="F296" s="211">
        <f>IFERROR(Tableau6[[#This Row],[Score]]/Tableau6[[#This Row],[Nb]],0)</f>
        <v>-0.5</v>
      </c>
    </row>
    <row r="297" spans="1:6" ht="30" customHeight="1" x14ac:dyDescent="0.3">
      <c r="A297" s="151" t="s">
        <v>5765</v>
      </c>
      <c r="B297" s="152" t="s">
        <v>5766</v>
      </c>
      <c r="C297" s="208">
        <v>44638</v>
      </c>
      <c r="D297" s="154">
        <v>4</v>
      </c>
      <c r="E297" s="154">
        <v>-2</v>
      </c>
      <c r="F297" s="211">
        <f>IFERROR(Tableau6[[#This Row],[Score]]/Tableau6[[#This Row],[Nb]],0)</f>
        <v>-0.5</v>
      </c>
    </row>
    <row r="298" spans="1:6" ht="30" customHeight="1" x14ac:dyDescent="0.3">
      <c r="A298" s="151" t="s">
        <v>5770</v>
      </c>
      <c r="B298" s="152" t="s">
        <v>5771</v>
      </c>
      <c r="C298" s="208">
        <v>44639</v>
      </c>
      <c r="D298" s="154">
        <v>8</v>
      </c>
      <c r="E298" s="154">
        <v>-4</v>
      </c>
      <c r="F298" s="211">
        <f>IFERROR(Tableau6[[#This Row],[Score]]/Tableau6[[#This Row],[Nb]],0)</f>
        <v>-0.5</v>
      </c>
    </row>
    <row r="299" spans="1:6" ht="30" customHeight="1" x14ac:dyDescent="0.3">
      <c r="A299" s="151" t="s">
        <v>5815</v>
      </c>
      <c r="B299" s="152" t="s">
        <v>3459</v>
      </c>
      <c r="C299" s="208">
        <v>44647</v>
      </c>
      <c r="D299" s="154">
        <v>4</v>
      </c>
      <c r="E299" s="154">
        <v>-2</v>
      </c>
      <c r="F299" s="211">
        <f>IFERROR(Tableau6[[#This Row],[Score]]/Tableau6[[#This Row],[Nb]],0)</f>
        <v>-0.5</v>
      </c>
    </row>
    <row r="300" spans="1:6" ht="30" customHeight="1" x14ac:dyDescent="0.3">
      <c r="A300" s="151" t="s">
        <v>6157</v>
      </c>
      <c r="B300" s="152" t="s">
        <v>5850</v>
      </c>
      <c r="C300" s="208">
        <v>44653</v>
      </c>
      <c r="D300" s="154">
        <v>4</v>
      </c>
      <c r="E300" s="154">
        <v>-2</v>
      </c>
      <c r="F300" s="211">
        <f>IFERROR(Tableau6[[#This Row],[Score]]/Tableau6[[#This Row],[Nb]],0)</f>
        <v>-0.5</v>
      </c>
    </row>
    <row r="301" spans="1:6" ht="30" customHeight="1" x14ac:dyDescent="0.3">
      <c r="A301" s="151" t="s">
        <v>6088</v>
      </c>
      <c r="B301" s="152" t="s">
        <v>6089</v>
      </c>
      <c r="C301" s="208">
        <v>44738</v>
      </c>
      <c r="D301" s="154">
        <v>4</v>
      </c>
      <c r="E301" s="154">
        <v>-2</v>
      </c>
      <c r="F301" s="211">
        <f>IFERROR(Tableau6[[#This Row],[Score]]/Tableau6[[#This Row],[Nb]],0)</f>
        <v>-0.5</v>
      </c>
    </row>
    <row r="302" spans="1:6" ht="30" customHeight="1" x14ac:dyDescent="0.3">
      <c r="A302" s="151" t="s">
        <v>6100</v>
      </c>
      <c r="B302" s="152" t="s">
        <v>6098</v>
      </c>
      <c r="C302" s="208">
        <v>44751</v>
      </c>
      <c r="D302" s="154">
        <v>8</v>
      </c>
      <c r="E302" s="154">
        <v>-4</v>
      </c>
      <c r="F302" s="211">
        <f>IFERROR(Tableau6[[#This Row],[Score]]/Tableau6[[#This Row],[Nb]],0)</f>
        <v>-0.5</v>
      </c>
    </row>
    <row r="303" spans="1:6" ht="30" customHeight="1" x14ac:dyDescent="0.3">
      <c r="A303" s="151" t="s">
        <v>6192</v>
      </c>
      <c r="B303" s="152" t="s">
        <v>6193</v>
      </c>
      <c r="C303" s="208">
        <v>44814</v>
      </c>
      <c r="D303" s="154">
        <v>4</v>
      </c>
      <c r="E303" s="154">
        <v>-2</v>
      </c>
      <c r="F303" s="211">
        <f>IFERROR(Tableau6[[#This Row],[Score]]/Tableau6[[#This Row],[Nb]],0)</f>
        <v>-0.5</v>
      </c>
    </row>
    <row r="304" spans="1:6" ht="30" customHeight="1" x14ac:dyDescent="0.3">
      <c r="A304" s="151" t="s">
        <v>6289</v>
      </c>
      <c r="B304" s="152" t="s">
        <v>6290</v>
      </c>
      <c r="C304" s="208">
        <v>44870</v>
      </c>
      <c r="D304" s="154">
        <v>4</v>
      </c>
      <c r="E304" s="154">
        <v>-2</v>
      </c>
      <c r="F304" s="211">
        <f>IFERROR(Tableau6[[#This Row],[Score]]/Tableau6[[#This Row],[Nb]],0)</f>
        <v>-0.5</v>
      </c>
    </row>
    <row r="305" spans="1:6" ht="30" customHeight="1" x14ac:dyDescent="0.3">
      <c r="A305" s="217" t="s">
        <v>6415</v>
      </c>
      <c r="B305" s="218" t="s">
        <v>6416</v>
      </c>
      <c r="C305" s="219">
        <v>44913</v>
      </c>
      <c r="D305" s="220">
        <v>4</v>
      </c>
      <c r="E305" s="220">
        <v>-2</v>
      </c>
      <c r="F305" s="221">
        <f>IFERROR(Tableau6[[#This Row],[Score]]/Tableau6[[#This Row],[Nb]],0)</f>
        <v>-0.5</v>
      </c>
    </row>
    <row r="306" spans="1:6" ht="30" customHeight="1" x14ac:dyDescent="0.3">
      <c r="A306" s="440" t="s">
        <v>6540</v>
      </c>
      <c r="B306" s="441" t="s">
        <v>6541</v>
      </c>
      <c r="C306" s="442">
        <v>44952</v>
      </c>
      <c r="D306" s="443">
        <v>4</v>
      </c>
      <c r="E306" s="443">
        <v>-2</v>
      </c>
      <c r="F306" s="444">
        <f>IFERROR(Tableau6[[#This Row],[Score]]/Tableau6[[#This Row],[Nb]],0)</f>
        <v>-0.5</v>
      </c>
    </row>
    <row r="307" spans="1:6" ht="30" customHeight="1" x14ac:dyDescent="0.3">
      <c r="A307" s="26" t="s">
        <v>3988</v>
      </c>
      <c r="B307" s="27" t="s">
        <v>3989</v>
      </c>
      <c r="C307" s="180">
        <v>44262</v>
      </c>
      <c r="D307" s="28">
        <v>25</v>
      </c>
      <c r="E307" s="49">
        <v>-12</v>
      </c>
      <c r="F307" s="211">
        <f>IFERROR(Tableau6[[#This Row],[Score]]/Tableau6[[#This Row],[Nb]],0)</f>
        <v>-0.48</v>
      </c>
    </row>
    <row r="308" spans="1:6" ht="30" customHeight="1" x14ac:dyDescent="0.3">
      <c r="A308" s="26" t="s">
        <v>2217</v>
      </c>
      <c r="B308" s="27" t="s">
        <v>2218</v>
      </c>
      <c r="C308" s="180">
        <v>43752</v>
      </c>
      <c r="D308" s="28">
        <v>23</v>
      </c>
      <c r="E308" s="49">
        <v>-11</v>
      </c>
      <c r="F308" s="211">
        <f>IFERROR(Tableau6[[#This Row],[Score]]/Tableau6[[#This Row],[Nb]],0)</f>
        <v>-0.47826086956521741</v>
      </c>
    </row>
    <row r="309" spans="1:6" ht="30" customHeight="1" x14ac:dyDescent="0.3">
      <c r="A309" s="26" t="s">
        <v>1002</v>
      </c>
      <c r="B309" s="27" t="s">
        <v>811</v>
      </c>
      <c r="C309" s="180">
        <v>41621</v>
      </c>
      <c r="D309" s="28">
        <v>21</v>
      </c>
      <c r="E309" s="49">
        <v>-10</v>
      </c>
      <c r="F309" s="211">
        <f>IFERROR(Tableau6[[#This Row],[Score]]/Tableau6[[#This Row],[Nb]],0)</f>
        <v>-0.47619047619047616</v>
      </c>
    </row>
    <row r="310" spans="1:6" ht="30" customHeight="1" x14ac:dyDescent="0.3">
      <c r="A310" s="26" t="s">
        <v>4353</v>
      </c>
      <c r="B310" s="27" t="s">
        <v>231</v>
      </c>
      <c r="C310" s="180">
        <v>43398</v>
      </c>
      <c r="D310" s="28">
        <v>21</v>
      </c>
      <c r="E310" s="49">
        <v>-10</v>
      </c>
      <c r="F310" s="211">
        <f>IFERROR(Tableau6[[#This Row],[Score]]/Tableau6[[#This Row],[Nb]],0)</f>
        <v>-0.47619047619047616</v>
      </c>
    </row>
    <row r="311" spans="1:6" ht="30" customHeight="1" x14ac:dyDescent="0.3">
      <c r="A311" s="26" t="s">
        <v>3548</v>
      </c>
      <c r="B311" s="27" t="s">
        <v>3549</v>
      </c>
      <c r="C311" s="180">
        <v>44235</v>
      </c>
      <c r="D311" s="28">
        <v>21</v>
      </c>
      <c r="E311" s="49">
        <v>-10</v>
      </c>
      <c r="F311" s="211">
        <f>IFERROR(Tableau6[[#This Row],[Score]]/Tableau6[[#This Row],[Nb]],0)</f>
        <v>-0.47619047619047616</v>
      </c>
    </row>
    <row r="312" spans="1:6" ht="30" customHeight="1" x14ac:dyDescent="0.3">
      <c r="A312" s="26" t="s">
        <v>4854</v>
      </c>
      <c r="B312" s="27" t="s">
        <v>4855</v>
      </c>
      <c r="C312" s="180">
        <v>44395</v>
      </c>
      <c r="D312" s="28">
        <v>21</v>
      </c>
      <c r="E312" s="49">
        <v>-10</v>
      </c>
      <c r="F312" s="211">
        <f>IFERROR(Tableau6[[#This Row],[Score]]/Tableau6[[#This Row],[Nb]],0)</f>
        <v>-0.47619047619047616</v>
      </c>
    </row>
    <row r="313" spans="1:6" ht="30" customHeight="1" x14ac:dyDescent="0.3">
      <c r="A313" s="26" t="s">
        <v>4201</v>
      </c>
      <c r="B313" s="27" t="s">
        <v>4202</v>
      </c>
      <c r="C313" s="180">
        <v>44276</v>
      </c>
      <c r="D313" s="28">
        <v>17</v>
      </c>
      <c r="E313" s="49">
        <v>-8</v>
      </c>
      <c r="F313" s="211">
        <f>IFERROR(Tableau6[[#This Row],[Score]]/Tableau6[[#This Row],[Nb]],0)</f>
        <v>-0.47058823529411764</v>
      </c>
    </row>
    <row r="314" spans="1:6" ht="30" customHeight="1" x14ac:dyDescent="0.3">
      <c r="A314" s="26" t="s">
        <v>2101</v>
      </c>
      <c r="B314" s="27" t="s">
        <v>2102</v>
      </c>
      <c r="C314" s="180">
        <v>43673</v>
      </c>
      <c r="D314" s="28">
        <v>15</v>
      </c>
      <c r="E314" s="49">
        <v>-7</v>
      </c>
      <c r="F314" s="211">
        <f>IFERROR(Tableau6[[#This Row],[Score]]/Tableau6[[#This Row],[Nb]],0)</f>
        <v>-0.46666666666666667</v>
      </c>
    </row>
    <row r="315" spans="1:6" ht="30" customHeight="1" x14ac:dyDescent="0.3">
      <c r="A315" s="26" t="s">
        <v>4064</v>
      </c>
      <c r="B315" s="27" t="s">
        <v>4065</v>
      </c>
      <c r="C315" s="180">
        <v>43761</v>
      </c>
      <c r="D315" s="28">
        <v>15</v>
      </c>
      <c r="E315" s="49">
        <v>-7</v>
      </c>
      <c r="F315" s="211">
        <f>IFERROR(Tableau6[[#This Row],[Score]]/Tableau6[[#This Row],[Nb]],0)</f>
        <v>-0.46666666666666667</v>
      </c>
    </row>
    <row r="316" spans="1:6" ht="30" customHeight="1" x14ac:dyDescent="0.3">
      <c r="A316" s="26" t="s">
        <v>4172</v>
      </c>
      <c r="B316" s="27" t="s">
        <v>2334</v>
      </c>
      <c r="C316" s="180">
        <v>44004</v>
      </c>
      <c r="D316" s="28">
        <v>15</v>
      </c>
      <c r="E316" s="49">
        <v>-7</v>
      </c>
      <c r="F316" s="211">
        <f>IFERROR(Tableau6[[#This Row],[Score]]/Tableau6[[#This Row],[Nb]],0)</f>
        <v>-0.46666666666666667</v>
      </c>
    </row>
    <row r="317" spans="1:6" ht="30" customHeight="1" x14ac:dyDescent="0.3">
      <c r="A317" s="26" t="s">
        <v>3598</v>
      </c>
      <c r="B317" s="27" t="s">
        <v>3259</v>
      </c>
      <c r="C317" s="180">
        <v>44026</v>
      </c>
      <c r="D317" s="28">
        <v>15</v>
      </c>
      <c r="E317" s="49">
        <v>-7</v>
      </c>
      <c r="F317" s="211">
        <f>IFERROR(Tableau6[[#This Row],[Score]]/Tableau6[[#This Row],[Nb]],0)</f>
        <v>-0.46666666666666667</v>
      </c>
    </row>
    <row r="318" spans="1:6" ht="30" customHeight="1" x14ac:dyDescent="0.3">
      <c r="A318" s="151" t="s">
        <v>5317</v>
      </c>
      <c r="B318" s="152" t="s">
        <v>5318</v>
      </c>
      <c r="C318" s="208">
        <v>44534</v>
      </c>
      <c r="D318" s="154">
        <v>15</v>
      </c>
      <c r="E318" s="154">
        <v>-7</v>
      </c>
      <c r="F318" s="211">
        <f>IFERROR(Tableau6[[#This Row],[Score]]/Tableau6[[#This Row],[Nb]],0)</f>
        <v>-0.46666666666666667</v>
      </c>
    </row>
    <row r="319" spans="1:6" ht="30" customHeight="1" x14ac:dyDescent="0.3">
      <c r="A319" s="26" t="s">
        <v>2665</v>
      </c>
      <c r="B319" s="27" t="s">
        <v>2666</v>
      </c>
      <c r="C319" s="180">
        <v>43872</v>
      </c>
      <c r="D319" s="28">
        <v>24</v>
      </c>
      <c r="E319" s="49">
        <v>-11</v>
      </c>
      <c r="F319" s="211">
        <f>IFERROR(Tableau6[[#This Row],[Score]]/Tableau6[[#This Row],[Nb]],0)</f>
        <v>-0.45833333333333331</v>
      </c>
    </row>
    <row r="320" spans="1:6" ht="30" customHeight="1" x14ac:dyDescent="0.3">
      <c r="A320" s="26" t="s">
        <v>2103</v>
      </c>
      <c r="B320" s="27" t="s">
        <v>2104</v>
      </c>
      <c r="C320" s="180">
        <v>43673</v>
      </c>
      <c r="D320" s="28">
        <v>11</v>
      </c>
      <c r="E320" s="49">
        <v>-5</v>
      </c>
      <c r="F320" s="211">
        <f>IFERROR(Tableau6[[#This Row],[Score]]/Tableau6[[#This Row],[Nb]],0)</f>
        <v>-0.45454545454545453</v>
      </c>
    </row>
    <row r="321" spans="1:6" ht="30" customHeight="1" x14ac:dyDescent="0.3">
      <c r="A321" s="26" t="s">
        <v>4908</v>
      </c>
      <c r="B321" s="27" t="s">
        <v>4909</v>
      </c>
      <c r="C321" s="180">
        <v>44412</v>
      </c>
      <c r="D321" s="28">
        <v>11</v>
      </c>
      <c r="E321" s="49">
        <v>-5</v>
      </c>
      <c r="F321" s="211">
        <f>IFERROR(Tableau6[[#This Row],[Score]]/Tableau6[[#This Row],[Nb]],0)</f>
        <v>-0.45454545454545453</v>
      </c>
    </row>
    <row r="322" spans="1:6" ht="30" customHeight="1" x14ac:dyDescent="0.3">
      <c r="A322" s="151" t="s">
        <v>5344</v>
      </c>
      <c r="B322" s="152" t="s">
        <v>5345</v>
      </c>
      <c r="C322" s="208">
        <v>44541</v>
      </c>
      <c r="D322" s="154">
        <v>11</v>
      </c>
      <c r="E322" s="154">
        <v>-5</v>
      </c>
      <c r="F322" s="211">
        <f>IFERROR(Tableau6[[#This Row],[Score]]/Tableau6[[#This Row],[Nb]],0)</f>
        <v>-0.45454545454545453</v>
      </c>
    </row>
    <row r="323" spans="1:6" ht="30" customHeight="1" x14ac:dyDescent="0.3">
      <c r="A323" s="151" t="s">
        <v>5629</v>
      </c>
      <c r="B323" s="152" t="s">
        <v>5492</v>
      </c>
      <c r="C323" s="208">
        <v>44584</v>
      </c>
      <c r="D323" s="154">
        <v>11</v>
      </c>
      <c r="E323" s="154">
        <v>-5</v>
      </c>
      <c r="F323" s="211">
        <f>IFERROR(Tableau6[[#This Row],[Score]]/Tableau6[[#This Row],[Nb]],0)</f>
        <v>-0.45454545454545453</v>
      </c>
    </row>
    <row r="324" spans="1:6" ht="30" customHeight="1" x14ac:dyDescent="0.3">
      <c r="A324" s="151" t="s">
        <v>5713</v>
      </c>
      <c r="B324" s="152" t="s">
        <v>5714</v>
      </c>
      <c r="C324" s="208">
        <v>44629</v>
      </c>
      <c r="D324" s="154">
        <v>11</v>
      </c>
      <c r="E324" s="154">
        <v>-5</v>
      </c>
      <c r="F324" s="211">
        <f>IFERROR(Tableau6[[#This Row],[Score]]/Tableau6[[#This Row],[Nb]],0)</f>
        <v>-0.45454545454545453</v>
      </c>
    </row>
    <row r="325" spans="1:6" ht="30" customHeight="1" x14ac:dyDescent="0.3">
      <c r="A325" s="151" t="s">
        <v>5772</v>
      </c>
      <c r="B325" s="152" t="s">
        <v>5773</v>
      </c>
      <c r="C325" s="208">
        <v>44639</v>
      </c>
      <c r="D325" s="154">
        <v>11</v>
      </c>
      <c r="E325" s="154">
        <v>-5</v>
      </c>
      <c r="F325" s="211">
        <f>IFERROR(Tableau6[[#This Row],[Score]]/Tableau6[[#This Row],[Nb]],0)</f>
        <v>-0.45454545454545453</v>
      </c>
    </row>
    <row r="326" spans="1:6" ht="30" customHeight="1" x14ac:dyDescent="0.3">
      <c r="A326" s="151" t="s">
        <v>5877</v>
      </c>
      <c r="B326" s="152" t="s">
        <v>5903</v>
      </c>
      <c r="C326" s="208">
        <v>44664</v>
      </c>
      <c r="D326" s="154">
        <v>11</v>
      </c>
      <c r="E326" s="154">
        <v>-5</v>
      </c>
      <c r="F326" s="211">
        <f>IFERROR(Tableau6[[#This Row],[Score]]/Tableau6[[#This Row],[Nb]],0)</f>
        <v>-0.45454545454545453</v>
      </c>
    </row>
    <row r="327" spans="1:6" ht="30" customHeight="1" x14ac:dyDescent="0.3">
      <c r="A327" s="26" t="s">
        <v>2579</v>
      </c>
      <c r="B327" s="27" t="s">
        <v>4149</v>
      </c>
      <c r="C327" s="180">
        <v>43848</v>
      </c>
      <c r="D327" s="28">
        <v>20</v>
      </c>
      <c r="E327" s="49">
        <v>-9</v>
      </c>
      <c r="F327" s="211">
        <f>IFERROR(Tableau6[[#This Row],[Score]]/Tableau6[[#This Row],[Nb]],0)</f>
        <v>-0.45</v>
      </c>
    </row>
    <row r="328" spans="1:6" ht="30" customHeight="1" x14ac:dyDescent="0.3">
      <c r="A328" s="26" t="s">
        <v>4697</v>
      </c>
      <c r="B328" s="27" t="s">
        <v>2636</v>
      </c>
      <c r="C328" s="180">
        <v>43872</v>
      </c>
      <c r="D328" s="28">
        <v>20</v>
      </c>
      <c r="E328" s="49">
        <v>-9</v>
      </c>
      <c r="F328" s="211">
        <f>IFERROR(Tableau6[[#This Row],[Score]]/Tableau6[[#This Row],[Nb]],0)</f>
        <v>-0.45</v>
      </c>
    </row>
    <row r="329" spans="1:6" ht="30" customHeight="1" x14ac:dyDescent="0.3">
      <c r="A329" s="26" t="s">
        <v>3800</v>
      </c>
      <c r="B329" s="27" t="s">
        <v>3801</v>
      </c>
      <c r="C329" s="180">
        <v>44253</v>
      </c>
      <c r="D329" s="28">
        <v>18</v>
      </c>
      <c r="E329" s="49">
        <v>-8</v>
      </c>
      <c r="F329" s="211">
        <f>IFERROR(Tableau6[[#This Row],[Score]]/Tableau6[[#This Row],[Nb]],0)</f>
        <v>-0.44444444444444442</v>
      </c>
    </row>
    <row r="330" spans="1:6" ht="30" customHeight="1" x14ac:dyDescent="0.3">
      <c r="A330" s="26" t="s">
        <v>4147</v>
      </c>
      <c r="B330" s="27" t="s">
        <v>4148</v>
      </c>
      <c r="C330" s="180">
        <v>44271</v>
      </c>
      <c r="D330" s="28">
        <v>18</v>
      </c>
      <c r="E330" s="49">
        <v>-8</v>
      </c>
      <c r="F330" s="211">
        <f>IFERROR(Tableau6[[#This Row],[Score]]/Tableau6[[#This Row],[Nb]],0)</f>
        <v>-0.44444444444444442</v>
      </c>
    </row>
    <row r="331" spans="1:6" ht="30" customHeight="1" x14ac:dyDescent="0.3">
      <c r="A331" s="151" t="s">
        <v>5831</v>
      </c>
      <c r="B331" s="152" t="s">
        <v>5832</v>
      </c>
      <c r="C331" s="208">
        <v>44651</v>
      </c>
      <c r="D331" s="154">
        <v>18</v>
      </c>
      <c r="E331" s="154">
        <v>-8</v>
      </c>
      <c r="F331" s="211">
        <f>IFERROR(Tableau6[[#This Row],[Score]]/Tableau6[[#This Row],[Nb]],0)</f>
        <v>-0.44444444444444442</v>
      </c>
    </row>
    <row r="332" spans="1:6" ht="30" customHeight="1" x14ac:dyDescent="0.3">
      <c r="A332" s="26" t="s">
        <v>1165</v>
      </c>
      <c r="B332" s="27" t="s">
        <v>1166</v>
      </c>
      <c r="C332" s="180">
        <v>43422</v>
      </c>
      <c r="D332" s="28">
        <v>16</v>
      </c>
      <c r="E332" s="49">
        <v>-7</v>
      </c>
      <c r="F332" s="211">
        <f>IFERROR(Tableau6[[#This Row],[Score]]/Tableau6[[#This Row],[Nb]],0)</f>
        <v>-0.4375</v>
      </c>
    </row>
    <row r="333" spans="1:6" ht="30" customHeight="1" x14ac:dyDescent="0.3">
      <c r="A333" s="26" t="s">
        <v>962</v>
      </c>
      <c r="B333" s="27" t="s">
        <v>2206</v>
      </c>
      <c r="C333" s="180">
        <v>41621</v>
      </c>
      <c r="D333" s="28">
        <v>23</v>
      </c>
      <c r="E333" s="424">
        <v>-10</v>
      </c>
      <c r="F333" s="211">
        <f>IFERROR(Tableau6[[#This Row],[Score]]/Tableau6[[#This Row],[Nb]],0)</f>
        <v>-0.43478260869565216</v>
      </c>
    </row>
    <row r="334" spans="1:6" ht="30" customHeight="1" x14ac:dyDescent="0.3">
      <c r="A334" s="26" t="s">
        <v>547</v>
      </c>
      <c r="B334" s="27" t="s">
        <v>548</v>
      </c>
      <c r="C334" s="180">
        <v>43406</v>
      </c>
      <c r="D334" s="28">
        <v>23</v>
      </c>
      <c r="E334" s="49">
        <v>-10</v>
      </c>
      <c r="F334" s="211">
        <f>IFERROR(Tableau6[[#This Row],[Score]]/Tableau6[[#This Row],[Nb]],0)</f>
        <v>-0.43478260869565216</v>
      </c>
    </row>
    <row r="335" spans="1:6" ht="30" customHeight="1" x14ac:dyDescent="0.3">
      <c r="A335" s="26" t="s">
        <v>2164</v>
      </c>
      <c r="B335" s="27" t="s">
        <v>2165</v>
      </c>
      <c r="C335" s="180">
        <v>43689</v>
      </c>
      <c r="D335" s="28">
        <v>23</v>
      </c>
      <c r="E335" s="49">
        <v>-10</v>
      </c>
      <c r="F335" s="211">
        <f>IFERROR(Tableau6[[#This Row],[Score]]/Tableau6[[#This Row],[Nb]],0)</f>
        <v>-0.43478260869565216</v>
      </c>
    </row>
    <row r="336" spans="1:6" ht="30" customHeight="1" x14ac:dyDescent="0.3">
      <c r="A336" s="151" t="s">
        <v>6120</v>
      </c>
      <c r="B336" s="27" t="s">
        <v>2343</v>
      </c>
      <c r="C336" s="180">
        <v>43771</v>
      </c>
      <c r="D336" s="28">
        <v>14</v>
      </c>
      <c r="E336" s="49">
        <v>-6</v>
      </c>
      <c r="F336" s="211">
        <f>IFERROR(Tableau6[[#This Row],[Score]]/Tableau6[[#This Row],[Nb]],0)</f>
        <v>-0.42857142857142855</v>
      </c>
    </row>
    <row r="337" spans="1:6" ht="30" customHeight="1" x14ac:dyDescent="0.3">
      <c r="A337" s="26" t="s">
        <v>2525</v>
      </c>
      <c r="B337" s="27" t="s">
        <v>2526</v>
      </c>
      <c r="C337" s="180">
        <v>43815</v>
      </c>
      <c r="D337" s="28">
        <v>21</v>
      </c>
      <c r="E337" s="49">
        <v>-9</v>
      </c>
      <c r="F337" s="211">
        <f>IFERROR(Tableau6[[#This Row],[Score]]/Tableau6[[#This Row],[Nb]],0)</f>
        <v>-0.42857142857142855</v>
      </c>
    </row>
    <row r="338" spans="1:6" ht="30" customHeight="1" x14ac:dyDescent="0.3">
      <c r="A338" s="151" t="s">
        <v>6379</v>
      </c>
      <c r="B338" s="27" t="s">
        <v>2860</v>
      </c>
      <c r="C338" s="180">
        <v>43969</v>
      </c>
      <c r="D338" s="28">
        <v>14</v>
      </c>
      <c r="E338" s="49">
        <v>-6</v>
      </c>
      <c r="F338" s="211">
        <f>IFERROR(Tableau6[[#This Row],[Score]]/Tableau6[[#This Row],[Nb]],0)</f>
        <v>-0.42857142857142855</v>
      </c>
    </row>
    <row r="339" spans="1:6" ht="30" customHeight="1" x14ac:dyDescent="0.3">
      <c r="A339" s="151" t="s">
        <v>5246</v>
      </c>
      <c r="B339" s="152" t="s">
        <v>5247</v>
      </c>
      <c r="C339" s="208">
        <v>44521</v>
      </c>
      <c r="D339" s="154">
        <v>7</v>
      </c>
      <c r="E339" s="154">
        <v>-3</v>
      </c>
      <c r="F339" s="211">
        <f>IFERROR(Tableau6[[#This Row],[Score]]/Tableau6[[#This Row],[Nb]],0)</f>
        <v>-0.42857142857142855</v>
      </c>
    </row>
    <row r="340" spans="1:6" ht="30" customHeight="1" x14ac:dyDescent="0.3">
      <c r="A340" s="151" t="s">
        <v>5495</v>
      </c>
      <c r="B340" s="152" t="s">
        <v>5496</v>
      </c>
      <c r="C340" s="208">
        <v>44584</v>
      </c>
      <c r="D340" s="154">
        <v>14</v>
      </c>
      <c r="E340" s="154">
        <v>-6</v>
      </c>
      <c r="F340" s="211">
        <f>IFERROR(Tableau6[[#This Row],[Score]]/Tableau6[[#This Row],[Nb]],0)</f>
        <v>-0.42857142857142855</v>
      </c>
    </row>
    <row r="341" spans="1:6" ht="30" customHeight="1" x14ac:dyDescent="0.3">
      <c r="A341" s="151" t="s">
        <v>5585</v>
      </c>
      <c r="B341" s="152" t="s">
        <v>5586</v>
      </c>
      <c r="C341" s="208">
        <v>44595</v>
      </c>
      <c r="D341" s="154">
        <v>14</v>
      </c>
      <c r="E341" s="154">
        <v>-6</v>
      </c>
      <c r="F341" s="211">
        <f>IFERROR(Tableau6[[#This Row],[Score]]/Tableau6[[#This Row],[Nb]],0)</f>
        <v>-0.42857142857142855</v>
      </c>
    </row>
    <row r="342" spans="1:6" ht="30" customHeight="1" x14ac:dyDescent="0.3">
      <c r="A342" s="151" t="s">
        <v>5720</v>
      </c>
      <c r="B342" s="152" t="s">
        <v>5719</v>
      </c>
      <c r="C342" s="208">
        <v>44632</v>
      </c>
      <c r="D342" s="154">
        <v>7</v>
      </c>
      <c r="E342" s="154">
        <v>-3</v>
      </c>
      <c r="F342" s="211">
        <f>IFERROR(Tableau6[[#This Row],[Score]]/Tableau6[[#This Row],[Nb]],0)</f>
        <v>-0.42857142857142855</v>
      </c>
    </row>
    <row r="343" spans="1:6" ht="30" customHeight="1" x14ac:dyDescent="0.3">
      <c r="A343" s="151" t="s">
        <v>6113</v>
      </c>
      <c r="B343" s="152" t="s">
        <v>6114</v>
      </c>
      <c r="C343" s="208">
        <v>44756</v>
      </c>
      <c r="D343" s="154">
        <v>7</v>
      </c>
      <c r="E343" s="154">
        <v>-3</v>
      </c>
      <c r="F343" s="211">
        <f>IFERROR(Tableau6[[#This Row],[Score]]/Tableau6[[#This Row],[Nb]],0)</f>
        <v>-0.42857142857142855</v>
      </c>
    </row>
    <row r="344" spans="1:6" ht="30" customHeight="1" x14ac:dyDescent="0.3">
      <c r="A344" s="151" t="s">
        <v>6121</v>
      </c>
      <c r="B344" s="152" t="s">
        <v>6122</v>
      </c>
      <c r="C344" s="208">
        <v>44761</v>
      </c>
      <c r="D344" s="154">
        <v>7</v>
      </c>
      <c r="E344" s="154">
        <v>-3</v>
      </c>
      <c r="F344" s="211">
        <f>IFERROR(Tableau6[[#This Row],[Score]]/Tableau6[[#This Row],[Nb]],0)</f>
        <v>-0.42857142857142855</v>
      </c>
    </row>
    <row r="345" spans="1:6" ht="30" customHeight="1" x14ac:dyDescent="0.3">
      <c r="A345" s="151" t="s">
        <v>6111</v>
      </c>
      <c r="B345" s="27" t="s">
        <v>4474</v>
      </c>
      <c r="C345" s="180">
        <v>40611</v>
      </c>
      <c r="D345" s="28">
        <v>19</v>
      </c>
      <c r="E345" s="49">
        <v>-8</v>
      </c>
      <c r="F345" s="211">
        <f>IFERROR(Tableau6[[#This Row],[Score]]/Tableau6[[#This Row],[Nb]],0)</f>
        <v>-0.42105263157894735</v>
      </c>
    </row>
    <row r="346" spans="1:6" ht="30" customHeight="1" x14ac:dyDescent="0.3">
      <c r="A346" s="26" t="s">
        <v>4452</v>
      </c>
      <c r="B346" s="27" t="s">
        <v>4451</v>
      </c>
      <c r="C346" s="180">
        <v>43205</v>
      </c>
      <c r="D346" s="28">
        <v>19</v>
      </c>
      <c r="E346" s="49">
        <v>-8</v>
      </c>
      <c r="F346" s="211">
        <f>IFERROR(Tableau6[[#This Row],[Score]]/Tableau6[[#This Row],[Nb]],0)</f>
        <v>-0.42105263157894735</v>
      </c>
    </row>
    <row r="347" spans="1:6" ht="30" customHeight="1" x14ac:dyDescent="0.3">
      <c r="A347" s="26" t="s">
        <v>1974</v>
      </c>
      <c r="B347" s="27" t="s">
        <v>1975</v>
      </c>
      <c r="C347" s="180">
        <v>43605</v>
      </c>
      <c r="D347" s="28">
        <v>17</v>
      </c>
      <c r="E347" s="49">
        <v>-7</v>
      </c>
      <c r="F347" s="211">
        <f>IFERROR(Tableau6[[#This Row],[Score]]/Tableau6[[#This Row],[Nb]],0)</f>
        <v>-0.41176470588235292</v>
      </c>
    </row>
    <row r="348" spans="1:6" ht="30" customHeight="1" x14ac:dyDescent="0.3">
      <c r="A348" s="26" t="s">
        <v>3862</v>
      </c>
      <c r="B348" s="27" t="s">
        <v>3863</v>
      </c>
      <c r="C348" s="180">
        <v>41621</v>
      </c>
      <c r="D348" s="28">
        <v>20</v>
      </c>
      <c r="E348" s="49">
        <v>-8</v>
      </c>
      <c r="F348" s="211">
        <f>IFERROR(Tableau6[[#This Row],[Score]]/Tableau6[[#This Row],[Nb]],0)</f>
        <v>-0.4</v>
      </c>
    </row>
    <row r="349" spans="1:6" ht="30" customHeight="1" x14ac:dyDescent="0.3">
      <c r="A349" s="26" t="s">
        <v>118</v>
      </c>
      <c r="B349" s="27" t="s">
        <v>119</v>
      </c>
      <c r="C349" s="180">
        <v>43341</v>
      </c>
      <c r="D349" s="28">
        <v>20</v>
      </c>
      <c r="E349" s="49">
        <v>-8</v>
      </c>
      <c r="F349" s="211">
        <f>IFERROR(Tableau6[[#This Row],[Score]]/Tableau6[[#This Row],[Nb]],0)</f>
        <v>-0.4</v>
      </c>
    </row>
    <row r="350" spans="1:6" ht="30" customHeight="1" x14ac:dyDescent="0.3">
      <c r="A350" s="26" t="s">
        <v>1945</v>
      </c>
      <c r="B350" s="27" t="s">
        <v>1946</v>
      </c>
      <c r="C350" s="180">
        <v>43584</v>
      </c>
      <c r="D350" s="28">
        <v>20</v>
      </c>
      <c r="E350" s="49">
        <v>-8</v>
      </c>
      <c r="F350" s="211">
        <f>IFERROR(Tableau6[[#This Row],[Score]]/Tableau6[[#This Row],[Nb]],0)</f>
        <v>-0.4</v>
      </c>
    </row>
    <row r="351" spans="1:6" ht="30" customHeight="1" x14ac:dyDescent="0.3">
      <c r="A351" s="26" t="s">
        <v>2000</v>
      </c>
      <c r="B351" s="27" t="s">
        <v>2001</v>
      </c>
      <c r="C351" s="180">
        <v>43605</v>
      </c>
      <c r="D351" s="28">
        <v>15</v>
      </c>
      <c r="E351" s="49">
        <v>-6</v>
      </c>
      <c r="F351" s="211">
        <f>IFERROR(Tableau6[[#This Row],[Score]]/Tableau6[[#This Row],[Nb]],0)</f>
        <v>-0.4</v>
      </c>
    </row>
    <row r="352" spans="1:6" ht="30" customHeight="1" x14ac:dyDescent="0.3">
      <c r="A352" s="151" t="s">
        <v>5232</v>
      </c>
      <c r="B352" s="152" t="s">
        <v>5233</v>
      </c>
      <c r="C352" s="208">
        <v>44519</v>
      </c>
      <c r="D352" s="154">
        <v>10</v>
      </c>
      <c r="E352" s="154">
        <v>-4</v>
      </c>
      <c r="F352" s="211">
        <f>IFERROR(Tableau6[[#This Row],[Score]]/Tableau6[[#This Row],[Nb]],0)</f>
        <v>-0.4</v>
      </c>
    </row>
    <row r="353" spans="1:6" ht="30" customHeight="1" x14ac:dyDescent="0.3">
      <c r="A353" s="151" t="s">
        <v>5266</v>
      </c>
      <c r="B353" s="152" t="s">
        <v>5267</v>
      </c>
      <c r="C353" s="208">
        <v>44524</v>
      </c>
      <c r="D353" s="154">
        <v>10</v>
      </c>
      <c r="E353" s="154">
        <v>-4</v>
      </c>
      <c r="F353" s="211">
        <f>IFERROR(Tableau6[[#This Row],[Score]]/Tableau6[[#This Row],[Nb]],0)</f>
        <v>-0.4</v>
      </c>
    </row>
    <row r="354" spans="1:6" ht="30" customHeight="1" x14ac:dyDescent="0.3">
      <c r="A354" s="151" t="s">
        <v>5861</v>
      </c>
      <c r="B354" s="152" t="s">
        <v>346</v>
      </c>
      <c r="C354" s="208">
        <v>44657</v>
      </c>
      <c r="D354" s="154">
        <v>10</v>
      </c>
      <c r="E354" s="154">
        <v>-4</v>
      </c>
      <c r="F354" s="211">
        <f>IFERROR(Tableau6[[#This Row],[Score]]/Tableau6[[#This Row],[Nb]],0)</f>
        <v>-0.4</v>
      </c>
    </row>
    <row r="355" spans="1:6" ht="30" customHeight="1" x14ac:dyDescent="0.3">
      <c r="A355" s="151" t="s">
        <v>6092</v>
      </c>
      <c r="B355" s="152" t="s">
        <v>6093</v>
      </c>
      <c r="C355" s="208">
        <v>44738</v>
      </c>
      <c r="D355" s="154">
        <v>10</v>
      </c>
      <c r="E355" s="154">
        <v>-4</v>
      </c>
      <c r="F355" s="211">
        <f>IFERROR(Tableau6[[#This Row],[Score]]/Tableau6[[#This Row],[Nb]],0)</f>
        <v>-0.4</v>
      </c>
    </row>
    <row r="356" spans="1:6" ht="30" customHeight="1" x14ac:dyDescent="0.3">
      <c r="A356" s="26" t="s">
        <v>1994</v>
      </c>
      <c r="B356" s="27" t="s">
        <v>1995</v>
      </c>
      <c r="C356" s="180">
        <v>43605</v>
      </c>
      <c r="D356" s="28">
        <v>23</v>
      </c>
      <c r="E356" s="49">
        <v>-9</v>
      </c>
      <c r="F356" s="211">
        <f>IFERROR(Tableau6[[#This Row],[Score]]/Tableau6[[#This Row],[Nb]],0)</f>
        <v>-0.39130434782608697</v>
      </c>
    </row>
    <row r="357" spans="1:6" ht="30" customHeight="1" x14ac:dyDescent="0.3">
      <c r="A357" s="26" t="s">
        <v>3121</v>
      </c>
      <c r="B357" s="27" t="s">
        <v>3122</v>
      </c>
      <c r="C357" s="180">
        <v>41621</v>
      </c>
      <c r="D357" s="28">
        <v>18</v>
      </c>
      <c r="E357" s="49">
        <v>-7</v>
      </c>
      <c r="F357" s="211">
        <f>IFERROR(Tableau6[[#This Row],[Score]]/Tableau6[[#This Row],[Nb]],0)</f>
        <v>-0.3888888888888889</v>
      </c>
    </row>
    <row r="358" spans="1:6" ht="30" customHeight="1" x14ac:dyDescent="0.3">
      <c r="A358" s="26" t="s">
        <v>1104</v>
      </c>
      <c r="B358" s="27" t="s">
        <v>1105</v>
      </c>
      <c r="C358" s="180">
        <v>43415</v>
      </c>
      <c r="D358" s="28">
        <v>18</v>
      </c>
      <c r="E358" s="49">
        <v>-7</v>
      </c>
      <c r="F358" s="211">
        <f>IFERROR(Tableau6[[#This Row],[Score]]/Tableau6[[#This Row],[Nb]],0)</f>
        <v>-0.3888888888888889</v>
      </c>
    </row>
    <row r="359" spans="1:6" ht="30" customHeight="1" x14ac:dyDescent="0.3">
      <c r="A359" s="26" t="s">
        <v>949</v>
      </c>
      <c r="B359" s="27" t="s">
        <v>809</v>
      </c>
      <c r="C359" s="180">
        <v>41621</v>
      </c>
      <c r="D359" s="28">
        <v>26</v>
      </c>
      <c r="E359" s="49">
        <v>-10</v>
      </c>
      <c r="F359" s="211">
        <f>IFERROR(Tableau6[[#This Row],[Score]]/Tableau6[[#This Row],[Nb]],0)</f>
        <v>-0.38461538461538464</v>
      </c>
    </row>
    <row r="360" spans="1:6" ht="30" customHeight="1" x14ac:dyDescent="0.3">
      <c r="A360" s="26" t="s">
        <v>2531</v>
      </c>
      <c r="B360" s="27" t="s">
        <v>2532</v>
      </c>
      <c r="C360" s="180">
        <v>43815</v>
      </c>
      <c r="D360" s="28">
        <v>13</v>
      </c>
      <c r="E360" s="49">
        <v>-5</v>
      </c>
      <c r="F360" s="211">
        <f>IFERROR(Tableau6[[#This Row],[Score]]/Tableau6[[#This Row],[Nb]],0)</f>
        <v>-0.38461538461538464</v>
      </c>
    </row>
    <row r="361" spans="1:6" ht="30" customHeight="1" x14ac:dyDescent="0.3">
      <c r="A361" s="26" t="s">
        <v>3249</v>
      </c>
      <c r="B361" s="27" t="s">
        <v>3250</v>
      </c>
      <c r="C361" s="180">
        <v>44026</v>
      </c>
      <c r="D361" s="28">
        <v>13</v>
      </c>
      <c r="E361" s="49">
        <v>-5</v>
      </c>
      <c r="F361" s="211">
        <f>IFERROR(Tableau6[[#This Row],[Score]]/Tableau6[[#This Row],[Nb]],0)</f>
        <v>-0.38461538461538464</v>
      </c>
    </row>
    <row r="362" spans="1:6" ht="30" customHeight="1" x14ac:dyDescent="0.3">
      <c r="A362" s="151" t="s">
        <v>5852</v>
      </c>
      <c r="B362" s="152" t="s">
        <v>5205</v>
      </c>
      <c r="C362" s="208">
        <v>44508</v>
      </c>
      <c r="D362" s="154">
        <v>13</v>
      </c>
      <c r="E362" s="154">
        <v>-5</v>
      </c>
      <c r="F362" s="211">
        <f>IFERROR(Tableau6[[#This Row],[Score]]/Tableau6[[#This Row],[Nb]],0)</f>
        <v>-0.38461538461538464</v>
      </c>
    </row>
    <row r="363" spans="1:6" ht="30" customHeight="1" x14ac:dyDescent="0.3">
      <c r="A363" s="151" t="s">
        <v>5952</v>
      </c>
      <c r="B363" s="152" t="s">
        <v>5953</v>
      </c>
      <c r="C363" s="208">
        <v>44696</v>
      </c>
      <c r="D363" s="154">
        <v>13</v>
      </c>
      <c r="E363" s="154">
        <v>-5</v>
      </c>
      <c r="F363" s="211">
        <f>IFERROR(Tableau6[[#This Row],[Score]]/Tableau6[[#This Row],[Nb]],0)</f>
        <v>-0.38461538461538464</v>
      </c>
    </row>
    <row r="364" spans="1:6" ht="30" customHeight="1" x14ac:dyDescent="0.3">
      <c r="A364" s="151" t="s">
        <v>6082</v>
      </c>
      <c r="B364" s="152" t="s">
        <v>6083</v>
      </c>
      <c r="C364" s="208">
        <v>44733</v>
      </c>
      <c r="D364" s="154">
        <v>13</v>
      </c>
      <c r="E364" s="154">
        <v>-5</v>
      </c>
      <c r="F364" s="211">
        <f>IFERROR(Tableau6[[#This Row],[Score]]/Tableau6[[#This Row],[Nb]],0)</f>
        <v>-0.38461538461538464</v>
      </c>
    </row>
    <row r="365" spans="1:6" ht="30" customHeight="1" x14ac:dyDescent="0.3">
      <c r="A365" s="26" t="s">
        <v>339</v>
      </c>
      <c r="B365" s="27" t="s">
        <v>340</v>
      </c>
      <c r="C365" s="180">
        <v>40611</v>
      </c>
      <c r="D365" s="28">
        <v>21</v>
      </c>
      <c r="E365" s="49">
        <v>-8</v>
      </c>
      <c r="F365" s="211">
        <f>IFERROR(Tableau6[[#This Row],[Score]]/Tableau6[[#This Row],[Nb]],0)</f>
        <v>-0.38095238095238093</v>
      </c>
    </row>
    <row r="366" spans="1:6" ht="30" customHeight="1" x14ac:dyDescent="0.3">
      <c r="A366" s="26" t="s">
        <v>789</v>
      </c>
      <c r="B366" s="27" t="s">
        <v>2696</v>
      </c>
      <c r="C366" s="180">
        <v>43237</v>
      </c>
      <c r="D366" s="28">
        <v>21</v>
      </c>
      <c r="E366" s="49">
        <v>-8</v>
      </c>
      <c r="F366" s="211">
        <f>IFERROR(Tableau6[[#This Row],[Score]]/Tableau6[[#This Row],[Nb]],0)</f>
        <v>-0.38095238095238093</v>
      </c>
    </row>
    <row r="367" spans="1:6" ht="30" customHeight="1" x14ac:dyDescent="0.3">
      <c r="A367" s="26" t="s">
        <v>3591</v>
      </c>
      <c r="B367" s="27" t="s">
        <v>4725</v>
      </c>
      <c r="C367" s="180">
        <v>43408</v>
      </c>
      <c r="D367" s="28">
        <v>21</v>
      </c>
      <c r="E367" s="49">
        <v>-8</v>
      </c>
      <c r="F367" s="211">
        <f>IFERROR(Tableau6[[#This Row],[Score]]/Tableau6[[#This Row],[Nb]],0)</f>
        <v>-0.38095238095238093</v>
      </c>
    </row>
    <row r="368" spans="1:6" ht="30" customHeight="1" x14ac:dyDescent="0.3">
      <c r="A368" s="26" t="s">
        <v>4717</v>
      </c>
      <c r="B368" s="27" t="s">
        <v>4718</v>
      </c>
      <c r="C368" s="180">
        <v>44364</v>
      </c>
      <c r="D368" s="28">
        <v>21</v>
      </c>
      <c r="E368" s="49">
        <v>-8</v>
      </c>
      <c r="F368" s="211">
        <f>IFERROR(Tableau6[[#This Row],[Score]]/Tableau6[[#This Row],[Nb]],0)</f>
        <v>-0.38095238095238093</v>
      </c>
    </row>
    <row r="369" spans="1:6" ht="30" customHeight="1" x14ac:dyDescent="0.3">
      <c r="A369" s="26" t="s">
        <v>551</v>
      </c>
      <c r="B369" s="27" t="s">
        <v>552</v>
      </c>
      <c r="C369" s="180">
        <v>43406</v>
      </c>
      <c r="D369" s="28">
        <v>24</v>
      </c>
      <c r="E369" s="49">
        <v>-9</v>
      </c>
      <c r="F369" s="211">
        <f>IFERROR(Tableau6[[#This Row],[Score]]/Tableau6[[#This Row],[Nb]],0)</f>
        <v>-0.375</v>
      </c>
    </row>
    <row r="370" spans="1:6" ht="30" customHeight="1" x14ac:dyDescent="0.3">
      <c r="A370" s="384" t="s">
        <v>6506</v>
      </c>
      <c r="B370" s="27" t="s">
        <v>1450</v>
      </c>
      <c r="C370" s="180">
        <v>43451</v>
      </c>
      <c r="D370" s="28">
        <v>24</v>
      </c>
      <c r="E370" s="49">
        <v>-9</v>
      </c>
      <c r="F370" s="211">
        <f>IFERROR(Tableau6[[#This Row],[Score]]/Tableau6[[#This Row],[Nb]],0)</f>
        <v>-0.375</v>
      </c>
    </row>
    <row r="371" spans="1:6" ht="30" customHeight="1" x14ac:dyDescent="0.3">
      <c r="A371" s="26" t="s">
        <v>1496</v>
      </c>
      <c r="B371" s="27" t="s">
        <v>1497</v>
      </c>
      <c r="C371" s="180">
        <v>43472</v>
      </c>
      <c r="D371" s="28">
        <v>32</v>
      </c>
      <c r="E371" s="49">
        <v>-12</v>
      </c>
      <c r="F371" s="211">
        <f>IFERROR(Tableau6[[#This Row],[Score]]/Tableau6[[#This Row],[Nb]],0)</f>
        <v>-0.375</v>
      </c>
    </row>
    <row r="372" spans="1:6" ht="30" customHeight="1" x14ac:dyDescent="0.3">
      <c r="A372" s="151" t="s">
        <v>5370</v>
      </c>
      <c r="B372" s="152" t="s">
        <v>5371</v>
      </c>
      <c r="C372" s="208">
        <v>44554</v>
      </c>
      <c r="D372" s="154">
        <v>16</v>
      </c>
      <c r="E372" s="154">
        <v>-6</v>
      </c>
      <c r="F372" s="211">
        <f>IFERROR(Tableau6[[#This Row],[Score]]/Tableau6[[#This Row],[Nb]],0)</f>
        <v>-0.375</v>
      </c>
    </row>
    <row r="373" spans="1:6" ht="30" customHeight="1" x14ac:dyDescent="0.3">
      <c r="A373" s="26" t="s">
        <v>135</v>
      </c>
      <c r="B373" s="27" t="s">
        <v>136</v>
      </c>
      <c r="C373" s="180">
        <v>43373</v>
      </c>
      <c r="D373" s="28">
        <v>27</v>
      </c>
      <c r="E373" s="49">
        <v>-10</v>
      </c>
      <c r="F373" s="211">
        <f>IFERROR(Tableau6[[#This Row],[Score]]/Tableau6[[#This Row],[Nb]],0)</f>
        <v>-0.37037037037037035</v>
      </c>
    </row>
    <row r="374" spans="1:6" ht="30" customHeight="1" x14ac:dyDescent="0.3">
      <c r="A374" s="26" t="s">
        <v>1425</v>
      </c>
      <c r="B374" s="27" t="s">
        <v>4565</v>
      </c>
      <c r="C374" s="180">
        <v>41621</v>
      </c>
      <c r="D374" s="28">
        <v>19</v>
      </c>
      <c r="E374" s="49">
        <v>-7</v>
      </c>
      <c r="F374" s="211">
        <f>IFERROR(Tableau6[[#This Row],[Score]]/Tableau6[[#This Row],[Nb]],0)</f>
        <v>-0.36842105263157893</v>
      </c>
    </row>
    <row r="375" spans="1:6" ht="30" customHeight="1" x14ac:dyDescent="0.3">
      <c r="A375" s="26" t="s">
        <v>610</v>
      </c>
      <c r="B375" s="27" t="s">
        <v>611</v>
      </c>
      <c r="C375" s="180">
        <v>43403</v>
      </c>
      <c r="D375" s="28">
        <v>19</v>
      </c>
      <c r="E375" s="49">
        <v>-7</v>
      </c>
      <c r="F375" s="211">
        <f>IFERROR(Tableau6[[#This Row],[Score]]/Tableau6[[#This Row],[Nb]],0)</f>
        <v>-0.36842105263157893</v>
      </c>
    </row>
    <row r="376" spans="1:6" ht="30" customHeight="1" x14ac:dyDescent="0.3">
      <c r="A376" s="26" t="s">
        <v>4352</v>
      </c>
      <c r="B376" s="27" t="s">
        <v>4351</v>
      </c>
      <c r="C376" s="180">
        <v>43417</v>
      </c>
      <c r="D376" s="28">
        <v>22</v>
      </c>
      <c r="E376" s="49">
        <v>-8</v>
      </c>
      <c r="F376" s="211">
        <f>IFERROR(Tableau6[[#This Row],[Score]]/Tableau6[[#This Row],[Nb]],0)</f>
        <v>-0.36363636363636365</v>
      </c>
    </row>
    <row r="377" spans="1:6" ht="30" customHeight="1" x14ac:dyDescent="0.3">
      <c r="A377" s="26" t="s">
        <v>4083</v>
      </c>
      <c r="B377" s="27" t="s">
        <v>28</v>
      </c>
      <c r="C377" s="180">
        <v>43247</v>
      </c>
      <c r="D377" s="28">
        <v>28</v>
      </c>
      <c r="E377" s="49">
        <v>-10</v>
      </c>
      <c r="F377" s="211">
        <f>IFERROR(Tableau6[[#This Row],[Score]]/Tableau6[[#This Row],[Nb]],0)</f>
        <v>-0.35714285714285715</v>
      </c>
    </row>
    <row r="378" spans="1:6" ht="30" customHeight="1" x14ac:dyDescent="0.3">
      <c r="A378" s="26" t="s">
        <v>4971</v>
      </c>
      <c r="B378" s="27" t="s">
        <v>4972</v>
      </c>
      <c r="C378" s="180">
        <v>44432</v>
      </c>
      <c r="D378" s="28">
        <v>14</v>
      </c>
      <c r="E378" s="49">
        <v>-5</v>
      </c>
      <c r="F378" s="211">
        <f>IFERROR(Tableau6[[#This Row],[Score]]/Tableau6[[#This Row],[Nb]],0)</f>
        <v>-0.35714285714285715</v>
      </c>
    </row>
    <row r="379" spans="1:6" ht="30" customHeight="1" x14ac:dyDescent="0.3">
      <c r="A379" s="26" t="s">
        <v>3411</v>
      </c>
      <c r="B379" s="27" t="s">
        <v>3412</v>
      </c>
      <c r="C379" s="180">
        <v>41621</v>
      </c>
      <c r="D379" s="28">
        <v>17</v>
      </c>
      <c r="E379" s="49">
        <v>-6</v>
      </c>
      <c r="F379" s="211">
        <f>IFERROR(Tableau6[[#This Row],[Score]]/Tableau6[[#This Row],[Nb]],0)</f>
        <v>-0.35294117647058826</v>
      </c>
    </row>
    <row r="380" spans="1:6" ht="30" customHeight="1" x14ac:dyDescent="0.3">
      <c r="A380" s="26" t="s">
        <v>1612</v>
      </c>
      <c r="B380" s="27" t="s">
        <v>1613</v>
      </c>
      <c r="C380" s="180">
        <v>43548</v>
      </c>
      <c r="D380" s="28">
        <v>17</v>
      </c>
      <c r="E380" s="49">
        <v>-6</v>
      </c>
      <c r="F380" s="211">
        <f>IFERROR(Tableau6[[#This Row],[Score]]/Tableau6[[#This Row],[Nb]],0)</f>
        <v>-0.35294117647058826</v>
      </c>
    </row>
    <row r="381" spans="1:6" ht="30" customHeight="1" x14ac:dyDescent="0.3">
      <c r="A381" s="26" t="s">
        <v>2954</v>
      </c>
      <c r="B381" s="27" t="s">
        <v>2955</v>
      </c>
      <c r="C381" s="180">
        <v>43984</v>
      </c>
      <c r="D381" s="28">
        <v>17</v>
      </c>
      <c r="E381" s="49">
        <v>-6</v>
      </c>
      <c r="F381" s="211">
        <f>IFERROR(Tableau6[[#This Row],[Score]]/Tableau6[[#This Row],[Nb]],0)</f>
        <v>-0.35294117647058826</v>
      </c>
    </row>
    <row r="382" spans="1:6" ht="30" customHeight="1" x14ac:dyDescent="0.3">
      <c r="A382" s="26" t="s">
        <v>4728</v>
      </c>
      <c r="B382" s="27" t="s">
        <v>546</v>
      </c>
      <c r="C382" s="180">
        <v>44366</v>
      </c>
      <c r="D382" s="28">
        <v>17</v>
      </c>
      <c r="E382" s="49">
        <v>-6</v>
      </c>
      <c r="F382" s="211">
        <f>IFERROR(Tableau6[[#This Row],[Score]]/Tableau6[[#This Row],[Nb]],0)</f>
        <v>-0.35294117647058826</v>
      </c>
    </row>
    <row r="383" spans="1:6" ht="30" customHeight="1" x14ac:dyDescent="0.3">
      <c r="A383" s="26" t="s">
        <v>3771</v>
      </c>
      <c r="B383" s="27" t="s">
        <v>2721</v>
      </c>
      <c r="C383" s="180">
        <v>41621</v>
      </c>
      <c r="D383" s="28">
        <v>20</v>
      </c>
      <c r="E383" s="49">
        <v>-7</v>
      </c>
      <c r="F383" s="211">
        <f>IFERROR(Tableau6[[#This Row],[Score]]/Tableau6[[#This Row],[Nb]],0)</f>
        <v>-0.35</v>
      </c>
    </row>
    <row r="384" spans="1:6" ht="30" customHeight="1" x14ac:dyDescent="0.3">
      <c r="A384" s="151" t="s">
        <v>5661</v>
      </c>
      <c r="B384" s="27" t="s">
        <v>1594</v>
      </c>
      <c r="C384" s="180">
        <v>43508</v>
      </c>
      <c r="D384" s="28">
        <v>24</v>
      </c>
      <c r="E384" s="49">
        <v>-8</v>
      </c>
      <c r="F384" s="211">
        <f>IFERROR(Tableau6[[#This Row],[Score]]/Tableau6[[#This Row],[Nb]],0)</f>
        <v>-0.33333333333333331</v>
      </c>
    </row>
    <row r="385" spans="1:6" ht="30" customHeight="1" x14ac:dyDescent="0.3">
      <c r="A385" s="26" t="s">
        <v>2584</v>
      </c>
      <c r="B385" s="27" t="s">
        <v>2583</v>
      </c>
      <c r="C385" s="180">
        <v>43848</v>
      </c>
      <c r="D385" s="28">
        <v>12</v>
      </c>
      <c r="E385" s="49">
        <v>-4</v>
      </c>
      <c r="F385" s="211">
        <f>IFERROR(Tableau6[[#This Row],[Score]]/Tableau6[[#This Row],[Nb]],0)</f>
        <v>-0.33333333333333331</v>
      </c>
    </row>
    <row r="386" spans="1:6" ht="30" customHeight="1" x14ac:dyDescent="0.3">
      <c r="A386" s="26" t="s">
        <v>2844</v>
      </c>
      <c r="B386" s="27" t="s">
        <v>2845</v>
      </c>
      <c r="C386" s="180">
        <v>43969</v>
      </c>
      <c r="D386" s="28">
        <v>15</v>
      </c>
      <c r="E386" s="49">
        <v>-5</v>
      </c>
      <c r="F386" s="211">
        <f>IFERROR(Tableau6[[#This Row],[Score]]/Tableau6[[#This Row],[Nb]],0)</f>
        <v>-0.33333333333333331</v>
      </c>
    </row>
    <row r="387" spans="1:6" ht="30" customHeight="1" x14ac:dyDescent="0.3">
      <c r="A387" s="26" t="s">
        <v>4913</v>
      </c>
      <c r="B387" s="27" t="s">
        <v>4914</v>
      </c>
      <c r="C387" s="180">
        <v>44412</v>
      </c>
      <c r="D387" s="28">
        <v>15</v>
      </c>
      <c r="E387" s="49">
        <v>-5</v>
      </c>
      <c r="F387" s="211">
        <f>IFERROR(Tableau6[[#This Row],[Score]]/Tableau6[[#This Row],[Nb]],0)</f>
        <v>-0.33333333333333331</v>
      </c>
    </row>
    <row r="388" spans="1:6" ht="30" customHeight="1" x14ac:dyDescent="0.3">
      <c r="A388" s="26" t="s">
        <v>4976</v>
      </c>
      <c r="B388" s="27" t="s">
        <v>4977</v>
      </c>
      <c r="C388" s="180">
        <v>44432</v>
      </c>
      <c r="D388" s="28">
        <v>9</v>
      </c>
      <c r="E388" s="49">
        <v>-3</v>
      </c>
      <c r="F388" s="211">
        <f>IFERROR(Tableau6[[#This Row],[Score]]/Tableau6[[#This Row],[Nb]],0)</f>
        <v>-0.33333333333333331</v>
      </c>
    </row>
    <row r="389" spans="1:6" ht="30" customHeight="1" x14ac:dyDescent="0.3">
      <c r="A389" s="39" t="s">
        <v>5050</v>
      </c>
      <c r="B389" s="40" t="s">
        <v>5051</v>
      </c>
      <c r="C389" s="183">
        <v>44448</v>
      </c>
      <c r="D389" s="41">
        <v>9</v>
      </c>
      <c r="E389" s="49">
        <v>-3</v>
      </c>
      <c r="F389" s="211">
        <f>IFERROR(Tableau6[[#This Row],[Score]]/Tableau6[[#This Row],[Nb]],0)</f>
        <v>-0.33333333333333331</v>
      </c>
    </row>
    <row r="390" spans="1:6" ht="30" customHeight="1" x14ac:dyDescent="0.3">
      <c r="A390" s="64" t="s">
        <v>5063</v>
      </c>
      <c r="B390" s="65" t="s">
        <v>5064</v>
      </c>
      <c r="C390" s="187">
        <v>44455</v>
      </c>
      <c r="D390" s="66">
        <v>9</v>
      </c>
      <c r="E390" s="66">
        <v>-3</v>
      </c>
      <c r="F390" s="211">
        <f>IFERROR(Tableau6[[#This Row],[Score]]/Tableau6[[#This Row],[Nb]],0)</f>
        <v>-0.33333333333333331</v>
      </c>
    </row>
    <row r="391" spans="1:6" ht="30" customHeight="1" x14ac:dyDescent="0.3">
      <c r="A391" s="136" t="s">
        <v>5118</v>
      </c>
      <c r="B391" s="137" t="s">
        <v>5119</v>
      </c>
      <c r="C391" s="205">
        <v>44468</v>
      </c>
      <c r="D391" s="138">
        <v>15</v>
      </c>
      <c r="E391" s="138">
        <v>-5</v>
      </c>
      <c r="F391" s="211">
        <f>IFERROR(Tableau6[[#This Row],[Score]]/Tableau6[[#This Row],[Nb]],0)</f>
        <v>-0.33333333333333331</v>
      </c>
    </row>
    <row r="392" spans="1:6" ht="30" customHeight="1" x14ac:dyDescent="0.3">
      <c r="A392" s="151" t="s">
        <v>5201</v>
      </c>
      <c r="B392" s="152" t="s">
        <v>5202</v>
      </c>
      <c r="C392" s="208">
        <v>44505</v>
      </c>
      <c r="D392" s="154">
        <v>9</v>
      </c>
      <c r="E392" s="154">
        <v>-3</v>
      </c>
      <c r="F392" s="211">
        <f>IFERROR(Tableau6[[#This Row],[Score]]/Tableau6[[#This Row],[Nb]],0)</f>
        <v>-0.33333333333333331</v>
      </c>
    </row>
    <row r="393" spans="1:6" ht="30" customHeight="1" x14ac:dyDescent="0.3">
      <c r="A393" s="151" t="s">
        <v>197</v>
      </c>
      <c r="B393" s="152" t="s">
        <v>5351</v>
      </c>
      <c r="C393" s="208">
        <v>44545</v>
      </c>
      <c r="D393" s="154">
        <v>6</v>
      </c>
      <c r="E393" s="154">
        <v>-2</v>
      </c>
      <c r="F393" s="211">
        <f>IFERROR(Tableau6[[#This Row],[Score]]/Tableau6[[#This Row],[Nb]],0)</f>
        <v>-0.33333333333333331</v>
      </c>
    </row>
    <row r="394" spans="1:6" ht="30" customHeight="1" x14ac:dyDescent="0.3">
      <c r="A394" s="151" t="s">
        <v>5452</v>
      </c>
      <c r="B394" s="152" t="s">
        <v>5453</v>
      </c>
      <c r="C394" s="208">
        <v>44573</v>
      </c>
      <c r="D394" s="154">
        <v>9</v>
      </c>
      <c r="E394" s="154">
        <v>-3</v>
      </c>
      <c r="F394" s="211">
        <f>IFERROR(Tableau6[[#This Row],[Score]]/Tableau6[[#This Row],[Nb]],0)</f>
        <v>-0.33333333333333331</v>
      </c>
    </row>
    <row r="395" spans="1:6" ht="30" customHeight="1" x14ac:dyDescent="0.3">
      <c r="A395" s="151" t="s">
        <v>5493</v>
      </c>
      <c r="B395" s="152" t="s">
        <v>5494</v>
      </c>
      <c r="C395" s="208">
        <v>44584</v>
      </c>
      <c r="D395" s="154">
        <v>15</v>
      </c>
      <c r="E395" s="154">
        <v>-5</v>
      </c>
      <c r="F395" s="211">
        <f>IFERROR(Tableau6[[#This Row],[Score]]/Tableau6[[#This Row],[Nb]],0)</f>
        <v>-0.33333333333333331</v>
      </c>
    </row>
    <row r="396" spans="1:6" ht="30" customHeight="1" x14ac:dyDescent="0.3">
      <c r="A396" s="151" t="s">
        <v>5515</v>
      </c>
      <c r="B396" s="152" t="s">
        <v>5516</v>
      </c>
      <c r="C396" s="208">
        <v>44585</v>
      </c>
      <c r="D396" s="154">
        <v>3</v>
      </c>
      <c r="E396" s="154">
        <v>-1</v>
      </c>
      <c r="F396" s="211">
        <f>IFERROR(Tableau6[[#This Row],[Score]]/Tableau6[[#This Row],[Nb]],0)</f>
        <v>-0.33333333333333331</v>
      </c>
    </row>
    <row r="397" spans="1:6" ht="30" customHeight="1" x14ac:dyDescent="0.3">
      <c r="A397" s="151" t="s">
        <v>5677</v>
      </c>
      <c r="B397" s="152" t="s">
        <v>329</v>
      </c>
      <c r="C397" s="208">
        <v>44620</v>
      </c>
      <c r="D397" s="154">
        <v>18</v>
      </c>
      <c r="E397" s="154">
        <v>-6</v>
      </c>
      <c r="F397" s="211">
        <f>IFERROR(Tableau6[[#This Row],[Score]]/Tableau6[[#This Row],[Nb]],0)</f>
        <v>-0.33333333333333331</v>
      </c>
    </row>
    <row r="398" spans="1:6" ht="30" customHeight="1" x14ac:dyDescent="0.3">
      <c r="A398" s="151" t="s">
        <v>5762</v>
      </c>
      <c r="B398" s="152" t="s">
        <v>5761</v>
      </c>
      <c r="C398" s="208">
        <v>44637</v>
      </c>
      <c r="D398" s="154">
        <v>12</v>
      </c>
      <c r="E398" s="154">
        <v>-4</v>
      </c>
      <c r="F398" s="211">
        <f>IFERROR(Tableau6[[#This Row],[Score]]/Tableau6[[#This Row],[Nb]],0)</f>
        <v>-0.33333333333333331</v>
      </c>
    </row>
    <row r="399" spans="1:6" ht="30" customHeight="1" x14ac:dyDescent="0.3">
      <c r="A399" s="151" t="s">
        <v>5827</v>
      </c>
      <c r="B399" s="152" t="s">
        <v>5828</v>
      </c>
      <c r="C399" s="208">
        <v>44651</v>
      </c>
      <c r="D399" s="154">
        <v>12</v>
      </c>
      <c r="E399" s="154">
        <v>-4</v>
      </c>
      <c r="F399" s="211">
        <f>IFERROR(Tableau6[[#This Row],[Score]]/Tableau6[[#This Row],[Nb]],0)</f>
        <v>-0.33333333333333331</v>
      </c>
    </row>
    <row r="400" spans="1:6" ht="30" customHeight="1" x14ac:dyDescent="0.3">
      <c r="A400" s="151" t="s">
        <v>5864</v>
      </c>
      <c r="B400" s="152" t="s">
        <v>5865</v>
      </c>
      <c r="C400" s="208">
        <v>44659</v>
      </c>
      <c r="D400" s="154">
        <v>9</v>
      </c>
      <c r="E400" s="154">
        <v>-3</v>
      </c>
      <c r="F400" s="211">
        <f>IFERROR(Tableau6[[#This Row],[Score]]/Tableau6[[#This Row],[Nb]],0)</f>
        <v>-0.33333333333333331</v>
      </c>
    </row>
    <row r="401" spans="1:6" ht="30" customHeight="1" x14ac:dyDescent="0.3">
      <c r="A401" s="151" t="s">
        <v>5886</v>
      </c>
      <c r="B401" s="152" t="s">
        <v>5887</v>
      </c>
      <c r="C401" s="208">
        <v>44666</v>
      </c>
      <c r="D401" s="154">
        <v>9</v>
      </c>
      <c r="E401" s="154">
        <v>-3</v>
      </c>
      <c r="F401" s="211">
        <f>IFERROR(Tableau6[[#This Row],[Score]]/Tableau6[[#This Row],[Nb]],0)</f>
        <v>-0.33333333333333331</v>
      </c>
    </row>
    <row r="402" spans="1:6" ht="30" customHeight="1" x14ac:dyDescent="0.3">
      <c r="A402" s="151" t="s">
        <v>5956</v>
      </c>
      <c r="B402" s="152" t="s">
        <v>5957</v>
      </c>
      <c r="C402" s="208">
        <v>44698</v>
      </c>
      <c r="D402" s="154">
        <v>21</v>
      </c>
      <c r="E402" s="154">
        <v>-7</v>
      </c>
      <c r="F402" s="211">
        <f>IFERROR(Tableau6[[#This Row],[Score]]/Tableau6[[#This Row],[Nb]],0)</f>
        <v>-0.33333333333333331</v>
      </c>
    </row>
    <row r="403" spans="1:6" ht="30" customHeight="1" x14ac:dyDescent="0.3">
      <c r="A403" s="151" t="s">
        <v>6063</v>
      </c>
      <c r="B403" s="152" t="s">
        <v>6064</v>
      </c>
      <c r="C403" s="208">
        <v>44731</v>
      </c>
      <c r="D403" s="154">
        <v>12</v>
      </c>
      <c r="E403" s="154">
        <v>-4</v>
      </c>
      <c r="F403" s="211">
        <f>IFERROR(Tableau6[[#This Row],[Score]]/Tableau6[[#This Row],[Nb]],0)</f>
        <v>-0.33333333333333331</v>
      </c>
    </row>
    <row r="404" spans="1:6" ht="30" customHeight="1" x14ac:dyDescent="0.3">
      <c r="A404" s="151" t="s">
        <v>6108</v>
      </c>
      <c r="B404" s="152" t="s">
        <v>6109</v>
      </c>
      <c r="C404" s="208">
        <v>44751</v>
      </c>
      <c r="D404" s="154">
        <v>6</v>
      </c>
      <c r="E404" s="154">
        <v>-2</v>
      </c>
      <c r="F404" s="211">
        <f>IFERROR(Tableau6[[#This Row],[Score]]/Tableau6[[#This Row],[Nb]],0)</f>
        <v>-0.33333333333333331</v>
      </c>
    </row>
    <row r="405" spans="1:6" ht="30" customHeight="1" x14ac:dyDescent="0.3">
      <c r="A405" s="151" t="s">
        <v>6200</v>
      </c>
      <c r="B405" s="152" t="s">
        <v>6201</v>
      </c>
      <c r="C405" s="208">
        <v>44821</v>
      </c>
      <c r="D405" s="154">
        <v>6</v>
      </c>
      <c r="E405" s="154">
        <v>-2</v>
      </c>
      <c r="F405" s="211">
        <f>IFERROR(Tableau6[[#This Row],[Score]]/Tableau6[[#This Row],[Nb]],0)</f>
        <v>-0.33333333333333331</v>
      </c>
    </row>
    <row r="406" spans="1:6" ht="30" customHeight="1" x14ac:dyDescent="0.3">
      <c r="A406" s="151" t="s">
        <v>6283</v>
      </c>
      <c r="B406" s="152" t="s">
        <v>6284</v>
      </c>
      <c r="C406" s="208">
        <v>44866</v>
      </c>
      <c r="D406" s="154">
        <v>3</v>
      </c>
      <c r="E406" s="154">
        <v>-1</v>
      </c>
      <c r="F406" s="211">
        <f>IFERROR(Tableau6[[#This Row],[Score]]/Tableau6[[#This Row],[Nb]],0)</f>
        <v>-0.33333333333333331</v>
      </c>
    </row>
    <row r="407" spans="1:6" ht="30" customHeight="1" x14ac:dyDescent="0.3">
      <c r="A407" s="151" t="s">
        <v>6298</v>
      </c>
      <c r="B407" s="152" t="s">
        <v>6299</v>
      </c>
      <c r="C407" s="208">
        <v>44877</v>
      </c>
      <c r="D407" s="154">
        <v>3</v>
      </c>
      <c r="E407" s="154">
        <v>-1</v>
      </c>
      <c r="F407" s="211">
        <f>IFERROR(Tableau6[[#This Row],[Score]]/Tableau6[[#This Row],[Nb]],0)</f>
        <v>-0.33333333333333331</v>
      </c>
    </row>
    <row r="408" spans="1:6" ht="30" customHeight="1" x14ac:dyDescent="0.3">
      <c r="A408" s="434" t="s">
        <v>6535</v>
      </c>
      <c r="B408" s="435" t="s">
        <v>6536</v>
      </c>
      <c r="C408" s="208">
        <v>44884</v>
      </c>
      <c r="D408" s="154">
        <v>3</v>
      </c>
      <c r="E408" s="154">
        <v>-1</v>
      </c>
      <c r="F408" s="211">
        <f>IFERROR(Tableau6[[#This Row],[Score]]/Tableau6[[#This Row],[Nb]],0)</f>
        <v>-0.33333333333333331</v>
      </c>
    </row>
    <row r="409" spans="1:6" ht="30" customHeight="1" x14ac:dyDescent="0.3">
      <c r="A409" s="151" t="s">
        <v>6391</v>
      </c>
      <c r="B409" s="152" t="s">
        <v>6392</v>
      </c>
      <c r="C409" s="208">
        <v>44904</v>
      </c>
      <c r="D409" s="154">
        <v>3</v>
      </c>
      <c r="E409" s="154">
        <v>-1</v>
      </c>
      <c r="F409" s="211">
        <f>IFERROR(Tableau6[[#This Row],[Score]]/Tableau6[[#This Row],[Nb]],0)</f>
        <v>-0.33333333333333331</v>
      </c>
    </row>
    <row r="410" spans="1:6" ht="30" customHeight="1" x14ac:dyDescent="0.3">
      <c r="A410" s="26" t="s">
        <v>2600</v>
      </c>
      <c r="B410" s="27" t="s">
        <v>2601</v>
      </c>
      <c r="C410" s="180">
        <v>43848</v>
      </c>
      <c r="D410" s="28">
        <v>25</v>
      </c>
      <c r="E410" s="49">
        <v>-8</v>
      </c>
      <c r="F410" s="211">
        <f>IFERROR(Tableau6[[#This Row],[Score]]/Tableau6[[#This Row],[Nb]],0)</f>
        <v>-0.32</v>
      </c>
    </row>
    <row r="411" spans="1:6" ht="30" customHeight="1" x14ac:dyDescent="0.3">
      <c r="A411" s="26" t="s">
        <v>48</v>
      </c>
      <c r="B411" s="27" t="s">
        <v>49</v>
      </c>
      <c r="C411" s="180">
        <v>43298</v>
      </c>
      <c r="D411" s="28">
        <v>22</v>
      </c>
      <c r="E411" s="49">
        <v>-7</v>
      </c>
      <c r="F411" s="211">
        <f>IFERROR(Tableau6[[#This Row],[Score]]/Tableau6[[#This Row],[Nb]],0)</f>
        <v>-0.31818181818181818</v>
      </c>
    </row>
    <row r="412" spans="1:6" ht="30" customHeight="1" x14ac:dyDescent="0.3">
      <c r="A412" s="26" t="s">
        <v>2451</v>
      </c>
      <c r="B412" s="27" t="s">
        <v>1487</v>
      </c>
      <c r="C412" s="180">
        <v>43776</v>
      </c>
      <c r="D412" s="28">
        <v>22</v>
      </c>
      <c r="E412" s="49">
        <v>-7</v>
      </c>
      <c r="F412" s="211">
        <f>IFERROR(Tableau6[[#This Row],[Score]]/Tableau6[[#This Row],[Nb]],0)</f>
        <v>-0.31818181818181818</v>
      </c>
    </row>
    <row r="413" spans="1:6" ht="30" customHeight="1" x14ac:dyDescent="0.3">
      <c r="A413" s="26" t="s">
        <v>286</v>
      </c>
      <c r="B413" s="27" t="s">
        <v>287</v>
      </c>
      <c r="C413" s="180">
        <v>40611</v>
      </c>
      <c r="D413" s="28">
        <v>19</v>
      </c>
      <c r="E413" s="49">
        <v>-6</v>
      </c>
      <c r="F413" s="211">
        <f>IFERROR(Tableau6[[#This Row],[Score]]/Tableau6[[#This Row],[Nb]],0)</f>
        <v>-0.31578947368421051</v>
      </c>
    </row>
    <row r="414" spans="1:6" ht="30" customHeight="1" x14ac:dyDescent="0.3">
      <c r="A414" s="26" t="s">
        <v>2355</v>
      </c>
      <c r="B414" s="27" t="s">
        <v>2356</v>
      </c>
      <c r="C414" s="180">
        <v>43771</v>
      </c>
      <c r="D414" s="28">
        <v>19</v>
      </c>
      <c r="E414" s="49">
        <v>-6</v>
      </c>
      <c r="F414" s="211">
        <f>IFERROR(Tableau6[[#This Row],[Score]]/Tableau6[[#This Row],[Nb]],0)</f>
        <v>-0.31578947368421051</v>
      </c>
    </row>
    <row r="415" spans="1:6" ht="30" customHeight="1" x14ac:dyDescent="0.3">
      <c r="A415" s="26" t="s">
        <v>4388</v>
      </c>
      <c r="B415" s="27" t="s">
        <v>462</v>
      </c>
      <c r="C415" s="180">
        <v>44299</v>
      </c>
      <c r="D415" s="28">
        <v>19</v>
      </c>
      <c r="E415" s="49">
        <v>-6</v>
      </c>
      <c r="F415" s="211">
        <f>IFERROR(Tableau6[[#This Row],[Score]]/Tableau6[[#This Row],[Nb]],0)</f>
        <v>-0.31578947368421051</v>
      </c>
    </row>
    <row r="416" spans="1:6" ht="30" customHeight="1" x14ac:dyDescent="0.3">
      <c r="A416" s="26" t="s">
        <v>4719</v>
      </c>
      <c r="B416" s="27" t="s">
        <v>4720</v>
      </c>
      <c r="C416" s="180">
        <v>44364</v>
      </c>
      <c r="D416" s="28">
        <v>19</v>
      </c>
      <c r="E416" s="49">
        <v>-6</v>
      </c>
      <c r="F416" s="211">
        <f>IFERROR(Tableau6[[#This Row],[Score]]/Tableau6[[#This Row],[Nb]],0)</f>
        <v>-0.31578947368421051</v>
      </c>
    </row>
    <row r="417" spans="1:6" ht="30" customHeight="1" x14ac:dyDescent="0.3">
      <c r="A417" s="26" t="s">
        <v>300</v>
      </c>
      <c r="B417" s="27" t="s">
        <v>301</v>
      </c>
      <c r="C417" s="180">
        <v>40611</v>
      </c>
      <c r="D417" s="28">
        <v>16</v>
      </c>
      <c r="E417" s="49">
        <v>-5</v>
      </c>
      <c r="F417" s="211">
        <f>IFERROR(Tableau6[[#This Row],[Score]]/Tableau6[[#This Row],[Nb]],0)</f>
        <v>-0.3125</v>
      </c>
    </row>
    <row r="418" spans="1:6" ht="30" customHeight="1" x14ac:dyDescent="0.3">
      <c r="A418" s="26" t="s">
        <v>2352</v>
      </c>
      <c r="B418" s="27" t="s">
        <v>2353</v>
      </c>
      <c r="C418" s="180">
        <v>43771</v>
      </c>
      <c r="D418" s="28">
        <v>16</v>
      </c>
      <c r="E418" s="49">
        <v>-5</v>
      </c>
      <c r="F418" s="211">
        <f>IFERROR(Tableau6[[#This Row],[Score]]/Tableau6[[#This Row],[Nb]],0)</f>
        <v>-0.3125</v>
      </c>
    </row>
    <row r="419" spans="1:6" ht="30" customHeight="1" x14ac:dyDescent="0.3">
      <c r="A419" s="26" t="s">
        <v>4439</v>
      </c>
      <c r="B419" s="27" t="s">
        <v>2481</v>
      </c>
      <c r="C419" s="180">
        <v>43787</v>
      </c>
      <c r="D419" s="28">
        <v>13</v>
      </c>
      <c r="E419" s="49">
        <v>-4</v>
      </c>
      <c r="F419" s="211">
        <f>IFERROR(Tableau6[[#This Row],[Score]]/Tableau6[[#This Row],[Nb]],0)</f>
        <v>-0.30769230769230771</v>
      </c>
    </row>
    <row r="420" spans="1:6" ht="30" customHeight="1" x14ac:dyDescent="0.3">
      <c r="A420" s="26" t="s">
        <v>4658</v>
      </c>
      <c r="B420" s="27" t="s">
        <v>4659</v>
      </c>
      <c r="C420" s="180">
        <v>44350</v>
      </c>
      <c r="D420" s="28">
        <v>13</v>
      </c>
      <c r="E420" s="49">
        <v>-4</v>
      </c>
      <c r="F420" s="211">
        <f>IFERROR(Tableau6[[#This Row],[Score]]/Tableau6[[#This Row],[Nb]],0)</f>
        <v>-0.30769230769230771</v>
      </c>
    </row>
    <row r="421" spans="1:6" ht="30" customHeight="1" x14ac:dyDescent="0.3">
      <c r="A421" s="26" t="s">
        <v>452</v>
      </c>
      <c r="B421" s="27" t="s">
        <v>453</v>
      </c>
      <c r="C421" s="180">
        <v>40611</v>
      </c>
      <c r="D421" s="28">
        <v>23</v>
      </c>
      <c r="E421" s="49">
        <v>-7</v>
      </c>
      <c r="F421" s="211">
        <f>IFERROR(Tableau6[[#This Row],[Score]]/Tableau6[[#This Row],[Nb]],0)</f>
        <v>-0.30434782608695654</v>
      </c>
    </row>
    <row r="422" spans="1:6" ht="30" customHeight="1" x14ac:dyDescent="0.3">
      <c r="A422" s="26" t="s">
        <v>4529</v>
      </c>
      <c r="B422" s="27" t="s">
        <v>2944</v>
      </c>
      <c r="C422" s="180">
        <v>43984</v>
      </c>
      <c r="D422" s="28">
        <v>20</v>
      </c>
      <c r="E422" s="49">
        <v>-6</v>
      </c>
      <c r="F422" s="211">
        <f>IFERROR(Tableau6[[#This Row],[Score]]/Tableau6[[#This Row],[Nb]],0)</f>
        <v>-0.3</v>
      </c>
    </row>
    <row r="423" spans="1:6" ht="30" customHeight="1" x14ac:dyDescent="0.3">
      <c r="A423" s="26" t="s">
        <v>3035</v>
      </c>
      <c r="B423" s="27" t="s">
        <v>3036</v>
      </c>
      <c r="C423" s="180">
        <v>44004</v>
      </c>
      <c r="D423" s="28">
        <v>20</v>
      </c>
      <c r="E423" s="49">
        <v>-6</v>
      </c>
      <c r="F423" s="211">
        <f>IFERROR(Tableau6[[#This Row],[Score]]/Tableau6[[#This Row],[Nb]],0)</f>
        <v>-0.3</v>
      </c>
    </row>
    <row r="424" spans="1:6" ht="30" customHeight="1" x14ac:dyDescent="0.3">
      <c r="A424" s="26" t="s">
        <v>2307</v>
      </c>
      <c r="B424" s="27" t="s">
        <v>2308</v>
      </c>
      <c r="C424" s="180">
        <v>43767</v>
      </c>
      <c r="D424" s="28">
        <v>27</v>
      </c>
      <c r="E424" s="49">
        <v>-8</v>
      </c>
      <c r="F424" s="211">
        <f>IFERROR(Tableau6[[#This Row],[Score]]/Tableau6[[#This Row],[Nb]],0)</f>
        <v>-0.29629629629629628</v>
      </c>
    </row>
    <row r="425" spans="1:6" ht="30" customHeight="1" x14ac:dyDescent="0.3">
      <c r="A425" s="26" t="s">
        <v>4195</v>
      </c>
      <c r="B425" s="27" t="s">
        <v>4196</v>
      </c>
      <c r="C425" s="180">
        <v>44276</v>
      </c>
      <c r="D425" s="28">
        <v>27</v>
      </c>
      <c r="E425" s="49">
        <v>-8</v>
      </c>
      <c r="F425" s="211">
        <f>IFERROR(Tableau6[[#This Row],[Score]]/Tableau6[[#This Row],[Nb]],0)</f>
        <v>-0.29629629629629628</v>
      </c>
    </row>
    <row r="426" spans="1:6" ht="30" customHeight="1" x14ac:dyDescent="0.3">
      <c r="A426" s="26" t="s">
        <v>203</v>
      </c>
      <c r="B426" s="27" t="s">
        <v>4526</v>
      </c>
      <c r="C426" s="180">
        <v>43401</v>
      </c>
      <c r="D426" s="28">
        <v>17</v>
      </c>
      <c r="E426" s="49">
        <v>-5</v>
      </c>
      <c r="F426" s="211">
        <f>IFERROR(Tableau6[[#This Row],[Score]]/Tableau6[[#This Row],[Nb]],0)</f>
        <v>-0.29411764705882354</v>
      </c>
    </row>
    <row r="427" spans="1:6" ht="30" customHeight="1" x14ac:dyDescent="0.3">
      <c r="A427" s="26" t="s">
        <v>2912</v>
      </c>
      <c r="B427" s="27" t="s">
        <v>2913</v>
      </c>
      <c r="C427" s="180">
        <v>43969</v>
      </c>
      <c r="D427" s="28">
        <v>17</v>
      </c>
      <c r="E427" s="49">
        <v>-5</v>
      </c>
      <c r="F427" s="211">
        <f>IFERROR(Tableau6[[#This Row],[Score]]/Tableau6[[#This Row],[Nb]],0)</f>
        <v>-0.29411764705882354</v>
      </c>
    </row>
    <row r="428" spans="1:6" ht="30" customHeight="1" x14ac:dyDescent="0.3">
      <c r="A428" s="26" t="s">
        <v>4978</v>
      </c>
      <c r="B428" s="27" t="s">
        <v>4979</v>
      </c>
      <c r="C428" s="180">
        <v>44433</v>
      </c>
      <c r="D428" s="28">
        <v>17</v>
      </c>
      <c r="E428" s="49">
        <v>-5</v>
      </c>
      <c r="F428" s="211">
        <f>IFERROR(Tableau6[[#This Row],[Score]]/Tableau6[[#This Row],[Nb]],0)</f>
        <v>-0.29411764705882354</v>
      </c>
    </row>
    <row r="429" spans="1:6" ht="30" customHeight="1" x14ac:dyDescent="0.3">
      <c r="A429" s="26" t="s">
        <v>1147</v>
      </c>
      <c r="B429" s="27" t="s">
        <v>3825</v>
      </c>
      <c r="C429" s="180">
        <v>43423</v>
      </c>
      <c r="D429" s="28">
        <v>21</v>
      </c>
      <c r="E429" s="49">
        <v>-6</v>
      </c>
      <c r="F429" s="211">
        <f>IFERROR(Tableau6[[#This Row],[Score]]/Tableau6[[#This Row],[Nb]],0)</f>
        <v>-0.2857142857142857</v>
      </c>
    </row>
    <row r="430" spans="1:6" ht="30" customHeight="1" x14ac:dyDescent="0.3">
      <c r="A430" s="26" t="s">
        <v>2667</v>
      </c>
      <c r="B430" s="27" t="s">
        <v>1324</v>
      </c>
      <c r="C430" s="180">
        <v>43872</v>
      </c>
      <c r="D430" s="28">
        <v>28</v>
      </c>
      <c r="E430" s="49">
        <v>-8</v>
      </c>
      <c r="F430" s="211">
        <f>IFERROR(Tableau6[[#This Row],[Score]]/Tableau6[[#This Row],[Nb]],0)</f>
        <v>-0.2857142857142857</v>
      </c>
    </row>
    <row r="431" spans="1:6" ht="30" customHeight="1" x14ac:dyDescent="0.3">
      <c r="A431" s="151" t="s">
        <v>5319</v>
      </c>
      <c r="B431" s="152" t="s">
        <v>5320</v>
      </c>
      <c r="C431" s="208">
        <v>44534</v>
      </c>
      <c r="D431" s="154">
        <v>14</v>
      </c>
      <c r="E431" s="154">
        <v>-4</v>
      </c>
      <c r="F431" s="211">
        <f>IFERROR(Tableau6[[#This Row],[Score]]/Tableau6[[#This Row],[Nb]],0)</f>
        <v>-0.2857142857142857</v>
      </c>
    </row>
    <row r="432" spans="1:6" ht="30" customHeight="1" x14ac:dyDescent="0.3">
      <c r="A432" s="151" t="s">
        <v>5142</v>
      </c>
      <c r="B432" s="27" t="s">
        <v>226</v>
      </c>
      <c r="C432" s="180">
        <v>43398</v>
      </c>
      <c r="D432" s="28">
        <v>18</v>
      </c>
      <c r="E432" s="49">
        <v>-5</v>
      </c>
      <c r="F432" s="211">
        <f>IFERROR(Tableau6[[#This Row],[Score]]/Tableau6[[#This Row],[Nb]],0)</f>
        <v>-0.27777777777777779</v>
      </c>
    </row>
    <row r="433" spans="1:6" ht="30" customHeight="1" x14ac:dyDescent="0.3">
      <c r="A433" s="26" t="s">
        <v>1407</v>
      </c>
      <c r="B433" s="27" t="s">
        <v>1408</v>
      </c>
      <c r="C433" s="180">
        <v>43451</v>
      </c>
      <c r="D433" s="28">
        <v>18</v>
      </c>
      <c r="E433" s="49">
        <v>-5</v>
      </c>
      <c r="F433" s="211">
        <f>IFERROR(Tableau6[[#This Row],[Score]]/Tableau6[[#This Row],[Nb]],0)</f>
        <v>-0.27777777777777779</v>
      </c>
    </row>
    <row r="434" spans="1:6" ht="30" customHeight="1" x14ac:dyDescent="0.3">
      <c r="A434" s="151" t="s">
        <v>5736</v>
      </c>
      <c r="B434" s="27" t="s">
        <v>4424</v>
      </c>
      <c r="C434" s="180">
        <v>44299</v>
      </c>
      <c r="D434" s="28">
        <v>18</v>
      </c>
      <c r="E434" s="49">
        <v>-5</v>
      </c>
      <c r="F434" s="211">
        <f>IFERROR(Tableau6[[#This Row],[Score]]/Tableau6[[#This Row],[Nb]],0)</f>
        <v>-0.27777777777777779</v>
      </c>
    </row>
    <row r="435" spans="1:6" ht="30" customHeight="1" x14ac:dyDescent="0.3">
      <c r="A435" s="26" t="s">
        <v>351</v>
      </c>
      <c r="B435" s="27" t="s">
        <v>352</v>
      </c>
      <c r="C435" s="180">
        <v>40611</v>
      </c>
      <c r="D435" s="28">
        <v>11</v>
      </c>
      <c r="E435" s="49">
        <v>-3</v>
      </c>
      <c r="F435" s="211">
        <f>IFERROR(Tableau6[[#This Row],[Score]]/Tableau6[[#This Row],[Nb]],0)</f>
        <v>-0.27272727272727271</v>
      </c>
    </row>
    <row r="436" spans="1:6" ht="30" customHeight="1" x14ac:dyDescent="0.3">
      <c r="A436" s="26" t="s">
        <v>2287</v>
      </c>
      <c r="B436" s="27" t="s">
        <v>2288</v>
      </c>
      <c r="C436" s="180">
        <v>43767</v>
      </c>
      <c r="D436" s="28">
        <v>22</v>
      </c>
      <c r="E436" s="49">
        <v>-6</v>
      </c>
      <c r="F436" s="211">
        <f>IFERROR(Tableau6[[#This Row],[Score]]/Tableau6[[#This Row],[Nb]],0)</f>
        <v>-0.27272727272727271</v>
      </c>
    </row>
    <row r="437" spans="1:6" ht="30" customHeight="1" x14ac:dyDescent="0.3">
      <c r="A437" s="151" t="s">
        <v>5190</v>
      </c>
      <c r="B437" s="152" t="s">
        <v>5191</v>
      </c>
      <c r="C437" s="208">
        <v>44498</v>
      </c>
      <c r="D437" s="154">
        <v>11</v>
      </c>
      <c r="E437" s="154">
        <v>-3</v>
      </c>
      <c r="F437" s="211">
        <f>IFERROR(Tableau6[[#This Row],[Score]]/Tableau6[[#This Row],[Nb]],0)</f>
        <v>-0.27272727272727271</v>
      </c>
    </row>
    <row r="438" spans="1:6" ht="30" customHeight="1" x14ac:dyDescent="0.3">
      <c r="A438" s="151" t="s">
        <v>5381</v>
      </c>
      <c r="B438" s="152" t="s">
        <v>5380</v>
      </c>
      <c r="C438" s="208">
        <v>44559</v>
      </c>
      <c r="D438" s="154">
        <v>11</v>
      </c>
      <c r="E438" s="154">
        <v>-3</v>
      </c>
      <c r="F438" s="211">
        <f>IFERROR(Tableau6[[#This Row],[Score]]/Tableau6[[#This Row],[Nb]],0)</f>
        <v>-0.27272727272727271</v>
      </c>
    </row>
    <row r="439" spans="1:6" ht="30" customHeight="1" x14ac:dyDescent="0.3">
      <c r="A439" s="151" t="s">
        <v>5401</v>
      </c>
      <c r="B439" s="152" t="s">
        <v>5402</v>
      </c>
      <c r="C439" s="208">
        <v>44563</v>
      </c>
      <c r="D439" s="154">
        <v>11</v>
      </c>
      <c r="E439" s="154">
        <v>-3</v>
      </c>
      <c r="F439" s="211">
        <f>IFERROR(Tableau6[[#This Row],[Score]]/Tableau6[[#This Row],[Nb]],0)</f>
        <v>-0.27272727272727271</v>
      </c>
    </row>
    <row r="440" spans="1:6" ht="30" customHeight="1" x14ac:dyDescent="0.3">
      <c r="A440" s="26" t="s">
        <v>2575</v>
      </c>
      <c r="B440" s="27" t="s">
        <v>2576</v>
      </c>
      <c r="C440" s="180">
        <v>43848</v>
      </c>
      <c r="D440" s="28">
        <v>26</v>
      </c>
      <c r="E440" s="49">
        <v>-7</v>
      </c>
      <c r="F440" s="211">
        <f>IFERROR(Tableau6[[#This Row],[Score]]/Tableau6[[#This Row],[Nb]],0)</f>
        <v>-0.26923076923076922</v>
      </c>
    </row>
    <row r="441" spans="1:6" ht="30" customHeight="1" x14ac:dyDescent="0.3">
      <c r="A441" s="26" t="s">
        <v>3309</v>
      </c>
      <c r="B441" s="27" t="s">
        <v>462</v>
      </c>
      <c r="C441" s="180">
        <v>44004</v>
      </c>
      <c r="D441" s="28">
        <v>26</v>
      </c>
      <c r="E441" s="49">
        <v>-7</v>
      </c>
      <c r="F441" s="211">
        <f>IFERROR(Tableau6[[#This Row],[Score]]/Tableau6[[#This Row],[Nb]],0)</f>
        <v>-0.26923076923076922</v>
      </c>
    </row>
    <row r="442" spans="1:6" ht="30" customHeight="1" x14ac:dyDescent="0.3">
      <c r="A442" s="26" t="s">
        <v>169</v>
      </c>
      <c r="B442" s="27" t="s">
        <v>4898</v>
      </c>
      <c r="C442" s="180">
        <v>43377</v>
      </c>
      <c r="D442" s="28">
        <v>19</v>
      </c>
      <c r="E442" s="49">
        <v>-5</v>
      </c>
      <c r="F442" s="211">
        <f>IFERROR(Tableau6[[#This Row],[Score]]/Tableau6[[#This Row],[Nb]],0)</f>
        <v>-0.26315789473684209</v>
      </c>
    </row>
    <row r="443" spans="1:6" ht="30" customHeight="1" x14ac:dyDescent="0.3">
      <c r="A443" s="26" t="s">
        <v>2406</v>
      </c>
      <c r="B443" s="27" t="s">
        <v>4843</v>
      </c>
      <c r="C443" s="180">
        <v>44395</v>
      </c>
      <c r="D443" s="28">
        <v>19</v>
      </c>
      <c r="E443" s="49">
        <v>-5</v>
      </c>
      <c r="F443" s="211">
        <f>IFERROR(Tableau6[[#This Row],[Score]]/Tableau6[[#This Row],[Nb]],0)</f>
        <v>-0.26315789473684209</v>
      </c>
    </row>
    <row r="444" spans="1:6" ht="30" customHeight="1" x14ac:dyDescent="0.3">
      <c r="A444" s="26" t="s">
        <v>242</v>
      </c>
      <c r="B444" s="27" t="s">
        <v>243</v>
      </c>
      <c r="C444" s="180">
        <v>43397</v>
      </c>
      <c r="D444" s="28">
        <v>23</v>
      </c>
      <c r="E444" s="49">
        <v>-6</v>
      </c>
      <c r="F444" s="211">
        <f>IFERROR(Tableau6[[#This Row],[Score]]/Tableau6[[#This Row],[Nb]],0)</f>
        <v>-0.2608695652173913</v>
      </c>
    </row>
    <row r="445" spans="1:6" ht="30" customHeight="1" x14ac:dyDescent="0.3">
      <c r="A445" s="26" t="s">
        <v>291</v>
      </c>
      <c r="B445" s="27" t="s">
        <v>292</v>
      </c>
      <c r="C445" s="180">
        <v>40611</v>
      </c>
      <c r="D445" s="28">
        <v>20</v>
      </c>
      <c r="E445" s="49">
        <v>-5</v>
      </c>
      <c r="F445" s="211">
        <f>IFERROR(Tableau6[[#This Row],[Score]]/Tableau6[[#This Row],[Nb]],0)</f>
        <v>-0.25</v>
      </c>
    </row>
    <row r="446" spans="1:6" ht="30" customHeight="1" x14ac:dyDescent="0.3">
      <c r="A446" s="26" t="s">
        <v>3589</v>
      </c>
      <c r="B446" s="27" t="s">
        <v>3590</v>
      </c>
      <c r="C446" s="180">
        <v>41621</v>
      </c>
      <c r="D446" s="28">
        <v>20</v>
      </c>
      <c r="E446" s="49">
        <v>-5</v>
      </c>
      <c r="F446" s="211">
        <f>IFERROR(Tableau6[[#This Row],[Score]]/Tableau6[[#This Row],[Nb]],0)</f>
        <v>-0.25</v>
      </c>
    </row>
    <row r="447" spans="1:6" ht="30" customHeight="1" x14ac:dyDescent="0.3">
      <c r="A447" s="26" t="s">
        <v>588</v>
      </c>
      <c r="B447" s="27" t="s">
        <v>589</v>
      </c>
      <c r="C447" s="180">
        <v>43404</v>
      </c>
      <c r="D447" s="28">
        <v>12</v>
      </c>
      <c r="E447" s="49">
        <v>-3</v>
      </c>
      <c r="F447" s="211">
        <f>IFERROR(Tableau6[[#This Row],[Score]]/Tableau6[[#This Row],[Nb]],0)</f>
        <v>-0.25</v>
      </c>
    </row>
    <row r="448" spans="1:6" ht="30" customHeight="1" x14ac:dyDescent="0.3">
      <c r="A448" s="26" t="s">
        <v>1143</v>
      </c>
      <c r="B448" s="27" t="s">
        <v>1144</v>
      </c>
      <c r="C448" s="180">
        <v>43423</v>
      </c>
      <c r="D448" s="28">
        <v>16</v>
      </c>
      <c r="E448" s="49">
        <v>-4</v>
      </c>
      <c r="F448" s="211">
        <f>IFERROR(Tableau6[[#This Row],[Score]]/Tableau6[[#This Row],[Nb]],0)</f>
        <v>-0.25</v>
      </c>
    </row>
    <row r="449" spans="1:6" ht="30" customHeight="1" x14ac:dyDescent="0.3">
      <c r="A449" s="26" t="s">
        <v>4475</v>
      </c>
      <c r="B449" s="27" t="s">
        <v>4476</v>
      </c>
      <c r="C449" s="180">
        <v>43661</v>
      </c>
      <c r="D449" s="28">
        <v>24</v>
      </c>
      <c r="E449" s="49">
        <v>-6</v>
      </c>
      <c r="F449" s="211">
        <f>IFERROR(Tableau6[[#This Row],[Score]]/Tableau6[[#This Row],[Nb]],0)</f>
        <v>-0.25</v>
      </c>
    </row>
    <row r="450" spans="1:6" ht="30" customHeight="1" x14ac:dyDescent="0.3">
      <c r="A450" s="26" t="s">
        <v>4140</v>
      </c>
      <c r="B450" s="27" t="s">
        <v>2771</v>
      </c>
      <c r="C450" s="180">
        <v>44271</v>
      </c>
      <c r="D450" s="28">
        <v>16</v>
      </c>
      <c r="E450" s="49">
        <v>-4</v>
      </c>
      <c r="F450" s="211">
        <f>IFERROR(Tableau6[[#This Row],[Score]]/Tableau6[[#This Row],[Nb]],0)</f>
        <v>-0.25</v>
      </c>
    </row>
    <row r="451" spans="1:6" ht="30" customHeight="1" x14ac:dyDescent="0.3">
      <c r="A451" s="26" t="s">
        <v>4342</v>
      </c>
      <c r="B451" s="27" t="s">
        <v>4343</v>
      </c>
      <c r="C451" s="180">
        <v>44298</v>
      </c>
      <c r="D451" s="28">
        <v>12</v>
      </c>
      <c r="E451" s="49">
        <v>-3</v>
      </c>
      <c r="F451" s="211">
        <f>IFERROR(Tableau6[[#This Row],[Score]]/Tableau6[[#This Row],[Nb]],0)</f>
        <v>-0.25</v>
      </c>
    </row>
    <row r="452" spans="1:6" ht="30" customHeight="1" x14ac:dyDescent="0.3">
      <c r="A452" s="26" t="s">
        <v>4347</v>
      </c>
      <c r="B452" s="27" t="s">
        <v>4348</v>
      </c>
      <c r="C452" s="180">
        <v>44298</v>
      </c>
      <c r="D452" s="28">
        <v>12</v>
      </c>
      <c r="E452" s="49">
        <v>-3</v>
      </c>
      <c r="F452" s="211">
        <f>IFERROR(Tableau6[[#This Row],[Score]]/Tableau6[[#This Row],[Nb]],0)</f>
        <v>-0.25</v>
      </c>
    </row>
    <row r="453" spans="1:6" ht="30" customHeight="1" x14ac:dyDescent="0.3">
      <c r="A453" s="26" t="s">
        <v>4636</v>
      </c>
      <c r="B453" s="27" t="s">
        <v>4637</v>
      </c>
      <c r="C453" s="180">
        <v>44345</v>
      </c>
      <c r="D453" s="28">
        <v>16</v>
      </c>
      <c r="E453" s="49">
        <v>-4</v>
      </c>
      <c r="F453" s="211">
        <f>IFERROR(Tableau6[[#This Row],[Score]]/Tableau6[[#This Row],[Nb]],0)</f>
        <v>-0.25</v>
      </c>
    </row>
    <row r="454" spans="1:6" ht="30" customHeight="1" x14ac:dyDescent="0.3">
      <c r="A454" s="26" t="s">
        <v>4829</v>
      </c>
      <c r="B454" s="27" t="s">
        <v>4830</v>
      </c>
      <c r="C454" s="180">
        <v>44395</v>
      </c>
      <c r="D454" s="28">
        <v>12</v>
      </c>
      <c r="E454" s="49">
        <v>-3</v>
      </c>
      <c r="F454" s="211">
        <f>IFERROR(Tableau6[[#This Row],[Score]]/Tableau6[[#This Row],[Nb]],0)</f>
        <v>-0.25</v>
      </c>
    </row>
    <row r="455" spans="1:6" ht="30" customHeight="1" x14ac:dyDescent="0.3">
      <c r="A455" s="151" t="s">
        <v>5481</v>
      </c>
      <c r="B455" s="152" t="s">
        <v>5482</v>
      </c>
      <c r="C455" s="208">
        <v>44581</v>
      </c>
      <c r="D455" s="154">
        <v>8</v>
      </c>
      <c r="E455" s="154">
        <v>-2</v>
      </c>
      <c r="F455" s="211">
        <f>IFERROR(Tableau6[[#This Row],[Score]]/Tableau6[[#This Row],[Nb]],0)</f>
        <v>-0.25</v>
      </c>
    </row>
    <row r="456" spans="1:6" ht="30" customHeight="1" x14ac:dyDescent="0.3">
      <c r="A456" s="151" t="s">
        <v>6071</v>
      </c>
      <c r="B456" s="152" t="s">
        <v>6072</v>
      </c>
      <c r="C456" s="208">
        <v>44732</v>
      </c>
      <c r="D456" s="154">
        <v>8</v>
      </c>
      <c r="E456" s="154">
        <v>-2</v>
      </c>
      <c r="F456" s="211">
        <f>IFERROR(Tableau6[[#This Row],[Score]]/Tableau6[[#This Row],[Nb]],0)</f>
        <v>-0.25</v>
      </c>
    </row>
    <row r="457" spans="1:6" ht="30" customHeight="1" x14ac:dyDescent="0.3">
      <c r="A457" s="151" t="s">
        <v>6076</v>
      </c>
      <c r="B457" s="152" t="s">
        <v>6077</v>
      </c>
      <c r="C457" s="208">
        <v>44733</v>
      </c>
      <c r="D457" s="154">
        <v>8</v>
      </c>
      <c r="E457" s="154">
        <v>-2</v>
      </c>
      <c r="F457" s="211">
        <f>IFERROR(Tableau6[[#This Row],[Score]]/Tableau6[[#This Row],[Nb]],0)</f>
        <v>-0.25</v>
      </c>
    </row>
    <row r="458" spans="1:6" ht="30" customHeight="1" x14ac:dyDescent="0.3">
      <c r="A458" s="26" t="s">
        <v>1013</v>
      </c>
      <c r="B458" s="27" t="s">
        <v>1014</v>
      </c>
      <c r="C458" s="180">
        <v>41621</v>
      </c>
      <c r="D458" s="28">
        <v>21</v>
      </c>
      <c r="E458" s="49">
        <v>-5</v>
      </c>
      <c r="F458" s="211">
        <f>IFERROR(Tableau6[[#This Row],[Score]]/Tableau6[[#This Row],[Nb]],0)</f>
        <v>-0.23809523809523808</v>
      </c>
    </row>
    <row r="459" spans="1:6" ht="30" customHeight="1" x14ac:dyDescent="0.3">
      <c r="A459" s="26" t="s">
        <v>248</v>
      </c>
      <c r="B459" s="27" t="s">
        <v>406</v>
      </c>
      <c r="C459" s="180">
        <v>43397</v>
      </c>
      <c r="D459" s="28">
        <v>17</v>
      </c>
      <c r="E459" s="49">
        <v>-4</v>
      </c>
      <c r="F459" s="211">
        <f>IFERROR(Tableau6[[#This Row],[Score]]/Tableau6[[#This Row],[Nb]],0)</f>
        <v>-0.23529411764705882</v>
      </c>
    </row>
    <row r="460" spans="1:6" ht="30" customHeight="1" x14ac:dyDescent="0.3">
      <c r="A460" s="26" t="s">
        <v>560</v>
      </c>
      <c r="B460" s="27" t="s">
        <v>561</v>
      </c>
      <c r="C460" s="180">
        <v>43406</v>
      </c>
      <c r="D460" s="28">
        <v>17</v>
      </c>
      <c r="E460" s="49">
        <v>-4</v>
      </c>
      <c r="F460" s="211">
        <f>IFERROR(Tableau6[[#This Row],[Score]]/Tableau6[[#This Row],[Nb]],0)</f>
        <v>-0.23529411764705882</v>
      </c>
    </row>
    <row r="461" spans="1:6" ht="30" customHeight="1" x14ac:dyDescent="0.3">
      <c r="A461" s="26" t="s">
        <v>1386</v>
      </c>
      <c r="B461" s="27" t="s">
        <v>1387</v>
      </c>
      <c r="C461" s="180">
        <v>43444</v>
      </c>
      <c r="D461" s="28">
        <v>13</v>
      </c>
      <c r="E461" s="49">
        <v>-3</v>
      </c>
      <c r="F461" s="211">
        <f>IFERROR(Tableau6[[#This Row],[Score]]/Tableau6[[#This Row],[Nb]],0)</f>
        <v>-0.23076923076923078</v>
      </c>
    </row>
    <row r="462" spans="1:6" ht="30" customHeight="1" x14ac:dyDescent="0.3">
      <c r="A462" s="26" t="s">
        <v>2524</v>
      </c>
      <c r="B462" s="27" t="s">
        <v>2523</v>
      </c>
      <c r="C462" s="180">
        <v>43815</v>
      </c>
      <c r="D462" s="28">
        <v>13</v>
      </c>
      <c r="E462" s="49">
        <v>-3</v>
      </c>
      <c r="F462" s="211">
        <f>IFERROR(Tableau6[[#This Row],[Score]]/Tableau6[[#This Row],[Nb]],0)</f>
        <v>-0.23076923076923078</v>
      </c>
    </row>
    <row r="463" spans="1:6" ht="30" customHeight="1" x14ac:dyDescent="0.3">
      <c r="A463" s="151" t="s">
        <v>5303</v>
      </c>
      <c r="B463" s="152" t="s">
        <v>5304</v>
      </c>
      <c r="C463" s="208">
        <v>44531</v>
      </c>
      <c r="D463" s="154">
        <v>13</v>
      </c>
      <c r="E463" s="154">
        <v>-3</v>
      </c>
      <c r="F463" s="211">
        <f>IFERROR(Tableau6[[#This Row],[Score]]/Tableau6[[#This Row],[Nb]],0)</f>
        <v>-0.23076923076923078</v>
      </c>
    </row>
    <row r="464" spans="1:6" ht="30" customHeight="1" x14ac:dyDescent="0.3">
      <c r="A464" s="151" t="s">
        <v>5680</v>
      </c>
      <c r="B464" s="152" t="s">
        <v>5681</v>
      </c>
      <c r="C464" s="208">
        <v>44621</v>
      </c>
      <c r="D464" s="154">
        <v>13</v>
      </c>
      <c r="E464" s="154">
        <v>-3</v>
      </c>
      <c r="F464" s="211">
        <f>IFERROR(Tableau6[[#This Row],[Score]]/Tableau6[[#This Row],[Nb]],0)</f>
        <v>-0.23076923076923078</v>
      </c>
    </row>
    <row r="465" spans="1:6" ht="30" customHeight="1" x14ac:dyDescent="0.3">
      <c r="A465" s="26" t="s">
        <v>950</v>
      </c>
      <c r="B465" s="27" t="s">
        <v>1590</v>
      </c>
      <c r="C465" s="180">
        <v>41621</v>
      </c>
      <c r="D465" s="28">
        <v>22</v>
      </c>
      <c r="E465" s="49">
        <v>-5</v>
      </c>
      <c r="F465" s="211">
        <f>IFERROR(Tableau6[[#This Row],[Score]]/Tableau6[[#This Row],[Nb]],0)</f>
        <v>-0.22727272727272727</v>
      </c>
    </row>
    <row r="466" spans="1:6" ht="30" customHeight="1" x14ac:dyDescent="0.3">
      <c r="A466" s="26" t="s">
        <v>3216</v>
      </c>
      <c r="B466" s="152" t="s">
        <v>6404</v>
      </c>
      <c r="C466" s="180">
        <v>43548</v>
      </c>
      <c r="D466" s="28">
        <v>22</v>
      </c>
      <c r="E466" s="49">
        <v>-5</v>
      </c>
      <c r="F466" s="211">
        <f>IFERROR(Tableau6[[#This Row],[Score]]/Tableau6[[#This Row],[Nb]],0)</f>
        <v>-0.22727272727272727</v>
      </c>
    </row>
    <row r="467" spans="1:6" ht="30" customHeight="1" x14ac:dyDescent="0.3">
      <c r="A467" s="26" t="s">
        <v>3786</v>
      </c>
      <c r="B467" s="27" t="s">
        <v>3787</v>
      </c>
      <c r="C467" s="180">
        <v>43761</v>
      </c>
      <c r="D467" s="28">
        <v>22</v>
      </c>
      <c r="E467" s="49">
        <v>-5</v>
      </c>
      <c r="F467" s="211">
        <f>IFERROR(Tableau6[[#This Row],[Score]]/Tableau6[[#This Row],[Nb]],0)</f>
        <v>-0.22727272727272727</v>
      </c>
    </row>
    <row r="468" spans="1:6" ht="30" customHeight="1" x14ac:dyDescent="0.3">
      <c r="A468" s="374" t="s">
        <v>6497</v>
      </c>
      <c r="B468" s="27" t="s">
        <v>2956</v>
      </c>
      <c r="C468" s="180">
        <v>43984</v>
      </c>
      <c r="D468" s="28">
        <v>22</v>
      </c>
      <c r="E468" s="49">
        <v>-5</v>
      </c>
      <c r="F468" s="211">
        <f>IFERROR(Tableau6[[#This Row],[Score]]/Tableau6[[#This Row],[Nb]],0)</f>
        <v>-0.22727272727272727</v>
      </c>
    </row>
    <row r="469" spans="1:6" ht="30" customHeight="1" x14ac:dyDescent="0.3">
      <c r="A469" s="26" t="s">
        <v>4704</v>
      </c>
      <c r="B469" s="27" t="s">
        <v>4705</v>
      </c>
      <c r="C469" s="180">
        <v>41621</v>
      </c>
      <c r="D469" s="28">
        <v>18</v>
      </c>
      <c r="E469" s="49">
        <v>-4</v>
      </c>
      <c r="F469" s="211">
        <f>IFERROR(Tableau6[[#This Row],[Score]]/Tableau6[[#This Row],[Nb]],0)</f>
        <v>-0.22222222222222221</v>
      </c>
    </row>
    <row r="470" spans="1:6" ht="30" customHeight="1" x14ac:dyDescent="0.3">
      <c r="A470" s="26" t="s">
        <v>1595</v>
      </c>
      <c r="B470" s="152" t="s">
        <v>6075</v>
      </c>
      <c r="C470" s="180">
        <v>41621</v>
      </c>
      <c r="D470" s="28">
        <v>18</v>
      </c>
      <c r="E470" s="49">
        <v>-4</v>
      </c>
      <c r="F470" s="211">
        <f>IFERROR(Tableau6[[#This Row],[Score]]/Tableau6[[#This Row],[Nb]],0)</f>
        <v>-0.22222222222222221</v>
      </c>
    </row>
    <row r="471" spans="1:6" ht="30" customHeight="1" x14ac:dyDescent="0.3">
      <c r="A471" s="26" t="s">
        <v>2826</v>
      </c>
      <c r="B471" s="27" t="s">
        <v>2827</v>
      </c>
      <c r="C471" s="180">
        <v>43962</v>
      </c>
      <c r="D471" s="28">
        <v>18</v>
      </c>
      <c r="E471" s="49">
        <v>-4</v>
      </c>
      <c r="F471" s="211">
        <f>IFERROR(Tableau6[[#This Row],[Score]]/Tableau6[[#This Row],[Nb]],0)</f>
        <v>-0.22222222222222221</v>
      </c>
    </row>
    <row r="472" spans="1:6" ht="30" customHeight="1" x14ac:dyDescent="0.3">
      <c r="A472" s="151" t="s">
        <v>5456</v>
      </c>
      <c r="B472" s="152" t="s">
        <v>5457</v>
      </c>
      <c r="C472" s="208">
        <v>44575</v>
      </c>
      <c r="D472" s="154">
        <v>18</v>
      </c>
      <c r="E472" s="154">
        <v>-4</v>
      </c>
      <c r="F472" s="211">
        <f>IFERROR(Tableau6[[#This Row],[Score]]/Tableau6[[#This Row],[Nb]],0)</f>
        <v>-0.22222222222222221</v>
      </c>
    </row>
    <row r="473" spans="1:6" ht="30" customHeight="1" x14ac:dyDescent="0.3">
      <c r="A473" s="26" t="s">
        <v>476</v>
      </c>
      <c r="B473" s="27" t="s">
        <v>477</v>
      </c>
      <c r="C473" s="180">
        <v>40611</v>
      </c>
      <c r="D473" s="28">
        <v>14</v>
      </c>
      <c r="E473" s="49">
        <v>-3</v>
      </c>
      <c r="F473" s="211">
        <f>IFERROR(Tableau6[[#This Row],[Score]]/Tableau6[[#This Row],[Nb]],0)</f>
        <v>-0.21428571428571427</v>
      </c>
    </row>
    <row r="474" spans="1:6" ht="30" customHeight="1" x14ac:dyDescent="0.3">
      <c r="A474" s="26" t="s">
        <v>576</v>
      </c>
      <c r="B474" s="27" t="s">
        <v>1527</v>
      </c>
      <c r="C474" s="180">
        <v>43405</v>
      </c>
      <c r="D474" s="28">
        <v>19</v>
      </c>
      <c r="E474" s="49">
        <v>-4</v>
      </c>
      <c r="F474" s="211">
        <f>IFERROR(Tableau6[[#This Row],[Score]]/Tableau6[[#This Row],[Nb]],0)</f>
        <v>-0.21052631578947367</v>
      </c>
    </row>
    <row r="475" spans="1:6" ht="30" customHeight="1" x14ac:dyDescent="0.3">
      <c r="A475" s="26" t="s">
        <v>255</v>
      </c>
      <c r="B475" s="27" t="s">
        <v>256</v>
      </c>
      <c r="C475" s="180">
        <v>43397</v>
      </c>
      <c r="D475" s="28">
        <v>29</v>
      </c>
      <c r="E475" s="49">
        <v>-6</v>
      </c>
      <c r="F475" s="211">
        <f>IFERROR(Tableau6[[#This Row],[Score]]/Tableau6[[#This Row],[Nb]],0)</f>
        <v>-0.20689655172413793</v>
      </c>
    </row>
    <row r="476" spans="1:6" ht="30" customHeight="1" x14ac:dyDescent="0.3">
      <c r="A476" s="26" t="s">
        <v>3839</v>
      </c>
      <c r="B476" s="27" t="s">
        <v>3840</v>
      </c>
      <c r="C476" s="180">
        <v>43848</v>
      </c>
      <c r="D476" s="28">
        <v>10</v>
      </c>
      <c r="E476" s="49">
        <v>-2</v>
      </c>
      <c r="F476" s="211">
        <f>IFERROR(Tableau6[[#This Row],[Score]]/Tableau6[[#This Row],[Nb]],0)</f>
        <v>-0.2</v>
      </c>
    </row>
    <row r="477" spans="1:6" ht="30" customHeight="1" x14ac:dyDescent="0.3">
      <c r="A477" s="26" t="s">
        <v>5025</v>
      </c>
      <c r="B477" s="27" t="s">
        <v>5026</v>
      </c>
      <c r="C477" s="180">
        <v>44443</v>
      </c>
      <c r="D477" s="28">
        <v>15</v>
      </c>
      <c r="E477" s="49">
        <v>-3</v>
      </c>
      <c r="F477" s="211">
        <f>IFERROR(Tableau6[[#This Row],[Score]]/Tableau6[[#This Row],[Nb]],0)</f>
        <v>-0.2</v>
      </c>
    </row>
    <row r="478" spans="1:6" ht="30" customHeight="1" x14ac:dyDescent="0.3">
      <c r="A478" s="151" t="s">
        <v>5268</v>
      </c>
      <c r="B478" s="152" t="s">
        <v>5269</v>
      </c>
      <c r="C478" s="208">
        <v>44524</v>
      </c>
      <c r="D478" s="154">
        <v>5</v>
      </c>
      <c r="E478" s="154">
        <v>-1</v>
      </c>
      <c r="F478" s="211">
        <f>IFERROR(Tableau6[[#This Row],[Score]]/Tableau6[[#This Row],[Nb]],0)</f>
        <v>-0.2</v>
      </c>
    </row>
    <row r="479" spans="1:6" ht="30" customHeight="1" x14ac:dyDescent="0.3">
      <c r="A479" s="151" t="s">
        <v>5510</v>
      </c>
      <c r="B479" s="152" t="s">
        <v>5511</v>
      </c>
      <c r="C479" s="208">
        <v>44584</v>
      </c>
      <c r="D479" s="154">
        <v>15</v>
      </c>
      <c r="E479" s="154">
        <v>-3</v>
      </c>
      <c r="F479" s="211">
        <f>IFERROR(Tableau6[[#This Row],[Score]]/Tableau6[[#This Row],[Nb]],0)</f>
        <v>-0.2</v>
      </c>
    </row>
    <row r="480" spans="1:6" ht="30" customHeight="1" x14ac:dyDescent="0.3">
      <c r="A480" s="151" t="s">
        <v>5642</v>
      </c>
      <c r="B480" s="152" t="s">
        <v>5643</v>
      </c>
      <c r="C480" s="208">
        <v>44610</v>
      </c>
      <c r="D480" s="154">
        <v>10</v>
      </c>
      <c r="E480" s="154">
        <v>-2</v>
      </c>
      <c r="F480" s="211">
        <f>IFERROR(Tableau6[[#This Row],[Score]]/Tableau6[[#This Row],[Nb]],0)</f>
        <v>-0.2</v>
      </c>
    </row>
    <row r="481" spans="1:6" ht="30" customHeight="1" x14ac:dyDescent="0.3">
      <c r="A481" s="151" t="s">
        <v>5655</v>
      </c>
      <c r="B481" s="152" t="s">
        <v>5656</v>
      </c>
      <c r="C481" s="208">
        <v>44614</v>
      </c>
      <c r="D481" s="154">
        <v>5</v>
      </c>
      <c r="E481" s="154">
        <v>-1</v>
      </c>
      <c r="F481" s="211">
        <f>IFERROR(Tableau6[[#This Row],[Score]]/Tableau6[[#This Row],[Nb]],0)</f>
        <v>-0.2</v>
      </c>
    </row>
    <row r="482" spans="1:6" ht="30" customHeight="1" x14ac:dyDescent="0.3">
      <c r="A482" s="151" t="s">
        <v>5794</v>
      </c>
      <c r="B482" s="152" t="s">
        <v>5795</v>
      </c>
      <c r="C482" s="208">
        <v>44640</v>
      </c>
      <c r="D482" s="154">
        <v>5</v>
      </c>
      <c r="E482" s="154">
        <v>-1</v>
      </c>
      <c r="F482" s="211">
        <f>IFERROR(Tableau6[[#This Row],[Score]]/Tableau6[[#This Row],[Nb]],0)</f>
        <v>-0.2</v>
      </c>
    </row>
    <row r="483" spans="1:6" ht="30" customHeight="1" x14ac:dyDescent="0.3">
      <c r="A483" s="151" t="s">
        <v>5993</v>
      </c>
      <c r="B483" s="152" t="s">
        <v>5501</v>
      </c>
      <c r="C483" s="208">
        <v>44707</v>
      </c>
      <c r="D483" s="154">
        <v>5</v>
      </c>
      <c r="E483" s="154">
        <v>-1</v>
      </c>
      <c r="F483" s="211">
        <f>IFERROR(Tableau6[[#This Row],[Score]]/Tableau6[[#This Row],[Nb]],0)</f>
        <v>-0.2</v>
      </c>
    </row>
    <row r="484" spans="1:6" ht="30" customHeight="1" x14ac:dyDescent="0.3">
      <c r="A484" s="151" t="s">
        <v>6007</v>
      </c>
      <c r="B484" s="152" t="s">
        <v>6107</v>
      </c>
      <c r="C484" s="208">
        <v>44708</v>
      </c>
      <c r="D484" s="154">
        <v>5</v>
      </c>
      <c r="E484" s="154">
        <v>-1</v>
      </c>
      <c r="F484" s="211">
        <f>IFERROR(Tableau6[[#This Row],[Score]]/Tableau6[[#This Row],[Nb]],0)</f>
        <v>-0.2</v>
      </c>
    </row>
    <row r="485" spans="1:6" ht="30" customHeight="1" x14ac:dyDescent="0.3">
      <c r="A485" s="26" t="s">
        <v>1542</v>
      </c>
      <c r="B485" s="27" t="s">
        <v>1543</v>
      </c>
      <c r="C485" s="180">
        <v>40611</v>
      </c>
      <c r="D485" s="28">
        <v>26</v>
      </c>
      <c r="E485" s="49">
        <v>-5</v>
      </c>
      <c r="F485" s="211">
        <f>IFERROR(Tableau6[[#This Row],[Score]]/Tableau6[[#This Row],[Nb]],0)</f>
        <v>-0.19230769230769232</v>
      </c>
    </row>
    <row r="486" spans="1:6" ht="30" customHeight="1" x14ac:dyDescent="0.3">
      <c r="A486" s="151" t="s">
        <v>5874</v>
      </c>
      <c r="B486" s="27" t="s">
        <v>201</v>
      </c>
      <c r="C486" s="180">
        <v>43401</v>
      </c>
      <c r="D486" s="28">
        <v>26</v>
      </c>
      <c r="E486" s="49">
        <v>-5</v>
      </c>
      <c r="F486" s="211">
        <f>IFERROR(Tableau6[[#This Row],[Score]]/Tableau6[[#This Row],[Nb]],0)</f>
        <v>-0.19230769230769232</v>
      </c>
    </row>
    <row r="487" spans="1:6" ht="30" customHeight="1" x14ac:dyDescent="0.3">
      <c r="A487" s="26" t="s">
        <v>68</v>
      </c>
      <c r="B487" s="27" t="s">
        <v>67</v>
      </c>
      <c r="C487" s="180">
        <v>43311</v>
      </c>
      <c r="D487" s="28">
        <v>21</v>
      </c>
      <c r="E487" s="49">
        <v>-4</v>
      </c>
      <c r="F487" s="211">
        <f>IFERROR(Tableau6[[#This Row],[Score]]/Tableau6[[#This Row],[Nb]],0)</f>
        <v>-0.19047619047619047</v>
      </c>
    </row>
    <row r="488" spans="1:6" ht="30" customHeight="1" x14ac:dyDescent="0.3">
      <c r="A488" s="26" t="s">
        <v>2039</v>
      </c>
      <c r="B488" s="27" t="s">
        <v>2040</v>
      </c>
      <c r="C488" s="180">
        <v>43605</v>
      </c>
      <c r="D488" s="28">
        <v>27</v>
      </c>
      <c r="E488" s="49">
        <v>-5</v>
      </c>
      <c r="F488" s="211">
        <f>IFERROR(Tableau6[[#This Row],[Score]]/Tableau6[[#This Row],[Nb]],0)</f>
        <v>-0.18518518518518517</v>
      </c>
    </row>
    <row r="489" spans="1:6" ht="30" customHeight="1" x14ac:dyDescent="0.3">
      <c r="A489" s="26" t="s">
        <v>1016</v>
      </c>
      <c r="B489" s="92" t="s">
        <v>5089</v>
      </c>
      <c r="C489" s="180">
        <v>41621</v>
      </c>
      <c r="D489" s="28">
        <v>22</v>
      </c>
      <c r="E489" s="49">
        <v>-4</v>
      </c>
      <c r="F489" s="211">
        <f>IFERROR(Tableau6[[#This Row],[Score]]/Tableau6[[#This Row],[Nb]],0)</f>
        <v>-0.18181818181818182</v>
      </c>
    </row>
    <row r="490" spans="1:6" ht="30" customHeight="1" x14ac:dyDescent="0.3">
      <c r="A490" s="26" t="s">
        <v>1449</v>
      </c>
      <c r="B490" s="27" t="s">
        <v>3517</v>
      </c>
      <c r="C490" s="180">
        <v>43451</v>
      </c>
      <c r="D490" s="28">
        <v>22</v>
      </c>
      <c r="E490" s="49">
        <v>-4</v>
      </c>
      <c r="F490" s="211">
        <f>IFERROR(Tableau6[[#This Row],[Score]]/Tableau6[[#This Row],[Nb]],0)</f>
        <v>-0.18181818181818182</v>
      </c>
    </row>
    <row r="491" spans="1:6" ht="30" customHeight="1" x14ac:dyDescent="0.3">
      <c r="A491" s="151" t="s">
        <v>6375</v>
      </c>
      <c r="B491" s="27" t="s">
        <v>4899</v>
      </c>
      <c r="C491" s="180">
        <v>43689</v>
      </c>
      <c r="D491" s="28">
        <v>11</v>
      </c>
      <c r="E491" s="49">
        <v>-2</v>
      </c>
      <c r="F491" s="211">
        <f>IFERROR(Tableau6[[#This Row],[Score]]/Tableau6[[#This Row],[Nb]],0)</f>
        <v>-0.18181818181818182</v>
      </c>
    </row>
    <row r="492" spans="1:6" ht="30" customHeight="1" x14ac:dyDescent="0.3">
      <c r="A492" s="26" t="s">
        <v>4824</v>
      </c>
      <c r="B492" s="152" t="s">
        <v>6293</v>
      </c>
      <c r="C492" s="180">
        <v>44395</v>
      </c>
      <c r="D492" s="28">
        <v>22</v>
      </c>
      <c r="E492" s="49">
        <v>-4</v>
      </c>
      <c r="F492" s="211">
        <f>IFERROR(Tableau6[[#This Row],[Score]]/Tableau6[[#This Row],[Nb]],0)</f>
        <v>-0.18181818181818182</v>
      </c>
    </row>
    <row r="493" spans="1:6" ht="30" customHeight="1" x14ac:dyDescent="0.3">
      <c r="A493" s="26" t="s">
        <v>637</v>
      </c>
      <c r="B493" s="27" t="s">
        <v>4524</v>
      </c>
      <c r="C493" s="180">
        <v>41621</v>
      </c>
      <c r="D493" s="28">
        <v>28</v>
      </c>
      <c r="E493" s="49">
        <v>-5</v>
      </c>
      <c r="F493" s="211">
        <f>IFERROR(Tableau6[[#This Row],[Score]]/Tableau6[[#This Row],[Nb]],0)</f>
        <v>-0.17857142857142858</v>
      </c>
    </row>
    <row r="494" spans="1:6" ht="30" customHeight="1" x14ac:dyDescent="0.3">
      <c r="A494" s="26" t="s">
        <v>2555</v>
      </c>
      <c r="B494" s="27" t="s">
        <v>2556</v>
      </c>
      <c r="C494" s="180">
        <v>43826</v>
      </c>
      <c r="D494" s="28">
        <v>17</v>
      </c>
      <c r="E494" s="49">
        <v>-3</v>
      </c>
      <c r="F494" s="211">
        <f>IFERROR(Tableau6[[#This Row],[Score]]/Tableau6[[#This Row],[Nb]],0)</f>
        <v>-0.17647058823529413</v>
      </c>
    </row>
    <row r="495" spans="1:6" ht="30" customHeight="1" x14ac:dyDescent="0.3">
      <c r="A495" s="26" t="s">
        <v>2950</v>
      </c>
      <c r="B495" s="27" t="s">
        <v>2951</v>
      </c>
      <c r="C495" s="180">
        <v>43984</v>
      </c>
      <c r="D495" s="28">
        <v>17</v>
      </c>
      <c r="E495" s="49">
        <v>-3</v>
      </c>
      <c r="F495" s="211">
        <f>IFERROR(Tableau6[[#This Row],[Score]]/Tableau6[[#This Row],[Nb]],0)</f>
        <v>-0.17647058823529413</v>
      </c>
    </row>
    <row r="496" spans="1:6" ht="30" customHeight="1" x14ac:dyDescent="0.3">
      <c r="A496" s="26" t="s">
        <v>4764</v>
      </c>
      <c r="B496" s="27" t="s">
        <v>4765</v>
      </c>
      <c r="C496" s="180">
        <v>44372</v>
      </c>
      <c r="D496" s="28">
        <v>17</v>
      </c>
      <c r="E496" s="49">
        <v>-3</v>
      </c>
      <c r="F496" s="211">
        <f>IFERROR(Tableau6[[#This Row],[Score]]/Tableau6[[#This Row],[Nb]],0)</f>
        <v>-0.17647058823529413</v>
      </c>
    </row>
    <row r="497" spans="1:6" ht="30" customHeight="1" x14ac:dyDescent="0.3">
      <c r="A497" s="26" t="s">
        <v>4943</v>
      </c>
      <c r="B497" s="27" t="s">
        <v>4944</v>
      </c>
      <c r="C497" s="180">
        <v>44425</v>
      </c>
      <c r="D497" s="28">
        <v>17</v>
      </c>
      <c r="E497" s="49">
        <v>-3</v>
      </c>
      <c r="F497" s="211">
        <f>IFERROR(Tableau6[[#This Row],[Score]]/Tableau6[[#This Row],[Nb]],0)</f>
        <v>-0.17647058823529413</v>
      </c>
    </row>
    <row r="498" spans="1:6" ht="30" customHeight="1" x14ac:dyDescent="0.3">
      <c r="A498" s="72" t="s">
        <v>5071</v>
      </c>
      <c r="B498" s="73" t="s">
        <v>5072</v>
      </c>
      <c r="C498" s="189">
        <v>44457</v>
      </c>
      <c r="D498" s="74">
        <v>17</v>
      </c>
      <c r="E498" s="74">
        <v>-3</v>
      </c>
      <c r="F498" s="211">
        <f>IFERROR(Tableau6[[#This Row],[Score]]/Tableau6[[#This Row],[Nb]],0)</f>
        <v>-0.17647058823529413</v>
      </c>
    </row>
    <row r="499" spans="1:6" ht="30" customHeight="1" x14ac:dyDescent="0.3">
      <c r="A499" s="151" t="s">
        <v>5221</v>
      </c>
      <c r="B499" s="152" t="s">
        <v>5222</v>
      </c>
      <c r="C499" s="208">
        <v>44515</v>
      </c>
      <c r="D499" s="154">
        <v>17</v>
      </c>
      <c r="E499" s="154">
        <v>-3</v>
      </c>
      <c r="F499" s="211">
        <f>IFERROR(Tableau6[[#This Row],[Score]]/Tableau6[[#This Row],[Nb]],0)</f>
        <v>-0.17647058823529413</v>
      </c>
    </row>
    <row r="500" spans="1:6" ht="30" customHeight="1" x14ac:dyDescent="0.3">
      <c r="A500" s="151" t="s">
        <v>5414</v>
      </c>
      <c r="B500" s="152" t="s">
        <v>5415</v>
      </c>
      <c r="C500" s="208">
        <v>44564</v>
      </c>
      <c r="D500" s="154">
        <v>17</v>
      </c>
      <c r="E500" s="154">
        <v>-3</v>
      </c>
      <c r="F500" s="211">
        <f>IFERROR(Tableau6[[#This Row],[Score]]/Tableau6[[#This Row],[Nb]],0)</f>
        <v>-0.17647058823529413</v>
      </c>
    </row>
    <row r="501" spans="1:6" ht="30" customHeight="1" x14ac:dyDescent="0.3">
      <c r="A501" s="26" t="s">
        <v>297</v>
      </c>
      <c r="B501" s="27" t="s">
        <v>298</v>
      </c>
      <c r="C501" s="180">
        <v>40611</v>
      </c>
      <c r="D501" s="28">
        <v>18</v>
      </c>
      <c r="E501" s="49">
        <v>-3</v>
      </c>
      <c r="F501" s="211">
        <f>IFERROR(Tableau6[[#This Row],[Score]]/Tableau6[[#This Row],[Nb]],0)</f>
        <v>-0.16666666666666666</v>
      </c>
    </row>
    <row r="502" spans="1:6" ht="30" customHeight="1" x14ac:dyDescent="0.3">
      <c r="A502" s="26" t="s">
        <v>164</v>
      </c>
      <c r="B502" s="27" t="s">
        <v>165</v>
      </c>
      <c r="C502" s="180">
        <v>43382</v>
      </c>
      <c r="D502" s="28">
        <v>18</v>
      </c>
      <c r="E502" s="49">
        <v>-3</v>
      </c>
      <c r="F502" s="211">
        <f>IFERROR(Tableau6[[#This Row],[Score]]/Tableau6[[#This Row],[Nb]],0)</f>
        <v>-0.16666666666666666</v>
      </c>
    </row>
    <row r="503" spans="1:6" ht="30" customHeight="1" x14ac:dyDescent="0.3">
      <c r="A503" s="26" t="s">
        <v>1363</v>
      </c>
      <c r="B503" s="27" t="s">
        <v>4013</v>
      </c>
      <c r="C503" s="180">
        <v>43444</v>
      </c>
      <c r="D503" s="28">
        <v>18</v>
      </c>
      <c r="E503" s="49">
        <v>-3</v>
      </c>
      <c r="F503" s="211">
        <f>IFERROR(Tableau6[[#This Row],[Score]]/Tableau6[[#This Row],[Nb]],0)</f>
        <v>-0.16666666666666666</v>
      </c>
    </row>
    <row r="504" spans="1:6" ht="30" customHeight="1" x14ac:dyDescent="0.3">
      <c r="A504" s="60" t="s">
        <v>5062</v>
      </c>
      <c r="B504" s="61" t="s">
        <v>2228</v>
      </c>
      <c r="C504" s="186">
        <v>44453</v>
      </c>
      <c r="D504" s="62">
        <v>12</v>
      </c>
      <c r="E504" s="62">
        <v>-2</v>
      </c>
      <c r="F504" s="211">
        <f>IFERROR(Tableau6[[#This Row],[Score]]/Tableau6[[#This Row],[Nb]],0)</f>
        <v>-0.16666666666666666</v>
      </c>
    </row>
    <row r="505" spans="1:6" ht="30" customHeight="1" x14ac:dyDescent="0.3">
      <c r="A505" s="151" t="s">
        <v>5131</v>
      </c>
      <c r="B505" s="152" t="s">
        <v>5132</v>
      </c>
      <c r="C505" s="207">
        <v>44471</v>
      </c>
      <c r="D505" s="148">
        <v>12</v>
      </c>
      <c r="E505" s="148">
        <v>-2</v>
      </c>
      <c r="F505" s="211">
        <f>IFERROR(Tableau6[[#This Row],[Score]]/Tableau6[[#This Row],[Nb]],0)</f>
        <v>-0.16666666666666666</v>
      </c>
    </row>
    <row r="506" spans="1:6" ht="30" customHeight="1" x14ac:dyDescent="0.3">
      <c r="A506" s="151" t="s">
        <v>5691</v>
      </c>
      <c r="B506" s="152" t="s">
        <v>5881</v>
      </c>
      <c r="C506" s="208">
        <v>44624</v>
      </c>
      <c r="D506" s="154">
        <v>12</v>
      </c>
      <c r="E506" s="154">
        <v>-2</v>
      </c>
      <c r="F506" s="211">
        <f>IFERROR(Tableau6[[#This Row],[Score]]/Tableau6[[#This Row],[Nb]],0)</f>
        <v>-0.16666666666666666</v>
      </c>
    </row>
    <row r="507" spans="1:6" ht="30" customHeight="1" x14ac:dyDescent="0.3">
      <c r="A507" s="26" t="s">
        <v>32</v>
      </c>
      <c r="B507" s="27" t="s">
        <v>3714</v>
      </c>
      <c r="C507" s="180">
        <v>41621</v>
      </c>
      <c r="D507" s="28">
        <v>25</v>
      </c>
      <c r="E507" s="49">
        <v>-4</v>
      </c>
      <c r="F507" s="211">
        <f>IFERROR(Tableau6[[#This Row],[Score]]/Tableau6[[#This Row],[Nb]],0)</f>
        <v>-0.16</v>
      </c>
    </row>
    <row r="508" spans="1:6" ht="30" customHeight="1" x14ac:dyDescent="0.3">
      <c r="A508" s="26" t="s">
        <v>1006</v>
      </c>
      <c r="B508" s="27" t="s">
        <v>826</v>
      </c>
      <c r="C508" s="180">
        <v>41621</v>
      </c>
      <c r="D508" s="28">
        <v>19</v>
      </c>
      <c r="E508" s="49">
        <v>-3</v>
      </c>
      <c r="F508" s="211">
        <f>IFERROR(Tableau6[[#This Row],[Score]]/Tableau6[[#This Row],[Nb]],0)</f>
        <v>-0.15789473684210525</v>
      </c>
    </row>
    <row r="509" spans="1:6" ht="30" customHeight="1" x14ac:dyDescent="0.3">
      <c r="A509" s="26" t="s">
        <v>3814</v>
      </c>
      <c r="B509" s="27" t="s">
        <v>257</v>
      </c>
      <c r="C509" s="180">
        <v>43397</v>
      </c>
      <c r="D509" s="28">
        <v>19</v>
      </c>
      <c r="E509" s="49">
        <v>-3</v>
      </c>
      <c r="F509" s="211">
        <f>IFERROR(Tableau6[[#This Row],[Score]]/Tableau6[[#This Row],[Nb]],0)</f>
        <v>-0.15789473684210525</v>
      </c>
    </row>
    <row r="510" spans="1:6" ht="30" customHeight="1" x14ac:dyDescent="0.3">
      <c r="A510" s="26" t="s">
        <v>4397</v>
      </c>
      <c r="B510" s="27" t="s">
        <v>4398</v>
      </c>
      <c r="C510" s="180">
        <v>44299</v>
      </c>
      <c r="D510" s="28">
        <v>19</v>
      </c>
      <c r="E510" s="49">
        <v>-3</v>
      </c>
      <c r="F510" s="211">
        <f>IFERROR(Tableau6[[#This Row],[Score]]/Tableau6[[#This Row],[Nb]],0)</f>
        <v>-0.15789473684210525</v>
      </c>
    </row>
    <row r="511" spans="1:6" ht="30" customHeight="1" x14ac:dyDescent="0.3">
      <c r="A511" s="151" t="s">
        <v>5576</v>
      </c>
      <c r="B511" s="152" t="s">
        <v>5577</v>
      </c>
      <c r="C511" s="208">
        <v>44594</v>
      </c>
      <c r="D511" s="154">
        <v>19</v>
      </c>
      <c r="E511" s="154">
        <v>-3</v>
      </c>
      <c r="F511" s="211">
        <f>IFERROR(Tableau6[[#This Row],[Score]]/Tableau6[[#This Row],[Nb]],0)</f>
        <v>-0.15789473684210525</v>
      </c>
    </row>
    <row r="512" spans="1:6" ht="30" customHeight="1" x14ac:dyDescent="0.3">
      <c r="A512" s="26" t="s">
        <v>442</v>
      </c>
      <c r="B512" s="27" t="s">
        <v>443</v>
      </c>
      <c r="C512" s="180">
        <v>40611</v>
      </c>
      <c r="D512" s="28">
        <v>13</v>
      </c>
      <c r="E512" s="49">
        <v>-2</v>
      </c>
      <c r="F512" s="211">
        <f>IFERROR(Tableau6[[#This Row],[Score]]/Tableau6[[#This Row],[Nb]],0)</f>
        <v>-0.15384615384615385</v>
      </c>
    </row>
    <row r="513" spans="1:6" ht="30" customHeight="1" x14ac:dyDescent="0.3">
      <c r="A513" s="26" t="s">
        <v>2544</v>
      </c>
      <c r="B513" s="27" t="s">
        <v>4589</v>
      </c>
      <c r="C513" s="180">
        <v>43826</v>
      </c>
      <c r="D513" s="28">
        <v>26</v>
      </c>
      <c r="E513" s="49">
        <v>-4</v>
      </c>
      <c r="F513" s="211">
        <f>IFERROR(Tableau6[[#This Row],[Score]]/Tableau6[[#This Row],[Nb]],0)</f>
        <v>-0.15384615384615385</v>
      </c>
    </row>
    <row r="514" spans="1:6" ht="30" customHeight="1" x14ac:dyDescent="0.3">
      <c r="A514" s="26" t="s">
        <v>2649</v>
      </c>
      <c r="B514" s="27" t="s">
        <v>2650</v>
      </c>
      <c r="C514" s="180">
        <v>43872</v>
      </c>
      <c r="D514" s="28">
        <v>27</v>
      </c>
      <c r="E514" s="49">
        <v>-4</v>
      </c>
      <c r="F514" s="211">
        <f>IFERROR(Tableau6[[#This Row],[Score]]/Tableau6[[#This Row],[Nb]],0)</f>
        <v>-0.14814814814814814</v>
      </c>
    </row>
    <row r="515" spans="1:6" ht="30" customHeight="1" x14ac:dyDescent="0.3">
      <c r="A515" s="26" t="s">
        <v>4420</v>
      </c>
      <c r="B515" s="27" t="s">
        <v>4421</v>
      </c>
      <c r="C515" s="180">
        <v>44299</v>
      </c>
      <c r="D515" s="28">
        <v>14</v>
      </c>
      <c r="E515" s="49">
        <v>-2</v>
      </c>
      <c r="F515" s="211">
        <f>IFERROR(Tableau6[[#This Row],[Score]]/Tableau6[[#This Row],[Nb]],0)</f>
        <v>-0.14285714285714285</v>
      </c>
    </row>
    <row r="516" spans="1:6" ht="30" customHeight="1" x14ac:dyDescent="0.3">
      <c r="A516" s="151" t="s">
        <v>5192</v>
      </c>
      <c r="B516" s="152" t="s">
        <v>5193</v>
      </c>
      <c r="C516" s="208">
        <v>44498</v>
      </c>
      <c r="D516" s="154">
        <v>14</v>
      </c>
      <c r="E516" s="154">
        <v>-2</v>
      </c>
      <c r="F516" s="211">
        <f>IFERROR(Tableau6[[#This Row],[Score]]/Tableau6[[#This Row],[Nb]],0)</f>
        <v>-0.14285714285714285</v>
      </c>
    </row>
    <row r="517" spans="1:6" ht="30" customHeight="1" x14ac:dyDescent="0.3">
      <c r="A517" s="151" t="s">
        <v>5212</v>
      </c>
      <c r="B517" s="152" t="s">
        <v>5213</v>
      </c>
      <c r="C517" s="208">
        <v>44510</v>
      </c>
      <c r="D517" s="154">
        <v>14</v>
      </c>
      <c r="E517" s="154">
        <v>-2</v>
      </c>
      <c r="F517" s="211">
        <f>IFERROR(Tableau6[[#This Row],[Score]]/Tableau6[[#This Row],[Nb]],0)</f>
        <v>-0.14285714285714285</v>
      </c>
    </row>
    <row r="518" spans="1:6" ht="30" customHeight="1" x14ac:dyDescent="0.3">
      <c r="A518" s="151" t="s">
        <v>5502</v>
      </c>
      <c r="B518" s="152" t="s">
        <v>5503</v>
      </c>
      <c r="C518" s="208">
        <v>44584</v>
      </c>
      <c r="D518" s="154">
        <v>7</v>
      </c>
      <c r="E518" s="154">
        <v>-1</v>
      </c>
      <c r="F518" s="211">
        <f>IFERROR(Tableau6[[#This Row],[Score]]/Tableau6[[#This Row],[Nb]],0)</f>
        <v>-0.14285714285714285</v>
      </c>
    </row>
    <row r="519" spans="1:6" ht="30" customHeight="1" x14ac:dyDescent="0.3">
      <c r="A519" s="151" t="s">
        <v>5514</v>
      </c>
      <c r="B519" s="152" t="s">
        <v>6128</v>
      </c>
      <c r="C519" s="208">
        <v>44585</v>
      </c>
      <c r="D519" s="154">
        <v>14</v>
      </c>
      <c r="E519" s="154">
        <v>-2</v>
      </c>
      <c r="F519" s="211">
        <f>IFERROR(Tableau6[[#This Row],[Score]]/Tableau6[[#This Row],[Nb]],0)</f>
        <v>-0.14285714285714285</v>
      </c>
    </row>
    <row r="520" spans="1:6" ht="30" customHeight="1" x14ac:dyDescent="0.3">
      <c r="A520" s="151" t="s">
        <v>5784</v>
      </c>
      <c r="B520" s="152" t="s">
        <v>5785</v>
      </c>
      <c r="C520" s="208">
        <v>44640</v>
      </c>
      <c r="D520" s="154">
        <v>7</v>
      </c>
      <c r="E520" s="154">
        <v>-1</v>
      </c>
      <c r="F520" s="211">
        <f>IFERROR(Tableau6[[#This Row],[Score]]/Tableau6[[#This Row],[Nb]],0)</f>
        <v>-0.14285714285714285</v>
      </c>
    </row>
    <row r="521" spans="1:6" ht="30" customHeight="1" x14ac:dyDescent="0.3">
      <c r="A521" s="151" t="s">
        <v>5967</v>
      </c>
      <c r="B521" s="152" t="s">
        <v>5968</v>
      </c>
      <c r="C521" s="208">
        <v>44701</v>
      </c>
      <c r="D521" s="154">
        <v>7</v>
      </c>
      <c r="E521" s="154">
        <v>-1</v>
      </c>
      <c r="F521" s="211">
        <f>IFERROR(Tableau6[[#This Row],[Score]]/Tableau6[[#This Row],[Nb]],0)</f>
        <v>-0.14285714285714285</v>
      </c>
    </row>
    <row r="522" spans="1:6" ht="30" customHeight="1" x14ac:dyDescent="0.3">
      <c r="A522" s="151" t="s">
        <v>6031</v>
      </c>
      <c r="B522" s="152" t="s">
        <v>6032</v>
      </c>
      <c r="C522" s="208">
        <v>44717</v>
      </c>
      <c r="D522" s="154">
        <v>14</v>
      </c>
      <c r="E522" s="154">
        <v>-2</v>
      </c>
      <c r="F522" s="211">
        <f>IFERROR(Tableau6[[#This Row],[Score]]/Tableau6[[#This Row],[Nb]],0)</f>
        <v>-0.14285714285714285</v>
      </c>
    </row>
    <row r="523" spans="1:6" ht="30" customHeight="1" x14ac:dyDescent="0.3">
      <c r="A523" s="151" t="s">
        <v>6084</v>
      </c>
      <c r="B523" s="152" t="s">
        <v>2849</v>
      </c>
      <c r="C523" s="208">
        <v>44734</v>
      </c>
      <c r="D523" s="154">
        <v>7</v>
      </c>
      <c r="E523" s="154">
        <v>-1</v>
      </c>
      <c r="F523" s="211">
        <f>IFERROR(Tableau6[[#This Row],[Score]]/Tableau6[[#This Row],[Nb]],0)</f>
        <v>-0.14285714285714285</v>
      </c>
    </row>
    <row r="524" spans="1:6" ht="30" customHeight="1" x14ac:dyDescent="0.3">
      <c r="A524" s="151" t="s">
        <v>6226</v>
      </c>
      <c r="B524" s="152" t="s">
        <v>6225</v>
      </c>
      <c r="C524" s="208">
        <v>44843</v>
      </c>
      <c r="D524" s="154">
        <v>7</v>
      </c>
      <c r="E524" s="154">
        <v>-1</v>
      </c>
      <c r="F524" s="211">
        <f>IFERROR(Tableau6[[#This Row],[Score]]/Tableau6[[#This Row],[Nb]],0)</f>
        <v>-0.14285714285714285</v>
      </c>
    </row>
    <row r="525" spans="1:6" ht="30" customHeight="1" x14ac:dyDescent="0.3">
      <c r="A525" s="151" t="s">
        <v>6287</v>
      </c>
      <c r="B525" s="152" t="s">
        <v>6288</v>
      </c>
      <c r="C525" s="208">
        <v>44869</v>
      </c>
      <c r="D525" s="154">
        <v>7</v>
      </c>
      <c r="E525" s="154">
        <v>-1</v>
      </c>
      <c r="F525" s="211">
        <f>IFERROR(Tableau6[[#This Row],[Score]]/Tableau6[[#This Row],[Nb]],0)</f>
        <v>-0.14285714285714285</v>
      </c>
    </row>
    <row r="526" spans="1:6" ht="30" customHeight="1" x14ac:dyDescent="0.3">
      <c r="A526" s="26" t="s">
        <v>3337</v>
      </c>
      <c r="B526" s="27" t="s">
        <v>3338</v>
      </c>
      <c r="C526" s="180">
        <v>43423</v>
      </c>
      <c r="D526" s="28">
        <v>22</v>
      </c>
      <c r="E526" s="49">
        <v>-3</v>
      </c>
      <c r="F526" s="211">
        <f>IFERROR(Tableau6[[#This Row],[Score]]/Tableau6[[#This Row],[Nb]],0)</f>
        <v>-0.13636363636363635</v>
      </c>
    </row>
    <row r="527" spans="1:6" ht="30" customHeight="1" x14ac:dyDescent="0.3">
      <c r="A527" s="26" t="s">
        <v>2443</v>
      </c>
      <c r="B527" s="27" t="s">
        <v>2444</v>
      </c>
      <c r="C527" s="180">
        <v>43776</v>
      </c>
      <c r="D527" s="28">
        <v>15</v>
      </c>
      <c r="E527" s="49">
        <v>-2</v>
      </c>
      <c r="F527" s="211">
        <f>IFERROR(Tableau6[[#This Row],[Score]]/Tableau6[[#This Row],[Nb]],0)</f>
        <v>-0.13333333333333333</v>
      </c>
    </row>
    <row r="528" spans="1:6" ht="30" customHeight="1" x14ac:dyDescent="0.3">
      <c r="A528" s="26" t="s">
        <v>4155</v>
      </c>
      <c r="B528" s="27" t="s">
        <v>4156</v>
      </c>
      <c r="C528" s="180">
        <v>44271</v>
      </c>
      <c r="D528" s="28">
        <v>15</v>
      </c>
      <c r="E528" s="49">
        <v>-2</v>
      </c>
      <c r="F528" s="211">
        <f>IFERROR(Tableau6[[#This Row],[Score]]/Tableau6[[#This Row],[Nb]],0)</f>
        <v>-0.13333333333333333</v>
      </c>
    </row>
    <row r="529" spans="1:6" ht="30" customHeight="1" x14ac:dyDescent="0.3">
      <c r="A529" s="26" t="s">
        <v>1177</v>
      </c>
      <c r="B529" s="27" t="s">
        <v>1178</v>
      </c>
      <c r="C529" s="180">
        <v>43422</v>
      </c>
      <c r="D529" s="28">
        <v>23</v>
      </c>
      <c r="E529" s="49">
        <v>-3</v>
      </c>
      <c r="F529" s="211">
        <f>IFERROR(Tableau6[[#This Row],[Score]]/Tableau6[[#This Row],[Nb]],0)</f>
        <v>-0.13043478260869565</v>
      </c>
    </row>
    <row r="530" spans="1:6" ht="30" customHeight="1" x14ac:dyDescent="0.3">
      <c r="A530" s="26" t="s">
        <v>4827</v>
      </c>
      <c r="B530" s="27" t="s">
        <v>4998</v>
      </c>
      <c r="C530" s="180">
        <v>44395</v>
      </c>
      <c r="D530" s="28">
        <v>23</v>
      </c>
      <c r="E530" s="49">
        <v>-3</v>
      </c>
      <c r="F530" s="211">
        <f>IFERROR(Tableau6[[#This Row],[Score]]/Tableau6[[#This Row],[Nb]],0)</f>
        <v>-0.13043478260869565</v>
      </c>
    </row>
    <row r="531" spans="1:6" ht="30" customHeight="1" x14ac:dyDescent="0.3">
      <c r="A531" s="26" t="s">
        <v>3025</v>
      </c>
      <c r="B531" s="27" t="s">
        <v>3026</v>
      </c>
      <c r="C531" s="180">
        <v>44004</v>
      </c>
      <c r="D531" s="28">
        <v>16</v>
      </c>
      <c r="E531" s="49">
        <v>-2</v>
      </c>
      <c r="F531" s="211">
        <f>IFERROR(Tableau6[[#This Row],[Score]]/Tableau6[[#This Row],[Nb]],0)</f>
        <v>-0.125</v>
      </c>
    </row>
    <row r="532" spans="1:6" ht="30" customHeight="1" x14ac:dyDescent="0.3">
      <c r="A532" s="26" t="s">
        <v>3319</v>
      </c>
      <c r="B532" s="27" t="s">
        <v>3320</v>
      </c>
      <c r="C532" s="180">
        <v>44042</v>
      </c>
      <c r="D532" s="28">
        <v>16</v>
      </c>
      <c r="E532" s="49">
        <v>-2</v>
      </c>
      <c r="F532" s="211">
        <f>IFERROR(Tableau6[[#This Row],[Score]]/Tableau6[[#This Row],[Nb]],0)</f>
        <v>-0.125</v>
      </c>
    </row>
    <row r="533" spans="1:6" ht="30" customHeight="1" x14ac:dyDescent="0.3">
      <c r="A533" s="151" t="s">
        <v>5420</v>
      </c>
      <c r="B533" s="152" t="s">
        <v>5421</v>
      </c>
      <c r="C533" s="208">
        <v>44564</v>
      </c>
      <c r="D533" s="154">
        <v>16</v>
      </c>
      <c r="E533" s="154">
        <v>-2</v>
      </c>
      <c r="F533" s="211">
        <f>IFERROR(Tableau6[[#This Row],[Score]]/Tableau6[[#This Row],[Nb]],0)</f>
        <v>-0.125</v>
      </c>
    </row>
    <row r="534" spans="1:6" ht="30" customHeight="1" x14ac:dyDescent="0.3">
      <c r="A534" s="26" t="s">
        <v>1238</v>
      </c>
      <c r="B534" s="27" t="s">
        <v>1239</v>
      </c>
      <c r="C534" s="180">
        <v>43428</v>
      </c>
      <c r="D534" s="28">
        <v>17</v>
      </c>
      <c r="E534" s="49">
        <v>-2</v>
      </c>
      <c r="F534" s="211">
        <f>IFERROR(Tableau6[[#This Row],[Score]]/Tableau6[[#This Row],[Nb]],0)</f>
        <v>-0.11764705882352941</v>
      </c>
    </row>
    <row r="535" spans="1:6" ht="30" customHeight="1" x14ac:dyDescent="0.3">
      <c r="A535" s="26" t="s">
        <v>2158</v>
      </c>
      <c r="B535" s="27" t="s">
        <v>2159</v>
      </c>
      <c r="C535" s="180">
        <v>43689</v>
      </c>
      <c r="D535" s="28">
        <v>17</v>
      </c>
      <c r="E535" s="49">
        <v>-2</v>
      </c>
      <c r="F535" s="211">
        <f>IFERROR(Tableau6[[#This Row],[Score]]/Tableau6[[#This Row],[Nb]],0)</f>
        <v>-0.11764705882352941</v>
      </c>
    </row>
    <row r="536" spans="1:6" ht="30" customHeight="1" x14ac:dyDescent="0.3">
      <c r="A536" s="26" t="s">
        <v>2276</v>
      </c>
      <c r="B536" s="27" t="s">
        <v>2277</v>
      </c>
      <c r="C536" s="180">
        <v>43767</v>
      </c>
      <c r="D536" s="28">
        <v>26</v>
      </c>
      <c r="E536" s="49">
        <v>-3</v>
      </c>
      <c r="F536" s="211">
        <f>IFERROR(Tableau6[[#This Row],[Score]]/Tableau6[[#This Row],[Nb]],0)</f>
        <v>-0.11538461538461539</v>
      </c>
    </row>
    <row r="537" spans="1:6" ht="30" customHeight="1" x14ac:dyDescent="0.3">
      <c r="A537" s="26" t="s">
        <v>4309</v>
      </c>
      <c r="B537" s="27" t="s">
        <v>4310</v>
      </c>
      <c r="C537" s="180">
        <v>44283</v>
      </c>
      <c r="D537" s="28">
        <v>26</v>
      </c>
      <c r="E537" s="49">
        <v>-3</v>
      </c>
      <c r="F537" s="211">
        <f>IFERROR(Tableau6[[#This Row],[Score]]/Tableau6[[#This Row],[Nb]],0)</f>
        <v>-0.11538461538461539</v>
      </c>
    </row>
    <row r="538" spans="1:6" ht="30" customHeight="1" x14ac:dyDescent="0.3">
      <c r="A538" s="26" t="s">
        <v>534</v>
      </c>
      <c r="B538" s="27" t="s">
        <v>535</v>
      </c>
      <c r="C538" s="180">
        <v>43408</v>
      </c>
      <c r="D538" s="28">
        <v>18</v>
      </c>
      <c r="E538" s="49">
        <v>-2</v>
      </c>
      <c r="F538" s="211">
        <f>IFERROR(Tableau6[[#This Row],[Score]]/Tableau6[[#This Row],[Nb]],0)</f>
        <v>-0.1111111111111111</v>
      </c>
    </row>
    <row r="539" spans="1:6" ht="30" customHeight="1" x14ac:dyDescent="0.3">
      <c r="A539" s="26" t="s">
        <v>2764</v>
      </c>
      <c r="B539" s="27" t="s">
        <v>2765</v>
      </c>
      <c r="C539" s="180">
        <v>43900</v>
      </c>
      <c r="D539" s="28">
        <v>18</v>
      </c>
      <c r="E539" s="49">
        <v>-2</v>
      </c>
      <c r="F539" s="211">
        <f>IFERROR(Tableau6[[#This Row],[Score]]/Tableau6[[#This Row],[Nb]],0)</f>
        <v>-0.1111111111111111</v>
      </c>
    </row>
    <row r="540" spans="1:6" ht="30" customHeight="1" x14ac:dyDescent="0.3">
      <c r="A540" s="26" t="s">
        <v>4274</v>
      </c>
      <c r="B540" s="27" t="s">
        <v>4275</v>
      </c>
      <c r="C540" s="180">
        <v>44283</v>
      </c>
      <c r="D540" s="28">
        <v>18</v>
      </c>
      <c r="E540" s="49">
        <v>-2</v>
      </c>
      <c r="F540" s="211">
        <f>IFERROR(Tableau6[[#This Row],[Score]]/Tableau6[[#This Row],[Nb]],0)</f>
        <v>-0.1111111111111111</v>
      </c>
    </row>
    <row r="541" spans="1:6" ht="30" customHeight="1" x14ac:dyDescent="0.3">
      <c r="A541" s="407" t="s">
        <v>6515</v>
      </c>
      <c r="B541" s="152" t="s">
        <v>5584</v>
      </c>
      <c r="C541" s="208">
        <v>44595</v>
      </c>
      <c r="D541" s="154">
        <v>9</v>
      </c>
      <c r="E541" s="154">
        <v>-1</v>
      </c>
      <c r="F541" s="211">
        <f>IFERROR(Tableau6[[#This Row],[Score]]/Tableau6[[#This Row],[Nb]],0)</f>
        <v>-0.1111111111111111</v>
      </c>
    </row>
    <row r="542" spans="1:6" ht="30" customHeight="1" x14ac:dyDescent="0.3">
      <c r="A542" s="151" t="s">
        <v>5597</v>
      </c>
      <c r="B542" s="152" t="s">
        <v>5596</v>
      </c>
      <c r="C542" s="208">
        <v>44600</v>
      </c>
      <c r="D542" s="154">
        <v>9</v>
      </c>
      <c r="E542" s="154">
        <v>-1</v>
      </c>
      <c r="F542" s="211">
        <f>IFERROR(Tableau6[[#This Row],[Score]]/Tableau6[[#This Row],[Nb]],0)</f>
        <v>-0.1111111111111111</v>
      </c>
    </row>
    <row r="543" spans="1:6" ht="30" customHeight="1" x14ac:dyDescent="0.3">
      <c r="A543" s="26" t="s">
        <v>478</v>
      </c>
      <c r="B543" s="27" t="s">
        <v>479</v>
      </c>
      <c r="C543" s="180">
        <v>40611</v>
      </c>
      <c r="D543" s="28">
        <v>20</v>
      </c>
      <c r="E543" s="49">
        <v>-2</v>
      </c>
      <c r="F543" s="211">
        <f>IFERROR(Tableau6[[#This Row],[Score]]/Tableau6[[#This Row],[Nb]],0)</f>
        <v>-0.1</v>
      </c>
    </row>
    <row r="544" spans="1:6" ht="30" customHeight="1" x14ac:dyDescent="0.3">
      <c r="A544" s="26" t="s">
        <v>2406</v>
      </c>
      <c r="B544" s="27" t="s">
        <v>2407</v>
      </c>
      <c r="C544" s="180">
        <v>41621</v>
      </c>
      <c r="D544" s="28">
        <v>20</v>
      </c>
      <c r="E544" s="49">
        <v>-2</v>
      </c>
      <c r="F544" s="211">
        <f>IFERROR(Tableau6[[#This Row],[Score]]/Tableau6[[#This Row],[Nb]],0)</f>
        <v>-0.1</v>
      </c>
    </row>
    <row r="545" spans="1:6" ht="30" customHeight="1" x14ac:dyDescent="0.3">
      <c r="A545" s="26" t="s">
        <v>579</v>
      </c>
      <c r="B545" s="27" t="s">
        <v>580</v>
      </c>
      <c r="C545" s="180">
        <v>43405</v>
      </c>
      <c r="D545" s="28">
        <v>20</v>
      </c>
      <c r="E545" s="49">
        <v>-2</v>
      </c>
      <c r="F545" s="211">
        <f>IFERROR(Tableau6[[#This Row],[Score]]/Tableau6[[#This Row],[Nb]],0)</f>
        <v>-0.1</v>
      </c>
    </row>
    <row r="546" spans="1:6" ht="30" customHeight="1" x14ac:dyDescent="0.3">
      <c r="A546" s="26" t="s">
        <v>2978</v>
      </c>
      <c r="B546" s="27" t="s">
        <v>2979</v>
      </c>
      <c r="C546" s="180">
        <v>43984</v>
      </c>
      <c r="D546" s="28">
        <v>30</v>
      </c>
      <c r="E546" s="49">
        <v>-3</v>
      </c>
      <c r="F546" s="211">
        <f>IFERROR(Tableau6[[#This Row],[Score]]/Tableau6[[#This Row],[Nb]],0)</f>
        <v>-0.1</v>
      </c>
    </row>
    <row r="547" spans="1:6" ht="30" customHeight="1" x14ac:dyDescent="0.3">
      <c r="A547" s="26" t="s">
        <v>3043</v>
      </c>
      <c r="B547" s="27" t="s">
        <v>3044</v>
      </c>
      <c r="C547" s="180">
        <v>44004</v>
      </c>
      <c r="D547" s="28">
        <v>20</v>
      </c>
      <c r="E547" s="49">
        <v>-2</v>
      </c>
      <c r="F547" s="211">
        <f>IFERROR(Tableau6[[#This Row],[Score]]/Tableau6[[#This Row],[Nb]],0)</f>
        <v>-0.1</v>
      </c>
    </row>
    <row r="548" spans="1:6" ht="30" customHeight="1" x14ac:dyDescent="0.3">
      <c r="A548" s="151" t="s">
        <v>5288</v>
      </c>
      <c r="B548" s="152" t="s">
        <v>5289</v>
      </c>
      <c r="C548" s="208">
        <v>44524</v>
      </c>
      <c r="D548" s="154">
        <v>10</v>
      </c>
      <c r="E548" s="154">
        <v>-1</v>
      </c>
      <c r="F548" s="211">
        <f>IFERROR(Tableau6[[#This Row],[Score]]/Tableau6[[#This Row],[Nb]],0)</f>
        <v>-0.1</v>
      </c>
    </row>
    <row r="549" spans="1:6" ht="30" customHeight="1" x14ac:dyDescent="0.3">
      <c r="A549" s="26" t="s">
        <v>284</v>
      </c>
      <c r="B549" s="27" t="s">
        <v>285</v>
      </c>
      <c r="C549" s="180">
        <v>40611</v>
      </c>
      <c r="D549" s="28">
        <v>21</v>
      </c>
      <c r="E549" s="49">
        <v>-2</v>
      </c>
      <c r="F549" s="211">
        <f>IFERROR(Tableau6[[#This Row],[Score]]/Tableau6[[#This Row],[Nb]],0)</f>
        <v>-9.5238095238095233E-2</v>
      </c>
    </row>
    <row r="550" spans="1:6" ht="30" customHeight="1" x14ac:dyDescent="0.3">
      <c r="A550" s="26" t="s">
        <v>409</v>
      </c>
      <c r="B550" s="27" t="s">
        <v>410</v>
      </c>
      <c r="C550" s="180">
        <v>40611</v>
      </c>
      <c r="D550" s="28">
        <v>21</v>
      </c>
      <c r="E550" s="49">
        <v>-2</v>
      </c>
      <c r="F550" s="211">
        <f>IFERROR(Tableau6[[#This Row],[Score]]/Tableau6[[#This Row],[Nb]],0)</f>
        <v>-9.5238095238095233E-2</v>
      </c>
    </row>
    <row r="551" spans="1:6" ht="30" customHeight="1" x14ac:dyDescent="0.3">
      <c r="A551" s="26" t="s">
        <v>636</v>
      </c>
      <c r="B551" s="27" t="s">
        <v>31</v>
      </c>
      <c r="C551" s="180">
        <v>41621</v>
      </c>
      <c r="D551" s="28">
        <v>21</v>
      </c>
      <c r="E551" s="49">
        <v>-2</v>
      </c>
      <c r="F551" s="211">
        <f>IFERROR(Tableau6[[#This Row],[Score]]/Tableau6[[#This Row],[Nb]],0)</f>
        <v>-9.5238095238095233E-2</v>
      </c>
    </row>
    <row r="552" spans="1:6" ht="30" customHeight="1" x14ac:dyDescent="0.3">
      <c r="A552" s="26" t="s">
        <v>1209</v>
      </c>
      <c r="B552" s="27" t="s">
        <v>1210</v>
      </c>
      <c r="C552" s="180">
        <v>43418</v>
      </c>
      <c r="D552" s="28">
        <v>21</v>
      </c>
      <c r="E552" s="49">
        <v>-2</v>
      </c>
      <c r="F552" s="211">
        <f>IFERROR(Tableau6[[#This Row],[Score]]/Tableau6[[#This Row],[Nb]],0)</f>
        <v>-9.5238095238095233E-2</v>
      </c>
    </row>
    <row r="553" spans="1:6" ht="30" customHeight="1" x14ac:dyDescent="0.3">
      <c r="A553" s="151" t="s">
        <v>6407</v>
      </c>
      <c r="B553" s="27" t="s">
        <v>1526</v>
      </c>
      <c r="C553" s="180">
        <v>43472</v>
      </c>
      <c r="D553" s="28">
        <v>21</v>
      </c>
      <c r="E553" s="49">
        <v>-2</v>
      </c>
      <c r="F553" s="211">
        <f>IFERROR(Tableau6[[#This Row],[Score]]/Tableau6[[#This Row],[Nb]],0)</f>
        <v>-9.5238095238095233E-2</v>
      </c>
    </row>
    <row r="554" spans="1:6" ht="30" customHeight="1" x14ac:dyDescent="0.3">
      <c r="A554" s="26" t="s">
        <v>4846</v>
      </c>
      <c r="B554" s="27" t="s">
        <v>4847</v>
      </c>
      <c r="C554" s="180">
        <v>44395</v>
      </c>
      <c r="D554" s="28">
        <v>21</v>
      </c>
      <c r="E554" s="49">
        <v>-2</v>
      </c>
      <c r="F554" s="211">
        <f>IFERROR(Tableau6[[#This Row],[Score]]/Tableau6[[#This Row],[Nb]],0)</f>
        <v>-9.5238095238095233E-2</v>
      </c>
    </row>
    <row r="555" spans="1:6" ht="30" customHeight="1" x14ac:dyDescent="0.3">
      <c r="A555" s="151" t="s">
        <v>5236</v>
      </c>
      <c r="B555" s="152" t="s">
        <v>5237</v>
      </c>
      <c r="C555" s="208">
        <v>44519</v>
      </c>
      <c r="D555" s="154">
        <v>11</v>
      </c>
      <c r="E555" s="154">
        <v>-1</v>
      </c>
      <c r="F555" s="211">
        <f>IFERROR(Tableau6[[#This Row],[Score]]/Tableau6[[#This Row],[Nb]],0)</f>
        <v>-9.0909090909090912E-2</v>
      </c>
    </row>
    <row r="556" spans="1:6" ht="30" customHeight="1" x14ac:dyDescent="0.3">
      <c r="A556" s="151" t="s">
        <v>5384</v>
      </c>
      <c r="B556" s="152" t="s">
        <v>5385</v>
      </c>
      <c r="C556" s="208">
        <v>44559</v>
      </c>
      <c r="D556" s="154">
        <v>11</v>
      </c>
      <c r="E556" s="154">
        <v>-1</v>
      </c>
      <c r="F556" s="211">
        <f>IFERROR(Tableau6[[#This Row],[Score]]/Tableau6[[#This Row],[Nb]],0)</f>
        <v>-9.0909090909090912E-2</v>
      </c>
    </row>
    <row r="557" spans="1:6" ht="30" customHeight="1" x14ac:dyDescent="0.3">
      <c r="A557" s="151" t="s">
        <v>5862</v>
      </c>
      <c r="B557" s="152" t="s">
        <v>5863</v>
      </c>
      <c r="C557" s="208">
        <v>44659</v>
      </c>
      <c r="D557" s="154">
        <v>11</v>
      </c>
      <c r="E557" s="154">
        <v>-1</v>
      </c>
      <c r="F557" s="211">
        <f>IFERROR(Tableau6[[#This Row],[Score]]/Tableau6[[#This Row],[Nb]],0)</f>
        <v>-9.0909090909090912E-2</v>
      </c>
    </row>
    <row r="558" spans="1:6" ht="30" customHeight="1" x14ac:dyDescent="0.3">
      <c r="A558" s="26" t="s">
        <v>543</v>
      </c>
      <c r="B558" s="27" t="s">
        <v>544</v>
      </c>
      <c r="C558" s="180">
        <v>43408</v>
      </c>
      <c r="D558" s="28">
        <v>23</v>
      </c>
      <c r="E558" s="49">
        <v>-2</v>
      </c>
      <c r="F558" s="211">
        <f>IFERROR(Tableau6[[#This Row],[Score]]/Tableau6[[#This Row],[Nb]],0)</f>
        <v>-8.6956521739130432E-2</v>
      </c>
    </row>
    <row r="559" spans="1:6" ht="30" customHeight="1" x14ac:dyDescent="0.3">
      <c r="A559" s="26" t="s">
        <v>2762</v>
      </c>
      <c r="B559" s="27" t="s">
        <v>2763</v>
      </c>
      <c r="C559" s="180">
        <v>43900</v>
      </c>
      <c r="D559" s="28">
        <v>24</v>
      </c>
      <c r="E559" s="49">
        <v>-2</v>
      </c>
      <c r="F559" s="211">
        <f>IFERROR(Tableau6[[#This Row],[Score]]/Tableau6[[#This Row],[Nb]],0)</f>
        <v>-8.3333333333333329E-2</v>
      </c>
    </row>
    <row r="560" spans="1:6" ht="30" customHeight="1" x14ac:dyDescent="0.3">
      <c r="A560" s="51" t="s">
        <v>5056</v>
      </c>
      <c r="B560" s="52" t="s">
        <v>5057</v>
      </c>
      <c r="C560" s="184">
        <v>44451</v>
      </c>
      <c r="D560" s="53">
        <v>25</v>
      </c>
      <c r="E560" s="53">
        <v>-2</v>
      </c>
      <c r="F560" s="211">
        <f>IFERROR(Tableau6[[#This Row],[Score]]/Tableau6[[#This Row],[Nb]],0)</f>
        <v>-0.08</v>
      </c>
    </row>
    <row r="561" spans="1:6" ht="30" customHeight="1" x14ac:dyDescent="0.3">
      <c r="A561" s="26" t="s">
        <v>4244</v>
      </c>
      <c r="B561" s="27" t="s">
        <v>2703</v>
      </c>
      <c r="C561" s="180">
        <v>43895</v>
      </c>
      <c r="D561" s="28">
        <v>13</v>
      </c>
      <c r="E561" s="49">
        <v>-1</v>
      </c>
      <c r="F561" s="211">
        <f>IFERROR(Tableau6[[#This Row],[Score]]/Tableau6[[#This Row],[Nb]],0)</f>
        <v>-7.6923076923076927E-2</v>
      </c>
    </row>
    <row r="562" spans="1:6" ht="30" customHeight="1" x14ac:dyDescent="0.3">
      <c r="A562" s="151" t="s">
        <v>5287</v>
      </c>
      <c r="B562" s="152" t="s">
        <v>5398</v>
      </c>
      <c r="C562" s="208">
        <v>44524</v>
      </c>
      <c r="D562" s="154">
        <v>13</v>
      </c>
      <c r="E562" s="154">
        <v>-1</v>
      </c>
      <c r="F562" s="211">
        <f>IFERROR(Tableau6[[#This Row],[Score]]/Tableau6[[#This Row],[Nb]],0)</f>
        <v>-7.6923076923076927E-2</v>
      </c>
    </row>
    <row r="563" spans="1:6" ht="30" customHeight="1" x14ac:dyDescent="0.3">
      <c r="A563" s="151" t="s">
        <v>6227</v>
      </c>
      <c r="B563" s="27" t="s">
        <v>170</v>
      </c>
      <c r="C563" s="180">
        <v>43377</v>
      </c>
      <c r="D563" s="28">
        <v>27</v>
      </c>
      <c r="E563" s="49">
        <v>-2</v>
      </c>
      <c r="F563" s="211">
        <f>IFERROR(Tableau6[[#This Row],[Score]]/Tableau6[[#This Row],[Nb]],0)</f>
        <v>-7.407407407407407E-2</v>
      </c>
    </row>
    <row r="564" spans="1:6" ht="30" customHeight="1" x14ac:dyDescent="0.3">
      <c r="A564" s="26" t="s">
        <v>2770</v>
      </c>
      <c r="B564" s="27" t="s">
        <v>2771</v>
      </c>
      <c r="C564" s="180">
        <v>43900</v>
      </c>
      <c r="D564" s="28">
        <v>27</v>
      </c>
      <c r="E564" s="49">
        <v>-2</v>
      </c>
      <c r="F564" s="211">
        <f>IFERROR(Tableau6[[#This Row],[Score]]/Tableau6[[#This Row],[Nb]],0)</f>
        <v>-7.407407407407407E-2</v>
      </c>
    </row>
    <row r="565" spans="1:6" ht="30" customHeight="1" x14ac:dyDescent="0.3">
      <c r="A565" s="26" t="s">
        <v>1572</v>
      </c>
      <c r="B565" s="152" t="s">
        <v>5141</v>
      </c>
      <c r="C565" s="180">
        <v>41621</v>
      </c>
      <c r="D565" s="28">
        <v>28</v>
      </c>
      <c r="E565" s="49">
        <v>-2</v>
      </c>
      <c r="F565" s="211">
        <f>IFERROR(Tableau6[[#This Row],[Score]]/Tableau6[[#This Row],[Nb]],0)</f>
        <v>-7.1428571428571425E-2</v>
      </c>
    </row>
    <row r="566" spans="1:6" ht="30" customHeight="1" x14ac:dyDescent="0.3">
      <c r="A566" s="26" t="s">
        <v>1421</v>
      </c>
      <c r="B566" s="27" t="s">
        <v>1422</v>
      </c>
      <c r="C566" s="180">
        <v>43451</v>
      </c>
      <c r="D566" s="28">
        <v>28</v>
      </c>
      <c r="E566" s="49">
        <v>-2</v>
      </c>
      <c r="F566" s="211">
        <f>IFERROR(Tableau6[[#This Row],[Score]]/Tableau6[[#This Row],[Nb]],0)</f>
        <v>-7.1428571428571425E-2</v>
      </c>
    </row>
    <row r="567" spans="1:6" ht="30" customHeight="1" x14ac:dyDescent="0.3">
      <c r="A567" s="26" t="s">
        <v>3967</v>
      </c>
      <c r="B567" s="27" t="s">
        <v>3966</v>
      </c>
      <c r="C567" s="180">
        <v>44262</v>
      </c>
      <c r="D567" s="28">
        <v>29</v>
      </c>
      <c r="E567" s="49">
        <v>-2</v>
      </c>
      <c r="F567" s="211">
        <f>IFERROR(Tableau6[[#This Row],[Score]]/Tableau6[[#This Row],[Nb]],0)</f>
        <v>-6.8965517241379309E-2</v>
      </c>
    </row>
    <row r="568" spans="1:6" ht="30" customHeight="1" x14ac:dyDescent="0.3">
      <c r="A568" s="26" t="s">
        <v>2418</v>
      </c>
      <c r="B568" s="27" t="s">
        <v>2419</v>
      </c>
      <c r="C568" s="180">
        <v>41621</v>
      </c>
      <c r="D568" s="28">
        <v>30</v>
      </c>
      <c r="E568" s="49">
        <v>-2</v>
      </c>
      <c r="F568" s="211">
        <f>IFERROR(Tableau6[[#This Row],[Score]]/Tableau6[[#This Row],[Nb]],0)</f>
        <v>-6.6666666666666666E-2</v>
      </c>
    </row>
    <row r="569" spans="1:6" ht="30" customHeight="1" x14ac:dyDescent="0.3">
      <c r="A569" s="26" t="s">
        <v>1148</v>
      </c>
      <c r="B569" s="27" t="s">
        <v>1149</v>
      </c>
      <c r="C569" s="180">
        <v>43423</v>
      </c>
      <c r="D569" s="28">
        <v>30</v>
      </c>
      <c r="E569" s="49">
        <v>-2</v>
      </c>
      <c r="F569" s="211">
        <f>IFERROR(Tableau6[[#This Row],[Score]]/Tableau6[[#This Row],[Nb]],0)</f>
        <v>-6.6666666666666666E-2</v>
      </c>
    </row>
    <row r="570" spans="1:6" ht="30" customHeight="1" x14ac:dyDescent="0.3">
      <c r="A570" s="151" t="s">
        <v>5582</v>
      </c>
      <c r="B570" s="152" t="s">
        <v>5583</v>
      </c>
      <c r="C570" s="208">
        <v>44595</v>
      </c>
      <c r="D570" s="154">
        <v>15</v>
      </c>
      <c r="E570" s="154">
        <v>-1</v>
      </c>
      <c r="F570" s="211">
        <f>IFERROR(Tableau6[[#This Row],[Score]]/Tableau6[[#This Row],[Nb]],0)</f>
        <v>-6.6666666666666666E-2</v>
      </c>
    </row>
    <row r="571" spans="1:6" ht="30" customHeight="1" x14ac:dyDescent="0.3">
      <c r="A571" s="26" t="s">
        <v>4268</v>
      </c>
      <c r="B571" s="27" t="s">
        <v>4269</v>
      </c>
      <c r="C571" s="180">
        <v>44283</v>
      </c>
      <c r="D571" s="28">
        <v>16</v>
      </c>
      <c r="E571" s="49">
        <v>-1</v>
      </c>
      <c r="F571" s="211">
        <f>IFERROR(Tableau6[[#This Row],[Score]]/Tableau6[[#This Row],[Nb]],0)</f>
        <v>-6.25E-2</v>
      </c>
    </row>
    <row r="572" spans="1:6" ht="30" customHeight="1" x14ac:dyDescent="0.3">
      <c r="A572" s="26" t="s">
        <v>2998</v>
      </c>
      <c r="B572" s="27" t="s">
        <v>2999</v>
      </c>
      <c r="C572" s="180">
        <v>43298</v>
      </c>
      <c r="D572" s="28">
        <v>17</v>
      </c>
      <c r="E572" s="49">
        <v>-1</v>
      </c>
      <c r="F572" s="211">
        <f>IFERROR(Tableau6[[#This Row],[Score]]/Tableau6[[#This Row],[Nb]],0)</f>
        <v>-5.8823529411764705E-2</v>
      </c>
    </row>
    <row r="573" spans="1:6" ht="30" customHeight="1" x14ac:dyDescent="0.3">
      <c r="A573" s="26" t="s">
        <v>3695</v>
      </c>
      <c r="B573" s="27" t="s">
        <v>2617</v>
      </c>
      <c r="C573" s="180">
        <v>43857</v>
      </c>
      <c r="D573" s="28">
        <v>19</v>
      </c>
      <c r="E573" s="49">
        <v>-1</v>
      </c>
      <c r="F573" s="211">
        <f>IFERROR(Tableau6[[#This Row],[Score]]/Tableau6[[#This Row],[Nb]],0)</f>
        <v>-5.2631578947368418E-2</v>
      </c>
    </row>
    <row r="574" spans="1:6" ht="30" customHeight="1" x14ac:dyDescent="0.3">
      <c r="A574" s="151" t="s">
        <v>5880</v>
      </c>
      <c r="B574" s="152" t="s">
        <v>5800</v>
      </c>
      <c r="C574" s="180">
        <v>43341</v>
      </c>
      <c r="D574" s="28">
        <v>20</v>
      </c>
      <c r="E574" s="49">
        <v>-1</v>
      </c>
      <c r="F574" s="211">
        <f>IFERROR(Tableau6[[#This Row],[Score]]/Tableau6[[#This Row],[Nb]],0)</f>
        <v>-0.05</v>
      </c>
    </row>
    <row r="575" spans="1:6" ht="30" customHeight="1" x14ac:dyDescent="0.3">
      <c r="A575" s="26" t="s">
        <v>2198</v>
      </c>
      <c r="B575" s="27" t="s">
        <v>3544</v>
      </c>
      <c r="C575" s="180">
        <v>43689</v>
      </c>
      <c r="D575" s="28">
        <v>20</v>
      </c>
      <c r="E575" s="49">
        <v>-1</v>
      </c>
      <c r="F575" s="211">
        <f>IFERROR(Tableau6[[#This Row],[Score]]/Tableau6[[#This Row],[Nb]],0)</f>
        <v>-0.05</v>
      </c>
    </row>
    <row r="576" spans="1:6" ht="30" customHeight="1" x14ac:dyDescent="0.3">
      <c r="A576" s="26" t="s">
        <v>3245</v>
      </c>
      <c r="B576" s="152" t="s">
        <v>6325</v>
      </c>
      <c r="C576" s="180">
        <v>44026</v>
      </c>
      <c r="D576" s="28">
        <v>20</v>
      </c>
      <c r="E576" s="49">
        <v>-1</v>
      </c>
      <c r="F576" s="211">
        <f>IFERROR(Tableau6[[#This Row],[Score]]/Tableau6[[#This Row],[Nb]],0)</f>
        <v>-0.05</v>
      </c>
    </row>
    <row r="577" spans="1:6" ht="30" customHeight="1" x14ac:dyDescent="0.3">
      <c r="A577" s="26" t="s">
        <v>3466</v>
      </c>
      <c r="B577" s="27" t="s">
        <v>3467</v>
      </c>
      <c r="C577" s="180">
        <v>44201</v>
      </c>
      <c r="D577" s="28">
        <v>20</v>
      </c>
      <c r="E577" s="49">
        <v>-1</v>
      </c>
      <c r="F577" s="211">
        <f>IFERROR(Tableau6[[#This Row],[Score]]/Tableau6[[#This Row],[Nb]],0)</f>
        <v>-0.05</v>
      </c>
    </row>
    <row r="578" spans="1:6" ht="30" customHeight="1" x14ac:dyDescent="0.3">
      <c r="A578" s="26" t="s">
        <v>1464</v>
      </c>
      <c r="B578" s="27" t="s">
        <v>1465</v>
      </c>
      <c r="C578" s="180">
        <v>43341</v>
      </c>
      <c r="D578" s="28">
        <v>22</v>
      </c>
      <c r="E578" s="49">
        <v>-1</v>
      </c>
      <c r="F578" s="211">
        <f>IFERROR(Tableau6[[#This Row],[Score]]/Tableau6[[#This Row],[Nb]],0)</f>
        <v>-4.5454545454545456E-2</v>
      </c>
    </row>
    <row r="579" spans="1:6" ht="30" customHeight="1" x14ac:dyDescent="0.3">
      <c r="A579" s="26" t="s">
        <v>101</v>
      </c>
      <c r="B579" s="27" t="s">
        <v>102</v>
      </c>
      <c r="C579" s="180">
        <v>43341</v>
      </c>
      <c r="D579" s="28">
        <v>22</v>
      </c>
      <c r="E579" s="49">
        <v>-1</v>
      </c>
      <c r="F579" s="211">
        <f>IFERROR(Tableau6[[#This Row],[Score]]/Tableau6[[#This Row],[Nb]],0)</f>
        <v>-4.5454545454545456E-2</v>
      </c>
    </row>
    <row r="580" spans="1:6" ht="30" customHeight="1" x14ac:dyDescent="0.3">
      <c r="A580" s="26" t="s">
        <v>3599</v>
      </c>
      <c r="B580" s="27" t="s">
        <v>3600</v>
      </c>
      <c r="C580" s="180">
        <v>43406</v>
      </c>
      <c r="D580" s="28">
        <v>22</v>
      </c>
      <c r="E580" s="49">
        <v>-1</v>
      </c>
      <c r="F580" s="211">
        <f>IFERROR(Tableau6[[#This Row],[Score]]/Tableau6[[#This Row],[Nb]],0)</f>
        <v>-4.5454545454545456E-2</v>
      </c>
    </row>
    <row r="581" spans="1:6" ht="30" customHeight="1" x14ac:dyDescent="0.3">
      <c r="A581" s="26" t="s">
        <v>1254</v>
      </c>
      <c r="B581" s="152" t="s">
        <v>5149</v>
      </c>
      <c r="C581" s="180">
        <v>43428</v>
      </c>
      <c r="D581" s="28">
        <v>22</v>
      </c>
      <c r="E581" s="49">
        <v>-1</v>
      </c>
      <c r="F581" s="211">
        <f>IFERROR(Tableau6[[#This Row],[Score]]/Tableau6[[#This Row],[Nb]],0)</f>
        <v>-4.5454545454545456E-2</v>
      </c>
    </row>
    <row r="582" spans="1:6" ht="30" customHeight="1" x14ac:dyDescent="0.3">
      <c r="A582" s="26" t="s">
        <v>3562</v>
      </c>
      <c r="B582" s="27" t="s">
        <v>3563</v>
      </c>
      <c r="C582" s="180">
        <v>44235</v>
      </c>
      <c r="D582" s="28">
        <v>22</v>
      </c>
      <c r="E582" s="49">
        <v>-1</v>
      </c>
      <c r="F582" s="211">
        <f>IFERROR(Tableau6[[#This Row],[Score]]/Tableau6[[#This Row],[Nb]],0)</f>
        <v>-4.5454545454545456E-2</v>
      </c>
    </row>
    <row r="583" spans="1:6" ht="30" customHeight="1" x14ac:dyDescent="0.3">
      <c r="A583" s="26" t="s">
        <v>4807</v>
      </c>
      <c r="B583" s="27" t="s">
        <v>4808</v>
      </c>
      <c r="C583" s="180">
        <v>44387</v>
      </c>
      <c r="D583" s="28">
        <v>22</v>
      </c>
      <c r="E583" s="49">
        <v>-1</v>
      </c>
      <c r="F583" s="211">
        <f>IFERROR(Tableau6[[#This Row],[Score]]/Tableau6[[#This Row],[Nb]],0)</f>
        <v>-4.5454545454545456E-2</v>
      </c>
    </row>
    <row r="584" spans="1:6" ht="30" customHeight="1" x14ac:dyDescent="0.3">
      <c r="A584" s="26" t="s">
        <v>472</v>
      </c>
      <c r="B584" s="27" t="s">
        <v>473</v>
      </c>
      <c r="C584" s="180">
        <v>40611</v>
      </c>
      <c r="D584" s="28">
        <v>23</v>
      </c>
      <c r="E584" s="49">
        <v>-1</v>
      </c>
      <c r="F584" s="211">
        <f>IFERROR(Tableau6[[#This Row],[Score]]/Tableau6[[#This Row],[Nb]],0)</f>
        <v>-4.3478260869565216E-2</v>
      </c>
    </row>
    <row r="585" spans="1:6" ht="30" customHeight="1" x14ac:dyDescent="0.3">
      <c r="A585" s="26" t="s">
        <v>2429</v>
      </c>
      <c r="B585" s="27" t="s">
        <v>2430</v>
      </c>
      <c r="C585" s="180">
        <v>43776</v>
      </c>
      <c r="D585" s="28">
        <v>23</v>
      </c>
      <c r="E585" s="49">
        <v>-1</v>
      </c>
      <c r="F585" s="211">
        <f>IFERROR(Tableau6[[#This Row],[Score]]/Tableau6[[#This Row],[Nb]],0)</f>
        <v>-4.3478260869565216E-2</v>
      </c>
    </row>
    <row r="586" spans="1:6" ht="30" customHeight="1" x14ac:dyDescent="0.3">
      <c r="A586" s="26" t="s">
        <v>3799</v>
      </c>
      <c r="B586" s="27" t="s">
        <v>3139</v>
      </c>
      <c r="C586" s="180">
        <v>44014</v>
      </c>
      <c r="D586" s="28">
        <v>24</v>
      </c>
      <c r="E586" s="49">
        <v>-1</v>
      </c>
      <c r="F586" s="211">
        <f>IFERROR(Tableau6[[#This Row],[Score]]/Tableau6[[#This Row],[Nb]],0)</f>
        <v>-4.1666666666666664E-2</v>
      </c>
    </row>
    <row r="587" spans="1:6" ht="30" customHeight="1" x14ac:dyDescent="0.3">
      <c r="A587" s="26" t="s">
        <v>1176</v>
      </c>
      <c r="B587" s="27" t="s">
        <v>3279</v>
      </c>
      <c r="C587" s="180">
        <v>43422</v>
      </c>
      <c r="D587" s="28">
        <v>25</v>
      </c>
      <c r="E587" s="49">
        <v>-1</v>
      </c>
      <c r="F587" s="211">
        <f>IFERROR(Tableau6[[#This Row],[Score]]/Tableau6[[#This Row],[Nb]],0)</f>
        <v>-0.04</v>
      </c>
    </row>
    <row r="588" spans="1:6" ht="30" customHeight="1" x14ac:dyDescent="0.3">
      <c r="A588" s="26" t="s">
        <v>2099</v>
      </c>
      <c r="B588" s="27" t="s">
        <v>2100</v>
      </c>
      <c r="C588" s="180">
        <v>43673</v>
      </c>
      <c r="D588" s="28">
        <v>26</v>
      </c>
      <c r="E588" s="49">
        <v>-1</v>
      </c>
      <c r="F588" s="211">
        <f>IFERROR(Tableau6[[#This Row],[Score]]/Tableau6[[#This Row],[Nb]],0)</f>
        <v>-3.8461538461538464E-2</v>
      </c>
    </row>
    <row r="589" spans="1:6" ht="30" customHeight="1" x14ac:dyDescent="0.3">
      <c r="A589" s="26" t="s">
        <v>1359</v>
      </c>
      <c r="B589" s="27" t="s">
        <v>1360</v>
      </c>
      <c r="C589" s="180">
        <v>43444</v>
      </c>
      <c r="D589" s="28">
        <v>27</v>
      </c>
      <c r="E589" s="49">
        <v>-1</v>
      </c>
      <c r="F589" s="211">
        <f>IFERROR(Tableau6[[#This Row],[Score]]/Tableau6[[#This Row],[Nb]],0)</f>
        <v>-3.7037037037037035E-2</v>
      </c>
    </row>
    <row r="590" spans="1:6" ht="30" customHeight="1" x14ac:dyDescent="0.3">
      <c r="A590" s="26" t="s">
        <v>371</v>
      </c>
      <c r="B590" s="27" t="s">
        <v>372</v>
      </c>
      <c r="C590" s="180">
        <v>40611</v>
      </c>
      <c r="D590" s="28">
        <v>12</v>
      </c>
      <c r="E590" s="49">
        <v>0</v>
      </c>
      <c r="F590" s="211">
        <f>IFERROR(Tableau6[[#This Row],[Score]]/Tableau6[[#This Row],[Nb]],0)</f>
        <v>0</v>
      </c>
    </row>
    <row r="591" spans="1:6" ht="30" customHeight="1" x14ac:dyDescent="0.3">
      <c r="A591" s="26" t="s">
        <v>489</v>
      </c>
      <c r="B591" s="27" t="s">
        <v>490</v>
      </c>
      <c r="C591" s="180">
        <v>40611</v>
      </c>
      <c r="D591" s="28">
        <v>16</v>
      </c>
      <c r="E591" s="49">
        <v>0</v>
      </c>
      <c r="F591" s="211">
        <f>IFERROR(Tableau6[[#This Row],[Score]]/Tableau6[[#This Row],[Nb]],0)</f>
        <v>0</v>
      </c>
    </row>
    <row r="592" spans="1:6" ht="30" customHeight="1" x14ac:dyDescent="0.3">
      <c r="A592" s="26" t="s">
        <v>969</v>
      </c>
      <c r="B592" s="27" t="s">
        <v>740</v>
      </c>
      <c r="C592" s="180">
        <v>41621</v>
      </c>
      <c r="D592" s="28">
        <v>20</v>
      </c>
      <c r="E592" s="49">
        <v>0</v>
      </c>
      <c r="F592" s="211">
        <f>IFERROR(Tableau6[[#This Row],[Score]]/Tableau6[[#This Row],[Nb]],0)</f>
        <v>0</v>
      </c>
    </row>
    <row r="593" spans="1:6" ht="30" customHeight="1" x14ac:dyDescent="0.3">
      <c r="A593" s="26" t="s">
        <v>1533</v>
      </c>
      <c r="B593" s="27" t="s">
        <v>4242</v>
      </c>
      <c r="C593" s="180">
        <v>41621</v>
      </c>
      <c r="D593" s="28">
        <v>21</v>
      </c>
      <c r="E593" s="49">
        <v>0</v>
      </c>
      <c r="F593" s="211">
        <f>IFERROR(Tableau6[[#This Row],[Score]]/Tableau6[[#This Row],[Nb]],0)</f>
        <v>0</v>
      </c>
    </row>
    <row r="594" spans="1:6" ht="30" customHeight="1" x14ac:dyDescent="0.3">
      <c r="A594" s="26" t="s">
        <v>986</v>
      </c>
      <c r="B594" s="27" t="s">
        <v>627</v>
      </c>
      <c r="C594" s="180">
        <v>41621</v>
      </c>
      <c r="D594" s="28">
        <v>33</v>
      </c>
      <c r="E594" s="49">
        <v>0</v>
      </c>
      <c r="F594" s="211">
        <f>IFERROR(Tableau6[[#This Row],[Score]]/Tableau6[[#This Row],[Nb]],0)</f>
        <v>0</v>
      </c>
    </row>
    <row r="595" spans="1:6" ht="30" customHeight="1" x14ac:dyDescent="0.3">
      <c r="A595" s="26" t="s">
        <v>3518</v>
      </c>
      <c r="B595" s="27" t="s">
        <v>748</v>
      </c>
      <c r="C595" s="180">
        <v>41621</v>
      </c>
      <c r="D595" s="28">
        <v>20</v>
      </c>
      <c r="E595" s="49">
        <v>0</v>
      </c>
      <c r="F595" s="211">
        <f>IFERROR(Tableau6[[#This Row],[Score]]/Tableau6[[#This Row],[Nb]],0)</f>
        <v>0</v>
      </c>
    </row>
    <row r="596" spans="1:6" ht="30" customHeight="1" x14ac:dyDescent="0.3">
      <c r="A596" s="26" t="s">
        <v>3428</v>
      </c>
      <c r="B596" s="27" t="s">
        <v>3429</v>
      </c>
      <c r="C596" s="180">
        <v>41621</v>
      </c>
      <c r="D596" s="28">
        <v>14</v>
      </c>
      <c r="E596" s="49">
        <v>0</v>
      </c>
      <c r="F596" s="211">
        <f>IFERROR(Tableau6[[#This Row],[Score]]/Tableau6[[#This Row],[Nb]],0)</f>
        <v>0</v>
      </c>
    </row>
    <row r="597" spans="1:6" ht="30" customHeight="1" x14ac:dyDescent="0.3">
      <c r="A597" s="26" t="s">
        <v>953</v>
      </c>
      <c r="B597" s="27" t="s">
        <v>677</v>
      </c>
      <c r="C597" s="180">
        <v>41621</v>
      </c>
      <c r="D597" s="28">
        <v>23</v>
      </c>
      <c r="E597" s="49">
        <v>0</v>
      </c>
      <c r="F597" s="211">
        <f>IFERROR(Tableau6[[#This Row],[Score]]/Tableau6[[#This Row],[Nb]],0)</f>
        <v>0</v>
      </c>
    </row>
    <row r="598" spans="1:6" ht="30" customHeight="1" x14ac:dyDescent="0.3">
      <c r="A598" s="26" t="s">
        <v>1328</v>
      </c>
      <c r="B598" s="27" t="s">
        <v>4591</v>
      </c>
      <c r="C598" s="180">
        <v>41621</v>
      </c>
      <c r="D598" s="28">
        <v>19</v>
      </c>
      <c r="E598" s="49">
        <v>0</v>
      </c>
      <c r="F598" s="211">
        <f>IFERROR(Tableau6[[#This Row],[Score]]/Tableau6[[#This Row],[Nb]],0)</f>
        <v>0</v>
      </c>
    </row>
    <row r="599" spans="1:6" ht="30" customHeight="1" x14ac:dyDescent="0.3">
      <c r="A599" s="26" t="s">
        <v>1017</v>
      </c>
      <c r="B599" s="27" t="s">
        <v>886</v>
      </c>
      <c r="C599" s="180">
        <v>41621</v>
      </c>
      <c r="D599" s="28">
        <v>17</v>
      </c>
      <c r="E599" s="49">
        <v>0</v>
      </c>
      <c r="F599" s="211">
        <f>IFERROR(Tableau6[[#This Row],[Score]]/Tableau6[[#This Row],[Nb]],0)</f>
        <v>0</v>
      </c>
    </row>
    <row r="600" spans="1:6" ht="30" customHeight="1" x14ac:dyDescent="0.3">
      <c r="A600" s="151" t="s">
        <v>5491</v>
      </c>
      <c r="B600" s="27" t="s">
        <v>643</v>
      </c>
      <c r="C600" s="180">
        <v>43205</v>
      </c>
      <c r="D600" s="28">
        <v>26</v>
      </c>
      <c r="E600" s="49">
        <v>0</v>
      </c>
      <c r="F600" s="211">
        <f>IFERROR(Tableau6[[#This Row],[Score]]/Tableau6[[#This Row],[Nb]],0)</f>
        <v>0</v>
      </c>
    </row>
    <row r="601" spans="1:6" ht="30" customHeight="1" x14ac:dyDescent="0.3">
      <c r="A601" s="26" t="s">
        <v>907</v>
      </c>
      <c r="B601" s="27" t="s">
        <v>842</v>
      </c>
      <c r="C601" s="180">
        <v>43237</v>
      </c>
      <c r="D601" s="28">
        <v>19</v>
      </c>
      <c r="E601" s="49">
        <v>0</v>
      </c>
      <c r="F601" s="211">
        <f>IFERROR(Tableau6[[#This Row],[Score]]/Tableau6[[#This Row],[Nb]],0)</f>
        <v>0</v>
      </c>
    </row>
    <row r="602" spans="1:6" ht="30" customHeight="1" x14ac:dyDescent="0.3">
      <c r="A602" s="26" t="s">
        <v>18</v>
      </c>
      <c r="B602" s="27" t="s">
        <v>19</v>
      </c>
      <c r="C602" s="180">
        <v>43247</v>
      </c>
      <c r="D602" s="28">
        <v>19</v>
      </c>
      <c r="E602" s="49">
        <v>0</v>
      </c>
      <c r="F602" s="211">
        <f>IFERROR(Tableau6[[#This Row],[Score]]/Tableau6[[#This Row],[Nb]],0)</f>
        <v>0</v>
      </c>
    </row>
    <row r="603" spans="1:6" ht="30" customHeight="1" x14ac:dyDescent="0.3">
      <c r="A603" s="26" t="s">
        <v>113</v>
      </c>
      <c r="B603" s="27" t="s">
        <v>114</v>
      </c>
      <c r="C603" s="180">
        <v>43341</v>
      </c>
      <c r="D603" s="28">
        <v>14</v>
      </c>
      <c r="E603" s="49">
        <v>0</v>
      </c>
      <c r="F603" s="211">
        <f>IFERROR(Tableau6[[#This Row],[Score]]/Tableau6[[#This Row],[Nb]],0)</f>
        <v>0</v>
      </c>
    </row>
    <row r="604" spans="1:6" ht="30" customHeight="1" x14ac:dyDescent="0.3">
      <c r="A604" s="26" t="s">
        <v>132</v>
      </c>
      <c r="B604" s="27" t="s">
        <v>4129</v>
      </c>
      <c r="C604" s="180">
        <v>43376</v>
      </c>
      <c r="D604" s="28">
        <v>17</v>
      </c>
      <c r="E604" s="49">
        <v>0</v>
      </c>
      <c r="F604" s="211">
        <f>IFERROR(Tableau6[[#This Row],[Score]]/Tableau6[[#This Row],[Nb]],0)</f>
        <v>0</v>
      </c>
    </row>
    <row r="605" spans="1:6" ht="30" customHeight="1" x14ac:dyDescent="0.3">
      <c r="A605" s="26" t="s">
        <v>3401</v>
      </c>
      <c r="B605" s="27" t="s">
        <v>3402</v>
      </c>
      <c r="C605" s="180">
        <v>43377</v>
      </c>
      <c r="D605" s="28">
        <v>22</v>
      </c>
      <c r="E605" s="49">
        <v>0</v>
      </c>
      <c r="F605" s="211">
        <f>IFERROR(Tableau6[[#This Row],[Score]]/Tableau6[[#This Row],[Nb]],0)</f>
        <v>0</v>
      </c>
    </row>
    <row r="606" spans="1:6" ht="30" customHeight="1" x14ac:dyDescent="0.3">
      <c r="A606" s="26" t="s">
        <v>182</v>
      </c>
      <c r="B606" s="27" t="s">
        <v>183</v>
      </c>
      <c r="C606" s="180">
        <v>43383</v>
      </c>
      <c r="D606" s="28">
        <v>17</v>
      </c>
      <c r="E606" s="49">
        <v>0</v>
      </c>
      <c r="F606" s="211">
        <f>IFERROR(Tableau6[[#This Row],[Score]]/Tableau6[[#This Row],[Nb]],0)</f>
        <v>0</v>
      </c>
    </row>
    <row r="607" spans="1:6" ht="30" customHeight="1" x14ac:dyDescent="0.3">
      <c r="A607" s="26" t="s">
        <v>3604</v>
      </c>
      <c r="B607" s="27" t="s">
        <v>2318</v>
      </c>
      <c r="C607" s="180">
        <v>43401</v>
      </c>
      <c r="D607" s="28">
        <v>23</v>
      </c>
      <c r="E607" s="49">
        <v>0</v>
      </c>
      <c r="F607" s="211">
        <f>IFERROR(Tableau6[[#This Row],[Score]]/Tableau6[[#This Row],[Nb]],0)</f>
        <v>0</v>
      </c>
    </row>
    <row r="608" spans="1:6" ht="30" customHeight="1" x14ac:dyDescent="0.3">
      <c r="A608" s="26" t="s">
        <v>602</v>
      </c>
      <c r="B608" s="27" t="s">
        <v>603</v>
      </c>
      <c r="C608" s="180">
        <v>43403</v>
      </c>
      <c r="D608" s="28">
        <v>19</v>
      </c>
      <c r="E608" s="49">
        <v>0</v>
      </c>
      <c r="F608" s="211">
        <f>IFERROR(Tableau6[[#This Row],[Score]]/Tableau6[[#This Row],[Nb]],0)</f>
        <v>0</v>
      </c>
    </row>
    <row r="609" spans="1:6" ht="30" customHeight="1" x14ac:dyDescent="0.3">
      <c r="A609" s="26" t="s">
        <v>1197</v>
      </c>
      <c r="B609" s="27" t="s">
        <v>1198</v>
      </c>
      <c r="C609" s="180">
        <v>43422</v>
      </c>
      <c r="D609" s="28">
        <v>11</v>
      </c>
      <c r="E609" s="49">
        <v>0</v>
      </c>
      <c r="F609" s="211">
        <f>IFERROR(Tableau6[[#This Row],[Score]]/Tableau6[[#This Row],[Nb]],0)</f>
        <v>0</v>
      </c>
    </row>
    <row r="610" spans="1:6" ht="30" customHeight="1" x14ac:dyDescent="0.3">
      <c r="A610" s="26" t="s">
        <v>2378</v>
      </c>
      <c r="B610" s="27" t="s">
        <v>2379</v>
      </c>
      <c r="C610" s="180">
        <v>43772</v>
      </c>
      <c r="D610" s="28">
        <v>21</v>
      </c>
      <c r="E610" s="49">
        <v>0</v>
      </c>
      <c r="F610" s="211">
        <f>IFERROR(Tableau6[[#This Row],[Score]]/Tableau6[[#This Row],[Nb]],0)</f>
        <v>0</v>
      </c>
    </row>
    <row r="611" spans="1:6" ht="30" customHeight="1" x14ac:dyDescent="0.3">
      <c r="A611" s="26" t="s">
        <v>2445</v>
      </c>
      <c r="B611" s="27" t="s">
        <v>2446</v>
      </c>
      <c r="C611" s="180">
        <v>43776</v>
      </c>
      <c r="D611" s="28">
        <v>21</v>
      </c>
      <c r="E611" s="49">
        <v>0</v>
      </c>
      <c r="F611" s="211">
        <f>IFERROR(Tableau6[[#This Row],[Score]]/Tableau6[[#This Row],[Nb]],0)</f>
        <v>0</v>
      </c>
    </row>
    <row r="612" spans="1:6" ht="30" customHeight="1" x14ac:dyDescent="0.3">
      <c r="A612" s="26" t="s">
        <v>2607</v>
      </c>
      <c r="B612" s="27" t="s">
        <v>2608</v>
      </c>
      <c r="C612" s="180">
        <v>43857</v>
      </c>
      <c r="D612" s="28">
        <v>23</v>
      </c>
      <c r="E612" s="49">
        <v>0</v>
      </c>
      <c r="F612" s="211">
        <f>IFERROR(Tableau6[[#This Row],[Score]]/Tableau6[[#This Row],[Nb]],0)</f>
        <v>0</v>
      </c>
    </row>
    <row r="613" spans="1:6" ht="30" customHeight="1" x14ac:dyDescent="0.3">
      <c r="A613" s="26" t="s">
        <v>2651</v>
      </c>
      <c r="B613" s="27" t="s">
        <v>2046</v>
      </c>
      <c r="C613" s="180">
        <v>43872</v>
      </c>
      <c r="D613" s="28">
        <v>22</v>
      </c>
      <c r="E613" s="49">
        <v>0</v>
      </c>
      <c r="F613" s="211">
        <f>IFERROR(Tableau6[[#This Row],[Score]]/Tableau6[[#This Row],[Nb]],0)</f>
        <v>0</v>
      </c>
    </row>
    <row r="614" spans="1:6" ht="30" customHeight="1" x14ac:dyDescent="0.3">
      <c r="A614" s="151" t="s">
        <v>2716</v>
      </c>
      <c r="B614" s="27" t="s">
        <v>2717</v>
      </c>
      <c r="C614" s="180">
        <v>43895</v>
      </c>
      <c r="D614" s="28">
        <v>20</v>
      </c>
      <c r="E614" s="49">
        <v>0</v>
      </c>
      <c r="F614" s="211">
        <f>IFERROR(Tableau6[[#This Row],[Score]]/Tableau6[[#This Row],[Nb]],0)</f>
        <v>0</v>
      </c>
    </row>
    <row r="615" spans="1:6" ht="30" customHeight="1" x14ac:dyDescent="0.3">
      <c r="A615" s="26" t="s">
        <v>2820</v>
      </c>
      <c r="B615" s="27" t="s">
        <v>2821</v>
      </c>
      <c r="C615" s="180">
        <v>43962</v>
      </c>
      <c r="D615" s="28">
        <v>21</v>
      </c>
      <c r="E615" s="49">
        <v>0</v>
      </c>
      <c r="F615" s="211">
        <f>IFERROR(Tableau6[[#This Row],[Score]]/Tableau6[[#This Row],[Nb]],0)</f>
        <v>0</v>
      </c>
    </row>
    <row r="616" spans="1:6" ht="30" customHeight="1" x14ac:dyDescent="0.3">
      <c r="A616" s="26" t="s">
        <v>2874</v>
      </c>
      <c r="B616" s="27" t="s">
        <v>2875</v>
      </c>
      <c r="C616" s="180">
        <v>43969</v>
      </c>
      <c r="D616" s="28">
        <v>23</v>
      </c>
      <c r="E616" s="49">
        <v>0</v>
      </c>
      <c r="F616" s="211">
        <f>IFERROR(Tableau6[[#This Row],[Score]]/Tableau6[[#This Row],[Nb]],0)</f>
        <v>0</v>
      </c>
    </row>
    <row r="617" spans="1:6" ht="30" customHeight="1" x14ac:dyDescent="0.3">
      <c r="A617" s="26" t="s">
        <v>2868</v>
      </c>
      <c r="B617" s="27" t="s">
        <v>2869</v>
      </c>
      <c r="C617" s="180">
        <v>43969</v>
      </c>
      <c r="D617" s="28">
        <v>13</v>
      </c>
      <c r="E617" s="49">
        <v>0</v>
      </c>
      <c r="F617" s="211">
        <f>IFERROR(Tableau6[[#This Row],[Score]]/Tableau6[[#This Row],[Nb]],0)</f>
        <v>0</v>
      </c>
    </row>
    <row r="618" spans="1:6" ht="30" customHeight="1" x14ac:dyDescent="0.3">
      <c r="A618" s="26" t="s">
        <v>3039</v>
      </c>
      <c r="B618" s="27" t="s">
        <v>3040</v>
      </c>
      <c r="C618" s="180">
        <v>44004</v>
      </c>
      <c r="D618" s="28">
        <v>26</v>
      </c>
      <c r="E618" s="49">
        <v>0</v>
      </c>
      <c r="F618" s="211">
        <f>IFERROR(Tableau6[[#This Row],[Score]]/Tableau6[[#This Row],[Nb]],0)</f>
        <v>0</v>
      </c>
    </row>
    <row r="619" spans="1:6" ht="30" customHeight="1" x14ac:dyDescent="0.3">
      <c r="A619" s="26" t="s">
        <v>3097</v>
      </c>
      <c r="B619" s="27" t="s">
        <v>3096</v>
      </c>
      <c r="C619" s="180">
        <v>44004</v>
      </c>
      <c r="D619" s="28">
        <v>21</v>
      </c>
      <c r="E619" s="49">
        <v>0</v>
      </c>
      <c r="F619" s="211">
        <f>IFERROR(Tableau6[[#This Row],[Score]]/Tableau6[[#This Row],[Nb]],0)</f>
        <v>0</v>
      </c>
    </row>
    <row r="620" spans="1:6" ht="30" customHeight="1" x14ac:dyDescent="0.3">
      <c r="A620" s="132" t="s">
        <v>5115</v>
      </c>
      <c r="B620" s="27" t="s">
        <v>3280</v>
      </c>
      <c r="C620" s="180">
        <v>44033</v>
      </c>
      <c r="D620" s="28">
        <v>14</v>
      </c>
      <c r="E620" s="49">
        <v>0</v>
      </c>
      <c r="F620" s="211">
        <f>IFERROR(Tableau6[[#This Row],[Score]]/Tableau6[[#This Row],[Nb]],0)</f>
        <v>0</v>
      </c>
    </row>
    <row r="621" spans="1:6" ht="30" customHeight="1" x14ac:dyDescent="0.3">
      <c r="A621" s="26" t="s">
        <v>3557</v>
      </c>
      <c r="B621" s="27" t="s">
        <v>2666</v>
      </c>
      <c r="C621" s="180">
        <v>44235</v>
      </c>
      <c r="D621" s="28">
        <v>20</v>
      </c>
      <c r="E621" s="49">
        <v>0</v>
      </c>
      <c r="F621" s="211">
        <f>IFERROR(Tableau6[[#This Row],[Score]]/Tableau6[[#This Row],[Nb]],0)</f>
        <v>0</v>
      </c>
    </row>
    <row r="622" spans="1:6" ht="30" customHeight="1" x14ac:dyDescent="0.3">
      <c r="A622" s="26" t="s">
        <v>3674</v>
      </c>
      <c r="B622" s="27" t="s">
        <v>3675</v>
      </c>
      <c r="C622" s="180">
        <v>44242</v>
      </c>
      <c r="D622" s="28">
        <v>35</v>
      </c>
      <c r="E622" s="49">
        <v>0</v>
      </c>
      <c r="F622" s="211">
        <f>IFERROR(Tableau6[[#This Row],[Score]]/Tableau6[[#This Row],[Nb]],0)</f>
        <v>0</v>
      </c>
    </row>
    <row r="623" spans="1:6" ht="30" customHeight="1" x14ac:dyDescent="0.3">
      <c r="A623" s="26" t="s">
        <v>4382</v>
      </c>
      <c r="B623" s="27" t="s">
        <v>4383</v>
      </c>
      <c r="C623" s="180">
        <v>44299</v>
      </c>
      <c r="D623" s="28">
        <v>19</v>
      </c>
      <c r="E623" s="49">
        <v>0</v>
      </c>
      <c r="F623" s="211">
        <f>IFERROR(Tableau6[[#This Row],[Score]]/Tableau6[[#This Row],[Nb]],0)</f>
        <v>0</v>
      </c>
    </row>
    <row r="624" spans="1:6" ht="30" customHeight="1" x14ac:dyDescent="0.3">
      <c r="A624" s="26" t="s">
        <v>4812</v>
      </c>
      <c r="B624" s="27" t="s">
        <v>4813</v>
      </c>
      <c r="C624" s="180">
        <v>44391</v>
      </c>
      <c r="D624" s="28">
        <v>18</v>
      </c>
      <c r="E624" s="49">
        <v>0</v>
      </c>
      <c r="F624" s="211">
        <f>IFERROR(Tableau6[[#This Row],[Score]]/Tableau6[[#This Row],[Nb]],0)</f>
        <v>0</v>
      </c>
    </row>
    <row r="625" spans="1:6" ht="30" customHeight="1" x14ac:dyDescent="0.3">
      <c r="A625" s="26" t="s">
        <v>4822</v>
      </c>
      <c r="B625" s="27" t="s">
        <v>4823</v>
      </c>
      <c r="C625" s="180">
        <v>44395</v>
      </c>
      <c r="D625" s="28">
        <v>16</v>
      </c>
      <c r="E625" s="49">
        <v>0</v>
      </c>
      <c r="F625" s="211">
        <f>IFERROR(Tableau6[[#This Row],[Score]]/Tableau6[[#This Row],[Nb]],0)</f>
        <v>0</v>
      </c>
    </row>
    <row r="626" spans="1:6" ht="30" customHeight="1" x14ac:dyDescent="0.3">
      <c r="A626" s="151" t="s">
        <v>5145</v>
      </c>
      <c r="B626" s="152" t="s">
        <v>5146</v>
      </c>
      <c r="C626" s="208">
        <v>44482</v>
      </c>
      <c r="D626" s="154">
        <v>10</v>
      </c>
      <c r="E626" s="154">
        <v>0</v>
      </c>
      <c r="F626" s="211">
        <f>IFERROR(Tableau6[[#This Row],[Score]]/Tableau6[[#This Row],[Nb]],0)</f>
        <v>0</v>
      </c>
    </row>
    <row r="627" spans="1:6" ht="30" customHeight="1" x14ac:dyDescent="0.3">
      <c r="A627" s="151" t="s">
        <v>5203</v>
      </c>
      <c r="B627" s="152" t="s">
        <v>5204</v>
      </c>
      <c r="C627" s="208">
        <v>44506</v>
      </c>
      <c r="D627" s="154">
        <v>14</v>
      </c>
      <c r="E627" s="154">
        <v>0</v>
      </c>
      <c r="F627" s="211">
        <f>IFERROR(Tableau6[[#This Row],[Score]]/Tableau6[[#This Row],[Nb]],0)</f>
        <v>0</v>
      </c>
    </row>
    <row r="628" spans="1:6" ht="30" customHeight="1" x14ac:dyDescent="0.3">
      <c r="A628" s="151" t="s">
        <v>5342</v>
      </c>
      <c r="B628" s="152" t="s">
        <v>5343</v>
      </c>
      <c r="C628" s="208">
        <v>44541</v>
      </c>
      <c r="D628" s="154">
        <v>10</v>
      </c>
      <c r="E628" s="154">
        <v>0</v>
      </c>
      <c r="F628" s="211">
        <f>IFERROR(Tableau6[[#This Row],[Score]]/Tableau6[[#This Row],[Nb]],0)</f>
        <v>0</v>
      </c>
    </row>
    <row r="629" spans="1:6" ht="30" customHeight="1" x14ac:dyDescent="0.3">
      <c r="A629" s="151" t="s">
        <v>5499</v>
      </c>
      <c r="B629" s="152" t="s">
        <v>5500</v>
      </c>
      <c r="C629" s="208">
        <v>44584</v>
      </c>
      <c r="D629" s="154">
        <v>8</v>
      </c>
      <c r="E629" s="154">
        <v>0</v>
      </c>
      <c r="F629" s="211">
        <f>IFERROR(Tableau6[[#This Row],[Score]]/Tableau6[[#This Row],[Nb]],0)</f>
        <v>0</v>
      </c>
    </row>
    <row r="630" spans="1:6" ht="30" customHeight="1" x14ac:dyDescent="0.3">
      <c r="A630" s="151" t="s">
        <v>5610</v>
      </c>
      <c r="B630" s="152" t="s">
        <v>5611</v>
      </c>
      <c r="C630" s="208">
        <v>44603</v>
      </c>
      <c r="D630" s="154">
        <v>8</v>
      </c>
      <c r="E630" s="154">
        <v>0</v>
      </c>
      <c r="F630" s="211">
        <f>IFERROR(Tableau6[[#This Row],[Score]]/Tableau6[[#This Row],[Nb]],0)</f>
        <v>0</v>
      </c>
    </row>
    <row r="631" spans="1:6" ht="30" customHeight="1" x14ac:dyDescent="0.3">
      <c r="A631" s="151" t="s">
        <v>5085</v>
      </c>
      <c r="B631" s="152" t="s">
        <v>5744</v>
      </c>
      <c r="C631" s="208">
        <v>44633</v>
      </c>
      <c r="D631" s="154">
        <v>8</v>
      </c>
      <c r="E631" s="154">
        <v>0</v>
      </c>
      <c r="F631" s="211">
        <f>IFERROR(Tableau6[[#This Row],[Score]]/Tableau6[[#This Row],[Nb]],0)</f>
        <v>0</v>
      </c>
    </row>
    <row r="632" spans="1:6" ht="30" customHeight="1" x14ac:dyDescent="0.3">
      <c r="A632" s="151" t="s">
        <v>5748</v>
      </c>
      <c r="B632" s="152" t="s">
        <v>5749</v>
      </c>
      <c r="C632" s="208">
        <v>44635</v>
      </c>
      <c r="D632" s="154">
        <v>10</v>
      </c>
      <c r="E632" s="154">
        <v>0</v>
      </c>
      <c r="F632" s="211">
        <f>IFERROR(Tableau6[[#This Row],[Score]]/Tableau6[[#This Row],[Nb]],0)</f>
        <v>0</v>
      </c>
    </row>
    <row r="633" spans="1:6" ht="30" customHeight="1" x14ac:dyDescent="0.3">
      <c r="A633" s="151" t="s">
        <v>5778</v>
      </c>
      <c r="B633" s="152" t="s">
        <v>5779</v>
      </c>
      <c r="C633" s="208">
        <v>44640</v>
      </c>
      <c r="D633" s="154">
        <v>10</v>
      </c>
      <c r="E633" s="154">
        <v>0</v>
      </c>
      <c r="F633" s="211">
        <f>IFERROR(Tableau6[[#This Row],[Score]]/Tableau6[[#This Row],[Nb]],0)</f>
        <v>0</v>
      </c>
    </row>
    <row r="634" spans="1:6" ht="30" customHeight="1" x14ac:dyDescent="0.3">
      <c r="A634" s="151" t="s">
        <v>5841</v>
      </c>
      <c r="B634" s="152" t="s">
        <v>5842</v>
      </c>
      <c r="C634" s="208">
        <v>44652</v>
      </c>
      <c r="D634" s="154">
        <v>8</v>
      </c>
      <c r="E634" s="154">
        <v>0</v>
      </c>
      <c r="F634" s="211">
        <f>IFERROR(Tableau6[[#This Row],[Score]]/Tableau6[[#This Row],[Nb]],0)</f>
        <v>0</v>
      </c>
    </row>
    <row r="635" spans="1:6" ht="30" customHeight="1" x14ac:dyDescent="0.3">
      <c r="A635" s="151" t="s">
        <v>5910</v>
      </c>
      <c r="B635" s="152" t="s">
        <v>5911</v>
      </c>
      <c r="C635" s="208">
        <v>44677</v>
      </c>
      <c r="D635" s="154">
        <v>4</v>
      </c>
      <c r="E635" s="154">
        <v>0</v>
      </c>
      <c r="F635" s="211">
        <f>IFERROR(Tableau6[[#This Row],[Score]]/Tableau6[[#This Row],[Nb]],0)</f>
        <v>0</v>
      </c>
    </row>
    <row r="636" spans="1:6" ht="30" customHeight="1" x14ac:dyDescent="0.3">
      <c r="A636" s="151" t="s">
        <v>5914</v>
      </c>
      <c r="B636" s="152" t="s">
        <v>5915</v>
      </c>
      <c r="C636" s="208">
        <v>44680</v>
      </c>
      <c r="D636" s="154">
        <v>10</v>
      </c>
      <c r="E636" s="154">
        <v>0</v>
      </c>
      <c r="F636" s="211">
        <f>IFERROR(Tableau6[[#This Row],[Score]]/Tableau6[[#This Row],[Nb]],0)</f>
        <v>0</v>
      </c>
    </row>
    <row r="637" spans="1:6" ht="30" customHeight="1" x14ac:dyDescent="0.3">
      <c r="A637" s="151" t="s">
        <v>5922</v>
      </c>
      <c r="B637" s="152" t="s">
        <v>5923</v>
      </c>
      <c r="C637" s="208">
        <v>44681</v>
      </c>
      <c r="D637" s="154">
        <v>8</v>
      </c>
      <c r="E637" s="154">
        <v>0</v>
      </c>
      <c r="F637" s="211">
        <f>IFERROR(Tableau6[[#This Row],[Score]]/Tableau6[[#This Row],[Nb]],0)</f>
        <v>0</v>
      </c>
    </row>
    <row r="638" spans="1:6" ht="30" customHeight="1" x14ac:dyDescent="0.3">
      <c r="A638" s="151" t="s">
        <v>5981</v>
      </c>
      <c r="B638" s="152" t="s">
        <v>5982</v>
      </c>
      <c r="C638" s="208">
        <v>44706</v>
      </c>
      <c r="D638" s="154">
        <v>10</v>
      </c>
      <c r="E638" s="154">
        <v>0</v>
      </c>
      <c r="F638" s="211">
        <f>IFERROR(Tableau6[[#This Row],[Score]]/Tableau6[[#This Row],[Nb]],0)</f>
        <v>0</v>
      </c>
    </row>
    <row r="639" spans="1:6" ht="30" customHeight="1" x14ac:dyDescent="0.3">
      <c r="A639" s="151" t="s">
        <v>6003</v>
      </c>
      <c r="B639" s="152" t="s">
        <v>6004</v>
      </c>
      <c r="C639" s="208">
        <v>44708</v>
      </c>
      <c r="D639" s="154">
        <v>2</v>
      </c>
      <c r="E639" s="154">
        <v>0</v>
      </c>
      <c r="F639" s="211">
        <f>IFERROR(Tableau6[[#This Row],[Score]]/Tableau6[[#This Row],[Nb]],0)</f>
        <v>0</v>
      </c>
    </row>
    <row r="640" spans="1:6" ht="30" customHeight="1" x14ac:dyDescent="0.3">
      <c r="A640" s="151" t="s">
        <v>6069</v>
      </c>
      <c r="B640" s="152" t="s">
        <v>6070</v>
      </c>
      <c r="C640" s="208">
        <v>44732</v>
      </c>
      <c r="D640" s="154">
        <v>4</v>
      </c>
      <c r="E640" s="154">
        <v>0</v>
      </c>
      <c r="F640" s="211">
        <f>IFERROR(Tableau6[[#This Row],[Score]]/Tableau6[[#This Row],[Nb]],0)</f>
        <v>0</v>
      </c>
    </row>
    <row r="641" spans="1:6" ht="30" customHeight="1" x14ac:dyDescent="0.3">
      <c r="A641" s="151" t="s">
        <v>6117</v>
      </c>
      <c r="B641" s="152" t="s">
        <v>6118</v>
      </c>
      <c r="C641" s="208">
        <v>44756</v>
      </c>
      <c r="D641" s="154">
        <v>4</v>
      </c>
      <c r="E641" s="154">
        <v>0</v>
      </c>
      <c r="F641" s="211">
        <f>IFERROR(Tableau6[[#This Row],[Score]]/Tableau6[[#This Row],[Nb]],0)</f>
        <v>0</v>
      </c>
    </row>
    <row r="642" spans="1:6" ht="30" customHeight="1" x14ac:dyDescent="0.3">
      <c r="A642" s="151" t="s">
        <v>6142</v>
      </c>
      <c r="B642" s="152" t="s">
        <v>6143</v>
      </c>
      <c r="C642" s="208">
        <v>44780</v>
      </c>
      <c r="D642" s="154">
        <v>10</v>
      </c>
      <c r="E642" s="154">
        <v>0</v>
      </c>
      <c r="F642" s="211">
        <f>IFERROR(Tableau6[[#This Row],[Score]]/Tableau6[[#This Row],[Nb]],0)</f>
        <v>0</v>
      </c>
    </row>
    <row r="643" spans="1:6" ht="30" customHeight="1" x14ac:dyDescent="0.3">
      <c r="A643" s="151" t="s">
        <v>6186</v>
      </c>
      <c r="B643" s="152" t="s">
        <v>6187</v>
      </c>
      <c r="C643" s="208">
        <v>44811</v>
      </c>
      <c r="D643" s="154">
        <v>2</v>
      </c>
      <c r="E643" s="154">
        <v>0</v>
      </c>
      <c r="F643" s="211">
        <f>IFERROR(Tableau6[[#This Row],[Score]]/Tableau6[[#This Row],[Nb]],0)</f>
        <v>0</v>
      </c>
    </row>
    <row r="644" spans="1:6" ht="30" customHeight="1" x14ac:dyDescent="0.3">
      <c r="A644" s="151" t="s">
        <v>6191</v>
      </c>
      <c r="B644" s="152" t="s">
        <v>6190</v>
      </c>
      <c r="C644" s="208">
        <v>44814</v>
      </c>
      <c r="D644" s="154">
        <v>2</v>
      </c>
      <c r="E644" s="154">
        <v>0</v>
      </c>
      <c r="F644" s="211">
        <f>IFERROR(Tableau6[[#This Row],[Score]]/Tableau6[[#This Row],[Nb]],0)</f>
        <v>0</v>
      </c>
    </row>
    <row r="645" spans="1:6" ht="30" customHeight="1" x14ac:dyDescent="0.3">
      <c r="A645" s="151" t="s">
        <v>6244</v>
      </c>
      <c r="B645" s="152" t="s">
        <v>6245</v>
      </c>
      <c r="C645" s="208">
        <v>44855</v>
      </c>
      <c r="D645" s="154">
        <v>4</v>
      </c>
      <c r="E645" s="154">
        <v>0</v>
      </c>
      <c r="F645" s="211">
        <f>IFERROR(Tableau6[[#This Row],[Score]]/Tableau6[[#This Row],[Nb]],0)</f>
        <v>0</v>
      </c>
    </row>
    <row r="646" spans="1:6" ht="30" customHeight="1" x14ac:dyDescent="0.3">
      <c r="A646" s="151" t="s">
        <v>6254</v>
      </c>
      <c r="B646" s="152" t="s">
        <v>6255</v>
      </c>
      <c r="C646" s="208">
        <v>44860</v>
      </c>
      <c r="D646" s="154">
        <v>0</v>
      </c>
      <c r="E646" s="154">
        <v>0</v>
      </c>
      <c r="F646" s="211">
        <f>IFERROR(Tableau6[[#This Row],[Score]]/Tableau6[[#This Row],[Nb]],0)</f>
        <v>0</v>
      </c>
    </row>
    <row r="647" spans="1:6" ht="30" customHeight="1" x14ac:dyDescent="0.3">
      <c r="A647" s="151" t="s">
        <v>6263</v>
      </c>
      <c r="B647" s="152" t="s">
        <v>6264</v>
      </c>
      <c r="C647" s="208">
        <v>44862</v>
      </c>
      <c r="D647" s="154">
        <v>4</v>
      </c>
      <c r="E647" s="154">
        <v>0</v>
      </c>
      <c r="F647" s="211">
        <f>IFERROR(Tableau6[[#This Row],[Score]]/Tableau6[[#This Row],[Nb]],0)</f>
        <v>0</v>
      </c>
    </row>
    <row r="648" spans="1:6" ht="30" customHeight="1" x14ac:dyDescent="0.3">
      <c r="A648" s="151" t="s">
        <v>6276</v>
      </c>
      <c r="B648" s="152" t="s">
        <v>6277</v>
      </c>
      <c r="C648" s="208">
        <v>44864</v>
      </c>
      <c r="D648" s="154">
        <v>4</v>
      </c>
      <c r="E648" s="154">
        <v>0</v>
      </c>
      <c r="F648" s="211">
        <f>IFERROR(Tableau6[[#This Row],[Score]]/Tableau6[[#This Row],[Nb]],0)</f>
        <v>0</v>
      </c>
    </row>
    <row r="649" spans="1:6" ht="30" customHeight="1" x14ac:dyDescent="0.3">
      <c r="A649" s="151" t="s">
        <v>6322</v>
      </c>
      <c r="B649" s="152" t="s">
        <v>5511</v>
      </c>
      <c r="C649" s="208">
        <v>44878</v>
      </c>
      <c r="D649" s="154">
        <v>8</v>
      </c>
      <c r="E649" s="154">
        <v>0</v>
      </c>
      <c r="F649" s="211">
        <f>IFERROR(Tableau6[[#This Row],[Score]]/Tableau6[[#This Row],[Nb]],0)</f>
        <v>0</v>
      </c>
    </row>
    <row r="650" spans="1:6" ht="30" customHeight="1" x14ac:dyDescent="0.3">
      <c r="A650" s="151" t="s">
        <v>6328</v>
      </c>
      <c r="B650" s="152" t="s">
        <v>6329</v>
      </c>
      <c r="C650" s="208">
        <v>44883</v>
      </c>
      <c r="D650" s="154">
        <v>2</v>
      </c>
      <c r="E650" s="154">
        <v>0</v>
      </c>
      <c r="F650" s="211">
        <f>IFERROR(Tableau6[[#This Row],[Score]]/Tableau6[[#This Row],[Nb]],0)</f>
        <v>0</v>
      </c>
    </row>
    <row r="651" spans="1:6" ht="30" customHeight="1" x14ac:dyDescent="0.3">
      <c r="A651" s="151" t="s">
        <v>6355</v>
      </c>
      <c r="B651" s="152" t="s">
        <v>6356</v>
      </c>
      <c r="C651" s="208">
        <v>44889</v>
      </c>
      <c r="D651" s="154">
        <v>2</v>
      </c>
      <c r="E651" s="154">
        <v>0</v>
      </c>
      <c r="F651" s="211">
        <f>IFERROR(Tableau6[[#This Row],[Score]]/Tableau6[[#This Row],[Nb]],0)</f>
        <v>0</v>
      </c>
    </row>
    <row r="652" spans="1:6" ht="30" customHeight="1" x14ac:dyDescent="0.3">
      <c r="A652" s="151" t="s">
        <v>6386</v>
      </c>
      <c r="B652" s="152" t="s">
        <v>6387</v>
      </c>
      <c r="C652" s="208">
        <v>44899</v>
      </c>
      <c r="D652" s="154">
        <v>2</v>
      </c>
      <c r="E652" s="154">
        <v>0</v>
      </c>
      <c r="F652" s="211">
        <f>IFERROR(Tableau6[[#This Row],[Score]]/Tableau6[[#This Row],[Nb]],0)</f>
        <v>0</v>
      </c>
    </row>
    <row r="653" spans="1:6" ht="30" customHeight="1" x14ac:dyDescent="0.3">
      <c r="A653" s="212" t="s">
        <v>6402</v>
      </c>
      <c r="B653" s="152" t="s">
        <v>6403</v>
      </c>
      <c r="C653" s="208">
        <v>44909</v>
      </c>
      <c r="D653" s="154">
        <v>0</v>
      </c>
      <c r="E653" s="154">
        <v>0</v>
      </c>
      <c r="F653" s="211">
        <f>IFERROR(Tableau6[[#This Row],[Score]]/Tableau6[[#This Row],[Nb]],0)</f>
        <v>0</v>
      </c>
    </row>
    <row r="654" spans="1:6" ht="30" customHeight="1" x14ac:dyDescent="0.3">
      <c r="A654" s="238" t="s">
        <v>6441</v>
      </c>
      <c r="B654" s="239" t="s">
        <v>6442</v>
      </c>
      <c r="C654" s="240">
        <v>44918</v>
      </c>
      <c r="D654" s="241">
        <v>0</v>
      </c>
      <c r="E654" s="241">
        <v>0</v>
      </c>
      <c r="F654" s="242">
        <f>IFERROR(Tableau6[[#This Row],[Score]]/Tableau6[[#This Row],[Nb]],0)</f>
        <v>0</v>
      </c>
    </row>
    <row r="655" spans="1:6" ht="30" customHeight="1" x14ac:dyDescent="0.3">
      <c r="A655" s="233" t="s">
        <v>6421</v>
      </c>
      <c r="B655" s="234" t="s">
        <v>6422</v>
      </c>
      <c r="C655" s="235">
        <v>44918</v>
      </c>
      <c r="D655" s="236">
        <v>0</v>
      </c>
      <c r="E655" s="236">
        <v>0</v>
      </c>
      <c r="F655" s="237">
        <f>IFERROR(Tableau6[[#This Row],[Score]]/Tableau6[[#This Row],[Nb]],0)</f>
        <v>0</v>
      </c>
    </row>
    <row r="656" spans="1:6" ht="30" customHeight="1" x14ac:dyDescent="0.3">
      <c r="A656" s="243" t="s">
        <v>6443</v>
      </c>
      <c r="B656" s="244" t="s">
        <v>6444</v>
      </c>
      <c r="C656" s="245">
        <v>44918</v>
      </c>
      <c r="D656" s="246">
        <v>0</v>
      </c>
      <c r="E656" s="246">
        <v>0</v>
      </c>
      <c r="F656" s="247">
        <f>IFERROR(Tableau6[[#This Row],[Score]]/Tableau6[[#This Row],[Nb]],0)</f>
        <v>0</v>
      </c>
    </row>
    <row r="657" spans="1:6" ht="30" customHeight="1" x14ac:dyDescent="0.3">
      <c r="A657" s="322" t="s">
        <v>6469</v>
      </c>
      <c r="B657" s="323" t="s">
        <v>6470</v>
      </c>
      <c r="C657" s="324">
        <v>44932</v>
      </c>
      <c r="D657" s="325">
        <v>0</v>
      </c>
      <c r="E657" s="325">
        <v>0</v>
      </c>
      <c r="F657" s="326">
        <f>IFERROR(Tableau6[[#This Row],[Score]]/Tableau6[[#This Row],[Nb]],0)</f>
        <v>0</v>
      </c>
    </row>
    <row r="658" spans="1:6" ht="30" customHeight="1" x14ac:dyDescent="0.3">
      <c r="A658" s="331" t="s">
        <v>6475</v>
      </c>
      <c r="B658" s="332" t="s">
        <v>6476</v>
      </c>
      <c r="C658" s="333">
        <v>44933</v>
      </c>
      <c r="D658" s="334">
        <v>2</v>
      </c>
      <c r="E658" s="334">
        <v>0</v>
      </c>
      <c r="F658" s="335">
        <f>IFERROR(Tableau6[[#This Row],[Score]]/Tableau6[[#This Row],[Nb]],0)</f>
        <v>0</v>
      </c>
    </row>
    <row r="659" spans="1:6" ht="30" customHeight="1" x14ac:dyDescent="0.3">
      <c r="A659" s="344" t="s">
        <v>6484</v>
      </c>
      <c r="B659" s="345" t="s">
        <v>4945</v>
      </c>
      <c r="C659" s="346">
        <v>44935</v>
      </c>
      <c r="D659" s="347">
        <v>0</v>
      </c>
      <c r="E659" s="347">
        <v>0</v>
      </c>
      <c r="F659" s="348">
        <f>IFERROR(Tableau6[[#This Row],[Score]]/Tableau6[[#This Row],[Nb]],0)</f>
        <v>0</v>
      </c>
    </row>
    <row r="660" spans="1:6" ht="30" customHeight="1" x14ac:dyDescent="0.3">
      <c r="A660" s="349" t="s">
        <v>6487</v>
      </c>
      <c r="B660" s="350" t="s">
        <v>6488</v>
      </c>
      <c r="C660" s="351">
        <v>44935</v>
      </c>
      <c r="D660" s="352">
        <v>2</v>
      </c>
      <c r="E660" s="352">
        <v>0</v>
      </c>
      <c r="F660" s="353">
        <f>IFERROR(Tableau6[[#This Row],[Score]]/Tableau6[[#This Row],[Nb]],0)</f>
        <v>0</v>
      </c>
    </row>
    <row r="661" spans="1:6" ht="30" customHeight="1" x14ac:dyDescent="0.3">
      <c r="A661" s="364" t="s">
        <v>6493</v>
      </c>
      <c r="B661" s="365" t="s">
        <v>6494</v>
      </c>
      <c r="C661" s="366">
        <v>44942</v>
      </c>
      <c r="D661" s="367">
        <v>4</v>
      </c>
      <c r="E661" s="367">
        <v>0</v>
      </c>
      <c r="F661" s="368">
        <f>IFERROR(Tableau6[[#This Row],[Score]]/Tableau6[[#This Row],[Nb]],0)</f>
        <v>0</v>
      </c>
    </row>
    <row r="662" spans="1:6" ht="30" customHeight="1" x14ac:dyDescent="0.3">
      <c r="A662" s="369" t="s">
        <v>6495</v>
      </c>
      <c r="B662" s="370" t="s">
        <v>6496</v>
      </c>
      <c r="C662" s="371">
        <v>44943</v>
      </c>
      <c r="D662" s="372">
        <v>0</v>
      </c>
      <c r="E662" s="372">
        <v>0</v>
      </c>
      <c r="F662" s="373">
        <f>IFERROR(Tableau6[[#This Row],[Score]]/Tableau6[[#This Row],[Nb]],0)</f>
        <v>0</v>
      </c>
    </row>
    <row r="663" spans="1:6" ht="30" customHeight="1" x14ac:dyDescent="0.3">
      <c r="A663" s="384" t="s">
        <v>6504</v>
      </c>
      <c r="B663" s="385" t="s">
        <v>6505</v>
      </c>
      <c r="C663" s="386">
        <v>44945</v>
      </c>
      <c r="D663" s="387">
        <v>2</v>
      </c>
      <c r="E663" s="387">
        <v>0</v>
      </c>
      <c r="F663" s="388">
        <f>IFERROR(Tableau6[[#This Row],[Score]]/Tableau6[[#This Row],[Nb]],0)</f>
        <v>0</v>
      </c>
    </row>
    <row r="664" spans="1:6" ht="30" customHeight="1" x14ac:dyDescent="0.3">
      <c r="A664" s="390" t="s">
        <v>6507</v>
      </c>
      <c r="B664" s="391" t="s">
        <v>6508</v>
      </c>
      <c r="C664" s="392">
        <v>44946</v>
      </c>
      <c r="D664" s="393">
        <v>0</v>
      </c>
      <c r="E664" s="393">
        <v>0</v>
      </c>
      <c r="F664" s="394">
        <f>IFERROR(Tableau6[[#This Row],[Score]]/Tableau6[[#This Row],[Nb]],0)</f>
        <v>0</v>
      </c>
    </row>
    <row r="665" spans="1:6" ht="30" customHeight="1" x14ac:dyDescent="0.3">
      <c r="A665" s="426" t="s">
        <v>6528</v>
      </c>
      <c r="B665" s="422" t="s">
        <v>6527</v>
      </c>
      <c r="C665" s="423">
        <v>44949</v>
      </c>
      <c r="D665" s="424">
        <v>0</v>
      </c>
      <c r="E665" s="424">
        <v>0</v>
      </c>
      <c r="F665" s="425">
        <f>IFERROR(Tableau6[[#This Row],[Score]]/Tableau6[[#This Row],[Nb]],0)</f>
        <v>0</v>
      </c>
    </row>
    <row r="666" spans="1:6" ht="30" customHeight="1" x14ac:dyDescent="0.3">
      <c r="A666" s="440" t="s">
        <v>6542</v>
      </c>
      <c r="B666" s="441" t="s">
        <v>6543</v>
      </c>
      <c r="C666" s="442">
        <v>44952</v>
      </c>
      <c r="D666" s="443">
        <v>0</v>
      </c>
      <c r="E666" s="443">
        <v>0</v>
      </c>
      <c r="F666" s="444">
        <f>IFERROR(Tableau6[[#This Row],[Score]]/Tableau6[[#This Row],[Nb]],0)</f>
        <v>0</v>
      </c>
    </row>
    <row r="667" spans="1:6" ht="30" customHeight="1" x14ac:dyDescent="0.3">
      <c r="A667" s="450" t="s">
        <v>6544</v>
      </c>
      <c r="B667" s="446" t="s">
        <v>1526</v>
      </c>
      <c r="C667" s="447">
        <v>44955</v>
      </c>
      <c r="D667" s="448">
        <v>0</v>
      </c>
      <c r="E667" s="448">
        <v>0</v>
      </c>
      <c r="F667" s="449">
        <f>IFERROR(Tableau6[[#This Row],[Score]]/Tableau6[[#This Row],[Nb]],0)</f>
        <v>0</v>
      </c>
    </row>
    <row r="668" spans="1:6" ht="30" customHeight="1" x14ac:dyDescent="0.3">
      <c r="A668" s="467" t="s">
        <v>6551</v>
      </c>
      <c r="B668" s="468" t="s">
        <v>6552</v>
      </c>
      <c r="C668" s="469">
        <v>44958</v>
      </c>
      <c r="D668" s="470">
        <v>0</v>
      </c>
      <c r="E668" s="470">
        <v>0</v>
      </c>
      <c r="F668" s="471">
        <f>IFERROR(Tableau6[[#This Row],[Score]]/Tableau6[[#This Row],[Nb]],0)</f>
        <v>0</v>
      </c>
    </row>
    <row r="669" spans="1:6" ht="30" customHeight="1" x14ac:dyDescent="0.3">
      <c r="A669" s="476" t="s">
        <v>6553</v>
      </c>
      <c r="B669" s="472" t="s">
        <v>6554</v>
      </c>
      <c r="C669" s="473">
        <v>44959</v>
      </c>
      <c r="D669" s="474">
        <v>0</v>
      </c>
      <c r="E669" s="474">
        <v>0</v>
      </c>
      <c r="F669" s="475">
        <f>IFERROR(Tableau6[[#This Row],[Score]]/Tableau6[[#This Row],[Nb]],0)</f>
        <v>0</v>
      </c>
    </row>
    <row r="670" spans="1:6" ht="30" customHeight="1" x14ac:dyDescent="0.3">
      <c r="A670" s="502" t="s">
        <v>6577</v>
      </c>
      <c r="B670" s="503" t="s">
        <v>6578</v>
      </c>
      <c r="C670" s="504">
        <v>44962</v>
      </c>
      <c r="D670" s="505">
        <v>0</v>
      </c>
      <c r="E670" s="505">
        <v>0</v>
      </c>
      <c r="F670" s="506">
        <f>IFERROR(Tableau6[[#This Row],[Score]]/Tableau6[[#This Row],[Nb]],0)</f>
        <v>0</v>
      </c>
    </row>
    <row r="671" spans="1:6" ht="30" customHeight="1" x14ac:dyDescent="0.3">
      <c r="A671" s="502" t="s">
        <v>6580</v>
      </c>
      <c r="B671" s="503" t="s">
        <v>6579</v>
      </c>
      <c r="C671" s="504">
        <v>44962</v>
      </c>
      <c r="D671" s="505">
        <v>0</v>
      </c>
      <c r="E671" s="505">
        <v>0</v>
      </c>
      <c r="F671" s="506">
        <f>IFERROR(Tableau6[[#This Row],[Score]]/Tableau6[[#This Row],[Nb]],0)</f>
        <v>0</v>
      </c>
    </row>
    <row r="672" spans="1:6" ht="30" customHeight="1" x14ac:dyDescent="0.3">
      <c r="A672" s="512" t="s">
        <v>2872</v>
      </c>
      <c r="B672" s="513" t="s">
        <v>2873</v>
      </c>
      <c r="C672" s="514">
        <v>44962</v>
      </c>
      <c r="D672" s="515">
        <v>0</v>
      </c>
      <c r="E672" s="515">
        <v>0</v>
      </c>
      <c r="F672" s="516">
        <f>IFERROR(Tableau6[[#This Row],[Score]]/Tableau6[[#This Row],[Nb]],0)</f>
        <v>0</v>
      </c>
    </row>
    <row r="673" spans="1:6" ht="30" customHeight="1" x14ac:dyDescent="0.3">
      <c r="A673" s="535" t="s">
        <v>6599</v>
      </c>
      <c r="B673" s="536" t="s">
        <v>6600</v>
      </c>
      <c r="C673" s="537">
        <v>44969</v>
      </c>
      <c r="D673" s="538">
        <v>0</v>
      </c>
      <c r="E673" s="538">
        <v>0</v>
      </c>
      <c r="F673" s="539">
        <f>IFERROR(Tableau6[[#This Row],[Score]]/Tableau6[[#This Row],[Nb]],0)</f>
        <v>0</v>
      </c>
    </row>
    <row r="674" spans="1:6" ht="30" customHeight="1" x14ac:dyDescent="0.3">
      <c r="A674" s="540" t="s">
        <v>6601</v>
      </c>
      <c r="B674" s="541" t="s">
        <v>6602</v>
      </c>
      <c r="C674" s="542">
        <v>44969</v>
      </c>
      <c r="D674" s="543">
        <v>0</v>
      </c>
      <c r="E674" s="543">
        <v>0</v>
      </c>
      <c r="F674" s="544">
        <f>IFERROR(Tableau6[[#This Row],[Score]]/Tableau6[[#This Row],[Nb]],0)</f>
        <v>0</v>
      </c>
    </row>
    <row r="675" spans="1:6" ht="30" customHeight="1" x14ac:dyDescent="0.3">
      <c r="A675" s="547" t="s">
        <v>6610</v>
      </c>
      <c r="B675" s="548" t="s">
        <v>311</v>
      </c>
      <c r="C675" s="549">
        <v>44969</v>
      </c>
      <c r="D675" s="550">
        <v>0</v>
      </c>
      <c r="E675" s="550">
        <v>0</v>
      </c>
      <c r="F675" s="551">
        <f>IFERROR(Tableau6[[#This Row],[Score]]/Tableau6[[#This Row],[Nb]],0)</f>
        <v>0</v>
      </c>
    </row>
    <row r="676" spans="1:6" ht="30" customHeight="1" x14ac:dyDescent="0.3">
      <c r="A676" s="547" t="s">
        <v>6611</v>
      </c>
      <c r="B676" s="548" t="s">
        <v>6612</v>
      </c>
      <c r="C676" s="549">
        <v>44969</v>
      </c>
      <c r="D676" s="550">
        <v>0</v>
      </c>
      <c r="E676" s="550">
        <v>0</v>
      </c>
      <c r="F676" s="551">
        <f>IFERROR(Tableau6[[#This Row],[Score]]/Tableau6[[#This Row],[Nb]],0)</f>
        <v>0</v>
      </c>
    </row>
    <row r="677" spans="1:6" ht="30" customHeight="1" x14ac:dyDescent="0.3">
      <c r="A677" s="547" t="s">
        <v>6615</v>
      </c>
      <c r="B677" s="548" t="s">
        <v>6616</v>
      </c>
      <c r="C677" s="549">
        <v>44969</v>
      </c>
      <c r="D677" s="550">
        <v>0</v>
      </c>
      <c r="E677" s="550">
        <v>0</v>
      </c>
      <c r="F677" s="551">
        <f>IFERROR(Tableau6[[#This Row],[Score]]/Tableau6[[#This Row],[Nb]],0)</f>
        <v>0</v>
      </c>
    </row>
    <row r="678" spans="1:6" ht="30" customHeight="1" x14ac:dyDescent="0.3">
      <c r="A678" s="552" t="s">
        <v>6617</v>
      </c>
      <c r="B678" s="553" t="s">
        <v>6618</v>
      </c>
      <c r="C678" s="554">
        <v>44969</v>
      </c>
      <c r="D678" s="555">
        <v>0</v>
      </c>
      <c r="E678" s="555">
        <v>0</v>
      </c>
      <c r="F678" s="556">
        <f>IFERROR(Tableau6[[#This Row],[Score]]/Tableau6[[#This Row],[Nb]],0)</f>
        <v>0</v>
      </c>
    </row>
    <row r="679" spans="1:6" ht="30" customHeight="1" x14ac:dyDescent="0.3">
      <c r="A679" s="576" t="s">
        <v>6629</v>
      </c>
      <c r="B679" s="577" t="s">
        <v>6630</v>
      </c>
      <c r="C679" s="578">
        <v>44976</v>
      </c>
      <c r="D679" s="579">
        <v>0</v>
      </c>
      <c r="E679" s="579">
        <v>0</v>
      </c>
      <c r="F679" s="580">
        <f>IFERROR(Tableau6[[#This Row],[Score]]/Tableau6[[#This Row],[Nb]],0)</f>
        <v>0</v>
      </c>
    </row>
    <row r="680" spans="1:6" ht="30" customHeight="1" x14ac:dyDescent="0.3">
      <c r="A680" s="576" t="s">
        <v>6631</v>
      </c>
      <c r="B680" s="577" t="s">
        <v>6632</v>
      </c>
      <c r="C680" s="578">
        <v>44976</v>
      </c>
      <c r="D680" s="579">
        <v>0</v>
      </c>
      <c r="E680" s="579">
        <v>0</v>
      </c>
      <c r="F680" s="580">
        <f>IFERROR(Tableau6[[#This Row],[Score]]/Tableau6[[#This Row],[Nb]],0)</f>
        <v>0</v>
      </c>
    </row>
    <row r="681" spans="1:6" ht="30" customHeight="1" x14ac:dyDescent="0.3">
      <c r="A681" s="576" t="s">
        <v>6633</v>
      </c>
      <c r="B681" s="577" t="s">
        <v>6634</v>
      </c>
      <c r="C681" s="578">
        <v>44976</v>
      </c>
      <c r="D681" s="579">
        <v>0</v>
      </c>
      <c r="E681" s="579">
        <v>0</v>
      </c>
      <c r="F681" s="580">
        <f>IFERROR(Tableau6[[#This Row],[Score]]/Tableau6[[#This Row],[Nb]],0)</f>
        <v>0</v>
      </c>
    </row>
    <row r="682" spans="1:6" ht="30" customHeight="1" x14ac:dyDescent="0.3">
      <c r="A682" s="583" t="s">
        <v>6641</v>
      </c>
      <c r="B682" s="584" t="s">
        <v>6642</v>
      </c>
      <c r="C682" s="585">
        <v>44977</v>
      </c>
      <c r="D682" s="586">
        <v>2</v>
      </c>
      <c r="E682" s="586">
        <v>0</v>
      </c>
      <c r="F682" s="587">
        <f>IFERROR(Tableau6[[#This Row],[Score]]/Tableau6[[#This Row],[Nb]],0)</f>
        <v>0</v>
      </c>
    </row>
    <row r="683" spans="1:6" ht="30" customHeight="1" x14ac:dyDescent="0.3">
      <c r="A683" s="625" t="s">
        <v>6658</v>
      </c>
      <c r="B683" s="626" t="s">
        <v>6659</v>
      </c>
      <c r="C683" s="627">
        <v>44982</v>
      </c>
      <c r="D683" s="628">
        <v>0</v>
      </c>
      <c r="E683" s="628">
        <v>0</v>
      </c>
      <c r="F683" s="629">
        <f>IFERROR(Tableau6[[#This Row],[Score]]/Tableau6[[#This Row],[Nb]],0)</f>
        <v>0</v>
      </c>
    </row>
    <row r="684" spans="1:6" ht="30" customHeight="1" x14ac:dyDescent="0.3">
      <c r="A684" s="634" t="s">
        <v>6662</v>
      </c>
      <c r="B684" s="635" t="s">
        <v>6663</v>
      </c>
      <c r="C684" s="636">
        <v>44983</v>
      </c>
      <c r="D684" s="637">
        <v>0</v>
      </c>
      <c r="E684" s="637">
        <v>0</v>
      </c>
      <c r="F684" s="638">
        <f>IFERROR(Tableau6[[#This Row],[Score]]/Tableau6[[#This Row],[Nb]],0)</f>
        <v>0</v>
      </c>
    </row>
    <row r="685" spans="1:6" ht="30" customHeight="1" x14ac:dyDescent="0.3">
      <c r="A685" s="639" t="s">
        <v>6664</v>
      </c>
      <c r="B685" s="640" t="s">
        <v>6665</v>
      </c>
      <c r="C685" s="641">
        <v>44983</v>
      </c>
      <c r="D685" s="642">
        <v>0</v>
      </c>
      <c r="E685" s="642">
        <v>0</v>
      </c>
      <c r="F685" s="643">
        <f>IFERROR(Tableau6[[#This Row],[Score]]/Tableau6[[#This Row],[Nb]],0)</f>
        <v>0</v>
      </c>
    </row>
    <row r="686" spans="1:6" ht="30" customHeight="1" x14ac:dyDescent="0.3">
      <c r="A686" s="26" t="s">
        <v>663</v>
      </c>
      <c r="B686" s="27" t="s">
        <v>1074</v>
      </c>
      <c r="C686" s="180">
        <v>43237</v>
      </c>
      <c r="D686" s="28">
        <v>29</v>
      </c>
      <c r="E686" s="49">
        <v>1</v>
      </c>
      <c r="F686" s="211">
        <f>IFERROR(Tableau6[[#This Row],[Score]]/Tableau6[[#This Row],[Nb]],0)</f>
        <v>3.4482758620689655E-2</v>
      </c>
    </row>
    <row r="687" spans="1:6" ht="30" customHeight="1" x14ac:dyDescent="0.3">
      <c r="A687" s="26" t="s">
        <v>1676</v>
      </c>
      <c r="B687" s="27" t="s">
        <v>1677</v>
      </c>
      <c r="C687" s="180">
        <v>43548</v>
      </c>
      <c r="D687" s="28">
        <v>28</v>
      </c>
      <c r="E687" s="49">
        <v>1</v>
      </c>
      <c r="F687" s="211">
        <f>IFERROR(Tableau6[[#This Row],[Score]]/Tableau6[[#This Row],[Nb]],0)</f>
        <v>3.5714285714285712E-2</v>
      </c>
    </row>
    <row r="688" spans="1:6" ht="30" customHeight="1" x14ac:dyDescent="0.3">
      <c r="A688" s="26" t="s">
        <v>922</v>
      </c>
      <c r="B688" s="27" t="s">
        <v>1091</v>
      </c>
      <c r="C688" s="180">
        <v>41621</v>
      </c>
      <c r="D688" s="28">
        <v>24</v>
      </c>
      <c r="E688" s="49">
        <v>1</v>
      </c>
      <c r="F688" s="211">
        <f>IFERROR(Tableau6[[#This Row],[Score]]/Tableau6[[#This Row],[Nb]],0)</f>
        <v>4.1666666666666664E-2</v>
      </c>
    </row>
    <row r="689" spans="1:6" ht="30" customHeight="1" x14ac:dyDescent="0.3">
      <c r="A689" s="26" t="s">
        <v>3434</v>
      </c>
      <c r="B689" s="27" t="s">
        <v>3435</v>
      </c>
      <c r="C689" s="180">
        <v>44053</v>
      </c>
      <c r="D689" s="28">
        <v>24</v>
      </c>
      <c r="E689" s="49">
        <v>1</v>
      </c>
      <c r="F689" s="211">
        <f>IFERROR(Tableau6[[#This Row],[Score]]/Tableau6[[#This Row],[Nb]],0)</f>
        <v>4.1666666666666664E-2</v>
      </c>
    </row>
    <row r="690" spans="1:6" ht="30" customHeight="1" x14ac:dyDescent="0.3">
      <c r="A690" s="26" t="s">
        <v>4346</v>
      </c>
      <c r="B690" s="27" t="s">
        <v>434</v>
      </c>
      <c r="C690" s="180">
        <v>44298</v>
      </c>
      <c r="D690" s="28">
        <v>23</v>
      </c>
      <c r="E690" s="49">
        <v>1</v>
      </c>
      <c r="F690" s="211">
        <f>IFERROR(Tableau6[[#This Row],[Score]]/Tableau6[[#This Row],[Nb]],0)</f>
        <v>4.3478260869565216E-2</v>
      </c>
    </row>
    <row r="691" spans="1:6" ht="30" customHeight="1" x14ac:dyDescent="0.3">
      <c r="A691" s="26" t="s">
        <v>2433</v>
      </c>
      <c r="B691" s="27" t="s">
        <v>2434</v>
      </c>
      <c r="C691" s="180">
        <v>43776</v>
      </c>
      <c r="D691" s="28">
        <v>22</v>
      </c>
      <c r="E691" s="49">
        <v>1</v>
      </c>
      <c r="F691" s="211">
        <f>IFERROR(Tableau6[[#This Row],[Score]]/Tableau6[[#This Row],[Nb]],0)</f>
        <v>4.5454545454545456E-2</v>
      </c>
    </row>
    <row r="692" spans="1:6" ht="30" customHeight="1" x14ac:dyDescent="0.3">
      <c r="A692" s="26" t="s">
        <v>2553</v>
      </c>
      <c r="B692" s="27" t="s">
        <v>2554</v>
      </c>
      <c r="C692" s="180">
        <v>43826</v>
      </c>
      <c r="D692" s="28">
        <v>22</v>
      </c>
      <c r="E692" s="49">
        <v>1</v>
      </c>
      <c r="F692" s="211">
        <f>IFERROR(Tableau6[[#This Row],[Score]]/Tableau6[[#This Row],[Nb]],0)</f>
        <v>4.5454545454545456E-2</v>
      </c>
    </row>
    <row r="693" spans="1:6" ht="30" customHeight="1" x14ac:dyDescent="0.3">
      <c r="A693" s="151" t="s">
        <v>5723</v>
      </c>
      <c r="B693" s="152" t="s">
        <v>2228</v>
      </c>
      <c r="C693" s="180">
        <v>44242</v>
      </c>
      <c r="D693" s="28">
        <v>22</v>
      </c>
      <c r="E693" s="49">
        <v>1</v>
      </c>
      <c r="F693" s="211">
        <f>IFERROR(Tableau6[[#This Row],[Score]]/Tableau6[[#This Row],[Nb]],0)</f>
        <v>4.5454545454545456E-2</v>
      </c>
    </row>
    <row r="694" spans="1:6" ht="30" customHeight="1" x14ac:dyDescent="0.3">
      <c r="A694" s="26" t="s">
        <v>2265</v>
      </c>
      <c r="B694" s="27" t="s">
        <v>2266</v>
      </c>
      <c r="C694" s="180">
        <v>43761</v>
      </c>
      <c r="D694" s="28">
        <v>20</v>
      </c>
      <c r="E694" s="49">
        <v>1</v>
      </c>
      <c r="F694" s="211">
        <f>IFERROR(Tableau6[[#This Row],[Score]]/Tableau6[[#This Row],[Nb]],0)</f>
        <v>0.05</v>
      </c>
    </row>
    <row r="695" spans="1:6" ht="30" customHeight="1" x14ac:dyDescent="0.3">
      <c r="A695" s="26" t="s">
        <v>2304</v>
      </c>
      <c r="B695" s="27" t="s">
        <v>2305</v>
      </c>
      <c r="C695" s="180">
        <v>43767</v>
      </c>
      <c r="D695" s="28">
        <v>20</v>
      </c>
      <c r="E695" s="49">
        <v>1</v>
      </c>
      <c r="F695" s="211">
        <f>IFERROR(Tableau6[[#This Row],[Score]]/Tableau6[[#This Row],[Nb]],0)</f>
        <v>0.05</v>
      </c>
    </row>
    <row r="696" spans="1:6" ht="30" customHeight="1" x14ac:dyDescent="0.3">
      <c r="A696" s="26" t="s">
        <v>3460</v>
      </c>
      <c r="B696" s="27" t="s">
        <v>3461</v>
      </c>
      <c r="C696" s="180">
        <v>44201</v>
      </c>
      <c r="D696" s="28">
        <v>20</v>
      </c>
      <c r="E696" s="49">
        <v>1</v>
      </c>
      <c r="F696" s="211">
        <f>IFERROR(Tableau6[[#This Row],[Score]]/Tableau6[[#This Row],[Nb]],0)</f>
        <v>0.05</v>
      </c>
    </row>
    <row r="697" spans="1:6" ht="30" customHeight="1" x14ac:dyDescent="0.3">
      <c r="A697" s="151" t="s">
        <v>5929</v>
      </c>
      <c r="B697" s="152" t="s">
        <v>5930</v>
      </c>
      <c r="C697" s="180">
        <v>44249</v>
      </c>
      <c r="D697" s="28">
        <v>20</v>
      </c>
      <c r="E697" s="49">
        <v>1</v>
      </c>
      <c r="F697" s="211">
        <f>IFERROR(Tableau6[[#This Row],[Score]]/Tableau6[[#This Row],[Nb]],0)</f>
        <v>0.05</v>
      </c>
    </row>
    <row r="698" spans="1:6" ht="30" customHeight="1" x14ac:dyDescent="0.3">
      <c r="A698" s="26" t="s">
        <v>4303</v>
      </c>
      <c r="B698" s="27" t="s">
        <v>4304</v>
      </c>
      <c r="C698" s="180">
        <v>44283</v>
      </c>
      <c r="D698" s="28">
        <v>20</v>
      </c>
      <c r="E698" s="49">
        <v>1</v>
      </c>
      <c r="F698" s="211">
        <f>IFERROR(Tableau6[[#This Row],[Score]]/Tableau6[[#This Row],[Nb]],0)</f>
        <v>0.05</v>
      </c>
    </row>
    <row r="699" spans="1:6" ht="30" customHeight="1" x14ac:dyDescent="0.3">
      <c r="A699" s="26" t="s">
        <v>3415</v>
      </c>
      <c r="B699" s="27" t="s">
        <v>3416</v>
      </c>
      <c r="C699" s="180">
        <v>41621</v>
      </c>
      <c r="D699" s="28">
        <v>19</v>
      </c>
      <c r="E699" s="49">
        <v>1</v>
      </c>
      <c r="F699" s="211">
        <f>IFERROR(Tableau6[[#This Row],[Score]]/Tableau6[[#This Row],[Nb]],0)</f>
        <v>5.2631578947368418E-2</v>
      </c>
    </row>
    <row r="700" spans="1:6" ht="30" customHeight="1" x14ac:dyDescent="0.3">
      <c r="A700" s="26" t="s">
        <v>142</v>
      </c>
      <c r="B700" s="27" t="s">
        <v>145</v>
      </c>
      <c r="C700" s="180">
        <v>43370</v>
      </c>
      <c r="D700" s="28">
        <v>19</v>
      </c>
      <c r="E700" s="49">
        <v>1</v>
      </c>
      <c r="F700" s="211">
        <f>IFERROR(Tableau6[[#This Row],[Score]]/Tableau6[[#This Row],[Nb]],0)</f>
        <v>5.2631578947368418E-2</v>
      </c>
    </row>
    <row r="701" spans="1:6" ht="30" customHeight="1" x14ac:dyDescent="0.3">
      <c r="A701" s="26" t="s">
        <v>4574</v>
      </c>
      <c r="B701" s="27" t="s">
        <v>4573</v>
      </c>
      <c r="C701" s="180">
        <v>43405</v>
      </c>
      <c r="D701" s="28">
        <v>19</v>
      </c>
      <c r="E701" s="49">
        <v>1</v>
      </c>
      <c r="F701" s="211">
        <f>IFERROR(Tableau6[[#This Row],[Score]]/Tableau6[[#This Row],[Nb]],0)</f>
        <v>5.2631578947368418E-2</v>
      </c>
    </row>
    <row r="702" spans="1:6" ht="30" customHeight="1" x14ac:dyDescent="0.3">
      <c r="A702" s="26" t="s">
        <v>2395</v>
      </c>
      <c r="B702" s="27" t="s">
        <v>2396</v>
      </c>
      <c r="C702" s="180">
        <v>43775</v>
      </c>
      <c r="D702" s="28">
        <v>19</v>
      </c>
      <c r="E702" s="49">
        <v>1</v>
      </c>
      <c r="F702" s="211">
        <f>IFERROR(Tableau6[[#This Row],[Score]]/Tableau6[[#This Row],[Nb]],0)</f>
        <v>5.2631578947368418E-2</v>
      </c>
    </row>
    <row r="703" spans="1:6" ht="30" customHeight="1" x14ac:dyDescent="0.3">
      <c r="A703" s="26" t="s">
        <v>2965</v>
      </c>
      <c r="B703" s="27" t="s">
        <v>2966</v>
      </c>
      <c r="C703" s="180">
        <v>43984</v>
      </c>
      <c r="D703" s="28">
        <v>19</v>
      </c>
      <c r="E703" s="49">
        <v>1</v>
      </c>
      <c r="F703" s="211">
        <f>IFERROR(Tableau6[[#This Row],[Score]]/Tableau6[[#This Row],[Nb]],0)</f>
        <v>5.2631578947368418E-2</v>
      </c>
    </row>
    <row r="704" spans="1:6" ht="30" customHeight="1" x14ac:dyDescent="0.3">
      <c r="A704" s="151" t="s">
        <v>5283</v>
      </c>
      <c r="B704" s="152" t="s">
        <v>5284</v>
      </c>
      <c r="C704" s="208">
        <v>44524</v>
      </c>
      <c r="D704" s="154">
        <v>19</v>
      </c>
      <c r="E704" s="154">
        <v>1</v>
      </c>
      <c r="F704" s="211">
        <f>IFERROR(Tableau6[[#This Row],[Score]]/Tableau6[[#This Row],[Nb]],0)</f>
        <v>5.2631578947368418E-2</v>
      </c>
    </row>
    <row r="705" spans="1:6" ht="30" customHeight="1" x14ac:dyDescent="0.3">
      <c r="A705" s="26" t="s">
        <v>3156</v>
      </c>
      <c r="B705" s="27" t="s">
        <v>2810</v>
      </c>
      <c r="C705" s="180">
        <v>43341</v>
      </c>
      <c r="D705" s="28">
        <v>18</v>
      </c>
      <c r="E705" s="49">
        <v>1</v>
      </c>
      <c r="F705" s="211">
        <f>IFERROR(Tableau6[[#This Row],[Score]]/Tableau6[[#This Row],[Nb]],0)</f>
        <v>5.5555555555555552E-2</v>
      </c>
    </row>
    <row r="706" spans="1:6" ht="30" customHeight="1" x14ac:dyDescent="0.3">
      <c r="A706" s="26" t="s">
        <v>3529</v>
      </c>
      <c r="B706" s="27" t="s">
        <v>3530</v>
      </c>
      <c r="C706" s="180">
        <v>43427</v>
      </c>
      <c r="D706" s="28">
        <v>18</v>
      </c>
      <c r="E706" s="49">
        <v>1</v>
      </c>
      <c r="F706" s="211">
        <f>IFERROR(Tableau6[[#This Row],[Score]]/Tableau6[[#This Row],[Nb]],0)</f>
        <v>5.5555555555555552E-2</v>
      </c>
    </row>
    <row r="707" spans="1:6" ht="30" customHeight="1" x14ac:dyDescent="0.3">
      <c r="A707" s="26" t="s">
        <v>2854</v>
      </c>
      <c r="B707" s="27" t="s">
        <v>2855</v>
      </c>
      <c r="C707" s="180">
        <v>43969</v>
      </c>
      <c r="D707" s="28">
        <v>18</v>
      </c>
      <c r="E707" s="49">
        <v>1</v>
      </c>
      <c r="F707" s="211">
        <f>IFERROR(Tableau6[[#This Row],[Score]]/Tableau6[[#This Row],[Nb]],0)</f>
        <v>5.5555555555555552E-2</v>
      </c>
    </row>
    <row r="708" spans="1:6" ht="30" customHeight="1" x14ac:dyDescent="0.3">
      <c r="A708" s="26" t="s">
        <v>972</v>
      </c>
      <c r="B708" s="27" t="s">
        <v>882</v>
      </c>
      <c r="C708" s="180">
        <v>41621</v>
      </c>
      <c r="D708" s="28">
        <v>17</v>
      </c>
      <c r="E708" s="49">
        <v>1</v>
      </c>
      <c r="F708" s="211">
        <f>IFERROR(Tableau6[[#This Row],[Score]]/Tableau6[[#This Row],[Nb]],0)</f>
        <v>5.8823529411764705E-2</v>
      </c>
    </row>
    <row r="709" spans="1:6" ht="30" customHeight="1" x14ac:dyDescent="0.3">
      <c r="A709" s="26" t="s">
        <v>532</v>
      </c>
      <c r="B709" s="27" t="s">
        <v>533</v>
      </c>
      <c r="C709" s="180">
        <v>43408</v>
      </c>
      <c r="D709" s="28">
        <v>17</v>
      </c>
      <c r="E709" s="49">
        <v>1</v>
      </c>
      <c r="F709" s="211">
        <f>IFERROR(Tableau6[[#This Row],[Score]]/Tableau6[[#This Row],[Nb]],0)</f>
        <v>5.8823529411764705E-2</v>
      </c>
    </row>
    <row r="710" spans="1:6" ht="30" customHeight="1" x14ac:dyDescent="0.3">
      <c r="A710" s="26" t="s">
        <v>4042</v>
      </c>
      <c r="B710" s="27" t="s">
        <v>1376</v>
      </c>
      <c r="C710" s="180">
        <v>43444</v>
      </c>
      <c r="D710" s="28">
        <v>17</v>
      </c>
      <c r="E710" s="49">
        <v>1</v>
      </c>
      <c r="F710" s="211">
        <f>IFERROR(Tableau6[[#This Row],[Score]]/Tableau6[[#This Row],[Nb]],0)</f>
        <v>5.8823529411764705E-2</v>
      </c>
    </row>
    <row r="711" spans="1:6" ht="30" customHeight="1" x14ac:dyDescent="0.3">
      <c r="A711" s="26" t="s">
        <v>2441</v>
      </c>
      <c r="B711" s="27" t="s">
        <v>2442</v>
      </c>
      <c r="C711" s="180">
        <v>43776</v>
      </c>
      <c r="D711" s="28">
        <v>17</v>
      </c>
      <c r="E711" s="49">
        <v>1</v>
      </c>
      <c r="F711" s="211">
        <f>IFERROR(Tableau6[[#This Row],[Score]]/Tableau6[[#This Row],[Nb]],0)</f>
        <v>5.8823529411764705E-2</v>
      </c>
    </row>
    <row r="712" spans="1:6" ht="30" customHeight="1" x14ac:dyDescent="0.3">
      <c r="A712" s="26" t="s">
        <v>2449</v>
      </c>
      <c r="B712" s="27" t="s">
        <v>2450</v>
      </c>
      <c r="C712" s="180">
        <v>43776</v>
      </c>
      <c r="D712" s="28">
        <v>17</v>
      </c>
      <c r="E712" s="49">
        <v>1</v>
      </c>
      <c r="F712" s="211">
        <f>IFERROR(Tableau6[[#This Row],[Score]]/Tableau6[[#This Row],[Nb]],0)</f>
        <v>5.8823529411764705E-2</v>
      </c>
    </row>
    <row r="713" spans="1:6" ht="30" customHeight="1" x14ac:dyDescent="0.3">
      <c r="A713" s="26" t="s">
        <v>4826</v>
      </c>
      <c r="B713" s="27" t="s">
        <v>2104</v>
      </c>
      <c r="C713" s="180">
        <v>44395</v>
      </c>
      <c r="D713" s="28">
        <v>17</v>
      </c>
      <c r="E713" s="49">
        <v>1</v>
      </c>
      <c r="F713" s="211">
        <f>IFERROR(Tableau6[[#This Row],[Score]]/Tableau6[[#This Row],[Nb]],0)</f>
        <v>5.8823529411764705E-2</v>
      </c>
    </row>
    <row r="714" spans="1:6" ht="30" customHeight="1" x14ac:dyDescent="0.3">
      <c r="A714" s="26" t="s">
        <v>9</v>
      </c>
      <c r="B714" s="27" t="s">
        <v>10</v>
      </c>
      <c r="C714" s="180">
        <v>43206</v>
      </c>
      <c r="D714" s="28">
        <v>16</v>
      </c>
      <c r="E714" s="49">
        <v>1</v>
      </c>
      <c r="F714" s="211">
        <f>IFERROR(Tableau6[[#This Row],[Score]]/Tableau6[[#This Row],[Nb]],0)</f>
        <v>6.25E-2</v>
      </c>
    </row>
    <row r="715" spans="1:6" ht="30" customHeight="1" x14ac:dyDescent="0.3">
      <c r="A715" s="26" t="s">
        <v>2008</v>
      </c>
      <c r="B715" s="27" t="s">
        <v>1456</v>
      </c>
      <c r="C715" s="180">
        <v>43605</v>
      </c>
      <c r="D715" s="28">
        <v>16</v>
      </c>
      <c r="E715" s="49">
        <v>1</v>
      </c>
      <c r="F715" s="211">
        <f>IFERROR(Tableau6[[#This Row],[Score]]/Tableau6[[#This Row],[Nb]],0)</f>
        <v>6.25E-2</v>
      </c>
    </row>
    <row r="716" spans="1:6" ht="30" customHeight="1" x14ac:dyDescent="0.3">
      <c r="A716" s="26" t="s">
        <v>2545</v>
      </c>
      <c r="B716" s="27" t="s">
        <v>2546</v>
      </c>
      <c r="C716" s="180">
        <v>43826</v>
      </c>
      <c r="D716" s="28">
        <v>16</v>
      </c>
      <c r="E716" s="49">
        <v>1</v>
      </c>
      <c r="F716" s="211">
        <f>IFERROR(Tableau6[[#This Row],[Score]]/Tableau6[[#This Row],[Nb]],0)</f>
        <v>6.25E-2</v>
      </c>
    </row>
    <row r="717" spans="1:6" ht="30" customHeight="1" x14ac:dyDescent="0.3">
      <c r="A717" s="26" t="s">
        <v>4287</v>
      </c>
      <c r="B717" s="27" t="s">
        <v>4288</v>
      </c>
      <c r="C717" s="180">
        <v>44283</v>
      </c>
      <c r="D717" s="28">
        <v>16</v>
      </c>
      <c r="E717" s="49">
        <v>1</v>
      </c>
      <c r="F717" s="211">
        <f>IFERROR(Tableau6[[#This Row],[Score]]/Tableau6[[#This Row],[Nb]],0)</f>
        <v>6.25E-2</v>
      </c>
    </row>
    <row r="718" spans="1:6" ht="30" customHeight="1" x14ac:dyDescent="0.3">
      <c r="A718" s="26" t="s">
        <v>4782</v>
      </c>
      <c r="B718" s="27" t="s">
        <v>4783</v>
      </c>
      <c r="C718" s="180">
        <v>44378</v>
      </c>
      <c r="D718" s="28">
        <v>16</v>
      </c>
      <c r="E718" s="49">
        <v>1</v>
      </c>
      <c r="F718" s="211">
        <f>IFERROR(Tableau6[[#This Row],[Score]]/Tableau6[[#This Row],[Nb]],0)</f>
        <v>6.25E-2</v>
      </c>
    </row>
    <row r="719" spans="1:6" ht="30" customHeight="1" x14ac:dyDescent="0.3">
      <c r="A719" s="26" t="s">
        <v>2203</v>
      </c>
      <c r="B719" s="27" t="s">
        <v>2204</v>
      </c>
      <c r="C719" s="180">
        <v>43689</v>
      </c>
      <c r="D719" s="28">
        <v>15</v>
      </c>
      <c r="E719" s="49">
        <v>1</v>
      </c>
      <c r="F719" s="211">
        <f>IFERROR(Tableau6[[#This Row],[Score]]/Tableau6[[#This Row],[Nb]],0)</f>
        <v>6.6666666666666666E-2</v>
      </c>
    </row>
    <row r="720" spans="1:6" ht="30" customHeight="1" x14ac:dyDescent="0.3">
      <c r="A720" s="151" t="s">
        <v>5868</v>
      </c>
      <c r="B720" s="152" t="s">
        <v>5869</v>
      </c>
      <c r="C720" s="208">
        <v>44659</v>
      </c>
      <c r="D720" s="154">
        <v>15</v>
      </c>
      <c r="E720" s="154">
        <v>1</v>
      </c>
      <c r="F720" s="211">
        <f>IFERROR(Tableau6[[#This Row],[Score]]/Tableau6[[#This Row],[Nb]],0)</f>
        <v>6.6666666666666666E-2</v>
      </c>
    </row>
    <row r="721" spans="1:6" ht="30" customHeight="1" x14ac:dyDescent="0.3">
      <c r="A721" s="26" t="s">
        <v>2824</v>
      </c>
      <c r="B721" s="27" t="s">
        <v>2825</v>
      </c>
      <c r="C721" s="180">
        <v>43962</v>
      </c>
      <c r="D721" s="28">
        <v>29</v>
      </c>
      <c r="E721" s="49">
        <v>2</v>
      </c>
      <c r="F721" s="211">
        <f>IFERROR(Tableau6[[#This Row],[Score]]/Tableau6[[#This Row],[Nb]],0)</f>
        <v>6.8965517241379309E-2</v>
      </c>
    </row>
    <row r="722" spans="1:6" ht="30" customHeight="1" x14ac:dyDescent="0.3">
      <c r="A722" s="26" t="s">
        <v>3165</v>
      </c>
      <c r="B722" s="27" t="s">
        <v>3166</v>
      </c>
      <c r="C722" s="180">
        <v>41621</v>
      </c>
      <c r="D722" s="28">
        <v>14</v>
      </c>
      <c r="E722" s="49">
        <v>1</v>
      </c>
      <c r="F722" s="211">
        <f>IFERROR(Tableau6[[#This Row],[Score]]/Tableau6[[#This Row],[Nb]],0)</f>
        <v>7.1428571428571425E-2</v>
      </c>
    </row>
    <row r="723" spans="1:6" ht="30" customHeight="1" x14ac:dyDescent="0.3">
      <c r="A723" s="26" t="s">
        <v>3140</v>
      </c>
      <c r="B723" s="27" t="s">
        <v>3141</v>
      </c>
      <c r="C723" s="180">
        <v>44014</v>
      </c>
      <c r="D723" s="28">
        <v>14</v>
      </c>
      <c r="E723" s="49">
        <v>1</v>
      </c>
      <c r="F723" s="211">
        <f>IFERROR(Tableau6[[#This Row],[Score]]/Tableau6[[#This Row],[Nb]],0)</f>
        <v>7.1428571428571425E-2</v>
      </c>
    </row>
    <row r="724" spans="1:6" ht="30" customHeight="1" x14ac:dyDescent="0.3">
      <c r="A724" s="26" t="s">
        <v>4132</v>
      </c>
      <c r="B724" s="27" t="s">
        <v>4133</v>
      </c>
      <c r="C724" s="180">
        <v>40611</v>
      </c>
      <c r="D724" s="28">
        <v>26</v>
      </c>
      <c r="E724" s="49">
        <v>2</v>
      </c>
      <c r="F724" s="211">
        <f>IFERROR(Tableau6[[#This Row],[Score]]/Tableau6[[#This Row],[Nb]],0)</f>
        <v>7.6923076923076927E-2</v>
      </c>
    </row>
    <row r="725" spans="1:6" ht="30" customHeight="1" x14ac:dyDescent="0.3">
      <c r="A725" s="26" t="s">
        <v>1008</v>
      </c>
      <c r="B725" s="27" t="s">
        <v>629</v>
      </c>
      <c r="C725" s="180">
        <v>41621</v>
      </c>
      <c r="D725" s="28">
        <v>13</v>
      </c>
      <c r="E725" s="49">
        <v>1</v>
      </c>
      <c r="F725" s="211">
        <f>IFERROR(Tableau6[[#This Row],[Score]]/Tableau6[[#This Row],[Nb]],0)</f>
        <v>7.6923076923076927E-2</v>
      </c>
    </row>
    <row r="726" spans="1:6" ht="30" customHeight="1" x14ac:dyDescent="0.3">
      <c r="A726" s="26" t="s">
        <v>180</v>
      </c>
      <c r="B726" s="27" t="s">
        <v>181</v>
      </c>
      <c r="C726" s="180">
        <v>43383</v>
      </c>
      <c r="D726" s="28">
        <v>26</v>
      </c>
      <c r="E726" s="49">
        <v>2</v>
      </c>
      <c r="F726" s="211">
        <f>IFERROR(Tableau6[[#This Row],[Score]]/Tableau6[[#This Row],[Nb]],0)</f>
        <v>7.6923076923076927E-2</v>
      </c>
    </row>
    <row r="727" spans="1:6" ht="30" customHeight="1" x14ac:dyDescent="0.3">
      <c r="A727" s="26" t="s">
        <v>2256</v>
      </c>
      <c r="B727" s="27" t="s">
        <v>1372</v>
      </c>
      <c r="C727" s="180">
        <v>43444</v>
      </c>
      <c r="D727" s="28">
        <v>13</v>
      </c>
      <c r="E727" s="49">
        <v>1</v>
      </c>
      <c r="F727" s="211">
        <f>IFERROR(Tableau6[[#This Row],[Score]]/Tableau6[[#This Row],[Nb]],0)</f>
        <v>7.6923076923076927E-2</v>
      </c>
    </row>
    <row r="728" spans="1:6" ht="30" customHeight="1" x14ac:dyDescent="0.3">
      <c r="A728" s="26" t="s">
        <v>2863</v>
      </c>
      <c r="B728" s="27" t="s">
        <v>2864</v>
      </c>
      <c r="C728" s="180">
        <v>43969</v>
      </c>
      <c r="D728" s="28">
        <v>26</v>
      </c>
      <c r="E728" s="49">
        <v>2</v>
      </c>
      <c r="F728" s="211">
        <f>IFERROR(Tableau6[[#This Row],[Score]]/Tableau6[[#This Row],[Nb]],0)</f>
        <v>7.6923076923076927E-2</v>
      </c>
    </row>
    <row r="729" spans="1:6" ht="30" customHeight="1" x14ac:dyDescent="0.3">
      <c r="A729" s="26" t="s">
        <v>2888</v>
      </c>
      <c r="B729" s="27" t="s">
        <v>2889</v>
      </c>
      <c r="C729" s="180">
        <v>43969</v>
      </c>
      <c r="D729" s="28">
        <v>13</v>
      </c>
      <c r="E729" s="49">
        <v>1</v>
      </c>
      <c r="F729" s="211">
        <f>IFERROR(Tableau6[[#This Row],[Score]]/Tableau6[[#This Row],[Nb]],0)</f>
        <v>7.6923076923076927E-2</v>
      </c>
    </row>
    <row r="730" spans="1:6" ht="30" customHeight="1" x14ac:dyDescent="0.3">
      <c r="A730" s="151" t="s">
        <v>5185</v>
      </c>
      <c r="B730" s="152" t="s">
        <v>5619</v>
      </c>
      <c r="C730" s="208">
        <v>44495</v>
      </c>
      <c r="D730" s="154">
        <v>13</v>
      </c>
      <c r="E730" s="154">
        <v>1</v>
      </c>
      <c r="F730" s="211">
        <f>IFERROR(Tableau6[[#This Row],[Score]]/Tableau6[[#This Row],[Nb]],0)</f>
        <v>7.6923076923076927E-2</v>
      </c>
    </row>
    <row r="731" spans="1:6" ht="30" customHeight="1" x14ac:dyDescent="0.3">
      <c r="A731" s="151" t="s">
        <v>5407</v>
      </c>
      <c r="B731" s="152" t="s">
        <v>5408</v>
      </c>
      <c r="C731" s="208">
        <v>44564</v>
      </c>
      <c r="D731" s="154">
        <v>13</v>
      </c>
      <c r="E731" s="154">
        <v>1</v>
      </c>
      <c r="F731" s="211">
        <f>IFERROR(Tableau6[[#This Row],[Score]]/Tableau6[[#This Row],[Nb]],0)</f>
        <v>7.6923076923076927E-2</v>
      </c>
    </row>
    <row r="732" spans="1:6" ht="30" customHeight="1" x14ac:dyDescent="0.3">
      <c r="A732" s="151" t="s">
        <v>6056</v>
      </c>
      <c r="B732" s="152" t="s">
        <v>6041</v>
      </c>
      <c r="C732" s="208">
        <v>44720</v>
      </c>
      <c r="D732" s="154">
        <v>13</v>
      </c>
      <c r="E732" s="154">
        <v>1</v>
      </c>
      <c r="F732" s="211">
        <f>IFERROR(Tableau6[[#This Row],[Score]]/Tableau6[[#This Row],[Nb]],0)</f>
        <v>7.6923076923076927E-2</v>
      </c>
    </row>
    <row r="733" spans="1:6" ht="30" customHeight="1" x14ac:dyDescent="0.3">
      <c r="A733" s="26" t="s">
        <v>3882</v>
      </c>
      <c r="B733" s="27" t="s">
        <v>2842</v>
      </c>
      <c r="C733" s="180">
        <v>43969</v>
      </c>
      <c r="D733" s="28">
        <v>24</v>
      </c>
      <c r="E733" s="49">
        <v>2</v>
      </c>
      <c r="F733" s="211">
        <f>IFERROR(Tableau6[[#This Row],[Score]]/Tableau6[[#This Row],[Nb]],0)</f>
        <v>8.3333333333333329E-2</v>
      </c>
    </row>
    <row r="734" spans="1:6" ht="30" customHeight="1" x14ac:dyDescent="0.3">
      <c r="A734" s="26" t="s">
        <v>4918</v>
      </c>
      <c r="B734" s="152" t="s">
        <v>6336</v>
      </c>
      <c r="C734" s="180">
        <v>44415</v>
      </c>
      <c r="D734" s="28">
        <v>12</v>
      </c>
      <c r="E734" s="49">
        <v>1</v>
      </c>
      <c r="F734" s="211">
        <f>IFERROR(Tableau6[[#This Row],[Score]]/Tableau6[[#This Row],[Nb]],0)</f>
        <v>8.3333333333333329E-2</v>
      </c>
    </row>
    <row r="735" spans="1:6" ht="30" customHeight="1" x14ac:dyDescent="0.3">
      <c r="A735" s="26" t="s">
        <v>2062</v>
      </c>
      <c r="B735" s="27" t="s">
        <v>2063</v>
      </c>
      <c r="C735" s="180">
        <v>43661</v>
      </c>
      <c r="D735" s="28">
        <v>23</v>
      </c>
      <c r="E735" s="49">
        <v>2</v>
      </c>
      <c r="F735" s="211">
        <f>IFERROR(Tableau6[[#This Row],[Score]]/Tableau6[[#This Row],[Nb]],0)</f>
        <v>8.6956521739130432E-2</v>
      </c>
    </row>
    <row r="736" spans="1:6" ht="30" customHeight="1" x14ac:dyDescent="0.3">
      <c r="A736" s="26" t="s">
        <v>2169</v>
      </c>
      <c r="B736" s="27" t="s">
        <v>2168</v>
      </c>
      <c r="C736" s="180">
        <v>43689</v>
      </c>
      <c r="D736" s="28">
        <v>23</v>
      </c>
      <c r="E736" s="49">
        <v>2</v>
      </c>
      <c r="F736" s="211">
        <f>IFERROR(Tableau6[[#This Row],[Score]]/Tableau6[[#This Row],[Nb]],0)</f>
        <v>8.6956521739130432E-2</v>
      </c>
    </row>
    <row r="737" spans="1:6" ht="30" customHeight="1" x14ac:dyDescent="0.3">
      <c r="A737" s="26" t="s">
        <v>3281</v>
      </c>
      <c r="B737" s="27" t="s">
        <v>3282</v>
      </c>
      <c r="C737" s="180">
        <v>44033</v>
      </c>
      <c r="D737" s="28">
        <v>23</v>
      </c>
      <c r="E737" s="49">
        <v>2</v>
      </c>
      <c r="F737" s="211">
        <f>IFERROR(Tableau6[[#This Row],[Score]]/Tableau6[[#This Row],[Nb]],0)</f>
        <v>8.6956521739130432E-2</v>
      </c>
    </row>
    <row r="738" spans="1:6" ht="30" customHeight="1" x14ac:dyDescent="0.3">
      <c r="A738" s="26" t="s">
        <v>1012</v>
      </c>
      <c r="B738" s="27" t="s">
        <v>746</v>
      </c>
      <c r="C738" s="180">
        <v>41621</v>
      </c>
      <c r="D738" s="28">
        <v>22</v>
      </c>
      <c r="E738" s="49">
        <v>2</v>
      </c>
      <c r="F738" s="211">
        <f>IFERROR(Tableau6[[#This Row],[Score]]/Tableau6[[#This Row],[Nb]],0)</f>
        <v>9.0909090909090912E-2</v>
      </c>
    </row>
    <row r="739" spans="1:6" ht="30" customHeight="1" x14ac:dyDescent="0.3">
      <c r="A739" s="26" t="s">
        <v>1173</v>
      </c>
      <c r="B739" s="27" t="s">
        <v>1174</v>
      </c>
      <c r="C739" s="180">
        <v>43422</v>
      </c>
      <c r="D739" s="28">
        <v>33</v>
      </c>
      <c r="E739" s="49">
        <v>3</v>
      </c>
      <c r="F739" s="211">
        <f>IFERROR(Tableau6[[#This Row],[Score]]/Tableau6[[#This Row],[Nb]],0)</f>
        <v>9.0909090909090912E-2</v>
      </c>
    </row>
    <row r="740" spans="1:6" ht="30" customHeight="1" x14ac:dyDescent="0.3">
      <c r="A740" s="26" t="s">
        <v>3726</v>
      </c>
      <c r="B740" s="27" t="s">
        <v>1263</v>
      </c>
      <c r="C740" s="180">
        <v>43427</v>
      </c>
      <c r="D740" s="28">
        <v>22</v>
      </c>
      <c r="E740" s="49">
        <v>2</v>
      </c>
      <c r="F740" s="211">
        <f>IFERROR(Tableau6[[#This Row],[Score]]/Tableau6[[#This Row],[Nb]],0)</f>
        <v>9.0909090909090912E-2</v>
      </c>
    </row>
    <row r="741" spans="1:6" ht="30" customHeight="1" x14ac:dyDescent="0.3">
      <c r="A741" s="26" t="s">
        <v>2173</v>
      </c>
      <c r="B741" s="27" t="s">
        <v>2174</v>
      </c>
      <c r="C741" s="180">
        <v>43689</v>
      </c>
      <c r="D741" s="28">
        <v>22</v>
      </c>
      <c r="E741" s="49">
        <v>2</v>
      </c>
      <c r="F741" s="211">
        <f>IFERROR(Tableau6[[#This Row],[Score]]/Tableau6[[#This Row],[Nb]],0)</f>
        <v>9.0909090909090912E-2</v>
      </c>
    </row>
    <row r="742" spans="1:6" ht="30" customHeight="1" x14ac:dyDescent="0.3">
      <c r="A742" s="26" t="s">
        <v>3456</v>
      </c>
      <c r="B742" s="27" t="s">
        <v>2328</v>
      </c>
      <c r="C742" s="180">
        <v>43771</v>
      </c>
      <c r="D742" s="28">
        <v>22</v>
      </c>
      <c r="E742" s="49">
        <v>2</v>
      </c>
      <c r="F742" s="211">
        <f>IFERROR(Tableau6[[#This Row],[Score]]/Tableau6[[#This Row],[Nb]],0)</f>
        <v>9.0909090909090912E-2</v>
      </c>
    </row>
    <row r="743" spans="1:6" ht="30" customHeight="1" x14ac:dyDescent="0.3">
      <c r="A743" s="151" t="s">
        <v>5878</v>
      </c>
      <c r="B743" s="27" t="s">
        <v>4975</v>
      </c>
      <c r="C743" s="180">
        <v>44428</v>
      </c>
      <c r="D743" s="28">
        <v>11</v>
      </c>
      <c r="E743" s="49">
        <v>1</v>
      </c>
      <c r="F743" s="211">
        <f>IFERROR(Tableau6[[#This Row],[Score]]/Tableau6[[#This Row],[Nb]],0)</f>
        <v>9.0909090909090912E-2</v>
      </c>
    </row>
    <row r="744" spans="1:6" ht="30" customHeight="1" x14ac:dyDescent="0.3">
      <c r="A744" s="151" t="s">
        <v>5409</v>
      </c>
      <c r="B744" s="152" t="s">
        <v>8</v>
      </c>
      <c r="C744" s="208">
        <v>44564</v>
      </c>
      <c r="D744" s="154">
        <v>11</v>
      </c>
      <c r="E744" s="154">
        <v>1</v>
      </c>
      <c r="F744" s="211">
        <f>IFERROR(Tableau6[[#This Row],[Score]]/Tableau6[[#This Row],[Nb]],0)</f>
        <v>9.0909090909090912E-2</v>
      </c>
    </row>
    <row r="745" spans="1:6" ht="30" customHeight="1" x14ac:dyDescent="0.3">
      <c r="A745" s="26" t="s">
        <v>4236</v>
      </c>
      <c r="B745" s="27" t="s">
        <v>4237</v>
      </c>
      <c r="C745" s="180">
        <v>41621</v>
      </c>
      <c r="D745" s="28">
        <v>21</v>
      </c>
      <c r="E745" s="49">
        <v>2</v>
      </c>
      <c r="F745" s="211">
        <f>IFERROR(Tableau6[[#This Row],[Score]]/Tableau6[[#This Row],[Nb]],0)</f>
        <v>9.5238095238095233E-2</v>
      </c>
    </row>
    <row r="746" spans="1:6" ht="30" customHeight="1" x14ac:dyDescent="0.3">
      <c r="A746" s="26" t="s">
        <v>3537</v>
      </c>
      <c r="B746" s="27" t="s">
        <v>3538</v>
      </c>
      <c r="C746" s="180">
        <v>43247</v>
      </c>
      <c r="D746" s="28">
        <v>21</v>
      </c>
      <c r="E746" s="49">
        <v>2</v>
      </c>
      <c r="F746" s="211">
        <f>IFERROR(Tableau6[[#This Row],[Score]]/Tableau6[[#This Row],[Nb]],0)</f>
        <v>9.5238095238095233E-2</v>
      </c>
    </row>
    <row r="747" spans="1:6" ht="30" customHeight="1" x14ac:dyDescent="0.3">
      <c r="A747" s="26" t="s">
        <v>3587</v>
      </c>
      <c r="B747" s="27" t="s">
        <v>108</v>
      </c>
      <c r="C747" s="180">
        <v>43341</v>
      </c>
      <c r="D747" s="28">
        <v>21</v>
      </c>
      <c r="E747" s="49">
        <v>2</v>
      </c>
      <c r="F747" s="211">
        <f>IFERROR(Tableau6[[#This Row],[Score]]/Tableau6[[#This Row],[Nb]],0)</f>
        <v>9.5238095238095233E-2</v>
      </c>
    </row>
    <row r="748" spans="1:6" ht="30" customHeight="1" x14ac:dyDescent="0.3">
      <c r="A748" s="26" t="s">
        <v>1532</v>
      </c>
      <c r="B748" s="27" t="s">
        <v>4550</v>
      </c>
      <c r="C748" s="180">
        <v>43341</v>
      </c>
      <c r="D748" s="28">
        <v>21</v>
      </c>
      <c r="E748" s="49">
        <v>2</v>
      </c>
      <c r="F748" s="211">
        <f>IFERROR(Tableau6[[#This Row],[Score]]/Tableau6[[#This Row],[Nb]],0)</f>
        <v>9.5238095238095233E-2</v>
      </c>
    </row>
    <row r="749" spans="1:6" ht="30" customHeight="1" x14ac:dyDescent="0.3">
      <c r="A749" s="26" t="s">
        <v>2003</v>
      </c>
      <c r="B749" s="27" t="s">
        <v>2004</v>
      </c>
      <c r="C749" s="180">
        <v>43605</v>
      </c>
      <c r="D749" s="28">
        <v>21</v>
      </c>
      <c r="E749" s="49">
        <v>2</v>
      </c>
      <c r="F749" s="211">
        <f>IFERROR(Tableau6[[#This Row],[Score]]/Tableau6[[#This Row],[Nb]],0)</f>
        <v>9.5238095238095233E-2</v>
      </c>
    </row>
    <row r="750" spans="1:6" ht="30" customHeight="1" x14ac:dyDescent="0.3">
      <c r="A750" s="26" t="s">
        <v>2580</v>
      </c>
      <c r="B750" s="27" t="s">
        <v>2393</v>
      </c>
      <c r="C750" s="180">
        <v>43848</v>
      </c>
      <c r="D750" s="28">
        <v>21</v>
      </c>
      <c r="E750" s="49">
        <v>2</v>
      </c>
      <c r="F750" s="211">
        <f>IFERROR(Tableau6[[#This Row],[Score]]/Tableau6[[#This Row],[Nb]],0)</f>
        <v>9.5238095238095233E-2</v>
      </c>
    </row>
    <row r="751" spans="1:6" ht="30" customHeight="1" x14ac:dyDescent="0.3">
      <c r="A751" s="26" t="s">
        <v>4283</v>
      </c>
      <c r="B751" s="27" t="s">
        <v>4284</v>
      </c>
      <c r="C751" s="180">
        <v>44283</v>
      </c>
      <c r="D751" s="28">
        <v>21</v>
      </c>
      <c r="E751" s="49">
        <v>2</v>
      </c>
      <c r="F751" s="211">
        <f>IFERROR(Tableau6[[#This Row],[Score]]/Tableau6[[#This Row],[Nb]],0)</f>
        <v>9.5238095238095233E-2</v>
      </c>
    </row>
    <row r="752" spans="1:6" ht="30" customHeight="1" x14ac:dyDescent="0.3">
      <c r="A752" s="26" t="s">
        <v>4951</v>
      </c>
      <c r="B752" s="27" t="s">
        <v>4952</v>
      </c>
      <c r="C752" s="180">
        <v>44427</v>
      </c>
      <c r="D752" s="28">
        <v>21</v>
      </c>
      <c r="E752" s="49">
        <v>2</v>
      </c>
      <c r="F752" s="211">
        <f>IFERROR(Tableau6[[#This Row],[Score]]/Tableau6[[#This Row],[Nb]],0)</f>
        <v>9.5238095238095233E-2</v>
      </c>
    </row>
    <row r="753" spans="1:6" ht="30" customHeight="1" x14ac:dyDescent="0.3">
      <c r="A753" s="26" t="s">
        <v>438</v>
      </c>
      <c r="B753" s="27" t="s">
        <v>439</v>
      </c>
      <c r="C753" s="180">
        <v>40611</v>
      </c>
      <c r="D753" s="28">
        <v>20</v>
      </c>
      <c r="E753" s="49">
        <v>2</v>
      </c>
      <c r="F753" s="211">
        <f>IFERROR(Tableau6[[#This Row],[Score]]/Tableau6[[#This Row],[Nb]],0)</f>
        <v>0.1</v>
      </c>
    </row>
    <row r="754" spans="1:6" ht="30" customHeight="1" x14ac:dyDescent="0.3">
      <c r="A754" s="26" t="s">
        <v>62</v>
      </c>
      <c r="B754" s="27" t="s">
        <v>63</v>
      </c>
      <c r="C754" s="180">
        <v>43311</v>
      </c>
      <c r="D754" s="28">
        <v>20</v>
      </c>
      <c r="E754" s="49">
        <v>2</v>
      </c>
      <c r="F754" s="211">
        <f>IFERROR(Tableau6[[#This Row],[Score]]/Tableau6[[#This Row],[Nb]],0)</f>
        <v>0.1</v>
      </c>
    </row>
    <row r="755" spans="1:6" ht="30" customHeight="1" x14ac:dyDescent="0.3">
      <c r="A755" s="151" t="s">
        <v>6229</v>
      </c>
      <c r="B755" s="27" t="s">
        <v>1552</v>
      </c>
      <c r="C755" s="180">
        <v>43422</v>
      </c>
      <c r="D755" s="28">
        <v>20</v>
      </c>
      <c r="E755" s="49">
        <v>2</v>
      </c>
      <c r="F755" s="211">
        <f>IFERROR(Tableau6[[#This Row],[Score]]/Tableau6[[#This Row],[Nb]],0)</f>
        <v>0.1</v>
      </c>
    </row>
    <row r="756" spans="1:6" ht="30" customHeight="1" x14ac:dyDescent="0.3">
      <c r="A756" s="26" t="s">
        <v>1295</v>
      </c>
      <c r="B756" s="27" t="s">
        <v>1296</v>
      </c>
      <c r="C756" s="180">
        <v>43438</v>
      </c>
      <c r="D756" s="28">
        <v>30</v>
      </c>
      <c r="E756" s="49">
        <v>3</v>
      </c>
      <c r="F756" s="211">
        <f>IFERROR(Tableau6[[#This Row],[Score]]/Tableau6[[#This Row],[Nb]],0)</f>
        <v>0.1</v>
      </c>
    </row>
    <row r="757" spans="1:6" ht="30" customHeight="1" x14ac:dyDescent="0.3">
      <c r="A757" s="151" t="s">
        <v>6252</v>
      </c>
      <c r="B757" s="152" t="s">
        <v>6251</v>
      </c>
      <c r="C757" s="180">
        <v>44026</v>
      </c>
      <c r="D757" s="28">
        <v>20</v>
      </c>
      <c r="E757" s="49">
        <v>2</v>
      </c>
      <c r="F757" s="211">
        <f>IFERROR(Tableau6[[#This Row],[Score]]/Tableau6[[#This Row],[Nb]],0)</f>
        <v>0.1</v>
      </c>
    </row>
    <row r="758" spans="1:6" ht="30" customHeight="1" x14ac:dyDescent="0.3">
      <c r="A758" s="26" t="s">
        <v>651</v>
      </c>
      <c r="B758" s="27" t="s">
        <v>1064</v>
      </c>
      <c r="C758" s="180">
        <v>43237</v>
      </c>
      <c r="D758" s="28">
        <v>19</v>
      </c>
      <c r="E758" s="49">
        <v>2</v>
      </c>
      <c r="F758" s="211">
        <f>IFERROR(Tableau6[[#This Row],[Score]]/Tableau6[[#This Row],[Nb]],0)</f>
        <v>0.10526315789473684</v>
      </c>
    </row>
    <row r="759" spans="1:6" ht="30" customHeight="1" x14ac:dyDescent="0.3">
      <c r="A759" s="26" t="s">
        <v>3603</v>
      </c>
      <c r="B759" s="27" t="s">
        <v>566</v>
      </c>
      <c r="C759" s="180">
        <v>43406</v>
      </c>
      <c r="D759" s="28">
        <v>19</v>
      </c>
      <c r="E759" s="49">
        <v>2</v>
      </c>
      <c r="F759" s="211">
        <f>IFERROR(Tableau6[[#This Row],[Score]]/Tableau6[[#This Row],[Nb]],0)</f>
        <v>0.10526315789473684</v>
      </c>
    </row>
    <row r="760" spans="1:6" ht="30" customHeight="1" x14ac:dyDescent="0.3">
      <c r="A760" s="26" t="s">
        <v>2175</v>
      </c>
      <c r="B760" s="27" t="s">
        <v>2176</v>
      </c>
      <c r="C760" s="180">
        <v>43689</v>
      </c>
      <c r="D760" s="28">
        <v>19</v>
      </c>
      <c r="E760" s="49">
        <v>2</v>
      </c>
      <c r="F760" s="211">
        <f>IFERROR(Tableau6[[#This Row],[Score]]/Tableau6[[#This Row],[Nb]],0)</f>
        <v>0.10526315789473684</v>
      </c>
    </row>
    <row r="761" spans="1:6" ht="30" customHeight="1" x14ac:dyDescent="0.3">
      <c r="A761" s="26" t="s">
        <v>4159</v>
      </c>
      <c r="B761" s="27" t="s">
        <v>4160</v>
      </c>
      <c r="C761" s="180">
        <v>44271</v>
      </c>
      <c r="D761" s="28">
        <v>19</v>
      </c>
      <c r="E761" s="49">
        <v>2</v>
      </c>
      <c r="F761" s="211">
        <f>IFERROR(Tableau6[[#This Row],[Score]]/Tableau6[[#This Row],[Nb]],0)</f>
        <v>0.10526315789473684</v>
      </c>
    </row>
    <row r="762" spans="1:6" ht="30" customHeight="1" x14ac:dyDescent="0.3">
      <c r="A762" s="80" t="s">
        <v>5078</v>
      </c>
      <c r="B762" s="27" t="s">
        <v>2939</v>
      </c>
      <c r="C762" s="180">
        <v>43984</v>
      </c>
      <c r="D762" s="28">
        <v>28</v>
      </c>
      <c r="E762" s="49">
        <v>3</v>
      </c>
      <c r="F762" s="211">
        <f>IFERROR(Tableau6[[#This Row],[Score]]/Tableau6[[#This Row],[Nb]],0)</f>
        <v>0.10714285714285714</v>
      </c>
    </row>
    <row r="763" spans="1:6" ht="30" customHeight="1" x14ac:dyDescent="0.3">
      <c r="A763" s="26" t="s">
        <v>1354</v>
      </c>
      <c r="B763" s="27" t="s">
        <v>4680</v>
      </c>
      <c r="C763" s="180">
        <v>43444</v>
      </c>
      <c r="D763" s="28">
        <v>27</v>
      </c>
      <c r="E763" s="49">
        <v>3</v>
      </c>
      <c r="F763" s="211">
        <f>IFERROR(Tableau6[[#This Row],[Score]]/Tableau6[[#This Row],[Nb]],0)</f>
        <v>0.1111111111111111</v>
      </c>
    </row>
    <row r="764" spans="1:6" ht="30" customHeight="1" x14ac:dyDescent="0.3">
      <c r="A764" s="151" t="s">
        <v>5338</v>
      </c>
      <c r="B764" s="27" t="s">
        <v>587</v>
      </c>
      <c r="C764" s="180">
        <v>43673</v>
      </c>
      <c r="D764" s="28">
        <v>18</v>
      </c>
      <c r="E764" s="49">
        <v>2</v>
      </c>
      <c r="F764" s="211">
        <f>IFERROR(Tableau6[[#This Row],[Score]]/Tableau6[[#This Row],[Nb]],0)</f>
        <v>0.1111111111111111</v>
      </c>
    </row>
    <row r="765" spans="1:6" ht="30" customHeight="1" x14ac:dyDescent="0.3">
      <c r="A765" s="151" t="s">
        <v>5600</v>
      </c>
      <c r="B765" s="27" t="s">
        <v>2278</v>
      </c>
      <c r="C765" s="180">
        <v>43767</v>
      </c>
      <c r="D765" s="28">
        <v>18</v>
      </c>
      <c r="E765" s="49">
        <v>2</v>
      </c>
      <c r="F765" s="211">
        <f>IFERROR(Tableau6[[#This Row],[Score]]/Tableau6[[#This Row],[Nb]],0)</f>
        <v>0.1111111111111111</v>
      </c>
    </row>
    <row r="766" spans="1:6" ht="30" customHeight="1" x14ac:dyDescent="0.3">
      <c r="A766" s="26" t="s">
        <v>3468</v>
      </c>
      <c r="B766" s="27" t="s">
        <v>3469</v>
      </c>
      <c r="C766" s="180">
        <v>44201</v>
      </c>
      <c r="D766" s="28">
        <v>18</v>
      </c>
      <c r="E766" s="49">
        <v>2</v>
      </c>
      <c r="F766" s="211">
        <f>IFERROR(Tableau6[[#This Row],[Score]]/Tableau6[[#This Row],[Nb]],0)</f>
        <v>0.1111111111111111</v>
      </c>
    </row>
    <row r="767" spans="1:6" ht="30" customHeight="1" x14ac:dyDescent="0.3">
      <c r="A767" s="26" t="s">
        <v>4690</v>
      </c>
      <c r="B767" s="152" t="s">
        <v>5835</v>
      </c>
      <c r="C767" s="180">
        <v>44357</v>
      </c>
      <c r="D767" s="28">
        <v>18</v>
      </c>
      <c r="E767" s="49">
        <v>2</v>
      </c>
      <c r="F767" s="211">
        <f>IFERROR(Tableau6[[#This Row],[Score]]/Tableau6[[#This Row],[Nb]],0)</f>
        <v>0.1111111111111111</v>
      </c>
    </row>
    <row r="768" spans="1:6" ht="30" customHeight="1" x14ac:dyDescent="0.3">
      <c r="A768" s="82" t="s">
        <v>5081</v>
      </c>
      <c r="B768" s="83" t="s">
        <v>5082</v>
      </c>
      <c r="C768" s="191">
        <v>44459</v>
      </c>
      <c r="D768" s="84">
        <v>9</v>
      </c>
      <c r="E768" s="84">
        <v>1</v>
      </c>
      <c r="F768" s="211">
        <f>IFERROR(Tableau6[[#This Row],[Score]]/Tableau6[[#This Row],[Nb]],0)</f>
        <v>0.1111111111111111</v>
      </c>
    </row>
    <row r="769" spans="1:6" ht="30" customHeight="1" x14ac:dyDescent="0.3">
      <c r="A769" s="151" t="s">
        <v>5798</v>
      </c>
      <c r="B769" s="152" t="s">
        <v>5799</v>
      </c>
      <c r="C769" s="208">
        <v>44640</v>
      </c>
      <c r="D769" s="154">
        <v>9</v>
      </c>
      <c r="E769" s="154">
        <v>1</v>
      </c>
      <c r="F769" s="211">
        <f>IFERROR(Tableau6[[#This Row],[Score]]/Tableau6[[#This Row],[Nb]],0)</f>
        <v>0.1111111111111111</v>
      </c>
    </row>
    <row r="770" spans="1:6" ht="30" customHeight="1" x14ac:dyDescent="0.3">
      <c r="A770" s="151" t="s">
        <v>5949</v>
      </c>
      <c r="B770" s="152" t="s">
        <v>5950</v>
      </c>
      <c r="C770" s="208">
        <v>44693</v>
      </c>
      <c r="D770" s="154">
        <v>9</v>
      </c>
      <c r="E770" s="154">
        <v>1</v>
      </c>
      <c r="F770" s="211">
        <f>IFERROR(Tableau6[[#This Row],[Score]]/Tableau6[[#This Row],[Nb]],0)</f>
        <v>0.1111111111111111</v>
      </c>
    </row>
    <row r="771" spans="1:6" ht="30" customHeight="1" x14ac:dyDescent="0.3">
      <c r="A771" s="26" t="s">
        <v>2111</v>
      </c>
      <c r="B771" s="27" t="s">
        <v>2112</v>
      </c>
      <c r="C771" s="180">
        <v>43673</v>
      </c>
      <c r="D771" s="28">
        <v>26</v>
      </c>
      <c r="E771" s="49">
        <v>3</v>
      </c>
      <c r="F771" s="211">
        <f>IFERROR(Tableau6[[#This Row],[Score]]/Tableau6[[#This Row],[Nb]],0)</f>
        <v>0.11538461538461539</v>
      </c>
    </row>
    <row r="772" spans="1:6" ht="30" customHeight="1" x14ac:dyDescent="0.3">
      <c r="A772" s="26" t="s">
        <v>1444</v>
      </c>
      <c r="B772" s="27" t="s">
        <v>3498</v>
      </c>
      <c r="C772" s="180">
        <v>43237</v>
      </c>
      <c r="D772" s="28">
        <v>17</v>
      </c>
      <c r="E772" s="49">
        <v>2</v>
      </c>
      <c r="F772" s="211">
        <f>IFERROR(Tableau6[[#This Row],[Score]]/Tableau6[[#This Row],[Nb]],0)</f>
        <v>0.11764705882352941</v>
      </c>
    </row>
    <row r="773" spans="1:6" ht="30" customHeight="1" x14ac:dyDescent="0.3">
      <c r="A773" s="26" t="s">
        <v>2529</v>
      </c>
      <c r="B773" s="27" t="s">
        <v>2530</v>
      </c>
      <c r="C773" s="180">
        <v>43815</v>
      </c>
      <c r="D773" s="28">
        <v>25</v>
      </c>
      <c r="E773" s="49">
        <v>3</v>
      </c>
      <c r="F773" s="211">
        <f>IFERROR(Tableau6[[#This Row],[Score]]/Tableau6[[#This Row],[Nb]],0)</f>
        <v>0.12</v>
      </c>
    </row>
    <row r="774" spans="1:6" ht="30" customHeight="1" x14ac:dyDescent="0.3">
      <c r="A774" s="26" t="s">
        <v>5003</v>
      </c>
      <c r="B774" s="27" t="s">
        <v>451</v>
      </c>
      <c r="C774" s="180">
        <v>40611</v>
      </c>
      <c r="D774" s="28">
        <v>24</v>
      </c>
      <c r="E774" s="49">
        <v>3</v>
      </c>
      <c r="F774" s="211">
        <f>IFERROR(Tableau6[[#This Row],[Score]]/Tableau6[[#This Row],[Nb]],0)</f>
        <v>0.125</v>
      </c>
    </row>
    <row r="775" spans="1:6" ht="30" customHeight="1" x14ac:dyDescent="0.3">
      <c r="A775" s="26" t="s">
        <v>2208</v>
      </c>
      <c r="B775" s="27" t="s">
        <v>4010</v>
      </c>
      <c r="C775" s="180">
        <v>41621</v>
      </c>
      <c r="D775" s="28">
        <v>16</v>
      </c>
      <c r="E775" s="49">
        <v>2</v>
      </c>
      <c r="F775" s="211">
        <f>IFERROR(Tableau6[[#This Row],[Score]]/Tableau6[[#This Row],[Nb]],0)</f>
        <v>0.125</v>
      </c>
    </row>
    <row r="776" spans="1:6" ht="30" customHeight="1" x14ac:dyDescent="0.3">
      <c r="A776" s="26" t="s">
        <v>863</v>
      </c>
      <c r="B776" s="27" t="s">
        <v>747</v>
      </c>
      <c r="C776" s="180">
        <v>41621</v>
      </c>
      <c r="D776" s="28">
        <v>24</v>
      </c>
      <c r="E776" s="49">
        <v>3</v>
      </c>
      <c r="F776" s="211">
        <f>IFERROR(Tableau6[[#This Row],[Score]]/Tableau6[[#This Row],[Nb]],0)</f>
        <v>0.125</v>
      </c>
    </row>
    <row r="777" spans="1:6" ht="30" customHeight="1" x14ac:dyDescent="0.3">
      <c r="A777" s="26" t="s">
        <v>1535</v>
      </c>
      <c r="B777" s="27" t="s">
        <v>1536</v>
      </c>
      <c r="C777" s="180">
        <v>43408</v>
      </c>
      <c r="D777" s="28">
        <v>16</v>
      </c>
      <c r="E777" s="49">
        <v>2</v>
      </c>
      <c r="F777" s="211">
        <f>IFERROR(Tableau6[[#This Row],[Score]]/Tableau6[[#This Row],[Nb]],0)</f>
        <v>0.125</v>
      </c>
    </row>
    <row r="778" spans="1:6" ht="30" customHeight="1" x14ac:dyDescent="0.3">
      <c r="A778" s="26" t="s">
        <v>3440</v>
      </c>
      <c r="B778" s="27" t="s">
        <v>3441</v>
      </c>
      <c r="C778" s="180">
        <v>44053</v>
      </c>
      <c r="D778" s="28">
        <v>24</v>
      </c>
      <c r="E778" s="49">
        <v>3</v>
      </c>
      <c r="F778" s="211">
        <f>IFERROR(Tableau6[[#This Row],[Score]]/Tableau6[[#This Row],[Nb]],0)</f>
        <v>0.125</v>
      </c>
    </row>
    <row r="779" spans="1:6" ht="30" customHeight="1" x14ac:dyDescent="0.3">
      <c r="A779" s="151" t="s">
        <v>5254</v>
      </c>
      <c r="B779" s="152" t="s">
        <v>5255</v>
      </c>
      <c r="C779" s="208">
        <v>44523</v>
      </c>
      <c r="D779" s="154">
        <v>16</v>
      </c>
      <c r="E779" s="154">
        <v>2</v>
      </c>
      <c r="F779" s="211">
        <f>IFERROR(Tableau6[[#This Row],[Score]]/Tableau6[[#This Row],[Nb]],0)</f>
        <v>0.125</v>
      </c>
    </row>
    <row r="780" spans="1:6" ht="30" customHeight="1" x14ac:dyDescent="0.3">
      <c r="A780" s="26" t="s">
        <v>3783</v>
      </c>
      <c r="B780" s="27" t="s">
        <v>3784</v>
      </c>
      <c r="C780" s="180">
        <v>43205</v>
      </c>
      <c r="D780" s="28">
        <v>15</v>
      </c>
      <c r="E780" s="49">
        <v>2</v>
      </c>
      <c r="F780" s="211">
        <f>IFERROR(Tableau6[[#This Row],[Score]]/Tableau6[[#This Row],[Nb]],0)</f>
        <v>0.13333333333333333</v>
      </c>
    </row>
    <row r="781" spans="1:6" ht="30" customHeight="1" x14ac:dyDescent="0.3">
      <c r="A781" s="26" t="s">
        <v>2221</v>
      </c>
      <c r="B781" s="27" t="s">
        <v>2222</v>
      </c>
      <c r="C781" s="180">
        <v>43752</v>
      </c>
      <c r="D781" s="28">
        <v>15</v>
      </c>
      <c r="E781" s="49">
        <v>2</v>
      </c>
      <c r="F781" s="211">
        <f>IFERROR(Tableau6[[#This Row],[Score]]/Tableau6[[#This Row],[Nb]],0)</f>
        <v>0.13333333333333333</v>
      </c>
    </row>
    <row r="782" spans="1:6" ht="30" customHeight="1" x14ac:dyDescent="0.3">
      <c r="A782" s="26" t="s">
        <v>167</v>
      </c>
      <c r="B782" s="27" t="s">
        <v>168</v>
      </c>
      <c r="C782" s="180">
        <v>43377</v>
      </c>
      <c r="D782" s="28">
        <v>22</v>
      </c>
      <c r="E782" s="49">
        <v>3</v>
      </c>
      <c r="F782" s="211">
        <f>IFERROR(Tableau6[[#This Row],[Score]]/Tableau6[[#This Row],[Nb]],0)</f>
        <v>0.13636363636363635</v>
      </c>
    </row>
    <row r="783" spans="1:6" ht="30" customHeight="1" x14ac:dyDescent="0.3">
      <c r="A783" s="26" t="s">
        <v>1162</v>
      </c>
      <c r="B783" s="27" t="s">
        <v>1163</v>
      </c>
      <c r="C783" s="180">
        <v>43422</v>
      </c>
      <c r="D783" s="28">
        <v>22</v>
      </c>
      <c r="E783" s="49">
        <v>3</v>
      </c>
      <c r="F783" s="211">
        <f>IFERROR(Tableau6[[#This Row],[Score]]/Tableau6[[#This Row],[Nb]],0)</f>
        <v>0.13636363636363635</v>
      </c>
    </row>
    <row r="784" spans="1:6" ht="30" customHeight="1" x14ac:dyDescent="0.3">
      <c r="A784" s="26" t="s">
        <v>3071</v>
      </c>
      <c r="B784" s="27" t="s">
        <v>3072</v>
      </c>
      <c r="C784" s="180">
        <v>44004</v>
      </c>
      <c r="D784" s="28">
        <v>22</v>
      </c>
      <c r="E784" s="49">
        <v>3</v>
      </c>
      <c r="F784" s="211">
        <f>IFERROR(Tableau6[[#This Row],[Score]]/Tableau6[[#This Row],[Nb]],0)</f>
        <v>0.13636363636363635</v>
      </c>
    </row>
    <row r="785" spans="1:6" ht="30" customHeight="1" x14ac:dyDescent="0.3">
      <c r="A785" s="26" t="s">
        <v>2793</v>
      </c>
      <c r="B785" s="27" t="s">
        <v>2794</v>
      </c>
      <c r="C785" s="180">
        <v>43934</v>
      </c>
      <c r="D785" s="28">
        <v>36</v>
      </c>
      <c r="E785" s="49">
        <v>5</v>
      </c>
      <c r="F785" s="211">
        <f>IFERROR(Tableau6[[#This Row],[Score]]/Tableau6[[#This Row],[Nb]],0)</f>
        <v>0.1388888888888889</v>
      </c>
    </row>
    <row r="786" spans="1:6" ht="30" customHeight="1" x14ac:dyDescent="0.3">
      <c r="A786" s="26" t="s">
        <v>249</v>
      </c>
      <c r="B786" s="27" t="s">
        <v>250</v>
      </c>
      <c r="C786" s="180">
        <v>43397</v>
      </c>
      <c r="D786" s="28">
        <v>21</v>
      </c>
      <c r="E786" s="49">
        <v>3</v>
      </c>
      <c r="F786" s="211">
        <f>IFERROR(Tableau6[[#This Row],[Score]]/Tableau6[[#This Row],[Nb]],0)</f>
        <v>0.14285714285714285</v>
      </c>
    </row>
    <row r="787" spans="1:6" ht="30" customHeight="1" x14ac:dyDescent="0.3">
      <c r="A787" s="26" t="s">
        <v>1181</v>
      </c>
      <c r="B787" s="27" t="s">
        <v>1182</v>
      </c>
      <c r="C787" s="180">
        <v>43422</v>
      </c>
      <c r="D787" s="28">
        <v>21</v>
      </c>
      <c r="E787" s="49">
        <v>3</v>
      </c>
      <c r="F787" s="211">
        <f>IFERROR(Tableau6[[#This Row],[Score]]/Tableau6[[#This Row],[Nb]],0)</f>
        <v>0.14285714285714285</v>
      </c>
    </row>
    <row r="788" spans="1:6" ht="30" customHeight="1" x14ac:dyDescent="0.3">
      <c r="A788" s="26" t="s">
        <v>4693</v>
      </c>
      <c r="B788" s="27" t="s">
        <v>4694</v>
      </c>
      <c r="C788" s="180">
        <v>44357</v>
      </c>
      <c r="D788" s="28">
        <v>21</v>
      </c>
      <c r="E788" s="49">
        <v>3</v>
      </c>
      <c r="F788" s="211">
        <f>IFERROR(Tableau6[[#This Row],[Score]]/Tableau6[[#This Row],[Nb]],0)</f>
        <v>0.14285714285714285</v>
      </c>
    </row>
    <row r="789" spans="1:6" ht="30" customHeight="1" x14ac:dyDescent="0.3">
      <c r="A789" s="151" t="s">
        <v>5305</v>
      </c>
      <c r="B789" s="152" t="s">
        <v>5306</v>
      </c>
      <c r="C789" s="208">
        <v>44532</v>
      </c>
      <c r="D789" s="154">
        <v>14</v>
      </c>
      <c r="E789" s="154">
        <v>2</v>
      </c>
      <c r="F789" s="211">
        <f>IFERROR(Tableau6[[#This Row],[Score]]/Tableau6[[#This Row],[Nb]],0)</f>
        <v>0.14285714285714285</v>
      </c>
    </row>
    <row r="790" spans="1:6" ht="30" customHeight="1" x14ac:dyDescent="0.3">
      <c r="A790" s="151" t="s">
        <v>5549</v>
      </c>
      <c r="B790" s="152" t="s">
        <v>5550</v>
      </c>
      <c r="C790" s="208">
        <v>44591</v>
      </c>
      <c r="D790" s="154">
        <v>14</v>
      </c>
      <c r="E790" s="154">
        <v>2</v>
      </c>
      <c r="F790" s="211">
        <f>IFERROR(Tableau6[[#This Row],[Score]]/Tableau6[[#This Row],[Nb]],0)</f>
        <v>0.14285714285714285</v>
      </c>
    </row>
    <row r="791" spans="1:6" ht="30" customHeight="1" x14ac:dyDescent="0.3">
      <c r="A791" s="151" t="s">
        <v>5598</v>
      </c>
      <c r="B791" s="152" t="s">
        <v>5599</v>
      </c>
      <c r="C791" s="208">
        <v>44600</v>
      </c>
      <c r="D791" s="154">
        <v>14</v>
      </c>
      <c r="E791" s="154">
        <v>2</v>
      </c>
      <c r="F791" s="211">
        <f>IFERROR(Tableau6[[#This Row],[Score]]/Tableau6[[#This Row],[Nb]],0)</f>
        <v>0.14285714285714285</v>
      </c>
    </row>
    <row r="792" spans="1:6" ht="30" customHeight="1" x14ac:dyDescent="0.3">
      <c r="A792" s="151" t="s">
        <v>5648</v>
      </c>
      <c r="B792" s="152" t="s">
        <v>5649</v>
      </c>
      <c r="C792" s="208">
        <v>44613</v>
      </c>
      <c r="D792" s="154">
        <v>7</v>
      </c>
      <c r="E792" s="154">
        <v>1</v>
      </c>
      <c r="F792" s="211">
        <f>IFERROR(Tableau6[[#This Row],[Score]]/Tableau6[[#This Row],[Nb]],0)</f>
        <v>0.14285714285714285</v>
      </c>
    </row>
    <row r="793" spans="1:6" ht="30" customHeight="1" x14ac:dyDescent="0.3">
      <c r="A793" s="151" t="s">
        <v>5675</v>
      </c>
      <c r="B793" s="152" t="s">
        <v>5676</v>
      </c>
      <c r="C793" s="208">
        <v>44620</v>
      </c>
      <c r="D793" s="154">
        <v>21</v>
      </c>
      <c r="E793" s="154">
        <v>3</v>
      </c>
      <c r="F793" s="211">
        <f>IFERROR(Tableau6[[#This Row],[Score]]/Tableau6[[#This Row],[Nb]],0)</f>
        <v>0.14285714285714285</v>
      </c>
    </row>
    <row r="794" spans="1:6" ht="30" customHeight="1" x14ac:dyDescent="0.3">
      <c r="A794" s="151" t="s">
        <v>5821</v>
      </c>
      <c r="B794" s="152" t="s">
        <v>5822</v>
      </c>
      <c r="C794" s="208">
        <v>44650</v>
      </c>
      <c r="D794" s="154">
        <v>7</v>
      </c>
      <c r="E794" s="154">
        <v>1</v>
      </c>
      <c r="F794" s="211">
        <f>IFERROR(Tableau6[[#This Row],[Score]]/Tableau6[[#This Row],[Nb]],0)</f>
        <v>0.14285714285714285</v>
      </c>
    </row>
    <row r="795" spans="1:6" ht="30" customHeight="1" x14ac:dyDescent="0.3">
      <c r="A795" s="151" t="s">
        <v>5943</v>
      </c>
      <c r="B795" s="152" t="s">
        <v>5944</v>
      </c>
      <c r="C795" s="208">
        <v>44691</v>
      </c>
      <c r="D795" s="154">
        <v>7</v>
      </c>
      <c r="E795" s="154">
        <v>1</v>
      </c>
      <c r="F795" s="211">
        <f>IFERROR(Tableau6[[#This Row],[Score]]/Tableau6[[#This Row],[Nb]],0)</f>
        <v>0.14285714285714285</v>
      </c>
    </row>
    <row r="796" spans="1:6" ht="30" customHeight="1" x14ac:dyDescent="0.3">
      <c r="A796" s="26" t="s">
        <v>1005</v>
      </c>
      <c r="B796" s="27" t="s">
        <v>628</v>
      </c>
      <c r="C796" s="180">
        <v>41621</v>
      </c>
      <c r="D796" s="28">
        <v>26</v>
      </c>
      <c r="E796" s="49">
        <v>4</v>
      </c>
      <c r="F796" s="211">
        <f>IFERROR(Tableau6[[#This Row],[Score]]/Tableau6[[#This Row],[Nb]],0)</f>
        <v>0.15384615384615385</v>
      </c>
    </row>
    <row r="797" spans="1:6" ht="30" customHeight="1" x14ac:dyDescent="0.3">
      <c r="A797" s="26" t="s">
        <v>3576</v>
      </c>
      <c r="B797" s="27" t="s">
        <v>2566</v>
      </c>
      <c r="C797" s="180">
        <v>43826</v>
      </c>
      <c r="D797" s="28">
        <v>26</v>
      </c>
      <c r="E797" s="49">
        <v>4</v>
      </c>
      <c r="F797" s="211">
        <f>IFERROR(Tableau6[[#This Row],[Score]]/Tableau6[[#This Row],[Nb]],0)</f>
        <v>0.15384615384615385</v>
      </c>
    </row>
    <row r="798" spans="1:6" ht="30" customHeight="1" x14ac:dyDescent="0.3">
      <c r="A798" s="26" t="s">
        <v>2834</v>
      </c>
      <c r="B798" s="27" t="s">
        <v>2835</v>
      </c>
      <c r="C798" s="180">
        <v>43962</v>
      </c>
      <c r="D798" s="28">
        <v>13</v>
      </c>
      <c r="E798" s="49">
        <v>2</v>
      </c>
      <c r="F798" s="211">
        <f>IFERROR(Tableau6[[#This Row],[Score]]/Tableau6[[#This Row],[Nb]],0)</f>
        <v>0.15384615384615385</v>
      </c>
    </row>
    <row r="799" spans="1:6" ht="30" customHeight="1" x14ac:dyDescent="0.3">
      <c r="A799" s="26" t="s">
        <v>312</v>
      </c>
      <c r="B799" s="27" t="s">
        <v>313</v>
      </c>
      <c r="C799" s="180">
        <v>40611</v>
      </c>
      <c r="D799" s="28">
        <v>19</v>
      </c>
      <c r="E799" s="49">
        <v>3</v>
      </c>
      <c r="F799" s="211">
        <f>IFERROR(Tableau6[[#This Row],[Score]]/Tableau6[[#This Row],[Nb]],0)</f>
        <v>0.15789473684210525</v>
      </c>
    </row>
    <row r="800" spans="1:6" ht="30" customHeight="1" x14ac:dyDescent="0.3">
      <c r="A800" s="26" t="s">
        <v>2193</v>
      </c>
      <c r="B800" s="27" t="s">
        <v>4678</v>
      </c>
      <c r="C800" s="180">
        <v>43689</v>
      </c>
      <c r="D800" s="28">
        <v>19</v>
      </c>
      <c r="E800" s="49">
        <v>3</v>
      </c>
      <c r="F800" s="211">
        <f>IFERROR(Tableau6[[#This Row],[Score]]/Tableau6[[#This Row],[Nb]],0)</f>
        <v>0.15789473684210525</v>
      </c>
    </row>
    <row r="801" spans="1:6" ht="30" customHeight="1" x14ac:dyDescent="0.3">
      <c r="A801" s="26" t="s">
        <v>2447</v>
      </c>
      <c r="B801" s="27" t="s">
        <v>2448</v>
      </c>
      <c r="C801" s="180">
        <v>43776</v>
      </c>
      <c r="D801" s="28">
        <v>19</v>
      </c>
      <c r="E801" s="49">
        <v>3</v>
      </c>
      <c r="F801" s="211">
        <f>IFERROR(Tableau6[[#This Row],[Score]]/Tableau6[[#This Row],[Nb]],0)</f>
        <v>0.15789473684210525</v>
      </c>
    </row>
    <row r="802" spans="1:6" ht="30" customHeight="1" x14ac:dyDescent="0.3">
      <c r="A802" s="26" t="s">
        <v>1225</v>
      </c>
      <c r="B802" s="27" t="s">
        <v>4009</v>
      </c>
      <c r="C802" s="180">
        <v>43429</v>
      </c>
      <c r="D802" s="28">
        <v>25</v>
      </c>
      <c r="E802" s="49">
        <v>4</v>
      </c>
      <c r="F802" s="211">
        <f>IFERROR(Tableau6[[#This Row],[Score]]/Tableau6[[#This Row],[Nb]],0)</f>
        <v>0.16</v>
      </c>
    </row>
    <row r="803" spans="1:6" ht="30" customHeight="1" x14ac:dyDescent="0.3">
      <c r="A803" s="151" t="s">
        <v>5796</v>
      </c>
      <c r="B803" s="152" t="s">
        <v>5797</v>
      </c>
      <c r="C803" s="180">
        <v>41621</v>
      </c>
      <c r="D803" s="28">
        <v>31</v>
      </c>
      <c r="E803" s="49">
        <v>5</v>
      </c>
      <c r="F803" s="211">
        <f>IFERROR(Tableau6[[#This Row],[Score]]/Tableau6[[#This Row],[Nb]],0)</f>
        <v>0.16129032258064516</v>
      </c>
    </row>
    <row r="804" spans="1:6" ht="30" customHeight="1" x14ac:dyDescent="0.3">
      <c r="A804" s="26" t="s">
        <v>1152</v>
      </c>
      <c r="B804" s="27" t="s">
        <v>1153</v>
      </c>
      <c r="C804" s="180">
        <v>43423</v>
      </c>
      <c r="D804" s="28">
        <v>31</v>
      </c>
      <c r="E804" s="49">
        <v>5</v>
      </c>
      <c r="F804" s="211">
        <f>IFERROR(Tableau6[[#This Row],[Score]]/Tableau6[[#This Row],[Nb]],0)</f>
        <v>0.16129032258064516</v>
      </c>
    </row>
    <row r="805" spans="1:6" ht="30" customHeight="1" x14ac:dyDescent="0.3">
      <c r="A805" s="26" t="s">
        <v>1553</v>
      </c>
      <c r="B805" s="27" t="s">
        <v>1554</v>
      </c>
      <c r="C805" s="180">
        <v>41621</v>
      </c>
      <c r="D805" s="28">
        <v>24</v>
      </c>
      <c r="E805" s="49">
        <v>4</v>
      </c>
      <c r="F805" s="211">
        <f>IFERROR(Tableau6[[#This Row],[Score]]/Tableau6[[#This Row],[Nb]],0)</f>
        <v>0.16666666666666666</v>
      </c>
    </row>
    <row r="806" spans="1:6" ht="30" customHeight="1" x14ac:dyDescent="0.3">
      <c r="A806" s="26" t="s">
        <v>1480</v>
      </c>
      <c r="B806" s="27" t="s">
        <v>4741</v>
      </c>
      <c r="C806" s="180">
        <v>43341</v>
      </c>
      <c r="D806" s="28">
        <v>24</v>
      </c>
      <c r="E806" s="49">
        <v>4</v>
      </c>
      <c r="F806" s="211">
        <f>IFERROR(Tableau6[[#This Row],[Score]]/Tableau6[[#This Row],[Nb]],0)</f>
        <v>0.16666666666666666</v>
      </c>
    </row>
    <row r="807" spans="1:6" ht="30" customHeight="1" x14ac:dyDescent="0.3">
      <c r="A807" s="26" t="s">
        <v>1125</v>
      </c>
      <c r="B807" s="27" t="s">
        <v>1126</v>
      </c>
      <c r="C807" s="180">
        <v>43415</v>
      </c>
      <c r="D807" s="28">
        <v>12</v>
      </c>
      <c r="E807" s="49">
        <v>2</v>
      </c>
      <c r="F807" s="211">
        <f>IFERROR(Tableau6[[#This Row],[Score]]/Tableau6[[#This Row],[Nb]],0)</f>
        <v>0.16666666666666666</v>
      </c>
    </row>
    <row r="808" spans="1:6" ht="30" customHeight="1" x14ac:dyDescent="0.3">
      <c r="A808" s="26" t="s">
        <v>2047</v>
      </c>
      <c r="B808" s="27" t="s">
        <v>2048</v>
      </c>
      <c r="C808" s="180">
        <v>43633</v>
      </c>
      <c r="D808" s="28">
        <v>36</v>
      </c>
      <c r="E808" s="49">
        <v>6</v>
      </c>
      <c r="F808" s="211">
        <f>IFERROR(Tableau6[[#This Row],[Score]]/Tableau6[[#This Row],[Nb]],0)</f>
        <v>0.16666666666666666</v>
      </c>
    </row>
    <row r="809" spans="1:6" ht="30" customHeight="1" x14ac:dyDescent="0.3">
      <c r="A809" s="26" t="s">
        <v>2804</v>
      </c>
      <c r="B809" s="152" t="s">
        <v>6112</v>
      </c>
      <c r="C809" s="180">
        <v>43941</v>
      </c>
      <c r="D809" s="28">
        <v>24</v>
      </c>
      <c r="E809" s="49">
        <v>4</v>
      </c>
      <c r="F809" s="211">
        <f>IFERROR(Tableau6[[#This Row],[Score]]/Tableau6[[#This Row],[Nb]],0)</f>
        <v>0.16666666666666666</v>
      </c>
    </row>
    <row r="810" spans="1:6" ht="30" customHeight="1" x14ac:dyDescent="0.3">
      <c r="A810" s="26" t="s">
        <v>3079</v>
      </c>
      <c r="B810" s="27" t="s">
        <v>3080</v>
      </c>
      <c r="C810" s="180">
        <v>44004</v>
      </c>
      <c r="D810" s="28">
        <v>18</v>
      </c>
      <c r="E810" s="49">
        <v>3</v>
      </c>
      <c r="F810" s="211">
        <f>IFERROR(Tableau6[[#This Row],[Score]]/Tableau6[[#This Row],[Nb]],0)</f>
        <v>0.16666666666666666</v>
      </c>
    </row>
    <row r="811" spans="1:6" ht="30" customHeight="1" x14ac:dyDescent="0.3">
      <c r="A811" s="26" t="s">
        <v>4801</v>
      </c>
      <c r="B811" s="27" t="s">
        <v>4802</v>
      </c>
      <c r="C811" s="180">
        <v>44385</v>
      </c>
      <c r="D811" s="28">
        <v>12</v>
      </c>
      <c r="E811" s="49">
        <v>2</v>
      </c>
      <c r="F811" s="211">
        <f>IFERROR(Tableau6[[#This Row],[Score]]/Tableau6[[#This Row],[Nb]],0)</f>
        <v>0.16666666666666666</v>
      </c>
    </row>
    <row r="812" spans="1:6" ht="30" customHeight="1" x14ac:dyDescent="0.3">
      <c r="A812" s="26" t="s">
        <v>4999</v>
      </c>
      <c r="B812" s="27" t="s">
        <v>5000</v>
      </c>
      <c r="C812" s="180">
        <v>44436</v>
      </c>
      <c r="D812" s="28">
        <v>18</v>
      </c>
      <c r="E812" s="49">
        <v>3</v>
      </c>
      <c r="F812" s="211">
        <f>IFERROR(Tableau6[[#This Row],[Score]]/Tableau6[[#This Row],[Nb]],0)</f>
        <v>0.16666666666666666</v>
      </c>
    </row>
    <row r="813" spans="1:6" ht="30" customHeight="1" x14ac:dyDescent="0.3">
      <c r="A813" s="140" t="s">
        <v>5121</v>
      </c>
      <c r="B813" s="141" t="s">
        <v>5122</v>
      </c>
      <c r="C813" s="206">
        <v>44469</v>
      </c>
      <c r="D813" s="142">
        <v>12</v>
      </c>
      <c r="E813" s="142">
        <v>2</v>
      </c>
      <c r="F813" s="211">
        <f>IFERROR(Tableau6[[#This Row],[Score]]/Tableau6[[#This Row],[Nb]],0)</f>
        <v>0.16666666666666666</v>
      </c>
    </row>
    <row r="814" spans="1:6" ht="30" customHeight="1" x14ac:dyDescent="0.3">
      <c r="A814" s="151" t="s">
        <v>5223</v>
      </c>
      <c r="B814" s="152" t="s">
        <v>5224</v>
      </c>
      <c r="C814" s="208">
        <v>44515</v>
      </c>
      <c r="D814" s="154">
        <v>12</v>
      </c>
      <c r="E814" s="154">
        <v>2</v>
      </c>
      <c r="F814" s="211">
        <f>IFERROR(Tableau6[[#This Row],[Score]]/Tableau6[[#This Row],[Nb]],0)</f>
        <v>0.16666666666666666</v>
      </c>
    </row>
    <row r="815" spans="1:6" ht="30" customHeight="1" x14ac:dyDescent="0.3">
      <c r="A815" s="151" t="s">
        <v>5590</v>
      </c>
      <c r="B815" s="152" t="s">
        <v>5591</v>
      </c>
      <c r="C815" s="208">
        <v>44596</v>
      </c>
      <c r="D815" s="154">
        <v>12</v>
      </c>
      <c r="E815" s="154">
        <v>2</v>
      </c>
      <c r="F815" s="211">
        <f>IFERROR(Tableau6[[#This Row],[Score]]/Tableau6[[#This Row],[Nb]],0)</f>
        <v>0.16666666666666666</v>
      </c>
    </row>
    <row r="816" spans="1:6" ht="30" customHeight="1" x14ac:dyDescent="0.3">
      <c r="A816" s="151" t="s">
        <v>5757</v>
      </c>
      <c r="B816" s="152" t="s">
        <v>5758</v>
      </c>
      <c r="C816" s="208">
        <v>44637</v>
      </c>
      <c r="D816" s="154">
        <v>12</v>
      </c>
      <c r="E816" s="154">
        <v>2</v>
      </c>
      <c r="F816" s="211">
        <f>IFERROR(Tableau6[[#This Row],[Score]]/Tableau6[[#This Row],[Nb]],0)</f>
        <v>0.16666666666666666</v>
      </c>
    </row>
    <row r="817" spans="1:6" ht="30" customHeight="1" x14ac:dyDescent="0.3">
      <c r="A817" s="151" t="s">
        <v>6023</v>
      </c>
      <c r="B817" s="152" t="s">
        <v>6024</v>
      </c>
      <c r="C817" s="208">
        <v>44714</v>
      </c>
      <c r="D817" s="154">
        <v>12</v>
      </c>
      <c r="E817" s="154">
        <v>2</v>
      </c>
      <c r="F817" s="211">
        <f>IFERROR(Tableau6[[#This Row],[Score]]/Tableau6[[#This Row],[Nb]],0)</f>
        <v>0.16666666666666666</v>
      </c>
    </row>
    <row r="818" spans="1:6" ht="30" customHeight="1" x14ac:dyDescent="0.3">
      <c r="A818" s="26" t="s">
        <v>2565</v>
      </c>
      <c r="B818" s="152" t="s">
        <v>6217</v>
      </c>
      <c r="C818" s="180">
        <v>43826</v>
      </c>
      <c r="D818" s="28">
        <v>29</v>
      </c>
      <c r="E818" s="49">
        <v>5</v>
      </c>
      <c r="F818" s="211">
        <f>IFERROR(Tableau6[[#This Row],[Score]]/Tableau6[[#This Row],[Nb]],0)</f>
        <v>0.17241379310344829</v>
      </c>
    </row>
    <row r="819" spans="1:6" ht="30" customHeight="1" x14ac:dyDescent="0.3">
      <c r="A819" s="151" t="s">
        <v>5916</v>
      </c>
      <c r="B819" s="152" t="s">
        <v>5917</v>
      </c>
      <c r="C819" s="180">
        <v>41621</v>
      </c>
      <c r="D819" s="28">
        <v>23</v>
      </c>
      <c r="E819" s="49">
        <v>4</v>
      </c>
      <c r="F819" s="211">
        <f>IFERROR(Tableau6[[#This Row],[Score]]/Tableau6[[#This Row],[Nb]],0)</f>
        <v>0.17391304347826086</v>
      </c>
    </row>
    <row r="820" spans="1:6" ht="30" customHeight="1" x14ac:dyDescent="0.3">
      <c r="A820" s="26" t="s">
        <v>236</v>
      </c>
      <c r="B820" s="27" t="s">
        <v>237</v>
      </c>
      <c r="C820" s="180">
        <v>43398</v>
      </c>
      <c r="D820" s="28">
        <v>23</v>
      </c>
      <c r="E820" s="49">
        <v>4</v>
      </c>
      <c r="F820" s="211">
        <f>IFERROR(Tableau6[[#This Row],[Score]]/Tableau6[[#This Row],[Nb]],0)</f>
        <v>0.17391304347826086</v>
      </c>
    </row>
    <row r="821" spans="1:6" ht="30" customHeight="1" x14ac:dyDescent="0.3">
      <c r="A821" s="26" t="s">
        <v>1228</v>
      </c>
      <c r="B821" s="27" t="s">
        <v>1229</v>
      </c>
      <c r="C821" s="180">
        <v>43429</v>
      </c>
      <c r="D821" s="28">
        <v>23</v>
      </c>
      <c r="E821" s="49">
        <v>4</v>
      </c>
      <c r="F821" s="211">
        <f>IFERROR(Tableau6[[#This Row],[Score]]/Tableau6[[#This Row],[Nb]],0)</f>
        <v>0.17391304347826086</v>
      </c>
    </row>
    <row r="822" spans="1:6" ht="30" customHeight="1" x14ac:dyDescent="0.3">
      <c r="A822" s="26" t="s">
        <v>2344</v>
      </c>
      <c r="B822" s="27" t="s">
        <v>468</v>
      </c>
      <c r="C822" s="180">
        <v>43771</v>
      </c>
      <c r="D822" s="28">
        <v>23</v>
      </c>
      <c r="E822" s="49">
        <v>4</v>
      </c>
      <c r="F822" s="211">
        <f>IFERROR(Tableau6[[#This Row],[Score]]/Tableau6[[#This Row],[Nb]],0)</f>
        <v>0.17391304347826086</v>
      </c>
    </row>
    <row r="823" spans="1:6" ht="30" customHeight="1" x14ac:dyDescent="0.3">
      <c r="A823" s="151" t="s">
        <v>6145</v>
      </c>
      <c r="B823" s="27" t="s">
        <v>391</v>
      </c>
      <c r="C823" s="180">
        <v>40611</v>
      </c>
      <c r="D823" s="28">
        <v>34</v>
      </c>
      <c r="E823" s="49">
        <v>6</v>
      </c>
      <c r="F823" s="211">
        <f>IFERROR(Tableau6[[#This Row],[Score]]/Tableau6[[#This Row],[Nb]],0)</f>
        <v>0.17647058823529413</v>
      </c>
    </row>
    <row r="824" spans="1:6" ht="30" customHeight="1" x14ac:dyDescent="0.3">
      <c r="A824" s="26" t="s">
        <v>4471</v>
      </c>
      <c r="B824" s="27" t="s">
        <v>4470</v>
      </c>
      <c r="C824" s="180">
        <v>41621</v>
      </c>
      <c r="D824" s="28">
        <v>17</v>
      </c>
      <c r="E824" s="49">
        <v>3</v>
      </c>
      <c r="F824" s="211">
        <f>IFERROR(Tableau6[[#This Row],[Score]]/Tableau6[[#This Row],[Nb]],0)</f>
        <v>0.17647058823529413</v>
      </c>
    </row>
    <row r="825" spans="1:6" ht="30" customHeight="1" x14ac:dyDescent="0.3">
      <c r="A825" s="26" t="s">
        <v>1221</v>
      </c>
      <c r="B825" s="27" t="s">
        <v>1222</v>
      </c>
      <c r="C825" s="180">
        <v>43430</v>
      </c>
      <c r="D825" s="28">
        <v>17</v>
      </c>
      <c r="E825" s="49">
        <v>3</v>
      </c>
      <c r="F825" s="211">
        <f>IFERROR(Tableau6[[#This Row],[Score]]/Tableau6[[#This Row],[Nb]],0)</f>
        <v>0.17647058823529413</v>
      </c>
    </row>
    <row r="826" spans="1:6" ht="30" customHeight="1" x14ac:dyDescent="0.3">
      <c r="A826" s="26" t="s">
        <v>1419</v>
      </c>
      <c r="B826" s="27" t="s">
        <v>1420</v>
      </c>
      <c r="C826" s="180">
        <v>43451</v>
      </c>
      <c r="D826" s="28">
        <v>34</v>
      </c>
      <c r="E826" s="49">
        <v>6</v>
      </c>
      <c r="F826" s="211">
        <f>IFERROR(Tableau6[[#This Row],[Score]]/Tableau6[[#This Row],[Nb]],0)</f>
        <v>0.17647058823529413</v>
      </c>
    </row>
    <row r="827" spans="1:6" ht="30" customHeight="1" x14ac:dyDescent="0.3">
      <c r="A827" s="26" t="s">
        <v>2768</v>
      </c>
      <c r="B827" s="27" t="s">
        <v>2769</v>
      </c>
      <c r="C827" s="180">
        <v>43900</v>
      </c>
      <c r="D827" s="28">
        <v>17</v>
      </c>
      <c r="E827" s="49">
        <v>3</v>
      </c>
      <c r="F827" s="211">
        <f>IFERROR(Tableau6[[#This Row],[Score]]/Tableau6[[#This Row],[Nb]],0)</f>
        <v>0.17647058823529413</v>
      </c>
    </row>
    <row r="828" spans="1:6" ht="30" customHeight="1" x14ac:dyDescent="0.3">
      <c r="A828" s="26" t="s">
        <v>4848</v>
      </c>
      <c r="B828" s="27" t="s">
        <v>4849</v>
      </c>
      <c r="C828" s="180">
        <v>44395</v>
      </c>
      <c r="D828" s="28">
        <v>17</v>
      </c>
      <c r="E828" s="49">
        <v>3</v>
      </c>
      <c r="F828" s="211">
        <f>IFERROR(Tableau6[[#This Row],[Score]]/Tableau6[[#This Row],[Nb]],0)</f>
        <v>0.17647058823529413</v>
      </c>
    </row>
    <row r="829" spans="1:6" ht="30" customHeight="1" x14ac:dyDescent="0.3">
      <c r="A829" s="26" t="s">
        <v>5027</v>
      </c>
      <c r="B829" s="27" t="s">
        <v>5028</v>
      </c>
      <c r="C829" s="180">
        <v>44443</v>
      </c>
      <c r="D829" s="28">
        <v>17</v>
      </c>
      <c r="E829" s="49">
        <v>3</v>
      </c>
      <c r="F829" s="211">
        <f>IFERROR(Tableau6[[#This Row],[Score]]/Tableau6[[#This Row],[Nb]],0)</f>
        <v>0.17647058823529413</v>
      </c>
    </row>
    <row r="830" spans="1:6" ht="30" customHeight="1" x14ac:dyDescent="0.3">
      <c r="A830" s="85" t="s">
        <v>5083</v>
      </c>
      <c r="B830" s="86" t="s">
        <v>5084</v>
      </c>
      <c r="C830" s="192">
        <v>44459</v>
      </c>
      <c r="D830" s="87">
        <v>17</v>
      </c>
      <c r="E830" s="87">
        <v>3</v>
      </c>
      <c r="F830" s="211">
        <f>IFERROR(Tableau6[[#This Row],[Score]]/Tableau6[[#This Row],[Nb]],0)</f>
        <v>0.17647058823529413</v>
      </c>
    </row>
    <row r="831" spans="1:6" ht="30" customHeight="1" x14ac:dyDescent="0.3">
      <c r="A831" s="126" t="s">
        <v>5112</v>
      </c>
      <c r="B831" s="127" t="s">
        <v>5113</v>
      </c>
      <c r="C831" s="203">
        <v>44465</v>
      </c>
      <c r="D831" s="128">
        <v>17</v>
      </c>
      <c r="E831" s="128">
        <v>3</v>
      </c>
      <c r="F831" s="211">
        <f>IFERROR(Tableau6[[#This Row],[Score]]/Tableau6[[#This Row],[Nb]],0)</f>
        <v>0.17647058823529413</v>
      </c>
    </row>
    <row r="832" spans="1:6" ht="30" customHeight="1" x14ac:dyDescent="0.3">
      <c r="A832" s="151" t="s">
        <v>5215</v>
      </c>
      <c r="B832" s="152" t="s">
        <v>5216</v>
      </c>
      <c r="C832" s="208">
        <v>44515</v>
      </c>
      <c r="D832" s="154">
        <v>17</v>
      </c>
      <c r="E832" s="154">
        <v>3</v>
      </c>
      <c r="F832" s="211">
        <f>IFERROR(Tableau6[[#This Row],[Score]]/Tableau6[[#This Row],[Nb]],0)</f>
        <v>0.17647058823529413</v>
      </c>
    </row>
    <row r="833" spans="1:6" ht="30" customHeight="1" x14ac:dyDescent="0.3">
      <c r="A833" s="26" t="s">
        <v>2538</v>
      </c>
      <c r="B833" s="27" t="s">
        <v>2539</v>
      </c>
      <c r="C833" s="180">
        <v>41621</v>
      </c>
      <c r="D833" s="28">
        <v>28</v>
      </c>
      <c r="E833" s="49">
        <v>5</v>
      </c>
      <c r="F833" s="211">
        <f>IFERROR(Tableau6[[#This Row],[Score]]/Tableau6[[#This Row],[Nb]],0)</f>
        <v>0.17857142857142858</v>
      </c>
    </row>
    <row r="834" spans="1:6" ht="30" customHeight="1" x14ac:dyDescent="0.3">
      <c r="A834" s="26" t="s">
        <v>2661</v>
      </c>
      <c r="B834" s="27" t="s">
        <v>2662</v>
      </c>
      <c r="C834" s="180">
        <v>43872</v>
      </c>
      <c r="D834" s="28">
        <v>28</v>
      </c>
      <c r="E834" s="49">
        <v>5</v>
      </c>
      <c r="F834" s="211">
        <f>IFERROR(Tableau6[[#This Row],[Score]]/Tableau6[[#This Row],[Nb]],0)</f>
        <v>0.17857142857142858</v>
      </c>
    </row>
    <row r="835" spans="1:6" ht="30" customHeight="1" x14ac:dyDescent="0.3">
      <c r="A835" s="26" t="s">
        <v>3458</v>
      </c>
      <c r="B835" s="27" t="s">
        <v>3459</v>
      </c>
      <c r="C835" s="180">
        <v>44201</v>
      </c>
      <c r="D835" s="28">
        <v>28</v>
      </c>
      <c r="E835" s="49">
        <v>5</v>
      </c>
      <c r="F835" s="211">
        <f>IFERROR(Tableau6[[#This Row],[Score]]/Tableau6[[#This Row],[Nb]],0)</f>
        <v>0.17857142857142858</v>
      </c>
    </row>
    <row r="836" spans="1:6" ht="30" customHeight="1" x14ac:dyDescent="0.3">
      <c r="A836" s="26" t="s">
        <v>933</v>
      </c>
      <c r="B836" s="27" t="s">
        <v>874</v>
      </c>
      <c r="C836" s="180">
        <v>41621</v>
      </c>
      <c r="D836" s="28">
        <v>33</v>
      </c>
      <c r="E836" s="49">
        <v>6</v>
      </c>
      <c r="F836" s="211">
        <f>IFERROR(Tableau6[[#This Row],[Score]]/Tableau6[[#This Row],[Nb]],0)</f>
        <v>0.18181818181818182</v>
      </c>
    </row>
    <row r="837" spans="1:6" ht="30" customHeight="1" x14ac:dyDescent="0.3">
      <c r="A837" s="26" t="s">
        <v>3638</v>
      </c>
      <c r="B837" s="27" t="s">
        <v>3639</v>
      </c>
      <c r="C837" s="180">
        <v>41621</v>
      </c>
      <c r="D837" s="28">
        <v>16</v>
      </c>
      <c r="E837" s="49">
        <v>3</v>
      </c>
      <c r="F837" s="211">
        <f>IFERROR(Tableau6[[#This Row],[Score]]/Tableau6[[#This Row],[Nb]],0)</f>
        <v>0.1875</v>
      </c>
    </row>
    <row r="838" spans="1:6" ht="30" customHeight="1" x14ac:dyDescent="0.3">
      <c r="A838" s="26" t="s">
        <v>4203</v>
      </c>
      <c r="B838" s="27" t="s">
        <v>4204</v>
      </c>
      <c r="C838" s="180">
        <v>44276</v>
      </c>
      <c r="D838" s="28">
        <v>16</v>
      </c>
      <c r="E838" s="49">
        <v>3</v>
      </c>
      <c r="F838" s="211">
        <f>IFERROR(Tableau6[[#This Row],[Score]]/Tableau6[[#This Row],[Nb]],0)</f>
        <v>0.1875</v>
      </c>
    </row>
    <row r="839" spans="1:6" ht="30" customHeight="1" x14ac:dyDescent="0.3">
      <c r="A839" s="26" t="s">
        <v>4762</v>
      </c>
      <c r="B839" s="27" t="s">
        <v>4763</v>
      </c>
      <c r="C839" s="180">
        <v>44372</v>
      </c>
      <c r="D839" s="28">
        <v>16</v>
      </c>
      <c r="E839" s="49">
        <v>3</v>
      </c>
      <c r="F839" s="211">
        <f>IFERROR(Tableau6[[#This Row],[Score]]/Tableau6[[#This Row],[Nb]],0)</f>
        <v>0.1875</v>
      </c>
    </row>
    <row r="840" spans="1:6" ht="30" customHeight="1" x14ac:dyDescent="0.3">
      <c r="A840" s="342" t="s">
        <v>6483</v>
      </c>
      <c r="B840" s="27" t="s">
        <v>4945</v>
      </c>
      <c r="C840" s="180">
        <v>44425</v>
      </c>
      <c r="D840" s="28">
        <v>16</v>
      </c>
      <c r="E840" s="49">
        <v>3</v>
      </c>
      <c r="F840" s="211">
        <f>IFERROR(Tableau6[[#This Row],[Score]]/Tableau6[[#This Row],[Nb]],0)</f>
        <v>0.1875</v>
      </c>
    </row>
    <row r="841" spans="1:6" ht="30" customHeight="1" x14ac:dyDescent="0.3">
      <c r="A841" s="151" t="s">
        <v>5945</v>
      </c>
      <c r="B841" s="27" t="s">
        <v>4997</v>
      </c>
      <c r="C841" s="180">
        <v>44435</v>
      </c>
      <c r="D841" s="28">
        <v>16</v>
      </c>
      <c r="E841" s="49">
        <v>3</v>
      </c>
      <c r="F841" s="211">
        <f>IFERROR(Tableau6[[#This Row],[Score]]/Tableau6[[#This Row],[Nb]],0)</f>
        <v>0.1875</v>
      </c>
    </row>
    <row r="842" spans="1:6" ht="30" customHeight="1" x14ac:dyDescent="0.3">
      <c r="A842" s="26" t="s">
        <v>4732</v>
      </c>
      <c r="B842" s="27" t="s">
        <v>4731</v>
      </c>
      <c r="C842" s="180">
        <v>43205</v>
      </c>
      <c r="D842" s="28">
        <v>21</v>
      </c>
      <c r="E842" s="49">
        <v>4</v>
      </c>
      <c r="F842" s="211">
        <f>IFERROR(Tableau6[[#This Row],[Score]]/Tableau6[[#This Row],[Nb]],0)</f>
        <v>0.19047619047619047</v>
      </c>
    </row>
    <row r="843" spans="1:6" ht="30" customHeight="1" x14ac:dyDescent="0.3">
      <c r="A843" s="26" t="s">
        <v>3717</v>
      </c>
      <c r="B843" s="27" t="s">
        <v>3718</v>
      </c>
      <c r="C843" s="180">
        <v>43237</v>
      </c>
      <c r="D843" s="28">
        <v>21</v>
      </c>
      <c r="E843" s="49">
        <v>4</v>
      </c>
      <c r="F843" s="211">
        <f>IFERROR(Tableau6[[#This Row],[Score]]/Tableau6[[#This Row],[Nb]],0)</f>
        <v>0.19047619047619047</v>
      </c>
    </row>
    <row r="844" spans="1:6" ht="30" customHeight="1" x14ac:dyDescent="0.3">
      <c r="A844" s="26" t="s">
        <v>2269</v>
      </c>
      <c r="B844" s="27" t="s">
        <v>2270</v>
      </c>
      <c r="C844" s="180">
        <v>43761</v>
      </c>
      <c r="D844" s="28">
        <v>21</v>
      </c>
      <c r="E844" s="49">
        <v>4</v>
      </c>
      <c r="F844" s="211">
        <f>IFERROR(Tableau6[[#This Row],[Score]]/Tableau6[[#This Row],[Nb]],0)</f>
        <v>0.19047619047619047</v>
      </c>
    </row>
    <row r="845" spans="1:6" ht="30" customHeight="1" x14ac:dyDescent="0.3">
      <c r="A845" s="26" t="s">
        <v>427</v>
      </c>
      <c r="B845" s="27" t="s">
        <v>428</v>
      </c>
      <c r="C845" s="180">
        <v>40611</v>
      </c>
      <c r="D845" s="28">
        <v>31</v>
      </c>
      <c r="E845" s="49">
        <v>6</v>
      </c>
      <c r="F845" s="211">
        <f>IFERROR(Tableau6[[#This Row],[Score]]/Tableau6[[#This Row],[Nb]],0)</f>
        <v>0.19354838709677419</v>
      </c>
    </row>
    <row r="846" spans="1:6" ht="30" customHeight="1" x14ac:dyDescent="0.3">
      <c r="A846" s="26" t="s">
        <v>929</v>
      </c>
      <c r="B846" s="27" t="s">
        <v>2724</v>
      </c>
      <c r="C846" s="180">
        <v>41621</v>
      </c>
      <c r="D846" s="28">
        <v>31</v>
      </c>
      <c r="E846" s="49">
        <v>6</v>
      </c>
      <c r="F846" s="211">
        <f>IFERROR(Tableau6[[#This Row],[Score]]/Tableau6[[#This Row],[Nb]],0)</f>
        <v>0.19354838709677419</v>
      </c>
    </row>
    <row r="847" spans="1:6" ht="30" customHeight="1" x14ac:dyDescent="0.3">
      <c r="A847" s="68" t="s">
        <v>5070</v>
      </c>
      <c r="B847" s="27" t="s">
        <v>3346</v>
      </c>
      <c r="C847" s="180">
        <v>41621</v>
      </c>
      <c r="D847" s="28">
        <v>25</v>
      </c>
      <c r="E847" s="49">
        <v>5</v>
      </c>
      <c r="F847" s="211">
        <f>IFERROR(Tableau6[[#This Row],[Score]]/Tableau6[[#This Row],[Nb]],0)</f>
        <v>0.2</v>
      </c>
    </row>
    <row r="848" spans="1:6" ht="30" customHeight="1" x14ac:dyDescent="0.3">
      <c r="A848" s="26" t="s">
        <v>4232</v>
      </c>
      <c r="B848" s="27" t="s">
        <v>4231</v>
      </c>
      <c r="C848" s="180">
        <v>41621</v>
      </c>
      <c r="D848" s="28">
        <v>20</v>
      </c>
      <c r="E848" s="49">
        <v>4</v>
      </c>
      <c r="F848" s="211">
        <f>IFERROR(Tableau6[[#This Row],[Score]]/Tableau6[[#This Row],[Nb]],0)</f>
        <v>0.2</v>
      </c>
    </row>
    <row r="849" spans="1:6" ht="30" customHeight="1" x14ac:dyDescent="0.3">
      <c r="A849" s="494" t="s">
        <v>6572</v>
      </c>
      <c r="B849" s="27" t="s">
        <v>1062</v>
      </c>
      <c r="C849" s="180">
        <v>43237</v>
      </c>
      <c r="D849" s="28">
        <v>25</v>
      </c>
      <c r="E849" s="49">
        <v>5</v>
      </c>
      <c r="F849" s="211">
        <f>IFERROR(Tableau6[[#This Row],[Score]]/Tableau6[[#This Row],[Nb]],0)</f>
        <v>0.2</v>
      </c>
    </row>
    <row r="850" spans="1:6" ht="30" customHeight="1" x14ac:dyDescent="0.3">
      <c r="A850" s="26" t="s">
        <v>105</v>
      </c>
      <c r="B850" s="27" t="s">
        <v>106</v>
      </c>
      <c r="C850" s="180">
        <v>43341</v>
      </c>
      <c r="D850" s="28">
        <v>20</v>
      </c>
      <c r="E850" s="49">
        <v>4</v>
      </c>
      <c r="F850" s="211">
        <f>IFERROR(Tableau6[[#This Row],[Score]]/Tableau6[[#This Row],[Nb]],0)</f>
        <v>0.2</v>
      </c>
    </row>
    <row r="851" spans="1:6" ht="30" customHeight="1" x14ac:dyDescent="0.3">
      <c r="A851" s="26" t="s">
        <v>151</v>
      </c>
      <c r="B851" s="27" t="s">
        <v>3831</v>
      </c>
      <c r="C851" s="180">
        <v>43368</v>
      </c>
      <c r="D851" s="28">
        <v>20</v>
      </c>
      <c r="E851" s="49">
        <v>4</v>
      </c>
      <c r="F851" s="211">
        <f>IFERROR(Tableau6[[#This Row],[Score]]/Tableau6[[#This Row],[Nb]],0)</f>
        <v>0.2</v>
      </c>
    </row>
    <row r="852" spans="1:6" ht="30" customHeight="1" x14ac:dyDescent="0.3">
      <c r="A852" s="26" t="s">
        <v>1264</v>
      </c>
      <c r="B852" s="27" t="s">
        <v>1265</v>
      </c>
      <c r="C852" s="180">
        <v>43426</v>
      </c>
      <c r="D852" s="28">
        <v>25</v>
      </c>
      <c r="E852" s="49">
        <v>5</v>
      </c>
      <c r="F852" s="211">
        <f>IFERROR(Tableau6[[#This Row],[Score]]/Tableau6[[#This Row],[Nb]],0)</f>
        <v>0.2</v>
      </c>
    </row>
    <row r="853" spans="1:6" ht="30" customHeight="1" x14ac:dyDescent="0.3">
      <c r="A853" s="26" t="s">
        <v>2077</v>
      </c>
      <c r="B853" s="27" t="s">
        <v>2078</v>
      </c>
      <c r="C853" s="180">
        <v>43673</v>
      </c>
      <c r="D853" s="28">
        <v>20</v>
      </c>
      <c r="E853" s="49">
        <v>4</v>
      </c>
      <c r="F853" s="211">
        <f>IFERROR(Tableau6[[#This Row],[Score]]/Tableau6[[#This Row],[Nb]],0)</f>
        <v>0.2</v>
      </c>
    </row>
    <row r="854" spans="1:6" ht="30" customHeight="1" x14ac:dyDescent="0.3">
      <c r="A854" s="26" t="s">
        <v>3221</v>
      </c>
      <c r="B854" s="27" t="s">
        <v>3222</v>
      </c>
      <c r="C854" s="180">
        <v>44026</v>
      </c>
      <c r="D854" s="28">
        <v>25</v>
      </c>
      <c r="E854" s="49">
        <v>5</v>
      </c>
      <c r="F854" s="211">
        <f>IFERROR(Tableau6[[#This Row],[Score]]/Tableau6[[#This Row],[Nb]],0)</f>
        <v>0.2</v>
      </c>
    </row>
    <row r="855" spans="1:6" ht="30" customHeight="1" x14ac:dyDescent="0.3">
      <c r="A855" s="151" t="s">
        <v>5171</v>
      </c>
      <c r="B855" s="152" t="s">
        <v>5172</v>
      </c>
      <c r="C855" s="208">
        <v>44493</v>
      </c>
      <c r="D855" s="154">
        <v>15</v>
      </c>
      <c r="E855" s="154">
        <v>3</v>
      </c>
      <c r="F855" s="211">
        <f>IFERROR(Tableau6[[#This Row],[Score]]/Tableau6[[#This Row],[Nb]],0)</f>
        <v>0.2</v>
      </c>
    </row>
    <row r="856" spans="1:6" ht="30" customHeight="1" x14ac:dyDescent="0.3">
      <c r="A856" s="151" t="s">
        <v>5217</v>
      </c>
      <c r="B856" s="152" t="s">
        <v>5218</v>
      </c>
      <c r="C856" s="208">
        <v>44515</v>
      </c>
      <c r="D856" s="154">
        <v>10</v>
      </c>
      <c r="E856" s="154">
        <v>2</v>
      </c>
      <c r="F856" s="211">
        <f>IFERROR(Tableau6[[#This Row],[Score]]/Tableau6[[#This Row],[Nb]],0)</f>
        <v>0.2</v>
      </c>
    </row>
    <row r="857" spans="1:6" ht="30" customHeight="1" x14ac:dyDescent="0.3">
      <c r="A857" s="151" t="s">
        <v>5412</v>
      </c>
      <c r="B857" s="152" t="s">
        <v>5413</v>
      </c>
      <c r="C857" s="208">
        <v>44564</v>
      </c>
      <c r="D857" s="154">
        <v>10</v>
      </c>
      <c r="E857" s="154">
        <v>2</v>
      </c>
      <c r="F857" s="211">
        <f>IFERROR(Tableau6[[#This Row],[Score]]/Tableau6[[#This Row],[Nb]],0)</f>
        <v>0.2</v>
      </c>
    </row>
    <row r="858" spans="1:6" ht="30" customHeight="1" x14ac:dyDescent="0.3">
      <c r="A858" s="151" t="s">
        <v>5518</v>
      </c>
      <c r="B858" s="152" t="s">
        <v>5519</v>
      </c>
      <c r="C858" s="208">
        <v>44587</v>
      </c>
      <c r="D858" s="154">
        <v>15</v>
      </c>
      <c r="E858" s="154">
        <v>3</v>
      </c>
      <c r="F858" s="211">
        <f>IFERROR(Tableau6[[#This Row],[Score]]/Tableau6[[#This Row],[Nb]],0)</f>
        <v>0.2</v>
      </c>
    </row>
    <row r="859" spans="1:6" ht="30" customHeight="1" x14ac:dyDescent="0.3">
      <c r="A859" s="151" t="s">
        <v>5541</v>
      </c>
      <c r="B859" s="152" t="s">
        <v>5542</v>
      </c>
      <c r="C859" s="208">
        <v>44591</v>
      </c>
      <c r="D859" s="154">
        <v>10</v>
      </c>
      <c r="E859" s="154">
        <v>2</v>
      </c>
      <c r="F859" s="211">
        <f>IFERROR(Tableau6[[#This Row],[Score]]/Tableau6[[#This Row],[Nb]],0)</f>
        <v>0.2</v>
      </c>
    </row>
    <row r="860" spans="1:6" ht="30" customHeight="1" x14ac:dyDescent="0.3">
      <c r="A860" s="151" t="s">
        <v>5545</v>
      </c>
      <c r="B860" s="152" t="s">
        <v>5546</v>
      </c>
      <c r="C860" s="208">
        <v>44591</v>
      </c>
      <c r="D860" s="154">
        <v>15</v>
      </c>
      <c r="E860" s="154">
        <v>3</v>
      </c>
      <c r="F860" s="211">
        <f>IFERROR(Tableau6[[#This Row],[Score]]/Tableau6[[#This Row],[Nb]],0)</f>
        <v>0.2</v>
      </c>
    </row>
    <row r="861" spans="1:6" ht="30" customHeight="1" x14ac:dyDescent="0.3">
      <c r="A861" s="151" t="s">
        <v>5687</v>
      </c>
      <c r="B861" s="152" t="s">
        <v>5688</v>
      </c>
      <c r="C861" s="208">
        <v>44622</v>
      </c>
      <c r="D861" s="154">
        <v>5</v>
      </c>
      <c r="E861" s="154">
        <v>1</v>
      </c>
      <c r="F861" s="211">
        <f>IFERROR(Tableau6[[#This Row],[Score]]/Tableau6[[#This Row],[Nb]],0)</f>
        <v>0.2</v>
      </c>
    </row>
    <row r="862" spans="1:6" ht="30" customHeight="1" x14ac:dyDescent="0.3">
      <c r="A862" s="151" t="s">
        <v>5689</v>
      </c>
      <c r="B862" s="167" t="s">
        <v>5690</v>
      </c>
      <c r="C862" s="208">
        <v>44623</v>
      </c>
      <c r="D862" s="154">
        <v>10</v>
      </c>
      <c r="E862" s="154">
        <v>2</v>
      </c>
      <c r="F862" s="211">
        <f>IFERROR(Tableau6[[#This Row],[Score]]/Tableau6[[#This Row],[Nb]],0)</f>
        <v>0.2</v>
      </c>
    </row>
    <row r="863" spans="1:6" ht="30" customHeight="1" x14ac:dyDescent="0.3">
      <c r="A863" s="151" t="s">
        <v>5732</v>
      </c>
      <c r="B863" s="152" t="s">
        <v>5733</v>
      </c>
      <c r="C863" s="208">
        <v>44633</v>
      </c>
      <c r="D863" s="154">
        <v>10</v>
      </c>
      <c r="E863" s="154">
        <v>2</v>
      </c>
      <c r="F863" s="211">
        <f>IFERROR(Tableau6[[#This Row],[Score]]/Tableau6[[#This Row],[Nb]],0)</f>
        <v>0.2</v>
      </c>
    </row>
    <row r="864" spans="1:6" ht="30" customHeight="1" x14ac:dyDescent="0.3">
      <c r="A864" s="151" t="s">
        <v>5933</v>
      </c>
      <c r="B864" s="152" t="s">
        <v>5934</v>
      </c>
      <c r="C864" s="208">
        <v>44688</v>
      </c>
      <c r="D864" s="154">
        <v>10</v>
      </c>
      <c r="E864" s="154">
        <v>2</v>
      </c>
      <c r="F864" s="211">
        <f>IFERROR(Tableau6[[#This Row],[Score]]/Tableau6[[#This Row],[Nb]],0)</f>
        <v>0.2</v>
      </c>
    </row>
    <row r="865" spans="1:6" ht="30" customHeight="1" x14ac:dyDescent="0.3">
      <c r="A865" s="151" t="s">
        <v>6010</v>
      </c>
      <c r="B865" s="152" t="s">
        <v>6011</v>
      </c>
      <c r="C865" s="208">
        <v>44709</v>
      </c>
      <c r="D865" s="154">
        <v>10</v>
      </c>
      <c r="E865" s="154">
        <v>2</v>
      </c>
      <c r="F865" s="211">
        <f>IFERROR(Tableau6[[#This Row],[Score]]/Tableau6[[#This Row],[Nb]],0)</f>
        <v>0.2</v>
      </c>
    </row>
    <row r="866" spans="1:6" ht="30" customHeight="1" x14ac:dyDescent="0.3">
      <c r="A866" s="151" t="s">
        <v>6035</v>
      </c>
      <c r="B866" s="152" t="s">
        <v>6036</v>
      </c>
      <c r="C866" s="208">
        <v>44717</v>
      </c>
      <c r="D866" s="154">
        <v>5</v>
      </c>
      <c r="E866" s="154">
        <v>1</v>
      </c>
      <c r="F866" s="211">
        <f>IFERROR(Tableau6[[#This Row],[Score]]/Tableau6[[#This Row],[Nb]],0)</f>
        <v>0.2</v>
      </c>
    </row>
    <row r="867" spans="1:6" ht="30" customHeight="1" x14ac:dyDescent="0.3">
      <c r="A867" s="151" t="s">
        <v>6323</v>
      </c>
      <c r="B867" s="152" t="s">
        <v>6324</v>
      </c>
      <c r="C867" s="208">
        <v>44879</v>
      </c>
      <c r="D867" s="154">
        <v>5</v>
      </c>
      <c r="E867" s="154">
        <v>1</v>
      </c>
      <c r="F867" s="211">
        <f>IFERROR(Tableau6[[#This Row],[Score]]/Tableau6[[#This Row],[Nb]],0)</f>
        <v>0.2</v>
      </c>
    </row>
    <row r="868" spans="1:6" ht="30" customHeight="1" x14ac:dyDescent="0.3">
      <c r="A868" s="151" t="s">
        <v>6332</v>
      </c>
      <c r="B868" s="152" t="s">
        <v>6333</v>
      </c>
      <c r="C868" s="208">
        <v>44884</v>
      </c>
      <c r="D868" s="154">
        <v>5</v>
      </c>
      <c r="E868" s="154">
        <v>1</v>
      </c>
      <c r="F868" s="211">
        <f>IFERROR(Tableau6[[#This Row],[Score]]/Tableau6[[#This Row],[Nb]],0)</f>
        <v>0.2</v>
      </c>
    </row>
    <row r="869" spans="1:6" ht="30" customHeight="1" x14ac:dyDescent="0.3">
      <c r="A869" s="26" t="s">
        <v>938</v>
      </c>
      <c r="B869" s="27" t="s">
        <v>876</v>
      </c>
      <c r="C869" s="180">
        <v>41621</v>
      </c>
      <c r="D869" s="28">
        <v>24</v>
      </c>
      <c r="E869" s="49">
        <v>5</v>
      </c>
      <c r="F869" s="211">
        <f>IFERROR(Tableau6[[#This Row],[Score]]/Tableau6[[#This Row],[Nb]],0)</f>
        <v>0.20833333333333334</v>
      </c>
    </row>
    <row r="870" spans="1:6" ht="30" customHeight="1" x14ac:dyDescent="0.3">
      <c r="A870" s="91" t="s">
        <v>1344</v>
      </c>
      <c r="B870" s="92" t="s">
        <v>5090</v>
      </c>
      <c r="C870" s="180">
        <v>43776</v>
      </c>
      <c r="D870" s="28">
        <v>24</v>
      </c>
      <c r="E870" s="49">
        <v>5</v>
      </c>
      <c r="F870" s="211">
        <f>IFERROR(Tableau6[[#This Row],[Score]]/Tableau6[[#This Row],[Nb]],0)</f>
        <v>0.20833333333333334</v>
      </c>
    </row>
    <row r="871" spans="1:6" ht="30" customHeight="1" x14ac:dyDescent="0.3">
      <c r="A871" s="26" t="s">
        <v>3504</v>
      </c>
      <c r="B871" s="27" t="s">
        <v>3505</v>
      </c>
      <c r="C871" s="180">
        <v>43205</v>
      </c>
      <c r="D871" s="28">
        <v>19</v>
      </c>
      <c r="E871" s="49">
        <v>4</v>
      </c>
      <c r="F871" s="211">
        <f>IFERROR(Tableau6[[#This Row],[Score]]/Tableau6[[#This Row],[Nb]],0)</f>
        <v>0.21052631578947367</v>
      </c>
    </row>
    <row r="872" spans="1:6" ht="30" customHeight="1" x14ac:dyDescent="0.3">
      <c r="A872" s="26" t="s">
        <v>2117</v>
      </c>
      <c r="B872" s="27" t="s">
        <v>2118</v>
      </c>
      <c r="C872" s="180">
        <v>43673</v>
      </c>
      <c r="D872" s="28">
        <v>19</v>
      </c>
      <c r="E872" s="49">
        <v>4</v>
      </c>
      <c r="F872" s="211">
        <f>IFERROR(Tableau6[[#This Row],[Score]]/Tableau6[[#This Row],[Nb]],0)</f>
        <v>0.21052631578947367</v>
      </c>
    </row>
    <row r="873" spans="1:6" ht="30" customHeight="1" x14ac:dyDescent="0.3">
      <c r="A873" s="26" t="s">
        <v>2510</v>
      </c>
      <c r="B873" s="27" t="s">
        <v>2511</v>
      </c>
      <c r="C873" s="180">
        <v>43815</v>
      </c>
      <c r="D873" s="28">
        <v>23</v>
      </c>
      <c r="E873" s="49">
        <v>5</v>
      </c>
      <c r="F873" s="211">
        <f>IFERROR(Tableau6[[#This Row],[Score]]/Tableau6[[#This Row],[Nb]],0)</f>
        <v>0.21739130434782608</v>
      </c>
    </row>
    <row r="874" spans="1:6" ht="30" customHeight="1" x14ac:dyDescent="0.3">
      <c r="A874" s="26" t="s">
        <v>4701</v>
      </c>
      <c r="B874" s="27" t="s">
        <v>4702</v>
      </c>
      <c r="C874" s="180">
        <v>44358</v>
      </c>
      <c r="D874" s="28">
        <v>23</v>
      </c>
      <c r="E874" s="49">
        <v>5</v>
      </c>
      <c r="F874" s="211">
        <f>IFERROR(Tableau6[[#This Row],[Score]]/Tableau6[[#This Row],[Nb]],0)</f>
        <v>0.21739130434782608</v>
      </c>
    </row>
    <row r="875" spans="1:6" ht="30" customHeight="1" x14ac:dyDescent="0.3">
      <c r="A875" s="26" t="s">
        <v>519</v>
      </c>
      <c r="B875" s="27" t="s">
        <v>520</v>
      </c>
      <c r="C875" s="180">
        <v>40611</v>
      </c>
      <c r="D875" s="28">
        <v>27</v>
      </c>
      <c r="E875" s="49">
        <v>6</v>
      </c>
      <c r="F875" s="211">
        <f>IFERROR(Tableau6[[#This Row],[Score]]/Tableau6[[#This Row],[Nb]],0)</f>
        <v>0.22222222222222221</v>
      </c>
    </row>
    <row r="876" spans="1:6" ht="30" customHeight="1" x14ac:dyDescent="0.3">
      <c r="A876" s="26" t="s">
        <v>3640</v>
      </c>
      <c r="B876" s="152" t="s">
        <v>6220</v>
      </c>
      <c r="C876" s="180">
        <v>41621</v>
      </c>
      <c r="D876" s="28">
        <v>27</v>
      </c>
      <c r="E876" s="49">
        <v>6</v>
      </c>
      <c r="F876" s="211">
        <f>IFERROR(Tableau6[[#This Row],[Score]]/Tableau6[[#This Row],[Nb]],0)</f>
        <v>0.22222222222222221</v>
      </c>
    </row>
    <row r="877" spans="1:6" ht="30" customHeight="1" x14ac:dyDescent="0.3">
      <c r="A877" s="26" t="s">
        <v>997</v>
      </c>
      <c r="B877" s="27" t="s">
        <v>744</v>
      </c>
      <c r="C877" s="180">
        <v>41621</v>
      </c>
      <c r="D877" s="28">
        <v>18</v>
      </c>
      <c r="E877" s="49">
        <v>4</v>
      </c>
      <c r="F877" s="211">
        <f>IFERROR(Tableau6[[#This Row],[Score]]/Tableau6[[#This Row],[Nb]],0)</f>
        <v>0.22222222222222221</v>
      </c>
    </row>
    <row r="878" spans="1:6" ht="30" customHeight="1" x14ac:dyDescent="0.3">
      <c r="A878" s="26" t="s">
        <v>2540</v>
      </c>
      <c r="B878" s="27" t="s">
        <v>2541</v>
      </c>
      <c r="C878" s="180">
        <v>43278</v>
      </c>
      <c r="D878" s="28">
        <v>18</v>
      </c>
      <c r="E878" s="49">
        <v>4</v>
      </c>
      <c r="F878" s="211">
        <f>IFERROR(Tableau6[[#This Row],[Score]]/Tableau6[[#This Row],[Nb]],0)</f>
        <v>0.22222222222222221</v>
      </c>
    </row>
    <row r="879" spans="1:6" ht="30" customHeight="1" x14ac:dyDescent="0.3">
      <c r="A879" s="26" t="s">
        <v>1160</v>
      </c>
      <c r="B879" s="27" t="s">
        <v>3419</v>
      </c>
      <c r="C879" s="180">
        <v>43422</v>
      </c>
      <c r="D879" s="28">
        <v>27</v>
      </c>
      <c r="E879" s="49">
        <v>6</v>
      </c>
      <c r="F879" s="211">
        <f>IFERROR(Tableau6[[#This Row],[Score]]/Tableau6[[#This Row],[Nb]],0)</f>
        <v>0.22222222222222221</v>
      </c>
    </row>
    <row r="880" spans="1:6" ht="30" customHeight="1" x14ac:dyDescent="0.3">
      <c r="A880" s="26" t="s">
        <v>1164</v>
      </c>
      <c r="B880" s="152" t="s">
        <v>6066</v>
      </c>
      <c r="C880" s="180">
        <v>43422</v>
      </c>
      <c r="D880" s="28">
        <v>27</v>
      </c>
      <c r="E880" s="49">
        <v>6</v>
      </c>
      <c r="F880" s="211">
        <f>IFERROR(Tableau6[[#This Row],[Score]]/Tableau6[[#This Row],[Nb]],0)</f>
        <v>0.22222222222222221</v>
      </c>
    </row>
    <row r="881" spans="1:6" ht="30" customHeight="1" x14ac:dyDescent="0.3">
      <c r="A881" s="26" t="s">
        <v>2374</v>
      </c>
      <c r="B881" s="27" t="s">
        <v>1561</v>
      </c>
      <c r="C881" s="180">
        <v>43771</v>
      </c>
      <c r="D881" s="28">
        <v>27</v>
      </c>
      <c r="E881" s="49">
        <v>6</v>
      </c>
      <c r="F881" s="211">
        <f>IFERROR(Tableau6[[#This Row],[Score]]/Tableau6[[#This Row],[Nb]],0)</f>
        <v>0.22222222222222221</v>
      </c>
    </row>
    <row r="882" spans="1:6" ht="30" customHeight="1" x14ac:dyDescent="0.3">
      <c r="A882" s="26" t="s">
        <v>3727</v>
      </c>
      <c r="B882" s="27" t="s">
        <v>3728</v>
      </c>
      <c r="C882" s="180">
        <v>44249</v>
      </c>
      <c r="D882" s="28">
        <v>27</v>
      </c>
      <c r="E882" s="49">
        <v>6</v>
      </c>
      <c r="F882" s="211">
        <f>IFERROR(Tableau6[[#This Row],[Score]]/Tableau6[[#This Row],[Nb]],0)</f>
        <v>0.22222222222222221</v>
      </c>
    </row>
    <row r="883" spans="1:6" ht="30" customHeight="1" x14ac:dyDescent="0.3">
      <c r="A883" s="26" t="s">
        <v>4784</v>
      </c>
      <c r="B883" s="27" t="s">
        <v>4785</v>
      </c>
      <c r="C883" s="180">
        <v>44378</v>
      </c>
      <c r="D883" s="28">
        <v>18</v>
      </c>
      <c r="E883" s="49">
        <v>4</v>
      </c>
      <c r="F883" s="211">
        <f>IFERROR(Tableau6[[#This Row],[Score]]/Tableau6[[#This Row],[Nb]],0)</f>
        <v>0.22222222222222221</v>
      </c>
    </row>
    <row r="884" spans="1:6" ht="30" customHeight="1" x14ac:dyDescent="0.3">
      <c r="A884" s="151" t="s">
        <v>5197</v>
      </c>
      <c r="B884" s="152" t="s">
        <v>5198</v>
      </c>
      <c r="C884" s="208">
        <v>44500</v>
      </c>
      <c r="D884" s="154">
        <v>18</v>
      </c>
      <c r="E884" s="154">
        <v>4</v>
      </c>
      <c r="F884" s="211">
        <f>IFERROR(Tableau6[[#This Row],[Score]]/Tableau6[[#This Row],[Nb]],0)</f>
        <v>0.22222222222222221</v>
      </c>
    </row>
    <row r="885" spans="1:6" ht="30" customHeight="1" x14ac:dyDescent="0.3">
      <c r="A885" s="26" t="s">
        <v>1597</v>
      </c>
      <c r="B885" s="27" t="s">
        <v>3656</v>
      </c>
      <c r="C885" s="180">
        <v>41522</v>
      </c>
      <c r="D885" s="28">
        <v>22</v>
      </c>
      <c r="E885" s="49">
        <v>5</v>
      </c>
      <c r="F885" s="211">
        <f>IFERROR(Tableau6[[#This Row],[Score]]/Tableau6[[#This Row],[Nb]],0)</f>
        <v>0.22727272727272727</v>
      </c>
    </row>
    <row r="886" spans="1:6" ht="30" customHeight="1" x14ac:dyDescent="0.3">
      <c r="A886" s="26" t="s">
        <v>450</v>
      </c>
      <c r="B886" s="27" t="s">
        <v>848</v>
      </c>
      <c r="C886" s="180">
        <v>41621</v>
      </c>
      <c r="D886" s="28">
        <v>22</v>
      </c>
      <c r="E886" s="49">
        <v>5</v>
      </c>
      <c r="F886" s="211">
        <f>IFERROR(Tableau6[[#This Row],[Score]]/Tableau6[[#This Row],[Nb]],0)</f>
        <v>0.22727272727272727</v>
      </c>
    </row>
    <row r="887" spans="1:6" ht="30" customHeight="1" x14ac:dyDescent="0.3">
      <c r="A887" s="26" t="s">
        <v>1208</v>
      </c>
      <c r="B887" s="27" t="s">
        <v>3838</v>
      </c>
      <c r="C887" s="180">
        <v>43418</v>
      </c>
      <c r="D887" s="28">
        <v>22</v>
      </c>
      <c r="E887" s="49">
        <v>5</v>
      </c>
      <c r="F887" s="211">
        <f>IFERROR(Tableau6[[#This Row],[Score]]/Tableau6[[#This Row],[Nb]],0)</f>
        <v>0.22727272727272727</v>
      </c>
    </row>
    <row r="888" spans="1:6" ht="30" customHeight="1" x14ac:dyDescent="0.3">
      <c r="A888" s="26" t="s">
        <v>2829</v>
      </c>
      <c r="B888" s="27" t="s">
        <v>2830</v>
      </c>
      <c r="C888" s="180">
        <v>43962</v>
      </c>
      <c r="D888" s="28">
        <v>22</v>
      </c>
      <c r="E888" s="49">
        <v>5</v>
      </c>
      <c r="F888" s="211">
        <f>IFERROR(Tableau6[[#This Row],[Score]]/Tableau6[[#This Row],[Nb]],0)</f>
        <v>0.22727272727272727</v>
      </c>
    </row>
    <row r="889" spans="1:6" ht="30" customHeight="1" x14ac:dyDescent="0.3">
      <c r="A889" s="26" t="s">
        <v>3442</v>
      </c>
      <c r="B889" s="27" t="s">
        <v>3443</v>
      </c>
      <c r="C889" s="180">
        <v>44053</v>
      </c>
      <c r="D889" s="28">
        <v>22</v>
      </c>
      <c r="E889" s="49">
        <v>5</v>
      </c>
      <c r="F889" s="211">
        <f>IFERROR(Tableau6[[#This Row],[Score]]/Tableau6[[#This Row],[Nb]],0)</f>
        <v>0.22727272727272727</v>
      </c>
    </row>
    <row r="890" spans="1:6" ht="30" customHeight="1" x14ac:dyDescent="0.3">
      <c r="A890" s="26" t="s">
        <v>4429</v>
      </c>
      <c r="B890" s="27" t="s">
        <v>4430</v>
      </c>
      <c r="C890" s="180">
        <v>44299</v>
      </c>
      <c r="D890" s="28">
        <v>22</v>
      </c>
      <c r="E890" s="49">
        <v>5</v>
      </c>
      <c r="F890" s="211">
        <f>IFERROR(Tableau6[[#This Row],[Score]]/Tableau6[[#This Row],[Nb]],0)</f>
        <v>0.22727272727272727</v>
      </c>
    </row>
    <row r="891" spans="1:6" ht="30" customHeight="1" x14ac:dyDescent="0.3">
      <c r="A891" s="26" t="s">
        <v>3119</v>
      </c>
      <c r="B891" s="27" t="s">
        <v>3120</v>
      </c>
      <c r="C891" s="180">
        <v>41621</v>
      </c>
      <c r="D891" s="28">
        <v>13</v>
      </c>
      <c r="E891" s="49">
        <v>3</v>
      </c>
      <c r="F891" s="211">
        <f>IFERROR(Tableau6[[#This Row],[Score]]/Tableau6[[#This Row],[Nb]],0)</f>
        <v>0.23076923076923078</v>
      </c>
    </row>
    <row r="892" spans="1:6" ht="30" customHeight="1" x14ac:dyDescent="0.3">
      <c r="A892" s="26" t="s">
        <v>1949</v>
      </c>
      <c r="B892" s="27" t="s">
        <v>1950</v>
      </c>
      <c r="C892" s="180">
        <v>43602</v>
      </c>
      <c r="D892" s="28">
        <v>13</v>
      </c>
      <c r="E892" s="49">
        <v>3</v>
      </c>
      <c r="F892" s="211">
        <f>IFERROR(Tableau6[[#This Row],[Score]]/Tableau6[[#This Row],[Nb]],0)</f>
        <v>0.23076923076923078</v>
      </c>
    </row>
    <row r="893" spans="1:6" ht="30" customHeight="1" x14ac:dyDescent="0.3">
      <c r="A893" s="26" t="s">
        <v>4960</v>
      </c>
      <c r="B893" s="27" t="s">
        <v>4961</v>
      </c>
      <c r="C893" s="180">
        <v>44428</v>
      </c>
      <c r="D893" s="28">
        <v>13</v>
      </c>
      <c r="E893" s="49">
        <v>3</v>
      </c>
      <c r="F893" s="211">
        <f>IFERROR(Tableau6[[#This Row],[Score]]/Tableau6[[#This Row],[Nb]],0)</f>
        <v>0.23076923076923078</v>
      </c>
    </row>
    <row r="894" spans="1:6" ht="30" customHeight="1" x14ac:dyDescent="0.3">
      <c r="A894" s="151" t="s">
        <v>5285</v>
      </c>
      <c r="B894" s="152" t="s">
        <v>5286</v>
      </c>
      <c r="C894" s="208">
        <v>44524</v>
      </c>
      <c r="D894" s="154">
        <v>13</v>
      </c>
      <c r="E894" s="154">
        <v>3</v>
      </c>
      <c r="F894" s="211">
        <f>IFERROR(Tableau6[[#This Row],[Score]]/Tableau6[[#This Row],[Nb]],0)</f>
        <v>0.23076923076923078</v>
      </c>
    </row>
    <row r="895" spans="1:6" ht="30" customHeight="1" x14ac:dyDescent="0.3">
      <c r="A895" s="151" t="s">
        <v>5450</v>
      </c>
      <c r="B895" s="152" t="s">
        <v>5451</v>
      </c>
      <c r="C895" s="208">
        <v>44573</v>
      </c>
      <c r="D895" s="154">
        <v>13</v>
      </c>
      <c r="E895" s="154">
        <v>3</v>
      </c>
      <c r="F895" s="211">
        <f>IFERROR(Tableau6[[#This Row],[Score]]/Tableau6[[#This Row],[Nb]],0)</f>
        <v>0.23076923076923078</v>
      </c>
    </row>
    <row r="896" spans="1:6" ht="30" customHeight="1" x14ac:dyDescent="0.3">
      <c r="A896" s="151" t="s">
        <v>5654</v>
      </c>
      <c r="B896" s="152" t="s">
        <v>5653</v>
      </c>
      <c r="C896" s="208">
        <v>44614</v>
      </c>
      <c r="D896" s="154">
        <v>13</v>
      </c>
      <c r="E896" s="154">
        <v>3</v>
      </c>
      <c r="F896" s="211">
        <f>IFERROR(Tableau6[[#This Row],[Score]]/Tableau6[[#This Row],[Nb]],0)</f>
        <v>0.23076923076923078</v>
      </c>
    </row>
    <row r="897" spans="1:6" ht="30" customHeight="1" x14ac:dyDescent="0.3">
      <c r="A897" s="26" t="s">
        <v>323</v>
      </c>
      <c r="B897" s="27" t="s">
        <v>324</v>
      </c>
      <c r="C897" s="180">
        <v>40611</v>
      </c>
      <c r="D897" s="28">
        <v>17</v>
      </c>
      <c r="E897" s="49">
        <v>4</v>
      </c>
      <c r="F897" s="211">
        <f>IFERROR(Tableau6[[#This Row],[Score]]/Tableau6[[#This Row],[Nb]],0)</f>
        <v>0.23529411764705882</v>
      </c>
    </row>
    <row r="898" spans="1:6" ht="30" customHeight="1" x14ac:dyDescent="0.3">
      <c r="A898" s="26" t="s">
        <v>1409</v>
      </c>
      <c r="B898" s="27" t="s">
        <v>1410</v>
      </c>
      <c r="C898" s="180">
        <v>43451</v>
      </c>
      <c r="D898" s="28">
        <v>17</v>
      </c>
      <c r="E898" s="49">
        <v>4</v>
      </c>
      <c r="F898" s="211">
        <f>IFERROR(Tableau6[[#This Row],[Score]]/Tableau6[[#This Row],[Nb]],0)</f>
        <v>0.23529411764705882</v>
      </c>
    </row>
    <row r="899" spans="1:6" ht="30" customHeight="1" x14ac:dyDescent="0.3">
      <c r="A899" s="26" t="s">
        <v>2133</v>
      </c>
      <c r="B899" s="27" t="s">
        <v>2134</v>
      </c>
      <c r="C899" s="180">
        <v>43682</v>
      </c>
      <c r="D899" s="28">
        <v>17</v>
      </c>
      <c r="E899" s="49">
        <v>4</v>
      </c>
      <c r="F899" s="211">
        <f>IFERROR(Tableau6[[#This Row],[Score]]/Tableau6[[#This Row],[Nb]],0)</f>
        <v>0.23529411764705882</v>
      </c>
    </row>
    <row r="900" spans="1:6" ht="30" customHeight="1" x14ac:dyDescent="0.3">
      <c r="A900" s="26" t="s">
        <v>3106</v>
      </c>
      <c r="B900" s="27" t="s">
        <v>3107</v>
      </c>
      <c r="C900" s="180">
        <v>41621</v>
      </c>
      <c r="D900" s="28">
        <v>21</v>
      </c>
      <c r="E900" s="49">
        <v>5</v>
      </c>
      <c r="F900" s="211">
        <f>IFERROR(Tableau6[[#This Row],[Score]]/Tableau6[[#This Row],[Nb]],0)</f>
        <v>0.23809523809523808</v>
      </c>
    </row>
    <row r="901" spans="1:6" ht="30" customHeight="1" x14ac:dyDescent="0.3">
      <c r="A901" s="26" t="s">
        <v>3492</v>
      </c>
      <c r="B901" s="27" t="s">
        <v>4296</v>
      </c>
      <c r="C901" s="180">
        <v>44221</v>
      </c>
      <c r="D901" s="28">
        <v>21</v>
      </c>
      <c r="E901" s="49">
        <v>5</v>
      </c>
      <c r="F901" s="211">
        <f>IFERROR(Tableau6[[#This Row],[Score]]/Tableau6[[#This Row],[Nb]],0)</f>
        <v>0.23809523809523808</v>
      </c>
    </row>
    <row r="902" spans="1:6" ht="30" customHeight="1" x14ac:dyDescent="0.3">
      <c r="A902" s="26" t="s">
        <v>1315</v>
      </c>
      <c r="B902" s="27" t="s">
        <v>1316</v>
      </c>
      <c r="C902" s="180">
        <v>43438</v>
      </c>
      <c r="D902" s="28">
        <v>25</v>
      </c>
      <c r="E902" s="49">
        <v>6</v>
      </c>
      <c r="F902" s="211">
        <f>IFERROR(Tableau6[[#This Row],[Score]]/Tableau6[[#This Row],[Nb]],0)</f>
        <v>0.24</v>
      </c>
    </row>
    <row r="903" spans="1:6" ht="30" customHeight="1" x14ac:dyDescent="0.3">
      <c r="A903" s="26" t="s">
        <v>1001</v>
      </c>
      <c r="B903" s="27" t="s">
        <v>745</v>
      </c>
      <c r="C903" s="180">
        <v>41621</v>
      </c>
      <c r="D903" s="28">
        <v>29</v>
      </c>
      <c r="E903" s="49">
        <v>7</v>
      </c>
      <c r="F903" s="211">
        <f>IFERROR(Tableau6[[#This Row],[Score]]/Tableau6[[#This Row],[Nb]],0)</f>
        <v>0.2413793103448276</v>
      </c>
    </row>
    <row r="904" spans="1:6" ht="30" customHeight="1" x14ac:dyDescent="0.3">
      <c r="A904" s="151" t="s">
        <v>6378</v>
      </c>
      <c r="B904" s="27" t="s">
        <v>761</v>
      </c>
      <c r="C904" s="180">
        <v>41621</v>
      </c>
      <c r="D904" s="28">
        <v>29</v>
      </c>
      <c r="E904" s="49">
        <v>7</v>
      </c>
      <c r="F904" s="211">
        <f>IFERROR(Tableau6[[#This Row],[Score]]/Tableau6[[#This Row],[Nb]],0)</f>
        <v>0.2413793103448276</v>
      </c>
    </row>
    <row r="905" spans="1:6" ht="30" customHeight="1" x14ac:dyDescent="0.3">
      <c r="A905" s="26" t="s">
        <v>385</v>
      </c>
      <c r="B905" s="27" t="s">
        <v>386</v>
      </c>
      <c r="C905" s="180">
        <v>40611</v>
      </c>
      <c r="D905" s="28">
        <v>16</v>
      </c>
      <c r="E905" s="49">
        <v>4</v>
      </c>
      <c r="F905" s="211">
        <f>IFERROR(Tableau6[[#This Row],[Score]]/Tableau6[[#This Row],[Nb]],0)</f>
        <v>0.25</v>
      </c>
    </row>
    <row r="906" spans="1:6" ht="30" customHeight="1" x14ac:dyDescent="0.3">
      <c r="A906" s="26" t="s">
        <v>402</v>
      </c>
      <c r="B906" s="27" t="s">
        <v>403</v>
      </c>
      <c r="C906" s="180">
        <v>40611</v>
      </c>
      <c r="D906" s="28">
        <v>20</v>
      </c>
      <c r="E906" s="49">
        <v>5</v>
      </c>
      <c r="F906" s="211">
        <f>IFERROR(Tableau6[[#This Row],[Score]]/Tableau6[[#This Row],[Nb]],0)</f>
        <v>0.25</v>
      </c>
    </row>
    <row r="907" spans="1:6" ht="30" customHeight="1" x14ac:dyDescent="0.3">
      <c r="A907" s="26" t="s">
        <v>801</v>
      </c>
      <c r="B907" s="27" t="s">
        <v>802</v>
      </c>
      <c r="C907" s="180">
        <v>41621</v>
      </c>
      <c r="D907" s="28">
        <v>16</v>
      </c>
      <c r="E907" s="49">
        <v>4</v>
      </c>
      <c r="F907" s="211">
        <f>IFERROR(Tableau6[[#This Row],[Score]]/Tableau6[[#This Row],[Nb]],0)</f>
        <v>0.25</v>
      </c>
    </row>
    <row r="908" spans="1:6" ht="30" customHeight="1" x14ac:dyDescent="0.3">
      <c r="A908" s="26" t="s">
        <v>3870</v>
      </c>
      <c r="B908" s="27" t="s">
        <v>3871</v>
      </c>
      <c r="C908" s="180">
        <v>41621</v>
      </c>
      <c r="D908" s="28">
        <v>24</v>
      </c>
      <c r="E908" s="49">
        <v>6</v>
      </c>
      <c r="F908" s="211">
        <f>IFERROR(Tableau6[[#This Row],[Score]]/Tableau6[[#This Row],[Nb]],0)</f>
        <v>0.25</v>
      </c>
    </row>
    <row r="909" spans="1:6" ht="30" customHeight="1" x14ac:dyDescent="0.3">
      <c r="A909" s="26" t="s">
        <v>2229</v>
      </c>
      <c r="B909" s="27" t="s">
        <v>2230</v>
      </c>
      <c r="C909" s="180">
        <v>43752</v>
      </c>
      <c r="D909" s="28">
        <v>16</v>
      </c>
      <c r="E909" s="49">
        <v>4</v>
      </c>
      <c r="F909" s="211">
        <f>IFERROR(Tableau6[[#This Row],[Score]]/Tableau6[[#This Row],[Nb]],0)</f>
        <v>0.25</v>
      </c>
    </row>
    <row r="910" spans="1:6" ht="30" customHeight="1" x14ac:dyDescent="0.3">
      <c r="A910" s="26" t="s">
        <v>4395</v>
      </c>
      <c r="B910" s="27" t="s">
        <v>4396</v>
      </c>
      <c r="C910" s="180">
        <v>44299</v>
      </c>
      <c r="D910" s="28">
        <v>20</v>
      </c>
      <c r="E910" s="49">
        <v>5</v>
      </c>
      <c r="F910" s="211">
        <f>IFERROR(Tableau6[[#This Row],[Score]]/Tableau6[[#This Row],[Nb]],0)</f>
        <v>0.25</v>
      </c>
    </row>
    <row r="911" spans="1:6" ht="30" customHeight="1" x14ac:dyDescent="0.3">
      <c r="A911" s="151" t="s">
        <v>6199</v>
      </c>
      <c r="B911" s="27" t="s">
        <v>4775</v>
      </c>
      <c r="C911" s="180">
        <v>44376</v>
      </c>
      <c r="D911" s="28">
        <v>20</v>
      </c>
      <c r="E911" s="49">
        <v>5</v>
      </c>
      <c r="F911" s="211">
        <f>IFERROR(Tableau6[[#This Row],[Score]]/Tableau6[[#This Row],[Nb]],0)</f>
        <v>0.25</v>
      </c>
    </row>
    <row r="912" spans="1:6" ht="30" customHeight="1" x14ac:dyDescent="0.3">
      <c r="A912" s="151" t="s">
        <v>5173</v>
      </c>
      <c r="B912" s="152" t="s">
        <v>5174</v>
      </c>
      <c r="C912" s="208">
        <v>44494</v>
      </c>
      <c r="D912" s="154">
        <v>8</v>
      </c>
      <c r="E912" s="154">
        <v>2</v>
      </c>
      <c r="F912" s="211">
        <f>IFERROR(Tableau6[[#This Row],[Score]]/Tableau6[[#This Row],[Nb]],0)</f>
        <v>0.25</v>
      </c>
    </row>
    <row r="913" spans="1:6" ht="30" customHeight="1" x14ac:dyDescent="0.3">
      <c r="A913" s="151" t="s">
        <v>5297</v>
      </c>
      <c r="B913" s="152" t="s">
        <v>5298</v>
      </c>
      <c r="C913" s="208">
        <v>44531</v>
      </c>
      <c r="D913" s="154">
        <v>8</v>
      </c>
      <c r="E913" s="154">
        <v>2</v>
      </c>
      <c r="F913" s="211">
        <f>IFERROR(Tableau6[[#This Row],[Score]]/Tableau6[[#This Row],[Nb]],0)</f>
        <v>0.25</v>
      </c>
    </row>
    <row r="914" spans="1:6" ht="30" customHeight="1" x14ac:dyDescent="0.3">
      <c r="A914" s="26" t="s">
        <v>1009</v>
      </c>
      <c r="B914" s="27" t="s">
        <v>3102</v>
      </c>
      <c r="C914" s="180">
        <v>41621</v>
      </c>
      <c r="D914" s="28">
        <v>27</v>
      </c>
      <c r="E914" s="49">
        <v>7</v>
      </c>
      <c r="F914" s="211">
        <f>IFERROR(Tableau6[[#This Row],[Score]]/Tableau6[[#This Row],[Nb]],0)</f>
        <v>0.25925925925925924</v>
      </c>
    </row>
    <row r="915" spans="1:6" ht="30" customHeight="1" x14ac:dyDescent="0.3">
      <c r="A915" s="26" t="s">
        <v>3483</v>
      </c>
      <c r="B915" s="27" t="s">
        <v>3484</v>
      </c>
      <c r="C915" s="180">
        <v>41621</v>
      </c>
      <c r="D915" s="28">
        <v>19</v>
      </c>
      <c r="E915" s="49">
        <v>5</v>
      </c>
      <c r="F915" s="211">
        <f>IFERROR(Tableau6[[#This Row],[Score]]/Tableau6[[#This Row],[Nb]],0)</f>
        <v>0.26315789473684209</v>
      </c>
    </row>
    <row r="916" spans="1:6" ht="30" customHeight="1" x14ac:dyDescent="0.3">
      <c r="A916" s="26" t="s">
        <v>2066</v>
      </c>
      <c r="B916" s="27" t="s">
        <v>2067</v>
      </c>
      <c r="C916" s="180">
        <v>43661</v>
      </c>
      <c r="D916" s="28">
        <v>19</v>
      </c>
      <c r="E916" s="49">
        <v>5</v>
      </c>
      <c r="F916" s="211">
        <f>IFERROR(Tableau6[[#This Row],[Score]]/Tableau6[[#This Row],[Nb]],0)</f>
        <v>0.26315789473684209</v>
      </c>
    </row>
    <row r="917" spans="1:6" ht="30" customHeight="1" x14ac:dyDescent="0.3">
      <c r="A917" s="26" t="s">
        <v>3017</v>
      </c>
      <c r="B917" s="27" t="s">
        <v>3018</v>
      </c>
      <c r="C917" s="180">
        <v>44004</v>
      </c>
      <c r="D917" s="28">
        <v>19</v>
      </c>
      <c r="E917" s="49">
        <v>5</v>
      </c>
      <c r="F917" s="211">
        <f>IFERROR(Tableau6[[#This Row],[Score]]/Tableau6[[#This Row],[Nb]],0)</f>
        <v>0.26315789473684209</v>
      </c>
    </row>
    <row r="918" spans="1:6" ht="30" customHeight="1" x14ac:dyDescent="0.3">
      <c r="A918" s="26" t="s">
        <v>3062</v>
      </c>
      <c r="B918" s="27" t="s">
        <v>3063</v>
      </c>
      <c r="C918" s="180">
        <v>44004</v>
      </c>
      <c r="D918" s="28">
        <v>19</v>
      </c>
      <c r="E918" s="49">
        <v>5</v>
      </c>
      <c r="F918" s="211">
        <f>IFERROR(Tableau6[[#This Row],[Score]]/Tableau6[[#This Row],[Nb]],0)</f>
        <v>0.26315789473684209</v>
      </c>
    </row>
    <row r="919" spans="1:6" ht="30" customHeight="1" x14ac:dyDescent="0.3">
      <c r="A919" s="26" t="s">
        <v>3127</v>
      </c>
      <c r="B919" s="27" t="s">
        <v>3128</v>
      </c>
      <c r="C919" s="180">
        <v>44014</v>
      </c>
      <c r="D919" s="28">
        <v>19</v>
      </c>
      <c r="E919" s="49">
        <v>5</v>
      </c>
      <c r="F919" s="211">
        <f>IFERROR(Tableau6[[#This Row],[Score]]/Tableau6[[#This Row],[Nb]],0)</f>
        <v>0.26315789473684209</v>
      </c>
    </row>
    <row r="920" spans="1:6" ht="30" customHeight="1" x14ac:dyDescent="0.3">
      <c r="A920" s="26" t="s">
        <v>3729</v>
      </c>
      <c r="B920" s="27" t="s">
        <v>3730</v>
      </c>
      <c r="C920" s="180">
        <v>44249</v>
      </c>
      <c r="D920" s="28">
        <v>19</v>
      </c>
      <c r="E920" s="49">
        <v>5</v>
      </c>
      <c r="F920" s="211">
        <f>IFERROR(Tableau6[[#This Row],[Score]]/Tableau6[[#This Row],[Nb]],0)</f>
        <v>0.26315789473684209</v>
      </c>
    </row>
    <row r="921" spans="1:6" ht="30" customHeight="1" x14ac:dyDescent="0.3">
      <c r="A921" s="151" t="s">
        <v>5352</v>
      </c>
      <c r="B921" s="152" t="s">
        <v>5353</v>
      </c>
      <c r="C921" s="180">
        <v>40611</v>
      </c>
      <c r="D921" s="28">
        <v>15</v>
      </c>
      <c r="E921" s="49">
        <v>4</v>
      </c>
      <c r="F921" s="211">
        <f>IFERROR(Tableau6[[#This Row],[Score]]/Tableau6[[#This Row],[Nb]],0)</f>
        <v>0.26666666666666666</v>
      </c>
    </row>
    <row r="922" spans="1:6" ht="30" customHeight="1" x14ac:dyDescent="0.3">
      <c r="A922" s="26" t="s">
        <v>4768</v>
      </c>
      <c r="B922" s="27" t="s">
        <v>4769</v>
      </c>
      <c r="C922" s="180">
        <v>41621</v>
      </c>
      <c r="D922" s="28">
        <v>15</v>
      </c>
      <c r="E922" s="49">
        <v>4</v>
      </c>
      <c r="F922" s="211">
        <f>IFERROR(Tableau6[[#This Row],[Score]]/Tableau6[[#This Row],[Nb]],0)</f>
        <v>0.26666666666666666</v>
      </c>
    </row>
    <row r="923" spans="1:6" ht="30" customHeight="1" x14ac:dyDescent="0.3">
      <c r="A923" s="26" t="s">
        <v>1003</v>
      </c>
      <c r="B923" s="27" t="s">
        <v>1426</v>
      </c>
      <c r="C923" s="180">
        <v>41621</v>
      </c>
      <c r="D923" s="28">
        <v>15</v>
      </c>
      <c r="E923" s="49">
        <v>4</v>
      </c>
      <c r="F923" s="211">
        <f>IFERROR(Tableau6[[#This Row],[Score]]/Tableau6[[#This Row],[Nb]],0)</f>
        <v>0.26666666666666666</v>
      </c>
    </row>
    <row r="924" spans="1:6" ht="30" customHeight="1" x14ac:dyDescent="0.3">
      <c r="A924" s="26" t="s">
        <v>1215</v>
      </c>
      <c r="B924" s="145" t="s">
        <v>5126</v>
      </c>
      <c r="C924" s="180">
        <v>43417</v>
      </c>
      <c r="D924" s="28">
        <v>30</v>
      </c>
      <c r="E924" s="49">
        <v>8</v>
      </c>
      <c r="F924" s="211">
        <f>IFERROR(Tableau6[[#This Row],[Score]]/Tableau6[[#This Row],[Nb]],0)</f>
        <v>0.26666666666666666</v>
      </c>
    </row>
    <row r="925" spans="1:6" ht="30" customHeight="1" x14ac:dyDescent="0.3">
      <c r="A925" s="26" t="s">
        <v>1252</v>
      </c>
      <c r="B925" s="27" t="s">
        <v>1253</v>
      </c>
      <c r="C925" s="180">
        <v>43428</v>
      </c>
      <c r="D925" s="28">
        <v>15</v>
      </c>
      <c r="E925" s="49">
        <v>4</v>
      </c>
      <c r="F925" s="211">
        <f>IFERROR(Tableau6[[#This Row],[Score]]/Tableau6[[#This Row],[Nb]],0)</f>
        <v>0.26666666666666666</v>
      </c>
    </row>
    <row r="926" spans="1:6" ht="30" customHeight="1" x14ac:dyDescent="0.3">
      <c r="A926" s="26" t="s">
        <v>2199</v>
      </c>
      <c r="B926" s="27" t="s">
        <v>2200</v>
      </c>
      <c r="C926" s="180">
        <v>43689</v>
      </c>
      <c r="D926" s="28">
        <v>15</v>
      </c>
      <c r="E926" s="49">
        <v>4</v>
      </c>
      <c r="F926" s="211">
        <f>IFERROR(Tableau6[[#This Row],[Score]]/Tableau6[[#This Row],[Nb]],0)</f>
        <v>0.26666666666666666</v>
      </c>
    </row>
    <row r="927" spans="1:6" ht="30" customHeight="1" x14ac:dyDescent="0.3">
      <c r="A927" s="26" t="s">
        <v>656</v>
      </c>
      <c r="B927" s="27" t="s">
        <v>1068</v>
      </c>
      <c r="C927" s="180">
        <v>43237</v>
      </c>
      <c r="D927" s="28">
        <v>26</v>
      </c>
      <c r="E927" s="49">
        <v>7</v>
      </c>
      <c r="F927" s="211">
        <f>IFERROR(Tableau6[[#This Row],[Score]]/Tableau6[[#This Row],[Nb]],0)</f>
        <v>0.26923076923076922</v>
      </c>
    </row>
    <row r="928" spans="1:6" ht="30" customHeight="1" x14ac:dyDescent="0.3">
      <c r="A928" s="26" t="s">
        <v>5004</v>
      </c>
      <c r="B928" s="27" t="s">
        <v>115</v>
      </c>
      <c r="C928" s="180">
        <v>43341</v>
      </c>
      <c r="D928" s="28">
        <v>26</v>
      </c>
      <c r="E928" s="49">
        <v>7</v>
      </c>
      <c r="F928" s="211">
        <f>IFERROR(Tableau6[[#This Row],[Score]]/Tableau6[[#This Row],[Nb]],0)</f>
        <v>0.26923076923076922</v>
      </c>
    </row>
    <row r="929" spans="1:6" ht="30" customHeight="1" x14ac:dyDescent="0.3">
      <c r="A929" s="26" t="s">
        <v>3358</v>
      </c>
      <c r="B929" s="27" t="s">
        <v>3359</v>
      </c>
      <c r="C929" s="180">
        <v>41522</v>
      </c>
      <c r="D929" s="28">
        <v>22</v>
      </c>
      <c r="E929" s="49">
        <v>6</v>
      </c>
      <c r="F929" s="211">
        <f>IFERROR(Tableau6[[#This Row],[Score]]/Tableau6[[#This Row],[Nb]],0)</f>
        <v>0.27272727272727271</v>
      </c>
    </row>
    <row r="930" spans="1:6" ht="30" customHeight="1" x14ac:dyDescent="0.3">
      <c r="A930" s="26" t="s">
        <v>908</v>
      </c>
      <c r="B930" s="27" t="s">
        <v>909</v>
      </c>
      <c r="C930" s="180">
        <v>41522</v>
      </c>
      <c r="D930" s="28">
        <v>22</v>
      </c>
      <c r="E930" s="49">
        <v>6</v>
      </c>
      <c r="F930" s="211">
        <f>IFERROR(Tableau6[[#This Row],[Score]]/Tableau6[[#This Row],[Nb]],0)</f>
        <v>0.27272727272727271</v>
      </c>
    </row>
    <row r="931" spans="1:6" ht="30" customHeight="1" x14ac:dyDescent="0.3">
      <c r="A931" s="26" t="s">
        <v>3769</v>
      </c>
      <c r="B931" s="27" t="s">
        <v>4056</v>
      </c>
      <c r="C931" s="180">
        <v>41621</v>
      </c>
      <c r="D931" s="28">
        <v>22</v>
      </c>
      <c r="E931" s="49">
        <v>6</v>
      </c>
      <c r="F931" s="211">
        <f>IFERROR(Tableau6[[#This Row],[Score]]/Tableau6[[#This Row],[Nb]],0)</f>
        <v>0.27272727272727271</v>
      </c>
    </row>
    <row r="932" spans="1:6" ht="30" customHeight="1" x14ac:dyDescent="0.3">
      <c r="A932" s="26" t="s">
        <v>1330</v>
      </c>
      <c r="B932" s="27" t="s">
        <v>1331</v>
      </c>
      <c r="C932" s="180">
        <v>41621</v>
      </c>
      <c r="D932" s="28">
        <v>22</v>
      </c>
      <c r="E932" s="49">
        <v>6</v>
      </c>
      <c r="F932" s="211">
        <f>IFERROR(Tableau6[[#This Row],[Score]]/Tableau6[[#This Row],[Nb]],0)</f>
        <v>0.27272727272727271</v>
      </c>
    </row>
    <row r="933" spans="1:6" ht="30" customHeight="1" x14ac:dyDescent="0.3">
      <c r="A933" s="26" t="s">
        <v>160</v>
      </c>
      <c r="B933" s="27" t="s">
        <v>161</v>
      </c>
      <c r="C933" s="180">
        <v>43382</v>
      </c>
      <c r="D933" s="28">
        <v>22</v>
      </c>
      <c r="E933" s="49">
        <v>6</v>
      </c>
      <c r="F933" s="211">
        <f>IFERROR(Tableau6[[#This Row],[Score]]/Tableau6[[#This Row],[Nb]],0)</f>
        <v>0.27272727272727271</v>
      </c>
    </row>
    <row r="934" spans="1:6" ht="30" customHeight="1" x14ac:dyDescent="0.3">
      <c r="A934" s="26" t="s">
        <v>1240</v>
      </c>
      <c r="B934" s="27" t="s">
        <v>1241</v>
      </c>
      <c r="C934" s="180">
        <v>43428</v>
      </c>
      <c r="D934" s="28">
        <v>22</v>
      </c>
      <c r="E934" s="49">
        <v>6</v>
      </c>
      <c r="F934" s="211">
        <f>IFERROR(Tableau6[[#This Row],[Score]]/Tableau6[[#This Row],[Nb]],0)</f>
        <v>0.27272727272727271</v>
      </c>
    </row>
    <row r="935" spans="1:6" ht="30" customHeight="1" x14ac:dyDescent="0.3">
      <c r="A935" s="151" t="s">
        <v>5522</v>
      </c>
      <c r="B935" s="27" t="s">
        <v>2357</v>
      </c>
      <c r="C935" s="180">
        <v>43771</v>
      </c>
      <c r="D935" s="28">
        <v>22</v>
      </c>
      <c r="E935" s="49">
        <v>6</v>
      </c>
      <c r="F935" s="211">
        <f>IFERROR(Tableau6[[#This Row],[Score]]/Tableau6[[#This Row],[Nb]],0)</f>
        <v>0.27272727272727271</v>
      </c>
    </row>
    <row r="936" spans="1:6" ht="30" customHeight="1" x14ac:dyDescent="0.3">
      <c r="A936" s="26" t="s">
        <v>4150</v>
      </c>
      <c r="B936" s="27" t="s">
        <v>4151</v>
      </c>
      <c r="C936" s="180">
        <v>44271</v>
      </c>
      <c r="D936" s="28">
        <v>22</v>
      </c>
      <c r="E936" s="49">
        <v>6</v>
      </c>
      <c r="F936" s="211">
        <f>IFERROR(Tableau6[[#This Row],[Score]]/Tableau6[[#This Row],[Nb]],0)</f>
        <v>0.27272727272727271</v>
      </c>
    </row>
    <row r="937" spans="1:6" ht="30" customHeight="1" x14ac:dyDescent="0.3">
      <c r="A937" s="26" t="s">
        <v>1570</v>
      </c>
      <c r="B937" s="27" t="s">
        <v>1571</v>
      </c>
      <c r="C937" s="180">
        <v>43247</v>
      </c>
      <c r="D937" s="28">
        <v>18</v>
      </c>
      <c r="E937" s="49">
        <v>5</v>
      </c>
      <c r="F937" s="211">
        <f>IFERROR(Tableau6[[#This Row],[Score]]/Tableau6[[#This Row],[Nb]],0)</f>
        <v>0.27777777777777779</v>
      </c>
    </row>
    <row r="938" spans="1:6" ht="30" customHeight="1" x14ac:dyDescent="0.3">
      <c r="A938" s="26" t="s">
        <v>1242</v>
      </c>
      <c r="B938" s="27" t="s">
        <v>1243</v>
      </c>
      <c r="C938" s="180">
        <v>43428</v>
      </c>
      <c r="D938" s="28">
        <v>18</v>
      </c>
      <c r="E938" s="49">
        <v>5</v>
      </c>
      <c r="F938" s="211">
        <f>IFERROR(Tableau6[[#This Row],[Score]]/Tableau6[[#This Row],[Nb]],0)</f>
        <v>0.27777777777777779</v>
      </c>
    </row>
    <row r="939" spans="1:6" ht="30" customHeight="1" x14ac:dyDescent="0.3">
      <c r="A939" s="26" t="s">
        <v>1377</v>
      </c>
      <c r="B939" s="27" t="s">
        <v>1378</v>
      </c>
      <c r="C939" s="180">
        <v>43444</v>
      </c>
      <c r="D939" s="28">
        <v>25</v>
      </c>
      <c r="E939" s="49">
        <v>7</v>
      </c>
      <c r="F939" s="211">
        <f>IFERROR(Tableau6[[#This Row],[Score]]/Tableau6[[#This Row],[Nb]],0)</f>
        <v>0.28000000000000003</v>
      </c>
    </row>
    <row r="940" spans="1:6" ht="30" customHeight="1" x14ac:dyDescent="0.3">
      <c r="A940" s="151" t="s">
        <v>5362</v>
      </c>
      <c r="B940" s="27" t="s">
        <v>5035</v>
      </c>
      <c r="C940" s="180">
        <v>44004</v>
      </c>
      <c r="D940" s="28">
        <v>25</v>
      </c>
      <c r="E940" s="49">
        <v>7</v>
      </c>
      <c r="F940" s="211">
        <f>IFERROR(Tableau6[[#This Row],[Score]]/Tableau6[[#This Row],[Nb]],0)</f>
        <v>0.28000000000000003</v>
      </c>
    </row>
    <row r="941" spans="1:6" ht="30" customHeight="1" x14ac:dyDescent="0.3">
      <c r="A941" s="26" t="s">
        <v>353</v>
      </c>
      <c r="B941" s="27" t="s">
        <v>354</v>
      </c>
      <c r="C941" s="180">
        <v>40611</v>
      </c>
      <c r="D941" s="28">
        <v>21</v>
      </c>
      <c r="E941" s="49">
        <v>6</v>
      </c>
      <c r="F941" s="211">
        <f>IFERROR(Tableau6[[#This Row],[Score]]/Tableau6[[#This Row],[Nb]],0)</f>
        <v>0.2857142857142857</v>
      </c>
    </row>
    <row r="942" spans="1:6" ht="30" customHeight="1" x14ac:dyDescent="0.3">
      <c r="A942" s="26" t="s">
        <v>2253</v>
      </c>
      <c r="B942" s="152" t="s">
        <v>5331</v>
      </c>
      <c r="C942" s="180">
        <v>40611</v>
      </c>
      <c r="D942" s="28">
        <v>28</v>
      </c>
      <c r="E942" s="49">
        <v>8</v>
      </c>
      <c r="F942" s="211">
        <f>IFERROR(Tableau6[[#This Row],[Score]]/Tableau6[[#This Row],[Nb]],0)</f>
        <v>0.2857142857142857</v>
      </c>
    </row>
    <row r="943" spans="1:6" ht="30" customHeight="1" x14ac:dyDescent="0.3">
      <c r="A943" s="26" t="s">
        <v>4136</v>
      </c>
      <c r="B943" s="152" t="s">
        <v>5902</v>
      </c>
      <c r="C943" s="180">
        <v>41621</v>
      </c>
      <c r="D943" s="28">
        <v>28</v>
      </c>
      <c r="E943" s="49">
        <v>8</v>
      </c>
      <c r="F943" s="211">
        <f>IFERROR(Tableau6[[#This Row],[Score]]/Tableau6[[#This Row],[Nb]],0)</f>
        <v>0.2857142857142857</v>
      </c>
    </row>
    <row r="944" spans="1:6" ht="30" customHeight="1" x14ac:dyDescent="0.3">
      <c r="A944" s="26" t="s">
        <v>1478</v>
      </c>
      <c r="B944" s="27" t="s">
        <v>1479</v>
      </c>
      <c r="C944" s="180">
        <v>43401</v>
      </c>
      <c r="D944" s="28">
        <v>21</v>
      </c>
      <c r="E944" s="49">
        <v>6</v>
      </c>
      <c r="F944" s="211">
        <f>IFERROR(Tableau6[[#This Row],[Score]]/Tableau6[[#This Row],[Nb]],0)</f>
        <v>0.2857142857142857</v>
      </c>
    </row>
    <row r="945" spans="1:6" ht="30" customHeight="1" x14ac:dyDescent="0.3">
      <c r="A945" s="26" t="s">
        <v>585</v>
      </c>
      <c r="B945" s="27" t="s">
        <v>4745</v>
      </c>
      <c r="C945" s="180">
        <v>43404</v>
      </c>
      <c r="D945" s="28">
        <v>21</v>
      </c>
      <c r="E945" s="49">
        <v>6</v>
      </c>
      <c r="F945" s="211">
        <f>IFERROR(Tableau6[[#This Row],[Score]]/Tableau6[[#This Row],[Nb]],0)</f>
        <v>0.2857142857142857</v>
      </c>
    </row>
    <row r="946" spans="1:6" ht="30" customHeight="1" x14ac:dyDescent="0.3">
      <c r="A946" s="26" t="s">
        <v>1283</v>
      </c>
      <c r="B946" s="27" t="s">
        <v>1284</v>
      </c>
      <c r="C946" s="180">
        <v>43438</v>
      </c>
      <c r="D946" s="28">
        <v>28</v>
      </c>
      <c r="E946" s="49">
        <v>8</v>
      </c>
      <c r="F946" s="211">
        <f>IFERROR(Tableau6[[#This Row],[Score]]/Tableau6[[#This Row],[Nb]],0)</f>
        <v>0.2857142857142857</v>
      </c>
    </row>
    <row r="947" spans="1:6" ht="30" customHeight="1" x14ac:dyDescent="0.3">
      <c r="A947" s="26" t="s">
        <v>1417</v>
      </c>
      <c r="B947" s="27" t="s">
        <v>1418</v>
      </c>
      <c r="C947" s="180">
        <v>43451</v>
      </c>
      <c r="D947" s="28">
        <v>28</v>
      </c>
      <c r="E947" s="49">
        <v>8</v>
      </c>
      <c r="F947" s="211">
        <f>IFERROR(Tableau6[[#This Row],[Score]]/Tableau6[[#This Row],[Nb]],0)</f>
        <v>0.2857142857142857</v>
      </c>
    </row>
    <row r="948" spans="1:6" ht="30" customHeight="1" x14ac:dyDescent="0.3">
      <c r="A948" s="26" t="s">
        <v>4319</v>
      </c>
      <c r="B948" s="27" t="s">
        <v>4320</v>
      </c>
      <c r="C948" s="180">
        <v>43605</v>
      </c>
      <c r="D948" s="28">
        <v>14</v>
      </c>
      <c r="E948" s="49">
        <v>4</v>
      </c>
      <c r="F948" s="211">
        <f>IFERROR(Tableau6[[#This Row],[Score]]/Tableau6[[#This Row],[Nb]],0)</f>
        <v>0.2857142857142857</v>
      </c>
    </row>
    <row r="949" spans="1:6" ht="30" customHeight="1" x14ac:dyDescent="0.3">
      <c r="A949" s="26" t="s">
        <v>2570</v>
      </c>
      <c r="B949" s="27" t="s">
        <v>2571</v>
      </c>
      <c r="C949" s="180">
        <v>43848</v>
      </c>
      <c r="D949" s="28">
        <v>21</v>
      </c>
      <c r="E949" s="49">
        <v>6</v>
      </c>
      <c r="F949" s="211">
        <f>IFERROR(Tableau6[[#This Row],[Score]]/Tableau6[[#This Row],[Nb]],0)</f>
        <v>0.2857142857142857</v>
      </c>
    </row>
    <row r="950" spans="1:6" ht="30" customHeight="1" x14ac:dyDescent="0.3">
      <c r="A950" s="26" t="s">
        <v>3257</v>
      </c>
      <c r="B950" s="27" t="s">
        <v>3258</v>
      </c>
      <c r="C950" s="180">
        <v>44026</v>
      </c>
      <c r="D950" s="28">
        <v>21</v>
      </c>
      <c r="E950" s="49">
        <v>6</v>
      </c>
      <c r="F950" s="211">
        <f>IFERROR(Tableau6[[#This Row],[Score]]/Tableau6[[#This Row],[Nb]],0)</f>
        <v>0.2857142857142857</v>
      </c>
    </row>
    <row r="951" spans="1:6" ht="30" customHeight="1" x14ac:dyDescent="0.3">
      <c r="A951" s="26" t="s">
        <v>4949</v>
      </c>
      <c r="B951" s="27" t="s">
        <v>4950</v>
      </c>
      <c r="C951" s="180">
        <v>44427</v>
      </c>
      <c r="D951" s="28">
        <v>14</v>
      </c>
      <c r="E951" s="49">
        <v>4</v>
      </c>
      <c r="F951" s="211">
        <f>IFERROR(Tableau6[[#This Row],[Score]]/Tableau6[[#This Row],[Nb]],0)</f>
        <v>0.2857142857142857</v>
      </c>
    </row>
    <row r="952" spans="1:6" ht="30" customHeight="1" x14ac:dyDescent="0.3">
      <c r="A952" s="151" t="s">
        <v>5196</v>
      </c>
      <c r="B952" s="152" t="s">
        <v>2486</v>
      </c>
      <c r="C952" s="208">
        <v>44499</v>
      </c>
      <c r="D952" s="154">
        <v>14</v>
      </c>
      <c r="E952" s="154">
        <v>4</v>
      </c>
      <c r="F952" s="211">
        <f>IFERROR(Tableau6[[#This Row],[Score]]/Tableau6[[#This Row],[Nb]],0)</f>
        <v>0.2857142857142857</v>
      </c>
    </row>
    <row r="953" spans="1:6" ht="30" customHeight="1" x14ac:dyDescent="0.3">
      <c r="A953" s="151" t="s">
        <v>5616</v>
      </c>
      <c r="B953" s="152" t="s">
        <v>3101</v>
      </c>
      <c r="C953" s="208">
        <v>44605</v>
      </c>
      <c r="D953" s="154">
        <v>14</v>
      </c>
      <c r="E953" s="154">
        <v>4</v>
      </c>
      <c r="F953" s="211">
        <f>IFERROR(Tableau6[[#This Row],[Score]]/Tableau6[[#This Row],[Nb]],0)</f>
        <v>0.2857142857142857</v>
      </c>
    </row>
    <row r="954" spans="1:6" ht="30" customHeight="1" x14ac:dyDescent="0.3">
      <c r="A954" s="26" t="s">
        <v>1195</v>
      </c>
      <c r="B954" s="27" t="s">
        <v>1196</v>
      </c>
      <c r="C954" s="180">
        <v>43422</v>
      </c>
      <c r="D954" s="28">
        <v>24</v>
      </c>
      <c r="E954" s="49">
        <v>7</v>
      </c>
      <c r="F954" s="211">
        <f>IFERROR(Tableau6[[#This Row],[Score]]/Tableau6[[#This Row],[Nb]],0)</f>
        <v>0.29166666666666669</v>
      </c>
    </row>
    <row r="955" spans="1:6" ht="30" customHeight="1" x14ac:dyDescent="0.3">
      <c r="A955" s="26" t="s">
        <v>2976</v>
      </c>
      <c r="B955" s="27" t="s">
        <v>2977</v>
      </c>
      <c r="C955" s="180">
        <v>43984</v>
      </c>
      <c r="D955" s="28">
        <v>24</v>
      </c>
      <c r="E955" s="49">
        <v>7</v>
      </c>
      <c r="F955" s="211">
        <f>IFERROR(Tableau6[[#This Row],[Score]]/Tableau6[[#This Row],[Nb]],0)</f>
        <v>0.29166666666666669</v>
      </c>
    </row>
    <row r="956" spans="1:6" ht="30" customHeight="1" x14ac:dyDescent="0.3">
      <c r="A956" s="151" t="s">
        <v>5678</v>
      </c>
      <c r="B956" s="152" t="s">
        <v>5679</v>
      </c>
      <c r="C956" s="180">
        <v>44026</v>
      </c>
      <c r="D956" s="28">
        <v>24</v>
      </c>
      <c r="E956" s="49">
        <v>7</v>
      </c>
      <c r="F956" s="211">
        <f>IFERROR(Tableau6[[#This Row],[Score]]/Tableau6[[#This Row],[Nb]],0)</f>
        <v>0.29166666666666669</v>
      </c>
    </row>
    <row r="957" spans="1:6" ht="30" customHeight="1" x14ac:dyDescent="0.3">
      <c r="A957" s="26" t="s">
        <v>3019</v>
      </c>
      <c r="B957" s="27" t="s">
        <v>886</v>
      </c>
      <c r="C957" s="180">
        <v>44004</v>
      </c>
      <c r="D957" s="28">
        <v>17</v>
      </c>
      <c r="E957" s="49">
        <v>5</v>
      </c>
      <c r="F957" s="211">
        <f>IFERROR(Tableau6[[#This Row],[Score]]/Tableau6[[#This Row],[Nb]],0)</f>
        <v>0.29411764705882354</v>
      </c>
    </row>
    <row r="958" spans="1:6" ht="30" customHeight="1" x14ac:dyDescent="0.3">
      <c r="A958" s="26" t="s">
        <v>3940</v>
      </c>
      <c r="B958" s="27" t="s">
        <v>3941</v>
      </c>
      <c r="C958" s="180">
        <v>44262</v>
      </c>
      <c r="D958" s="28">
        <v>17</v>
      </c>
      <c r="E958" s="49">
        <v>5</v>
      </c>
      <c r="F958" s="211">
        <f>IFERROR(Tableau6[[#This Row],[Score]]/Tableau6[[#This Row],[Nb]],0)</f>
        <v>0.29411764705882354</v>
      </c>
    </row>
    <row r="959" spans="1:6" ht="30" customHeight="1" x14ac:dyDescent="0.3">
      <c r="A959" s="26" t="s">
        <v>1031</v>
      </c>
      <c r="B959" s="104" t="s">
        <v>5097</v>
      </c>
      <c r="C959" s="180">
        <v>43205</v>
      </c>
      <c r="D959" s="28">
        <v>27</v>
      </c>
      <c r="E959" s="49">
        <v>8</v>
      </c>
      <c r="F959" s="211">
        <f>IFERROR(Tableau6[[#This Row],[Score]]/Tableau6[[#This Row],[Nb]],0)</f>
        <v>0.29629629629629628</v>
      </c>
    </row>
    <row r="960" spans="1:6" ht="30" customHeight="1" x14ac:dyDescent="0.3">
      <c r="A960" s="26" t="s">
        <v>252</v>
      </c>
      <c r="B960" s="27" t="s">
        <v>253</v>
      </c>
      <c r="C960" s="180">
        <v>43397</v>
      </c>
      <c r="D960" s="28">
        <v>27</v>
      </c>
      <c r="E960" s="49">
        <v>8</v>
      </c>
      <c r="F960" s="211">
        <f>IFERROR(Tableau6[[#This Row],[Score]]/Tableau6[[#This Row],[Nb]],0)</f>
        <v>0.29629629629629628</v>
      </c>
    </row>
    <row r="961" spans="1:6" ht="30" customHeight="1" x14ac:dyDescent="0.3">
      <c r="A961" s="26" t="s">
        <v>3888</v>
      </c>
      <c r="B961" s="27" t="s">
        <v>3889</v>
      </c>
      <c r="C961" s="180">
        <v>41621</v>
      </c>
      <c r="D961" s="28">
        <v>20</v>
      </c>
      <c r="E961" s="49">
        <v>6</v>
      </c>
      <c r="F961" s="211">
        <f>IFERROR(Tableau6[[#This Row],[Score]]/Tableau6[[#This Row],[Nb]],0)</f>
        <v>0.3</v>
      </c>
    </row>
    <row r="962" spans="1:6" ht="30" customHeight="1" x14ac:dyDescent="0.3">
      <c r="A962" s="26" t="s">
        <v>2006</v>
      </c>
      <c r="B962" s="27" t="s">
        <v>2007</v>
      </c>
      <c r="C962" s="180">
        <v>43383</v>
      </c>
      <c r="D962" s="28">
        <v>20</v>
      </c>
      <c r="E962" s="49">
        <v>6</v>
      </c>
      <c r="F962" s="211">
        <f>IFERROR(Tableau6[[#This Row],[Score]]/Tableau6[[#This Row],[Nb]],0)</f>
        <v>0.3</v>
      </c>
    </row>
    <row r="963" spans="1:6" ht="30" customHeight="1" x14ac:dyDescent="0.3">
      <c r="A963" s="26" t="s">
        <v>4191</v>
      </c>
      <c r="B963" s="27" t="s">
        <v>4192</v>
      </c>
      <c r="C963" s="180">
        <v>44276</v>
      </c>
      <c r="D963" s="28">
        <v>20</v>
      </c>
      <c r="E963" s="49">
        <v>6</v>
      </c>
      <c r="F963" s="211">
        <f>IFERROR(Tableau6[[#This Row],[Score]]/Tableau6[[#This Row],[Nb]],0)</f>
        <v>0.3</v>
      </c>
    </row>
    <row r="964" spans="1:6" ht="30" customHeight="1" x14ac:dyDescent="0.3">
      <c r="A964" s="26" t="s">
        <v>200</v>
      </c>
      <c r="B964" s="27" t="s">
        <v>3242</v>
      </c>
      <c r="C964" s="180">
        <v>43401</v>
      </c>
      <c r="D964" s="28">
        <v>23</v>
      </c>
      <c r="E964" s="49">
        <v>7</v>
      </c>
      <c r="F964" s="211">
        <f>IFERROR(Tableau6[[#This Row],[Score]]/Tableau6[[#This Row],[Nb]],0)</f>
        <v>0.30434782608695654</v>
      </c>
    </row>
    <row r="965" spans="1:6" ht="30" customHeight="1" x14ac:dyDescent="0.3">
      <c r="A965" s="26" t="s">
        <v>2061</v>
      </c>
      <c r="B965" s="27" t="s">
        <v>607</v>
      </c>
      <c r="C965" s="180">
        <v>43661</v>
      </c>
      <c r="D965" s="28">
        <v>23</v>
      </c>
      <c r="E965" s="49">
        <v>7</v>
      </c>
      <c r="F965" s="211">
        <f>IFERROR(Tableau6[[#This Row],[Score]]/Tableau6[[#This Row],[Nb]],0)</f>
        <v>0.30434782608695654</v>
      </c>
    </row>
    <row r="966" spans="1:6" ht="30" customHeight="1" x14ac:dyDescent="0.3">
      <c r="A966" s="26" t="s">
        <v>2177</v>
      </c>
      <c r="B966" s="27" t="s">
        <v>2178</v>
      </c>
      <c r="C966" s="180">
        <v>43689</v>
      </c>
      <c r="D966" s="28">
        <v>23</v>
      </c>
      <c r="E966" s="49">
        <v>7</v>
      </c>
      <c r="F966" s="211">
        <f>IFERROR(Tableau6[[#This Row],[Score]]/Tableau6[[#This Row],[Nb]],0)</f>
        <v>0.30434782608695654</v>
      </c>
    </row>
    <row r="967" spans="1:6" ht="30" customHeight="1" x14ac:dyDescent="0.3">
      <c r="A967" s="26" t="s">
        <v>3666</v>
      </c>
      <c r="B967" s="27" t="s">
        <v>3667</v>
      </c>
      <c r="C967" s="180">
        <v>44242</v>
      </c>
      <c r="D967" s="28">
        <v>23</v>
      </c>
      <c r="E967" s="49">
        <v>7</v>
      </c>
      <c r="F967" s="211">
        <f>IFERROR(Tableau6[[#This Row],[Score]]/Tableau6[[#This Row],[Nb]],0)</f>
        <v>0.30434782608695654</v>
      </c>
    </row>
    <row r="968" spans="1:6" ht="30" customHeight="1" x14ac:dyDescent="0.3">
      <c r="A968" s="26" t="s">
        <v>3944</v>
      </c>
      <c r="B968" s="27" t="s">
        <v>3945</v>
      </c>
      <c r="C968" s="180">
        <v>44262</v>
      </c>
      <c r="D968" s="28">
        <v>23</v>
      </c>
      <c r="E968" s="49">
        <v>7</v>
      </c>
      <c r="F968" s="211">
        <f>IFERROR(Tableau6[[#This Row],[Score]]/Tableau6[[#This Row],[Nb]],0)</f>
        <v>0.30434782608695654</v>
      </c>
    </row>
    <row r="969" spans="1:6" ht="30" customHeight="1" x14ac:dyDescent="0.3">
      <c r="A969" s="26" t="s">
        <v>2802</v>
      </c>
      <c r="B969" s="27" t="s">
        <v>2803</v>
      </c>
      <c r="C969" s="180">
        <v>41522</v>
      </c>
      <c r="D969" s="28">
        <v>13</v>
      </c>
      <c r="E969" s="49">
        <v>4</v>
      </c>
      <c r="F969" s="211">
        <f>IFERROR(Tableau6[[#This Row],[Score]]/Tableau6[[#This Row],[Nb]],0)</f>
        <v>0.30769230769230771</v>
      </c>
    </row>
    <row r="970" spans="1:6" ht="30" customHeight="1" x14ac:dyDescent="0.3">
      <c r="A970" s="26" t="s">
        <v>959</v>
      </c>
      <c r="B970" s="27" t="s">
        <v>738</v>
      </c>
      <c r="C970" s="180">
        <v>41621</v>
      </c>
      <c r="D970" s="28">
        <v>16</v>
      </c>
      <c r="E970" s="49">
        <v>5</v>
      </c>
      <c r="F970" s="211">
        <f>IFERROR(Tableau6[[#This Row],[Score]]/Tableau6[[#This Row],[Nb]],0)</f>
        <v>0.3125</v>
      </c>
    </row>
    <row r="971" spans="1:6" ht="30" customHeight="1" x14ac:dyDescent="0.3">
      <c r="A971" s="26" t="s">
        <v>1964</v>
      </c>
      <c r="B971" s="27" t="s">
        <v>1965</v>
      </c>
      <c r="C971" s="180">
        <v>43605</v>
      </c>
      <c r="D971" s="28">
        <v>16</v>
      </c>
      <c r="E971" s="49">
        <v>5</v>
      </c>
      <c r="F971" s="211">
        <f>IFERROR(Tableau6[[#This Row],[Score]]/Tableau6[[#This Row],[Nb]],0)</f>
        <v>0.3125</v>
      </c>
    </row>
    <row r="972" spans="1:6" ht="30" customHeight="1" x14ac:dyDescent="0.3">
      <c r="A972" s="26" t="s">
        <v>2908</v>
      </c>
      <c r="B972" s="27" t="s">
        <v>2909</v>
      </c>
      <c r="C972" s="180">
        <v>43969</v>
      </c>
      <c r="D972" s="28">
        <v>32</v>
      </c>
      <c r="E972" s="49">
        <v>10</v>
      </c>
      <c r="F972" s="211">
        <f>IFERROR(Tableau6[[#This Row],[Score]]/Tableau6[[#This Row],[Nb]],0)</f>
        <v>0.3125</v>
      </c>
    </row>
    <row r="973" spans="1:6" ht="30" customHeight="1" x14ac:dyDescent="0.3">
      <c r="A973" s="26" t="s">
        <v>2736</v>
      </c>
      <c r="B973" s="27" t="s">
        <v>2737</v>
      </c>
      <c r="C973" s="180">
        <v>43900</v>
      </c>
      <c r="D973" s="28">
        <v>35</v>
      </c>
      <c r="E973" s="49">
        <v>11</v>
      </c>
      <c r="F973" s="211">
        <f>IFERROR(Tableau6[[#This Row],[Score]]/Tableau6[[#This Row],[Nb]],0)</f>
        <v>0.31428571428571428</v>
      </c>
    </row>
    <row r="974" spans="1:6" ht="30" customHeight="1" x14ac:dyDescent="0.3">
      <c r="A974" s="26" t="s">
        <v>4825</v>
      </c>
      <c r="B974" s="27" t="s">
        <v>2272</v>
      </c>
      <c r="C974" s="180">
        <v>44395</v>
      </c>
      <c r="D974" s="28">
        <v>19</v>
      </c>
      <c r="E974" s="49">
        <v>6</v>
      </c>
      <c r="F974" s="211">
        <f>IFERROR(Tableau6[[#This Row],[Score]]/Tableau6[[#This Row],[Nb]],0)</f>
        <v>0.31578947368421051</v>
      </c>
    </row>
    <row r="975" spans="1:6" ht="30" customHeight="1" x14ac:dyDescent="0.3">
      <c r="A975" s="26" t="s">
        <v>448</v>
      </c>
      <c r="B975" s="27" t="s">
        <v>449</v>
      </c>
      <c r="C975" s="180">
        <v>40611</v>
      </c>
      <c r="D975" s="28">
        <v>22</v>
      </c>
      <c r="E975" s="49">
        <v>7</v>
      </c>
      <c r="F975" s="211">
        <f>IFERROR(Tableau6[[#This Row],[Score]]/Tableau6[[#This Row],[Nb]],0)</f>
        <v>0.31818181818181818</v>
      </c>
    </row>
    <row r="976" spans="1:6" ht="30" customHeight="1" x14ac:dyDescent="0.3">
      <c r="A976" s="26" t="s">
        <v>3203</v>
      </c>
      <c r="B976" s="27" t="s">
        <v>4817</v>
      </c>
      <c r="C976" s="180">
        <v>43548</v>
      </c>
      <c r="D976" s="28">
        <v>22</v>
      </c>
      <c r="E976" s="49">
        <v>7</v>
      </c>
      <c r="F976" s="211">
        <f>IFERROR(Tableau6[[#This Row],[Score]]/Tableau6[[#This Row],[Nb]],0)</f>
        <v>0.31818181818181818</v>
      </c>
    </row>
    <row r="977" spans="1:6" ht="30" customHeight="1" x14ac:dyDescent="0.3">
      <c r="A977" s="26" t="s">
        <v>2115</v>
      </c>
      <c r="B977" s="27" t="s">
        <v>2116</v>
      </c>
      <c r="C977" s="180">
        <v>43673</v>
      </c>
      <c r="D977" s="28">
        <v>22</v>
      </c>
      <c r="E977" s="49">
        <v>7</v>
      </c>
      <c r="F977" s="211">
        <f>IFERROR(Tableau6[[#This Row],[Score]]/Tableau6[[#This Row],[Nb]],0)</f>
        <v>0.31818181818181818</v>
      </c>
    </row>
    <row r="978" spans="1:6" ht="30" customHeight="1" x14ac:dyDescent="0.3">
      <c r="A978" s="26" t="s">
        <v>2372</v>
      </c>
      <c r="B978" s="27" t="s">
        <v>2373</v>
      </c>
      <c r="C978" s="180">
        <v>43771</v>
      </c>
      <c r="D978" s="28">
        <v>22</v>
      </c>
      <c r="E978" s="49">
        <v>7</v>
      </c>
      <c r="F978" s="211">
        <f>IFERROR(Tableau6[[#This Row],[Score]]/Tableau6[[#This Row],[Nb]],0)</f>
        <v>0.31818181818181818</v>
      </c>
    </row>
    <row r="979" spans="1:6" ht="30" customHeight="1" x14ac:dyDescent="0.3">
      <c r="A979" s="26" t="s">
        <v>2427</v>
      </c>
      <c r="B979" s="27" t="s">
        <v>2428</v>
      </c>
      <c r="C979" s="180">
        <v>43776</v>
      </c>
      <c r="D979" s="28">
        <v>22</v>
      </c>
      <c r="E979" s="49">
        <v>7</v>
      </c>
      <c r="F979" s="211">
        <f>IFERROR(Tableau6[[#This Row],[Score]]/Tableau6[[#This Row],[Nb]],0)</f>
        <v>0.31818181818181818</v>
      </c>
    </row>
    <row r="980" spans="1:6" ht="30" customHeight="1" x14ac:dyDescent="0.3">
      <c r="A980" s="151" t="s">
        <v>928</v>
      </c>
      <c r="B980" s="354" t="s">
        <v>6489</v>
      </c>
      <c r="C980" s="208">
        <v>44640</v>
      </c>
      <c r="D980" s="154">
        <v>22</v>
      </c>
      <c r="E980" s="154">
        <v>7</v>
      </c>
      <c r="F980" s="211">
        <f>IFERROR(Tableau6[[#This Row],[Score]]/Tableau6[[#This Row],[Nb]],0)</f>
        <v>0.31818181818181818</v>
      </c>
    </row>
    <row r="981" spans="1:6" ht="30" customHeight="1" x14ac:dyDescent="0.3">
      <c r="A981" s="26" t="s">
        <v>619</v>
      </c>
      <c r="B981" s="27" t="s">
        <v>1059</v>
      </c>
      <c r="C981" s="180">
        <v>41522</v>
      </c>
      <c r="D981" s="28">
        <v>28</v>
      </c>
      <c r="E981" s="49">
        <v>9</v>
      </c>
      <c r="F981" s="211">
        <f>IFERROR(Tableau6[[#This Row],[Score]]/Tableau6[[#This Row],[Nb]],0)</f>
        <v>0.32142857142857145</v>
      </c>
    </row>
    <row r="982" spans="1:6" ht="30" customHeight="1" x14ac:dyDescent="0.3">
      <c r="A982" s="151" t="s">
        <v>5759</v>
      </c>
      <c r="B982" s="152" t="s">
        <v>5760</v>
      </c>
      <c r="C982" s="180">
        <v>43237</v>
      </c>
      <c r="D982" s="28">
        <v>28</v>
      </c>
      <c r="E982" s="49">
        <v>9</v>
      </c>
      <c r="F982" s="211">
        <f>IFERROR(Tableau6[[#This Row],[Score]]/Tableau6[[#This Row],[Nb]],0)</f>
        <v>0.32142857142857145</v>
      </c>
    </row>
    <row r="983" spans="1:6" ht="30" customHeight="1" x14ac:dyDescent="0.3">
      <c r="A983" s="26" t="s">
        <v>3910</v>
      </c>
      <c r="B983" s="27" t="s">
        <v>3911</v>
      </c>
      <c r="C983" s="180">
        <v>41621</v>
      </c>
      <c r="D983" s="28">
        <v>18</v>
      </c>
      <c r="E983" s="49">
        <v>6</v>
      </c>
      <c r="F983" s="211">
        <f>IFERROR(Tableau6[[#This Row],[Score]]/Tableau6[[#This Row],[Nb]],0)</f>
        <v>0.33333333333333331</v>
      </c>
    </row>
    <row r="984" spans="1:6" ht="30" customHeight="1" x14ac:dyDescent="0.3">
      <c r="A984" s="26" t="s">
        <v>1021</v>
      </c>
      <c r="B984" s="27" t="s">
        <v>1095</v>
      </c>
      <c r="C984" s="180">
        <v>41621</v>
      </c>
      <c r="D984" s="28">
        <v>18</v>
      </c>
      <c r="E984" s="49">
        <v>6</v>
      </c>
      <c r="F984" s="211">
        <f>IFERROR(Tableau6[[#This Row],[Score]]/Tableau6[[#This Row],[Nb]],0)</f>
        <v>0.33333333333333331</v>
      </c>
    </row>
    <row r="985" spans="1:6" ht="30" customHeight="1" x14ac:dyDescent="0.3">
      <c r="A985" s="26" t="s">
        <v>1589</v>
      </c>
      <c r="B985" s="27" t="s">
        <v>4241</v>
      </c>
      <c r="C985" s="180">
        <v>41621</v>
      </c>
      <c r="D985" s="28">
        <v>21</v>
      </c>
      <c r="E985" s="49">
        <v>7</v>
      </c>
      <c r="F985" s="211">
        <f>IFERROR(Tableau6[[#This Row],[Score]]/Tableau6[[#This Row],[Nb]],0)</f>
        <v>0.33333333333333331</v>
      </c>
    </row>
    <row r="986" spans="1:6" ht="30" customHeight="1" x14ac:dyDescent="0.3">
      <c r="A986" s="26" t="s">
        <v>5</v>
      </c>
      <c r="B986" s="27" t="s">
        <v>6</v>
      </c>
      <c r="C986" s="180">
        <v>43206</v>
      </c>
      <c r="D986" s="28">
        <v>21</v>
      </c>
      <c r="E986" s="49">
        <v>7</v>
      </c>
      <c r="F986" s="211">
        <f>IFERROR(Tableau6[[#This Row],[Score]]/Tableau6[[#This Row],[Nb]],0)</f>
        <v>0.33333333333333331</v>
      </c>
    </row>
    <row r="987" spans="1:6" ht="30" customHeight="1" x14ac:dyDescent="0.3">
      <c r="A987" s="151" t="s">
        <v>5715</v>
      </c>
      <c r="B987" s="27" t="s">
        <v>1161</v>
      </c>
      <c r="C987" s="180">
        <v>43422</v>
      </c>
      <c r="D987" s="28">
        <v>12</v>
      </c>
      <c r="E987" s="49">
        <v>4</v>
      </c>
      <c r="F987" s="211">
        <f>IFERROR(Tableau6[[#This Row],[Score]]/Tableau6[[#This Row],[Nb]],0)</f>
        <v>0.33333333333333331</v>
      </c>
    </row>
    <row r="988" spans="1:6" ht="30" customHeight="1" x14ac:dyDescent="0.3">
      <c r="A988" s="26" t="s">
        <v>4038</v>
      </c>
      <c r="B988" s="27" t="s">
        <v>4039</v>
      </c>
      <c r="C988" s="180">
        <v>43438</v>
      </c>
      <c r="D988" s="28">
        <v>21</v>
      </c>
      <c r="E988" s="49">
        <v>7</v>
      </c>
      <c r="F988" s="211">
        <f>IFERROR(Tableau6[[#This Row],[Score]]/Tableau6[[#This Row],[Nb]],0)</f>
        <v>0.33333333333333331</v>
      </c>
    </row>
    <row r="989" spans="1:6" ht="30" customHeight="1" x14ac:dyDescent="0.3">
      <c r="A989" s="26" t="s">
        <v>4078</v>
      </c>
      <c r="B989" s="27" t="s">
        <v>3708</v>
      </c>
      <c r="C989" s="180">
        <v>43600</v>
      </c>
      <c r="D989" s="28">
        <v>24</v>
      </c>
      <c r="E989" s="49">
        <v>8</v>
      </c>
      <c r="F989" s="211">
        <f>IFERROR(Tableau6[[#This Row],[Score]]/Tableau6[[#This Row],[Nb]],0)</f>
        <v>0.33333333333333331</v>
      </c>
    </row>
    <row r="990" spans="1:6" ht="30" customHeight="1" x14ac:dyDescent="0.3">
      <c r="A990" s="26" t="s">
        <v>2250</v>
      </c>
      <c r="B990" s="27" t="s">
        <v>4886</v>
      </c>
      <c r="C990" s="180">
        <v>43756</v>
      </c>
      <c r="D990" s="28">
        <v>18</v>
      </c>
      <c r="E990" s="49">
        <v>6</v>
      </c>
      <c r="F990" s="211">
        <f>IFERROR(Tableau6[[#This Row],[Score]]/Tableau6[[#This Row],[Nb]],0)</f>
        <v>0.33333333333333331</v>
      </c>
    </row>
    <row r="991" spans="1:6" ht="30" customHeight="1" x14ac:dyDescent="0.3">
      <c r="A991" s="26" t="s">
        <v>3513</v>
      </c>
      <c r="B991" s="27" t="s">
        <v>2273</v>
      </c>
      <c r="C991" s="180">
        <v>43761</v>
      </c>
      <c r="D991" s="28">
        <v>12</v>
      </c>
      <c r="E991" s="49">
        <v>4</v>
      </c>
      <c r="F991" s="211">
        <f>IFERROR(Tableau6[[#This Row],[Score]]/Tableau6[[#This Row],[Nb]],0)</f>
        <v>0.33333333333333331</v>
      </c>
    </row>
    <row r="992" spans="1:6" ht="30" customHeight="1" x14ac:dyDescent="0.3">
      <c r="A992" s="26" t="s">
        <v>2720</v>
      </c>
      <c r="B992" s="27" t="s">
        <v>2721</v>
      </c>
      <c r="C992" s="180">
        <v>43895</v>
      </c>
      <c r="D992" s="28">
        <v>18</v>
      </c>
      <c r="E992" s="49">
        <v>6</v>
      </c>
      <c r="F992" s="211">
        <f>IFERROR(Tableau6[[#This Row],[Score]]/Tableau6[[#This Row],[Nb]],0)</f>
        <v>0.33333333333333331</v>
      </c>
    </row>
    <row r="993" spans="1:6" ht="30" customHeight="1" x14ac:dyDescent="0.3">
      <c r="A993" s="26" t="s">
        <v>2850</v>
      </c>
      <c r="B993" s="27" t="s">
        <v>2851</v>
      </c>
      <c r="C993" s="180">
        <v>43969</v>
      </c>
      <c r="D993" s="28">
        <v>18</v>
      </c>
      <c r="E993" s="49">
        <v>6</v>
      </c>
      <c r="F993" s="211">
        <f>IFERROR(Tableau6[[#This Row],[Score]]/Tableau6[[#This Row],[Nb]],0)</f>
        <v>0.33333333333333331</v>
      </c>
    </row>
    <row r="994" spans="1:6" ht="30" customHeight="1" x14ac:dyDescent="0.3">
      <c r="A994" s="26" t="s">
        <v>2945</v>
      </c>
      <c r="B994" s="27" t="s">
        <v>2946</v>
      </c>
      <c r="C994" s="180">
        <v>43984</v>
      </c>
      <c r="D994" s="28">
        <v>21</v>
      </c>
      <c r="E994" s="49">
        <v>7</v>
      </c>
      <c r="F994" s="211">
        <f>IFERROR(Tableau6[[#This Row],[Score]]/Tableau6[[#This Row],[Nb]],0)</f>
        <v>0.33333333333333331</v>
      </c>
    </row>
    <row r="995" spans="1:6" ht="30" customHeight="1" x14ac:dyDescent="0.3">
      <c r="A995" s="26" t="s">
        <v>3983</v>
      </c>
      <c r="B995" s="27" t="s">
        <v>3984</v>
      </c>
      <c r="C995" s="180">
        <v>44262</v>
      </c>
      <c r="D995" s="28">
        <v>15</v>
      </c>
      <c r="E995" s="49">
        <v>5</v>
      </c>
      <c r="F995" s="211">
        <f>IFERROR(Tableau6[[#This Row],[Score]]/Tableau6[[#This Row],[Nb]],0)</f>
        <v>0.33333333333333331</v>
      </c>
    </row>
    <row r="996" spans="1:6" ht="30" customHeight="1" x14ac:dyDescent="0.3">
      <c r="A996" s="26" t="s">
        <v>4152</v>
      </c>
      <c r="B996" s="27" t="s">
        <v>13</v>
      </c>
      <c r="C996" s="180">
        <v>44271</v>
      </c>
      <c r="D996" s="28">
        <v>12</v>
      </c>
      <c r="E996" s="49">
        <v>4</v>
      </c>
      <c r="F996" s="211">
        <f>IFERROR(Tableau6[[#This Row],[Score]]/Tableau6[[#This Row],[Nb]],0)</f>
        <v>0.33333333333333331</v>
      </c>
    </row>
    <row r="997" spans="1:6" ht="30" customHeight="1" x14ac:dyDescent="0.3">
      <c r="A997" s="26" t="s">
        <v>4599</v>
      </c>
      <c r="B997" s="27" t="s">
        <v>4600</v>
      </c>
      <c r="C997" s="180">
        <v>44334</v>
      </c>
      <c r="D997" s="28">
        <v>24</v>
      </c>
      <c r="E997" s="49">
        <v>8</v>
      </c>
      <c r="F997" s="211">
        <f>IFERROR(Tableau6[[#This Row],[Score]]/Tableau6[[#This Row],[Nb]],0)</f>
        <v>0.33333333333333331</v>
      </c>
    </row>
    <row r="998" spans="1:6" ht="30" customHeight="1" x14ac:dyDescent="0.3">
      <c r="A998" s="26" t="s">
        <v>4962</v>
      </c>
      <c r="B998" s="27" t="s">
        <v>4963</v>
      </c>
      <c r="C998" s="180">
        <v>44428</v>
      </c>
      <c r="D998" s="28">
        <v>9</v>
      </c>
      <c r="E998" s="49">
        <v>3</v>
      </c>
      <c r="F998" s="211">
        <f>IFERROR(Tableau6[[#This Row],[Score]]/Tableau6[[#This Row],[Nb]],0)</f>
        <v>0.33333333333333331</v>
      </c>
    </row>
    <row r="999" spans="1:6" ht="30" customHeight="1" x14ac:dyDescent="0.3">
      <c r="A999" s="26" t="s">
        <v>5030</v>
      </c>
      <c r="B999" s="27" t="s">
        <v>5031</v>
      </c>
      <c r="C999" s="180">
        <v>44443</v>
      </c>
      <c r="D999" s="28">
        <v>15</v>
      </c>
      <c r="E999" s="49">
        <v>5</v>
      </c>
      <c r="F999" s="211">
        <f>IFERROR(Tableau6[[#This Row],[Score]]/Tableau6[[#This Row],[Nb]],0)</f>
        <v>0.33333333333333331</v>
      </c>
    </row>
    <row r="1000" spans="1:6" ht="30" customHeight="1" x14ac:dyDescent="0.3">
      <c r="A1000" s="151" t="s">
        <v>5240</v>
      </c>
      <c r="B1000" s="152" t="s">
        <v>5241</v>
      </c>
      <c r="C1000" s="208">
        <v>44521</v>
      </c>
      <c r="D1000" s="154">
        <v>12</v>
      </c>
      <c r="E1000" s="154">
        <v>4</v>
      </c>
      <c r="F1000" s="211">
        <f>IFERROR(Tableau6[[#This Row],[Score]]/Tableau6[[#This Row],[Nb]],0)</f>
        <v>0.33333333333333331</v>
      </c>
    </row>
    <row r="1001" spans="1:6" ht="30" customHeight="1" x14ac:dyDescent="0.3">
      <c r="A1001" s="151" t="s">
        <v>5336</v>
      </c>
      <c r="B1001" s="152" t="s">
        <v>6127</v>
      </c>
      <c r="C1001" s="208">
        <v>44537</v>
      </c>
      <c r="D1001" s="154">
        <v>15</v>
      </c>
      <c r="E1001" s="154">
        <v>5</v>
      </c>
      <c r="F1001" s="211">
        <f>IFERROR(Tableau6[[#This Row],[Score]]/Tableau6[[#This Row],[Nb]],0)</f>
        <v>0.33333333333333331</v>
      </c>
    </row>
    <row r="1002" spans="1:6" ht="30" customHeight="1" x14ac:dyDescent="0.3">
      <c r="A1002" s="151" t="s">
        <v>5349</v>
      </c>
      <c r="B1002" s="152" t="s">
        <v>5350</v>
      </c>
      <c r="C1002" s="208">
        <v>44545</v>
      </c>
      <c r="D1002" s="154">
        <v>12</v>
      </c>
      <c r="E1002" s="154">
        <v>4</v>
      </c>
      <c r="F1002" s="211">
        <f>IFERROR(Tableau6[[#This Row],[Score]]/Tableau6[[#This Row],[Nb]],0)</f>
        <v>0.33333333333333331</v>
      </c>
    </row>
    <row r="1003" spans="1:6" ht="30" customHeight="1" x14ac:dyDescent="0.3">
      <c r="A1003" s="151" t="s">
        <v>5389</v>
      </c>
      <c r="B1003" s="152" t="s">
        <v>5390</v>
      </c>
      <c r="C1003" s="208">
        <v>44560</v>
      </c>
      <c r="D1003" s="154">
        <v>9</v>
      </c>
      <c r="E1003" s="154">
        <v>3</v>
      </c>
      <c r="F1003" s="211">
        <f>IFERROR(Tableau6[[#This Row],[Score]]/Tableau6[[#This Row],[Nb]],0)</f>
        <v>0.33333333333333331</v>
      </c>
    </row>
    <row r="1004" spans="1:6" ht="30" customHeight="1" x14ac:dyDescent="0.3">
      <c r="A1004" s="151" t="s">
        <v>5458</v>
      </c>
      <c r="B1004" s="152" t="s">
        <v>5459</v>
      </c>
      <c r="C1004" s="208">
        <v>44576</v>
      </c>
      <c r="D1004" s="154">
        <v>12</v>
      </c>
      <c r="E1004" s="154">
        <v>4</v>
      </c>
      <c r="F1004" s="211">
        <f>IFERROR(Tableau6[[#This Row],[Score]]/Tableau6[[#This Row],[Nb]],0)</f>
        <v>0.33333333333333331</v>
      </c>
    </row>
    <row r="1005" spans="1:6" ht="30" customHeight="1" x14ac:dyDescent="0.3">
      <c r="A1005" s="151" t="s">
        <v>5535</v>
      </c>
      <c r="B1005" s="152" t="s">
        <v>5536</v>
      </c>
      <c r="C1005" s="208">
        <v>44591</v>
      </c>
      <c r="D1005" s="154">
        <v>12</v>
      </c>
      <c r="E1005" s="154">
        <v>4</v>
      </c>
      <c r="F1005" s="211">
        <f>IFERROR(Tableau6[[#This Row],[Score]]/Tableau6[[#This Row],[Nb]],0)</f>
        <v>0.33333333333333331</v>
      </c>
    </row>
    <row r="1006" spans="1:6" ht="30" customHeight="1" x14ac:dyDescent="0.3">
      <c r="A1006" s="151" t="s">
        <v>5605</v>
      </c>
      <c r="B1006" s="152" t="s">
        <v>5606</v>
      </c>
      <c r="C1006" s="208">
        <v>44602</v>
      </c>
      <c r="D1006" s="154">
        <v>12</v>
      </c>
      <c r="E1006" s="154">
        <v>4</v>
      </c>
      <c r="F1006" s="211">
        <f>IFERROR(Tableau6[[#This Row],[Score]]/Tableau6[[#This Row],[Nb]],0)</f>
        <v>0.33333333333333331</v>
      </c>
    </row>
    <row r="1007" spans="1:6" ht="30" customHeight="1" x14ac:dyDescent="0.3">
      <c r="A1007" s="151" t="s">
        <v>5632</v>
      </c>
      <c r="B1007" s="152" t="s">
        <v>5633</v>
      </c>
      <c r="C1007" s="208">
        <v>44608</v>
      </c>
      <c r="D1007" s="154">
        <v>9</v>
      </c>
      <c r="E1007" s="154">
        <v>3</v>
      </c>
      <c r="F1007" s="211">
        <f>IFERROR(Tableau6[[#This Row],[Score]]/Tableau6[[#This Row],[Nb]],0)</f>
        <v>0.33333333333333331</v>
      </c>
    </row>
    <row r="1008" spans="1:6" ht="30" customHeight="1" x14ac:dyDescent="0.3">
      <c r="A1008" s="151" t="s">
        <v>5704</v>
      </c>
      <c r="B1008" s="152" t="s">
        <v>5918</v>
      </c>
      <c r="C1008" s="208">
        <v>44626</v>
      </c>
      <c r="D1008" s="154">
        <v>15</v>
      </c>
      <c r="E1008" s="154">
        <v>5</v>
      </c>
      <c r="F1008" s="211">
        <f>IFERROR(Tableau6[[#This Row],[Score]]/Tableau6[[#This Row],[Nb]],0)</f>
        <v>0.33333333333333331</v>
      </c>
    </row>
    <row r="1009" spans="1:6" ht="30" customHeight="1" x14ac:dyDescent="0.3">
      <c r="A1009" s="151" t="s">
        <v>5739</v>
      </c>
      <c r="B1009" s="152" t="s">
        <v>5740</v>
      </c>
      <c r="C1009" s="208">
        <v>44633</v>
      </c>
      <c r="D1009" s="154">
        <v>3</v>
      </c>
      <c r="E1009" s="154">
        <v>1</v>
      </c>
      <c r="F1009" s="211">
        <f>IFERROR(Tableau6[[#This Row],[Score]]/Tableau6[[#This Row],[Nb]],0)</f>
        <v>0.33333333333333331</v>
      </c>
    </row>
    <row r="1010" spans="1:6" ht="30" customHeight="1" x14ac:dyDescent="0.3">
      <c r="A1010" s="151" t="s">
        <v>5979</v>
      </c>
      <c r="B1010" s="152" t="s">
        <v>5980</v>
      </c>
      <c r="C1010" s="208">
        <v>44703</v>
      </c>
      <c r="D1010" s="154">
        <v>6</v>
      </c>
      <c r="E1010" s="154">
        <v>2</v>
      </c>
      <c r="F1010" s="211">
        <f>IFERROR(Tableau6[[#This Row],[Score]]/Tableau6[[#This Row],[Nb]],0)</f>
        <v>0.33333333333333331</v>
      </c>
    </row>
    <row r="1011" spans="1:6" ht="30" customHeight="1" x14ac:dyDescent="0.3">
      <c r="A1011" s="151" t="s">
        <v>6080</v>
      </c>
      <c r="B1011" s="152" t="s">
        <v>6081</v>
      </c>
      <c r="C1011" s="208">
        <v>44733</v>
      </c>
      <c r="D1011" s="154">
        <v>3</v>
      </c>
      <c r="E1011" s="154">
        <v>1</v>
      </c>
      <c r="F1011" s="211">
        <f>IFERROR(Tableau6[[#This Row],[Score]]/Tableau6[[#This Row],[Nb]],0)</f>
        <v>0.33333333333333331</v>
      </c>
    </row>
    <row r="1012" spans="1:6" ht="30" customHeight="1" x14ac:dyDescent="0.3">
      <c r="A1012" s="151" t="s">
        <v>6233</v>
      </c>
      <c r="B1012" s="152" t="s">
        <v>6250</v>
      </c>
      <c r="C1012" s="208">
        <v>44850</v>
      </c>
      <c r="D1012" s="154">
        <v>6</v>
      </c>
      <c r="E1012" s="154">
        <v>2</v>
      </c>
      <c r="F1012" s="211">
        <f>IFERROR(Tableau6[[#This Row],[Score]]/Tableau6[[#This Row],[Nb]],0)</f>
        <v>0.33333333333333331</v>
      </c>
    </row>
    <row r="1013" spans="1:6" ht="30" customHeight="1" x14ac:dyDescent="0.3">
      <c r="A1013" s="151" t="s">
        <v>6411</v>
      </c>
      <c r="B1013" s="152" t="s">
        <v>6410</v>
      </c>
      <c r="C1013" s="208">
        <v>44912</v>
      </c>
      <c r="D1013" s="154">
        <v>3</v>
      </c>
      <c r="E1013" s="154">
        <v>1</v>
      </c>
      <c r="F1013" s="211">
        <f>IFERROR(Tableau6[[#This Row],[Score]]/Tableau6[[#This Row],[Nb]],0)</f>
        <v>0.33333333333333331</v>
      </c>
    </row>
    <row r="1014" spans="1:6" ht="30" customHeight="1" x14ac:dyDescent="0.3">
      <c r="A1014" s="238" t="s">
        <v>6433</v>
      </c>
      <c r="B1014" s="239" t="s">
        <v>6434</v>
      </c>
      <c r="C1014" s="240">
        <v>44918</v>
      </c>
      <c r="D1014" s="241">
        <v>6</v>
      </c>
      <c r="E1014" s="241">
        <v>2</v>
      </c>
      <c r="F1014" s="242">
        <f>IFERROR(Tableau6[[#This Row],[Score]]/Tableau6[[#This Row],[Nb]],0)</f>
        <v>0.33333333333333331</v>
      </c>
    </row>
    <row r="1015" spans="1:6" ht="30" customHeight="1" x14ac:dyDescent="0.3">
      <c r="A1015" s="238" t="s">
        <v>6431</v>
      </c>
      <c r="B1015" s="239" t="s">
        <v>6432</v>
      </c>
      <c r="C1015" s="240">
        <v>44918</v>
      </c>
      <c r="D1015" s="241">
        <v>3</v>
      </c>
      <c r="E1015" s="241">
        <v>1</v>
      </c>
      <c r="F1015" s="242">
        <f>IFERROR(Tableau6[[#This Row],[Score]]/Tableau6[[#This Row],[Nb]],0)</f>
        <v>0.33333333333333331</v>
      </c>
    </row>
    <row r="1016" spans="1:6" ht="30" customHeight="1" x14ac:dyDescent="0.3">
      <c r="A1016" s="377" t="s">
        <v>6498</v>
      </c>
      <c r="B1016" s="378" t="s">
        <v>6499</v>
      </c>
      <c r="C1016" s="379">
        <v>44944</v>
      </c>
      <c r="D1016" s="380">
        <v>3</v>
      </c>
      <c r="E1016" s="380">
        <v>1</v>
      </c>
      <c r="F1016" s="381">
        <f>IFERROR(Tableau6[[#This Row],[Score]]/Tableau6[[#This Row],[Nb]],0)</f>
        <v>0.33333333333333331</v>
      </c>
    </row>
    <row r="1017" spans="1:6" ht="30" customHeight="1" x14ac:dyDescent="0.3">
      <c r="A1017" s="462" t="s">
        <v>6549</v>
      </c>
      <c r="B1017" s="463" t="s">
        <v>6550</v>
      </c>
      <c r="C1017" s="464">
        <v>44958</v>
      </c>
      <c r="D1017" s="465">
        <v>3</v>
      </c>
      <c r="E1017" s="465">
        <v>1</v>
      </c>
      <c r="F1017" s="466">
        <f>IFERROR(Tableau6[[#This Row],[Score]]/Tableau6[[#This Row],[Nb]],0)</f>
        <v>0.33333333333333331</v>
      </c>
    </row>
    <row r="1018" spans="1:6" ht="30" customHeight="1" x14ac:dyDescent="0.3">
      <c r="A1018" s="26" t="s">
        <v>1313</v>
      </c>
      <c r="B1018" s="27" t="s">
        <v>1314</v>
      </c>
      <c r="C1018" s="180">
        <v>43438</v>
      </c>
      <c r="D1018" s="28">
        <v>29</v>
      </c>
      <c r="E1018" s="49">
        <v>10</v>
      </c>
      <c r="F1018" s="211">
        <f>IFERROR(Tableau6[[#This Row],[Score]]/Tableau6[[#This Row],[Nb]],0)</f>
        <v>0.34482758620689657</v>
      </c>
    </row>
    <row r="1019" spans="1:6" ht="30" customHeight="1" x14ac:dyDescent="0.3">
      <c r="A1019" s="151" t="s">
        <v>6213</v>
      </c>
      <c r="B1019" s="27" t="s">
        <v>446</v>
      </c>
      <c r="C1019" s="180">
        <v>40611</v>
      </c>
      <c r="D1019" s="28">
        <v>26</v>
      </c>
      <c r="E1019" s="49">
        <v>9</v>
      </c>
      <c r="F1019" s="211">
        <f>IFERROR(Tableau6[[#This Row],[Score]]/Tableau6[[#This Row],[Nb]],0)</f>
        <v>0.34615384615384615</v>
      </c>
    </row>
    <row r="1020" spans="1:6" ht="30" customHeight="1" x14ac:dyDescent="0.3">
      <c r="A1020" s="26" t="s">
        <v>2577</v>
      </c>
      <c r="B1020" s="27" t="s">
        <v>2578</v>
      </c>
      <c r="C1020" s="180">
        <v>43848</v>
      </c>
      <c r="D1020" s="28">
        <v>26</v>
      </c>
      <c r="E1020" s="49">
        <v>9</v>
      </c>
      <c r="F1020" s="211">
        <f>IFERROR(Tableau6[[#This Row],[Score]]/Tableau6[[#This Row],[Nb]],0)</f>
        <v>0.34615384615384615</v>
      </c>
    </row>
    <row r="1021" spans="1:6" ht="30" customHeight="1" x14ac:dyDescent="0.3">
      <c r="A1021" s="26" t="s">
        <v>2585</v>
      </c>
      <c r="B1021" s="27" t="s">
        <v>2586</v>
      </c>
      <c r="C1021" s="180">
        <v>43848</v>
      </c>
      <c r="D1021" s="28">
        <v>26</v>
      </c>
      <c r="E1021" s="49">
        <v>9</v>
      </c>
      <c r="F1021" s="211">
        <f>IFERROR(Tableau6[[#This Row],[Score]]/Tableau6[[#This Row],[Nb]],0)</f>
        <v>0.34615384615384615</v>
      </c>
    </row>
    <row r="1022" spans="1:6" ht="30" customHeight="1" x14ac:dyDescent="0.3">
      <c r="A1022" s="26" t="s">
        <v>600</v>
      </c>
      <c r="B1022" s="27" t="s">
        <v>601</v>
      </c>
      <c r="C1022" s="180">
        <v>43403</v>
      </c>
      <c r="D1022" s="28">
        <v>23</v>
      </c>
      <c r="E1022" s="49">
        <v>8</v>
      </c>
      <c r="F1022" s="211">
        <f>IFERROR(Tableau6[[#This Row],[Score]]/Tableau6[[#This Row],[Nb]],0)</f>
        <v>0.34782608695652173</v>
      </c>
    </row>
    <row r="1023" spans="1:6" ht="30" customHeight="1" x14ac:dyDescent="0.3">
      <c r="A1023" s="26" t="s">
        <v>1103</v>
      </c>
      <c r="B1023" s="27" t="s">
        <v>1102</v>
      </c>
      <c r="C1023" s="180">
        <v>43415</v>
      </c>
      <c r="D1023" s="28">
        <v>23</v>
      </c>
      <c r="E1023" s="49">
        <v>8</v>
      </c>
      <c r="F1023" s="211">
        <f>IFERROR(Tableau6[[#This Row],[Score]]/Tableau6[[#This Row],[Nb]],0)</f>
        <v>0.34782608695652173</v>
      </c>
    </row>
    <row r="1024" spans="1:6" ht="30" customHeight="1" x14ac:dyDescent="0.3">
      <c r="A1024" s="26" t="s">
        <v>3447</v>
      </c>
      <c r="B1024" s="152" t="s">
        <v>5206</v>
      </c>
      <c r="C1024" s="180">
        <v>43421</v>
      </c>
      <c r="D1024" s="28">
        <v>23</v>
      </c>
      <c r="E1024" s="49">
        <v>8</v>
      </c>
      <c r="F1024" s="211">
        <f>IFERROR(Tableau6[[#This Row],[Score]]/Tableau6[[#This Row],[Nb]],0)</f>
        <v>0.34782608695652173</v>
      </c>
    </row>
    <row r="1025" spans="1:6" ht="30" customHeight="1" x14ac:dyDescent="0.3">
      <c r="A1025" s="26" t="s">
        <v>1275</v>
      </c>
      <c r="B1025" s="27" t="s">
        <v>1276</v>
      </c>
      <c r="C1025" s="180">
        <v>43425</v>
      </c>
      <c r="D1025" s="28">
        <v>23</v>
      </c>
      <c r="E1025" s="49">
        <v>8</v>
      </c>
      <c r="F1025" s="211">
        <f>IFERROR(Tableau6[[#This Row],[Score]]/Tableau6[[#This Row],[Nb]],0)</f>
        <v>0.34782608695652173</v>
      </c>
    </row>
    <row r="1026" spans="1:6" ht="30" customHeight="1" x14ac:dyDescent="0.3">
      <c r="A1026" s="26" t="s">
        <v>2616</v>
      </c>
      <c r="B1026" s="27" t="s">
        <v>2172</v>
      </c>
      <c r="C1026" s="180">
        <v>43857</v>
      </c>
      <c r="D1026" s="28">
        <v>23</v>
      </c>
      <c r="E1026" s="49">
        <v>8</v>
      </c>
      <c r="F1026" s="211">
        <f>IFERROR(Tableau6[[#This Row],[Score]]/Tableau6[[#This Row],[Nb]],0)</f>
        <v>0.34782608695652173</v>
      </c>
    </row>
    <row r="1027" spans="1:6" ht="30" customHeight="1" x14ac:dyDescent="0.3">
      <c r="A1027" s="26" t="s">
        <v>4594</v>
      </c>
      <c r="B1027" s="27" t="s">
        <v>3064</v>
      </c>
      <c r="C1027" s="180">
        <v>44004</v>
      </c>
      <c r="D1027" s="28">
        <v>23</v>
      </c>
      <c r="E1027" s="49">
        <v>8</v>
      </c>
      <c r="F1027" s="211">
        <f>IFERROR(Tableau6[[#This Row],[Score]]/Tableau6[[#This Row],[Nb]],0)</f>
        <v>0.34782608695652173</v>
      </c>
    </row>
    <row r="1028" spans="1:6" ht="30" customHeight="1" x14ac:dyDescent="0.3">
      <c r="A1028" s="26" t="s">
        <v>3296</v>
      </c>
      <c r="B1028" s="27" t="s">
        <v>2677</v>
      </c>
      <c r="C1028" s="180">
        <v>43887</v>
      </c>
      <c r="D1028" s="28">
        <v>20</v>
      </c>
      <c r="E1028" s="49">
        <v>7</v>
      </c>
      <c r="F1028" s="211">
        <f>IFERROR(Tableau6[[#This Row],[Score]]/Tableau6[[#This Row],[Nb]],0)</f>
        <v>0.35</v>
      </c>
    </row>
    <row r="1029" spans="1:6" ht="30" customHeight="1" x14ac:dyDescent="0.3">
      <c r="A1029" s="26" t="s">
        <v>4492</v>
      </c>
      <c r="B1029" s="27" t="s">
        <v>4491</v>
      </c>
      <c r="C1029" s="180">
        <v>44033</v>
      </c>
      <c r="D1029" s="28">
        <v>20</v>
      </c>
      <c r="E1029" s="49">
        <v>7</v>
      </c>
      <c r="F1029" s="211">
        <f>IFERROR(Tableau6[[#This Row],[Score]]/Tableau6[[#This Row],[Nb]],0)</f>
        <v>0.35</v>
      </c>
    </row>
    <row r="1030" spans="1:6" ht="30" customHeight="1" x14ac:dyDescent="0.3">
      <c r="A1030" s="151" t="s">
        <v>5207</v>
      </c>
      <c r="B1030" s="27" t="s">
        <v>3985</v>
      </c>
      <c r="C1030" s="180">
        <v>44262</v>
      </c>
      <c r="D1030" s="28">
        <v>20</v>
      </c>
      <c r="E1030" s="49">
        <v>7</v>
      </c>
      <c r="F1030" s="211">
        <f>IFERROR(Tableau6[[#This Row],[Score]]/Tableau6[[#This Row],[Nb]],0)</f>
        <v>0.35</v>
      </c>
    </row>
    <row r="1031" spans="1:6" ht="30" customHeight="1" x14ac:dyDescent="0.3">
      <c r="A1031" s="26" t="s">
        <v>4378</v>
      </c>
      <c r="B1031" s="27" t="s">
        <v>4379</v>
      </c>
      <c r="C1031" s="180">
        <v>44299</v>
      </c>
      <c r="D1031" s="28">
        <v>20</v>
      </c>
      <c r="E1031" s="49">
        <v>7</v>
      </c>
      <c r="F1031" s="211">
        <f>IFERROR(Tableau6[[#This Row],[Score]]/Tableau6[[#This Row],[Nb]],0)</f>
        <v>0.35</v>
      </c>
    </row>
    <row r="1032" spans="1:6" ht="30" customHeight="1" x14ac:dyDescent="0.3">
      <c r="A1032" s="26" t="s">
        <v>316</v>
      </c>
      <c r="B1032" s="152" t="s">
        <v>6221</v>
      </c>
      <c r="C1032" s="180">
        <v>41621</v>
      </c>
      <c r="D1032" s="28">
        <v>17</v>
      </c>
      <c r="E1032" s="49">
        <v>6</v>
      </c>
      <c r="F1032" s="211">
        <f>IFERROR(Tableau6[[#This Row],[Score]]/Tableau6[[#This Row],[Nb]],0)</f>
        <v>0.35294117647058826</v>
      </c>
    </row>
    <row r="1033" spans="1:6" ht="30" customHeight="1" x14ac:dyDescent="0.3">
      <c r="A1033" s="26" t="s">
        <v>903</v>
      </c>
      <c r="B1033" s="27" t="s">
        <v>836</v>
      </c>
      <c r="C1033" s="180">
        <v>43205</v>
      </c>
      <c r="D1033" s="28">
        <v>17</v>
      </c>
      <c r="E1033" s="49">
        <v>6</v>
      </c>
      <c r="F1033" s="211">
        <f>IFERROR(Tableau6[[#This Row],[Score]]/Tableau6[[#This Row],[Nb]],0)</f>
        <v>0.35294117647058826</v>
      </c>
    </row>
    <row r="1034" spans="1:6" ht="30" customHeight="1" x14ac:dyDescent="0.3">
      <c r="A1034" s="26" t="s">
        <v>3067</v>
      </c>
      <c r="B1034" s="27" t="s">
        <v>3068</v>
      </c>
      <c r="C1034" s="180">
        <v>44004</v>
      </c>
      <c r="D1034" s="28">
        <v>17</v>
      </c>
      <c r="E1034" s="49">
        <v>6</v>
      </c>
      <c r="F1034" s="211">
        <f>IFERROR(Tableau6[[#This Row],[Score]]/Tableau6[[#This Row],[Nb]],0)</f>
        <v>0.35294117647058826</v>
      </c>
    </row>
    <row r="1035" spans="1:6" ht="30" customHeight="1" x14ac:dyDescent="0.3">
      <c r="A1035" s="26" t="s">
        <v>3750</v>
      </c>
      <c r="B1035" s="27" t="s">
        <v>3751</v>
      </c>
      <c r="C1035" s="180">
        <v>44249</v>
      </c>
      <c r="D1035" s="28">
        <v>17</v>
      </c>
      <c r="E1035" s="49">
        <v>6</v>
      </c>
      <c r="F1035" s="211">
        <f>IFERROR(Tableau6[[#This Row],[Score]]/Tableau6[[#This Row],[Nb]],0)</f>
        <v>0.35294117647058826</v>
      </c>
    </row>
    <row r="1036" spans="1:6" ht="30" customHeight="1" x14ac:dyDescent="0.3">
      <c r="A1036" s="26" t="s">
        <v>3020</v>
      </c>
      <c r="B1036" s="152" t="s">
        <v>5666</v>
      </c>
      <c r="C1036" s="180">
        <v>44004</v>
      </c>
      <c r="D1036" s="28">
        <v>14</v>
      </c>
      <c r="E1036" s="49">
        <v>5</v>
      </c>
      <c r="F1036" s="211">
        <f>IFERROR(Tableau6[[#This Row],[Score]]/Tableau6[[#This Row],[Nb]],0)</f>
        <v>0.35714285714285715</v>
      </c>
    </row>
    <row r="1037" spans="1:6" ht="30" customHeight="1" x14ac:dyDescent="0.3">
      <c r="A1037" s="26" t="s">
        <v>4278</v>
      </c>
      <c r="B1037" s="27" t="s">
        <v>4277</v>
      </c>
      <c r="C1037" s="180">
        <v>44283</v>
      </c>
      <c r="D1037" s="28">
        <v>28</v>
      </c>
      <c r="E1037" s="49">
        <v>10</v>
      </c>
      <c r="F1037" s="211">
        <f>IFERROR(Tableau6[[#This Row],[Score]]/Tableau6[[#This Row],[Nb]],0)</f>
        <v>0.35714285714285715</v>
      </c>
    </row>
    <row r="1038" spans="1:6" ht="30" customHeight="1" x14ac:dyDescent="0.3">
      <c r="A1038" s="26" t="s">
        <v>398</v>
      </c>
      <c r="B1038" s="27" t="s">
        <v>399</v>
      </c>
      <c r="C1038" s="180">
        <v>40611</v>
      </c>
      <c r="D1038" s="28">
        <v>25</v>
      </c>
      <c r="E1038" s="49">
        <v>9</v>
      </c>
      <c r="F1038" s="211">
        <f>IFERROR(Tableau6[[#This Row],[Score]]/Tableau6[[#This Row],[Nb]],0)</f>
        <v>0.36</v>
      </c>
    </row>
    <row r="1039" spans="1:6" ht="30" customHeight="1" x14ac:dyDescent="0.3">
      <c r="A1039" s="26" t="s">
        <v>951</v>
      </c>
      <c r="B1039" s="27" t="s">
        <v>793</v>
      </c>
      <c r="C1039" s="180">
        <v>41621</v>
      </c>
      <c r="D1039" s="28">
        <v>25</v>
      </c>
      <c r="E1039" s="49">
        <v>9</v>
      </c>
      <c r="F1039" s="211">
        <f>IFERROR(Tableau6[[#This Row],[Score]]/Tableau6[[#This Row],[Nb]],0)</f>
        <v>0.36</v>
      </c>
    </row>
    <row r="1040" spans="1:6" ht="30" customHeight="1" x14ac:dyDescent="0.3">
      <c r="A1040" s="26" t="s">
        <v>2325</v>
      </c>
      <c r="B1040" s="27" t="s">
        <v>2326</v>
      </c>
      <c r="C1040" s="180">
        <v>43771</v>
      </c>
      <c r="D1040" s="28">
        <v>22</v>
      </c>
      <c r="E1040" s="49">
        <v>8</v>
      </c>
      <c r="F1040" s="211">
        <f>IFERROR(Tableau6[[#This Row],[Score]]/Tableau6[[#This Row],[Nb]],0)</f>
        <v>0.36363636363636365</v>
      </c>
    </row>
    <row r="1041" spans="1:6" ht="30" customHeight="1" x14ac:dyDescent="0.3">
      <c r="A1041" s="26" t="s">
        <v>2591</v>
      </c>
      <c r="B1041" s="27" t="s">
        <v>2592</v>
      </c>
      <c r="C1041" s="180">
        <v>43848</v>
      </c>
      <c r="D1041" s="28">
        <v>11</v>
      </c>
      <c r="E1041" s="49">
        <v>4</v>
      </c>
      <c r="F1041" s="211">
        <f>IFERROR(Tableau6[[#This Row],[Score]]/Tableau6[[#This Row],[Nb]],0)</f>
        <v>0.36363636363636365</v>
      </c>
    </row>
    <row r="1042" spans="1:6" ht="30" customHeight="1" x14ac:dyDescent="0.3">
      <c r="A1042" s="26" t="s">
        <v>3754</v>
      </c>
      <c r="B1042" s="152" t="s">
        <v>5466</v>
      </c>
      <c r="C1042" s="180">
        <v>44251</v>
      </c>
      <c r="D1042" s="28">
        <v>22</v>
      </c>
      <c r="E1042" s="49">
        <v>8</v>
      </c>
      <c r="F1042" s="211">
        <f>IFERROR(Tableau6[[#This Row],[Score]]/Tableau6[[#This Row],[Nb]],0)</f>
        <v>0.36363636363636365</v>
      </c>
    </row>
    <row r="1043" spans="1:6" ht="30" customHeight="1" x14ac:dyDescent="0.3">
      <c r="A1043" s="26" t="s">
        <v>3990</v>
      </c>
      <c r="B1043" s="27" t="s">
        <v>3991</v>
      </c>
      <c r="C1043" s="180">
        <v>44262</v>
      </c>
      <c r="D1043" s="28">
        <v>11</v>
      </c>
      <c r="E1043" s="49">
        <v>4</v>
      </c>
      <c r="F1043" s="211">
        <f>IFERROR(Tableau6[[#This Row],[Score]]/Tableau6[[#This Row],[Nb]],0)</f>
        <v>0.36363636363636365</v>
      </c>
    </row>
    <row r="1044" spans="1:6" ht="30" customHeight="1" x14ac:dyDescent="0.3">
      <c r="A1044" s="26" t="s">
        <v>469</v>
      </c>
      <c r="B1044" s="27" t="s">
        <v>1993</v>
      </c>
      <c r="C1044" s="180">
        <v>40611</v>
      </c>
      <c r="D1044" s="28">
        <v>19</v>
      </c>
      <c r="E1044" s="49">
        <v>7</v>
      </c>
      <c r="F1044" s="211">
        <f>IFERROR(Tableau6[[#This Row],[Score]]/Tableau6[[#This Row],[Nb]],0)</f>
        <v>0.36842105263157893</v>
      </c>
    </row>
    <row r="1045" spans="1:6" ht="30" customHeight="1" x14ac:dyDescent="0.3">
      <c r="A1045" s="26" t="s">
        <v>983</v>
      </c>
      <c r="B1045" s="27" t="s">
        <v>727</v>
      </c>
      <c r="C1045" s="180">
        <v>41621</v>
      </c>
      <c r="D1045" s="28">
        <v>19</v>
      </c>
      <c r="E1045" s="49">
        <v>7</v>
      </c>
      <c r="F1045" s="211">
        <f>IFERROR(Tableau6[[#This Row],[Score]]/Tableau6[[#This Row],[Nb]],0)</f>
        <v>0.36842105263157893</v>
      </c>
    </row>
    <row r="1046" spans="1:6" ht="30" customHeight="1" x14ac:dyDescent="0.3">
      <c r="A1046" s="26" t="s">
        <v>2776</v>
      </c>
      <c r="B1046" s="27" t="s">
        <v>2777</v>
      </c>
      <c r="C1046" s="180">
        <v>43900</v>
      </c>
      <c r="D1046" s="28">
        <v>19</v>
      </c>
      <c r="E1046" s="49">
        <v>7</v>
      </c>
      <c r="F1046" s="211">
        <f>IFERROR(Tableau6[[#This Row],[Score]]/Tableau6[[#This Row],[Nb]],0)</f>
        <v>0.36842105263157893</v>
      </c>
    </row>
    <row r="1047" spans="1:6" ht="30" customHeight="1" x14ac:dyDescent="0.3">
      <c r="A1047" s="151" t="s">
        <v>5229</v>
      </c>
      <c r="B1047" s="27" t="s">
        <v>4980</v>
      </c>
      <c r="C1047" s="180">
        <v>44433</v>
      </c>
      <c r="D1047" s="28">
        <v>19</v>
      </c>
      <c r="E1047" s="49">
        <v>7</v>
      </c>
      <c r="F1047" s="211">
        <f>IFERROR(Tableau6[[#This Row],[Score]]/Tableau6[[#This Row],[Nb]],0)</f>
        <v>0.36842105263157893</v>
      </c>
    </row>
    <row r="1048" spans="1:6" ht="30" customHeight="1" x14ac:dyDescent="0.3">
      <c r="A1048" s="26" t="s">
        <v>1226</v>
      </c>
      <c r="B1048" s="27" t="s">
        <v>1227</v>
      </c>
      <c r="C1048" s="180">
        <v>43429</v>
      </c>
      <c r="D1048" s="28">
        <v>27</v>
      </c>
      <c r="E1048" s="49">
        <v>10</v>
      </c>
      <c r="F1048" s="211">
        <f>IFERROR(Tableau6[[#This Row],[Score]]/Tableau6[[#This Row],[Nb]],0)</f>
        <v>0.37037037037037035</v>
      </c>
    </row>
    <row r="1049" spans="1:6" ht="30" customHeight="1" x14ac:dyDescent="0.3">
      <c r="A1049" s="26" t="s">
        <v>1578</v>
      </c>
      <c r="B1049" s="27" t="s">
        <v>1577</v>
      </c>
      <c r="C1049" s="180">
        <v>41621</v>
      </c>
      <c r="D1049" s="28">
        <v>16</v>
      </c>
      <c r="E1049" s="49">
        <v>6</v>
      </c>
      <c r="F1049" s="211">
        <f>IFERROR(Tableau6[[#This Row],[Score]]/Tableau6[[#This Row],[Nb]],0)</f>
        <v>0.375</v>
      </c>
    </row>
    <row r="1050" spans="1:6" ht="30" customHeight="1" x14ac:dyDescent="0.3">
      <c r="A1050" s="26" t="s">
        <v>4925</v>
      </c>
      <c r="B1050" s="152" t="s">
        <v>5332</v>
      </c>
      <c r="C1050" s="180">
        <v>41621</v>
      </c>
      <c r="D1050" s="28">
        <v>16</v>
      </c>
      <c r="E1050" s="49">
        <v>6</v>
      </c>
      <c r="F1050" s="211">
        <f>IFERROR(Tableau6[[#This Row],[Score]]/Tableau6[[#This Row],[Nb]],0)</f>
        <v>0.375</v>
      </c>
    </row>
    <row r="1051" spans="1:6" ht="30" customHeight="1" x14ac:dyDescent="0.3">
      <c r="A1051" s="26" t="s">
        <v>3788</v>
      </c>
      <c r="B1051" s="27" t="s">
        <v>3789</v>
      </c>
      <c r="C1051" s="180">
        <v>41621</v>
      </c>
      <c r="D1051" s="28">
        <v>24</v>
      </c>
      <c r="E1051" s="49">
        <v>9</v>
      </c>
      <c r="F1051" s="211">
        <f>IFERROR(Tableau6[[#This Row],[Score]]/Tableau6[[#This Row],[Nb]],0)</f>
        <v>0.375</v>
      </c>
    </row>
    <row r="1052" spans="1:6" ht="30" customHeight="1" x14ac:dyDescent="0.3">
      <c r="A1052" s="26" t="s">
        <v>830</v>
      </c>
      <c r="B1052" s="27" t="s">
        <v>845</v>
      </c>
      <c r="C1052" s="180">
        <v>41621</v>
      </c>
      <c r="D1052" s="28">
        <v>24</v>
      </c>
      <c r="E1052" s="49">
        <v>9</v>
      </c>
      <c r="F1052" s="211">
        <f>IFERROR(Tableau6[[#This Row],[Score]]/Tableau6[[#This Row],[Nb]],0)</f>
        <v>0.375</v>
      </c>
    </row>
    <row r="1053" spans="1:6" ht="30" customHeight="1" x14ac:dyDescent="0.3">
      <c r="A1053" s="26" t="s">
        <v>576</v>
      </c>
      <c r="B1053" s="152" t="s">
        <v>6094</v>
      </c>
      <c r="C1053" s="180">
        <v>43603</v>
      </c>
      <c r="D1053" s="28">
        <v>16</v>
      </c>
      <c r="E1053" s="49">
        <v>6</v>
      </c>
      <c r="F1053" s="211">
        <f>IFERROR(Tableau6[[#This Row],[Score]]/Tableau6[[#This Row],[Nb]],0)</f>
        <v>0.375</v>
      </c>
    </row>
    <row r="1054" spans="1:6" ht="30" customHeight="1" x14ac:dyDescent="0.3">
      <c r="A1054" s="26" t="s">
        <v>2652</v>
      </c>
      <c r="B1054" s="27" t="s">
        <v>2653</v>
      </c>
      <c r="C1054" s="180">
        <v>43872</v>
      </c>
      <c r="D1054" s="28">
        <v>24</v>
      </c>
      <c r="E1054" s="49">
        <v>9</v>
      </c>
      <c r="F1054" s="211">
        <f>IFERROR(Tableau6[[#This Row],[Score]]/Tableau6[[#This Row],[Nb]],0)</f>
        <v>0.375</v>
      </c>
    </row>
    <row r="1055" spans="1:6" ht="30" customHeight="1" x14ac:dyDescent="0.3">
      <c r="A1055" s="26" t="s">
        <v>4425</v>
      </c>
      <c r="B1055" s="27" t="s">
        <v>4426</v>
      </c>
      <c r="C1055" s="180">
        <v>44299</v>
      </c>
      <c r="D1055" s="28">
        <v>24</v>
      </c>
      <c r="E1055" s="49">
        <v>9</v>
      </c>
      <c r="F1055" s="211">
        <f>IFERROR(Tableau6[[#This Row],[Score]]/Tableau6[[#This Row],[Nb]],0)</f>
        <v>0.375</v>
      </c>
    </row>
    <row r="1056" spans="1:6" ht="30" customHeight="1" x14ac:dyDescent="0.3">
      <c r="A1056" s="26" t="s">
        <v>5019</v>
      </c>
      <c r="B1056" s="27" t="s">
        <v>5020</v>
      </c>
      <c r="C1056" s="180">
        <v>44442</v>
      </c>
      <c r="D1056" s="28">
        <v>16</v>
      </c>
      <c r="E1056" s="49">
        <v>6</v>
      </c>
      <c r="F1056" s="211">
        <f>IFERROR(Tableau6[[#This Row],[Score]]/Tableau6[[#This Row],[Nb]],0)</f>
        <v>0.375</v>
      </c>
    </row>
    <row r="1057" spans="1:6" ht="30" customHeight="1" x14ac:dyDescent="0.3">
      <c r="A1057" s="151" t="s">
        <v>5487</v>
      </c>
      <c r="B1057" s="152" t="s">
        <v>5488</v>
      </c>
      <c r="C1057" s="208">
        <v>44583</v>
      </c>
      <c r="D1057" s="154">
        <v>16</v>
      </c>
      <c r="E1057" s="154">
        <v>6</v>
      </c>
      <c r="F1057" s="211">
        <f>IFERROR(Tableau6[[#This Row],[Score]]/Tableau6[[#This Row],[Nb]],0)</f>
        <v>0.375</v>
      </c>
    </row>
    <row r="1058" spans="1:6" ht="30" customHeight="1" x14ac:dyDescent="0.3">
      <c r="A1058" s="26" t="s">
        <v>454</v>
      </c>
      <c r="B1058" s="27" t="s">
        <v>456</v>
      </c>
      <c r="C1058" s="180">
        <v>40611</v>
      </c>
      <c r="D1058" s="28">
        <v>29</v>
      </c>
      <c r="E1058" s="49">
        <v>11</v>
      </c>
      <c r="F1058" s="211">
        <f>IFERROR(Tableau6[[#This Row],[Score]]/Tableau6[[#This Row],[Nb]],0)</f>
        <v>0.37931034482758619</v>
      </c>
    </row>
    <row r="1059" spans="1:6" ht="30" customHeight="1" x14ac:dyDescent="0.3">
      <c r="A1059" s="26" t="s">
        <v>2452</v>
      </c>
      <c r="B1059" s="27" t="s">
        <v>2453</v>
      </c>
      <c r="C1059" s="180">
        <v>43776</v>
      </c>
      <c r="D1059" s="28">
        <v>29</v>
      </c>
      <c r="E1059" s="49">
        <v>11</v>
      </c>
      <c r="F1059" s="211">
        <f>IFERROR(Tableau6[[#This Row],[Score]]/Tableau6[[#This Row],[Nb]],0)</f>
        <v>0.37931034482758619</v>
      </c>
    </row>
    <row r="1060" spans="1:6" ht="30" customHeight="1" x14ac:dyDescent="0.3">
      <c r="A1060" s="26" t="s">
        <v>3264</v>
      </c>
      <c r="B1060" s="27" t="s">
        <v>3263</v>
      </c>
      <c r="C1060" s="180">
        <v>44026</v>
      </c>
      <c r="D1060" s="28">
        <v>29</v>
      </c>
      <c r="E1060" s="49">
        <v>11</v>
      </c>
      <c r="F1060" s="211">
        <f>IFERROR(Tableau6[[#This Row],[Score]]/Tableau6[[#This Row],[Nb]],0)</f>
        <v>0.37931034482758619</v>
      </c>
    </row>
    <row r="1061" spans="1:6" ht="30" customHeight="1" x14ac:dyDescent="0.3">
      <c r="A1061" s="26" t="s">
        <v>1996</v>
      </c>
      <c r="B1061" s="27" t="s">
        <v>1997</v>
      </c>
      <c r="C1061" s="180">
        <v>43605</v>
      </c>
      <c r="D1061" s="28">
        <v>21</v>
      </c>
      <c r="E1061" s="49">
        <v>8</v>
      </c>
      <c r="F1061" s="211">
        <f>IFERROR(Tableau6[[#This Row],[Score]]/Tableau6[[#This Row],[Nb]],0)</f>
        <v>0.38095238095238093</v>
      </c>
    </row>
    <row r="1062" spans="1:6" ht="30" customHeight="1" x14ac:dyDescent="0.3">
      <c r="A1062" s="26" t="s">
        <v>2846</v>
      </c>
      <c r="B1062" s="27" t="s">
        <v>2847</v>
      </c>
      <c r="C1062" s="180">
        <v>43969</v>
      </c>
      <c r="D1062" s="28">
        <v>21</v>
      </c>
      <c r="E1062" s="49">
        <v>8</v>
      </c>
      <c r="F1062" s="211">
        <f>IFERROR(Tableau6[[#This Row],[Score]]/Tableau6[[#This Row],[Nb]],0)</f>
        <v>0.38095238095238093</v>
      </c>
    </row>
    <row r="1063" spans="1:6" ht="30" customHeight="1" x14ac:dyDescent="0.3">
      <c r="A1063" s="26" t="s">
        <v>960</v>
      </c>
      <c r="B1063" s="27" t="s">
        <v>739</v>
      </c>
      <c r="C1063" s="180">
        <v>41621</v>
      </c>
      <c r="D1063" s="28">
        <v>13</v>
      </c>
      <c r="E1063" s="49">
        <v>5</v>
      </c>
      <c r="F1063" s="211">
        <f>IFERROR(Tableau6[[#This Row],[Score]]/Tableau6[[#This Row],[Nb]],0)</f>
        <v>0.38461538461538464</v>
      </c>
    </row>
    <row r="1064" spans="1:6" ht="30" customHeight="1" x14ac:dyDescent="0.3">
      <c r="A1064" s="26" t="s">
        <v>955</v>
      </c>
      <c r="B1064" s="27" t="s">
        <v>621</v>
      </c>
      <c r="C1064" s="180">
        <v>41621</v>
      </c>
      <c r="D1064" s="28">
        <v>13</v>
      </c>
      <c r="E1064" s="49">
        <v>5</v>
      </c>
      <c r="F1064" s="211">
        <f>IFERROR(Tableau6[[#This Row],[Score]]/Tableau6[[#This Row],[Nb]],0)</f>
        <v>0.38461538461538464</v>
      </c>
    </row>
    <row r="1065" spans="1:6" ht="30" customHeight="1" x14ac:dyDescent="0.3">
      <c r="A1065" s="26" t="s">
        <v>4228</v>
      </c>
      <c r="B1065" s="27" t="s">
        <v>219</v>
      </c>
      <c r="C1065" s="180">
        <v>43400</v>
      </c>
      <c r="D1065" s="28">
        <v>26</v>
      </c>
      <c r="E1065" s="49">
        <v>10</v>
      </c>
      <c r="F1065" s="211">
        <f>IFERROR(Tableau6[[#This Row],[Score]]/Tableau6[[#This Row],[Nb]],0)</f>
        <v>0.38461538461538464</v>
      </c>
    </row>
    <row r="1066" spans="1:6" ht="30" customHeight="1" x14ac:dyDescent="0.3">
      <c r="A1066" s="26" t="s">
        <v>4748</v>
      </c>
      <c r="B1066" s="27" t="s">
        <v>4749</v>
      </c>
      <c r="C1066" s="180">
        <v>44369</v>
      </c>
      <c r="D1066" s="28">
        <v>13</v>
      </c>
      <c r="E1066" s="49">
        <v>5</v>
      </c>
      <c r="F1066" s="211">
        <f>IFERROR(Tableau6[[#This Row],[Score]]/Tableau6[[#This Row],[Nb]],0)</f>
        <v>0.38461538461538464</v>
      </c>
    </row>
    <row r="1067" spans="1:6" ht="30" customHeight="1" x14ac:dyDescent="0.3">
      <c r="A1067" s="151" t="s">
        <v>5325</v>
      </c>
      <c r="B1067" s="152" t="s">
        <v>5348</v>
      </c>
      <c r="C1067" s="208">
        <v>44534</v>
      </c>
      <c r="D1067" s="154">
        <v>13</v>
      </c>
      <c r="E1067" s="154">
        <v>5</v>
      </c>
      <c r="F1067" s="211">
        <f>IFERROR(Tableau6[[#This Row],[Score]]/Tableau6[[#This Row],[Nb]],0)</f>
        <v>0.38461538461538464</v>
      </c>
    </row>
    <row r="1068" spans="1:6" ht="30" customHeight="1" x14ac:dyDescent="0.3">
      <c r="A1068" s="151" t="s">
        <v>5587</v>
      </c>
      <c r="B1068" s="152" t="s">
        <v>5588</v>
      </c>
      <c r="C1068" s="208">
        <v>44596</v>
      </c>
      <c r="D1068" s="154">
        <v>13</v>
      </c>
      <c r="E1068" s="154">
        <v>5</v>
      </c>
      <c r="F1068" s="211">
        <f>IFERROR(Tableau6[[#This Row],[Score]]/Tableau6[[#This Row],[Nb]],0)</f>
        <v>0.38461538461538464</v>
      </c>
    </row>
    <row r="1069" spans="1:6" ht="30" customHeight="1" x14ac:dyDescent="0.3">
      <c r="A1069" s="151" t="s">
        <v>5609</v>
      </c>
      <c r="B1069" s="152" t="s">
        <v>5645</v>
      </c>
      <c r="C1069" s="208">
        <v>44602</v>
      </c>
      <c r="D1069" s="154">
        <v>13</v>
      </c>
      <c r="E1069" s="154">
        <v>5</v>
      </c>
      <c r="F1069" s="211">
        <f>IFERROR(Tableau6[[#This Row],[Score]]/Tableau6[[#This Row],[Nb]],0)</f>
        <v>0.38461538461538464</v>
      </c>
    </row>
    <row r="1070" spans="1:6" ht="30" customHeight="1" x14ac:dyDescent="0.3">
      <c r="A1070" s="151" t="s">
        <v>5612</v>
      </c>
      <c r="B1070" s="152" t="s">
        <v>5613</v>
      </c>
      <c r="C1070" s="208">
        <v>44603</v>
      </c>
      <c r="D1070" s="154">
        <v>13</v>
      </c>
      <c r="E1070" s="154">
        <v>5</v>
      </c>
      <c r="F1070" s="211">
        <f>IFERROR(Tableau6[[#This Row],[Score]]/Tableau6[[#This Row],[Nb]],0)</f>
        <v>0.38461538461538464</v>
      </c>
    </row>
    <row r="1071" spans="1:6" ht="30" customHeight="1" x14ac:dyDescent="0.3">
      <c r="A1071" s="26" t="s">
        <v>4603</v>
      </c>
      <c r="B1071" s="27" t="s">
        <v>4604</v>
      </c>
      <c r="C1071" s="180">
        <v>44334</v>
      </c>
      <c r="D1071" s="28">
        <v>31</v>
      </c>
      <c r="E1071" s="49">
        <v>12</v>
      </c>
      <c r="F1071" s="211">
        <f>IFERROR(Tableau6[[#This Row],[Score]]/Tableau6[[#This Row],[Nb]],0)</f>
        <v>0.38709677419354838</v>
      </c>
    </row>
    <row r="1072" spans="1:6" ht="30" customHeight="1" x14ac:dyDescent="0.3">
      <c r="A1072" s="26" t="s">
        <v>990</v>
      </c>
      <c r="B1072" s="27" t="s">
        <v>854</v>
      </c>
      <c r="C1072" s="180">
        <v>41621</v>
      </c>
      <c r="D1072" s="28">
        <v>18</v>
      </c>
      <c r="E1072" s="49">
        <v>7</v>
      </c>
      <c r="F1072" s="211">
        <f>IFERROR(Tableau6[[#This Row],[Score]]/Tableau6[[#This Row],[Nb]],0)</f>
        <v>0.3888888888888889</v>
      </c>
    </row>
    <row r="1073" spans="1:6" ht="30" customHeight="1" x14ac:dyDescent="0.3">
      <c r="A1073" s="26" t="s">
        <v>2603</v>
      </c>
      <c r="B1073" s="27" t="s">
        <v>2604</v>
      </c>
      <c r="C1073" s="180">
        <v>43848</v>
      </c>
      <c r="D1073" s="28">
        <v>18</v>
      </c>
      <c r="E1073" s="49">
        <v>7</v>
      </c>
      <c r="F1073" s="211">
        <f>IFERROR(Tableau6[[#This Row],[Score]]/Tableau6[[#This Row],[Nb]],0)</f>
        <v>0.3888888888888889</v>
      </c>
    </row>
    <row r="1074" spans="1:6" ht="30" customHeight="1" x14ac:dyDescent="0.3">
      <c r="A1074" s="130" t="s">
        <v>5114</v>
      </c>
      <c r="B1074" s="27" t="s">
        <v>4331</v>
      </c>
      <c r="C1074" s="180">
        <v>43205</v>
      </c>
      <c r="D1074" s="28">
        <v>23</v>
      </c>
      <c r="E1074" s="49">
        <v>9</v>
      </c>
      <c r="F1074" s="211">
        <f>IFERROR(Tableau6[[#This Row],[Score]]/Tableau6[[#This Row],[Nb]],0)</f>
        <v>0.39130434782608697</v>
      </c>
    </row>
    <row r="1075" spans="1:6" ht="30" customHeight="1" x14ac:dyDescent="0.3">
      <c r="A1075" s="26" t="s">
        <v>4079</v>
      </c>
      <c r="B1075" s="27" t="s">
        <v>87</v>
      </c>
      <c r="C1075" s="180">
        <v>43341</v>
      </c>
      <c r="D1075" s="28">
        <v>23</v>
      </c>
      <c r="E1075" s="49">
        <v>9</v>
      </c>
      <c r="F1075" s="211">
        <f>IFERROR(Tableau6[[#This Row],[Score]]/Tableau6[[#This Row],[Nb]],0)</f>
        <v>0.39130434782608697</v>
      </c>
    </row>
    <row r="1076" spans="1:6" ht="30" customHeight="1" x14ac:dyDescent="0.3">
      <c r="A1076" s="26" t="s">
        <v>212</v>
      </c>
      <c r="B1076" s="152" t="s">
        <v>5161</v>
      </c>
      <c r="C1076" s="180">
        <v>43401</v>
      </c>
      <c r="D1076" s="28">
        <v>23</v>
      </c>
      <c r="E1076" s="49">
        <v>9</v>
      </c>
      <c r="F1076" s="211">
        <f>IFERROR(Tableau6[[#This Row],[Score]]/Tableau6[[#This Row],[Nb]],0)</f>
        <v>0.39130434782608697</v>
      </c>
    </row>
    <row r="1077" spans="1:6" ht="30" customHeight="1" x14ac:dyDescent="0.3">
      <c r="A1077" s="26" t="s">
        <v>2707</v>
      </c>
      <c r="B1077" s="27" t="s">
        <v>2708</v>
      </c>
      <c r="C1077" s="180">
        <v>43895</v>
      </c>
      <c r="D1077" s="28">
        <v>23</v>
      </c>
      <c r="E1077" s="49">
        <v>9</v>
      </c>
      <c r="F1077" s="211">
        <f>IFERROR(Tableau6[[#This Row],[Score]]/Tableau6[[#This Row],[Nb]],0)</f>
        <v>0.39130434782608697</v>
      </c>
    </row>
    <row r="1078" spans="1:6" ht="30" customHeight="1" x14ac:dyDescent="0.3">
      <c r="A1078" s="26" t="s">
        <v>3246</v>
      </c>
      <c r="B1078" s="27" t="s">
        <v>2552</v>
      </c>
      <c r="C1078" s="180">
        <v>44026</v>
      </c>
      <c r="D1078" s="28">
        <v>23</v>
      </c>
      <c r="E1078" s="49">
        <v>9</v>
      </c>
      <c r="F1078" s="211">
        <f>IFERROR(Tableau6[[#This Row],[Score]]/Tableau6[[#This Row],[Nb]],0)</f>
        <v>0.39130434782608697</v>
      </c>
    </row>
    <row r="1079" spans="1:6" ht="30" customHeight="1" x14ac:dyDescent="0.3">
      <c r="A1079" s="26" t="s">
        <v>3735</v>
      </c>
      <c r="B1079" s="27" t="s">
        <v>3736</v>
      </c>
      <c r="C1079" s="180">
        <v>44249</v>
      </c>
      <c r="D1079" s="28">
        <v>23</v>
      </c>
      <c r="E1079" s="49">
        <v>9</v>
      </c>
      <c r="F1079" s="211">
        <f>IFERROR(Tableau6[[#This Row],[Score]]/Tableau6[[#This Row],[Nb]],0)</f>
        <v>0.39130434782608697</v>
      </c>
    </row>
    <row r="1080" spans="1:6" ht="30" customHeight="1" x14ac:dyDescent="0.3">
      <c r="A1080" s="26" t="s">
        <v>3960</v>
      </c>
      <c r="B1080" s="27" t="s">
        <v>3961</v>
      </c>
      <c r="C1080" s="180">
        <v>44262</v>
      </c>
      <c r="D1080" s="28">
        <v>23</v>
      </c>
      <c r="E1080" s="49">
        <v>9</v>
      </c>
      <c r="F1080" s="211">
        <f>IFERROR(Tableau6[[#This Row],[Score]]/Tableau6[[#This Row],[Nb]],0)</f>
        <v>0.39130434782608697</v>
      </c>
    </row>
    <row r="1081" spans="1:6" ht="30" customHeight="1" x14ac:dyDescent="0.3">
      <c r="A1081" s="26" t="s">
        <v>4113</v>
      </c>
      <c r="B1081" s="27" t="s">
        <v>4114</v>
      </c>
      <c r="C1081" s="180">
        <v>44269</v>
      </c>
      <c r="D1081" s="28">
        <v>28</v>
      </c>
      <c r="E1081" s="49">
        <v>11</v>
      </c>
      <c r="F1081" s="211">
        <f>IFERROR(Tableau6[[#This Row],[Score]]/Tableau6[[#This Row],[Nb]],0)</f>
        <v>0.39285714285714285</v>
      </c>
    </row>
    <row r="1082" spans="1:6" ht="30" customHeight="1" x14ac:dyDescent="0.3">
      <c r="A1082" s="26" t="s">
        <v>407</v>
      </c>
      <c r="B1082" s="27" t="s">
        <v>408</v>
      </c>
      <c r="C1082" s="180">
        <v>40611</v>
      </c>
      <c r="D1082" s="28">
        <v>10</v>
      </c>
      <c r="E1082" s="49">
        <v>4</v>
      </c>
      <c r="F1082" s="211">
        <f>IFERROR(Tableau6[[#This Row],[Score]]/Tableau6[[#This Row],[Nb]],0)</f>
        <v>0.4</v>
      </c>
    </row>
    <row r="1083" spans="1:6" ht="30" customHeight="1" x14ac:dyDescent="0.3">
      <c r="A1083" s="26" t="s">
        <v>281</v>
      </c>
      <c r="B1083" s="27" t="s">
        <v>282</v>
      </c>
      <c r="C1083" s="180">
        <v>40611</v>
      </c>
      <c r="D1083" s="28">
        <v>25</v>
      </c>
      <c r="E1083" s="49">
        <v>10</v>
      </c>
      <c r="F1083" s="211">
        <f>IFERROR(Tableau6[[#This Row],[Score]]/Tableau6[[#This Row],[Nb]],0)</f>
        <v>0.4</v>
      </c>
    </row>
    <row r="1084" spans="1:6" ht="30" customHeight="1" x14ac:dyDescent="0.3">
      <c r="A1084" s="26" t="s">
        <v>507</v>
      </c>
      <c r="B1084" s="27" t="s">
        <v>508</v>
      </c>
      <c r="C1084" s="180">
        <v>40611</v>
      </c>
      <c r="D1084" s="28">
        <v>20</v>
      </c>
      <c r="E1084" s="49">
        <v>8</v>
      </c>
      <c r="F1084" s="211">
        <f>IFERROR(Tableau6[[#This Row],[Score]]/Tableau6[[#This Row],[Nb]],0)</f>
        <v>0.4</v>
      </c>
    </row>
    <row r="1085" spans="1:6" ht="30" customHeight="1" x14ac:dyDescent="0.3">
      <c r="A1085" s="26" t="s">
        <v>4453</v>
      </c>
      <c r="B1085" s="152" t="s">
        <v>5438</v>
      </c>
      <c r="C1085" s="180">
        <v>40611</v>
      </c>
      <c r="D1085" s="28">
        <v>10</v>
      </c>
      <c r="E1085" s="49">
        <v>4</v>
      </c>
      <c r="F1085" s="211">
        <f>IFERROR(Tableau6[[#This Row],[Score]]/Tableau6[[#This Row],[Nb]],0)</f>
        <v>0.4</v>
      </c>
    </row>
    <row r="1086" spans="1:6" ht="30" customHeight="1" x14ac:dyDescent="0.3">
      <c r="A1086" s="26" t="s">
        <v>921</v>
      </c>
      <c r="B1086" s="27" t="s">
        <v>768</v>
      </c>
      <c r="C1086" s="180">
        <v>41621</v>
      </c>
      <c r="D1086" s="28">
        <v>20</v>
      </c>
      <c r="E1086" s="49">
        <v>8</v>
      </c>
      <c r="F1086" s="211">
        <f>IFERROR(Tableau6[[#This Row],[Score]]/Tableau6[[#This Row],[Nb]],0)</f>
        <v>0.4</v>
      </c>
    </row>
    <row r="1087" spans="1:6" ht="30" customHeight="1" x14ac:dyDescent="0.3">
      <c r="A1087" s="26" t="s">
        <v>1000</v>
      </c>
      <c r="B1087" s="27" t="s">
        <v>885</v>
      </c>
      <c r="C1087" s="180">
        <v>41621</v>
      </c>
      <c r="D1087" s="28">
        <v>20</v>
      </c>
      <c r="E1087" s="49">
        <v>8</v>
      </c>
      <c r="F1087" s="211">
        <f>IFERROR(Tableau6[[#This Row],[Score]]/Tableau6[[#This Row],[Nb]],0)</f>
        <v>0.4</v>
      </c>
    </row>
    <row r="1088" spans="1:6" ht="30" customHeight="1" x14ac:dyDescent="0.3">
      <c r="A1088" s="26" t="s">
        <v>232</v>
      </c>
      <c r="B1088" s="27" t="s">
        <v>233</v>
      </c>
      <c r="C1088" s="180">
        <v>43398</v>
      </c>
      <c r="D1088" s="28">
        <v>15</v>
      </c>
      <c r="E1088" s="49">
        <v>6</v>
      </c>
      <c r="F1088" s="211">
        <f>IFERROR(Tableau6[[#This Row],[Score]]/Tableau6[[#This Row],[Nb]],0)</f>
        <v>0.4</v>
      </c>
    </row>
    <row r="1089" spans="1:6" ht="30" customHeight="1" x14ac:dyDescent="0.3">
      <c r="A1089" s="26" t="s">
        <v>1401</v>
      </c>
      <c r="B1089" s="27" t="s">
        <v>1402</v>
      </c>
      <c r="C1089" s="180">
        <v>43450</v>
      </c>
      <c r="D1089" s="28">
        <v>20</v>
      </c>
      <c r="E1089" s="49">
        <v>8</v>
      </c>
      <c r="F1089" s="211">
        <f>IFERROR(Tableau6[[#This Row],[Score]]/Tableau6[[#This Row],[Nb]],0)</f>
        <v>0.4</v>
      </c>
    </row>
    <row r="1090" spans="1:6" ht="30" customHeight="1" x14ac:dyDescent="0.3">
      <c r="A1090" s="151" t="s">
        <v>5806</v>
      </c>
      <c r="B1090" s="152" t="s">
        <v>5807</v>
      </c>
      <c r="C1090" s="180">
        <v>43767</v>
      </c>
      <c r="D1090" s="28">
        <v>20</v>
      </c>
      <c r="E1090" s="49">
        <v>8</v>
      </c>
      <c r="F1090" s="211">
        <f>IFERROR(Tableau6[[#This Row],[Score]]/Tableau6[[#This Row],[Nb]],0)</f>
        <v>0.4</v>
      </c>
    </row>
    <row r="1091" spans="1:6" ht="30" customHeight="1" x14ac:dyDescent="0.3">
      <c r="A1091" s="26" t="s">
        <v>4994</v>
      </c>
      <c r="B1091" s="27" t="s">
        <v>4993</v>
      </c>
      <c r="C1091" s="180">
        <v>44434</v>
      </c>
      <c r="D1091" s="28">
        <v>10</v>
      </c>
      <c r="E1091" s="49">
        <v>4</v>
      </c>
      <c r="F1091" s="211">
        <f>IFERROR(Tableau6[[#This Row],[Score]]/Tableau6[[#This Row],[Nb]],0)</f>
        <v>0.4</v>
      </c>
    </row>
    <row r="1092" spans="1:6" ht="30" customHeight="1" x14ac:dyDescent="0.3">
      <c r="A1092" s="107" t="s">
        <v>5098</v>
      </c>
      <c r="B1092" s="108" t="s">
        <v>5099</v>
      </c>
      <c r="C1092" s="198">
        <v>44464</v>
      </c>
      <c r="D1092" s="109">
        <v>10</v>
      </c>
      <c r="E1092" s="109">
        <v>4</v>
      </c>
      <c r="F1092" s="211">
        <f>IFERROR(Tableau6[[#This Row],[Score]]/Tableau6[[#This Row],[Nb]],0)</f>
        <v>0.4</v>
      </c>
    </row>
    <row r="1093" spans="1:6" ht="30" customHeight="1" x14ac:dyDescent="0.3">
      <c r="A1093" s="151" t="s">
        <v>5179</v>
      </c>
      <c r="B1093" s="152" t="s">
        <v>5180</v>
      </c>
      <c r="C1093" s="208">
        <v>44494</v>
      </c>
      <c r="D1093" s="154">
        <v>10</v>
      </c>
      <c r="E1093" s="154">
        <v>4</v>
      </c>
      <c r="F1093" s="211">
        <f>IFERROR(Tableau6[[#This Row],[Score]]/Tableau6[[#This Row],[Nb]],0)</f>
        <v>0.4</v>
      </c>
    </row>
    <row r="1094" spans="1:6" ht="30" customHeight="1" x14ac:dyDescent="0.3">
      <c r="A1094" s="151" t="s">
        <v>5339</v>
      </c>
      <c r="B1094" s="152" t="s">
        <v>5340</v>
      </c>
      <c r="C1094" s="208">
        <v>44540</v>
      </c>
      <c r="D1094" s="154">
        <v>10</v>
      </c>
      <c r="E1094" s="154">
        <v>4</v>
      </c>
      <c r="F1094" s="211">
        <f>IFERROR(Tableau6[[#This Row],[Score]]/Tableau6[[#This Row],[Nb]],0)</f>
        <v>0.4</v>
      </c>
    </row>
    <row r="1095" spans="1:6" ht="30" customHeight="1" x14ac:dyDescent="0.3">
      <c r="A1095" s="151" t="s">
        <v>5603</v>
      </c>
      <c r="B1095" s="152" t="s">
        <v>5604</v>
      </c>
      <c r="C1095" s="208">
        <v>44602</v>
      </c>
      <c r="D1095" s="154">
        <v>10</v>
      </c>
      <c r="E1095" s="154">
        <v>4</v>
      </c>
      <c r="F1095" s="211">
        <f>IFERROR(Tableau6[[#This Row],[Score]]/Tableau6[[#This Row],[Nb]],0)</f>
        <v>0.4</v>
      </c>
    </row>
    <row r="1096" spans="1:6" ht="30" customHeight="1" x14ac:dyDescent="0.3">
      <c r="A1096" s="151" t="s">
        <v>5938</v>
      </c>
      <c r="B1096" s="152" t="s">
        <v>5939</v>
      </c>
      <c r="C1096" s="208">
        <v>44690</v>
      </c>
      <c r="D1096" s="154">
        <v>10</v>
      </c>
      <c r="E1096" s="154">
        <v>4</v>
      </c>
      <c r="F1096" s="211">
        <f>IFERROR(Tableau6[[#This Row],[Score]]/Tableau6[[#This Row],[Nb]],0)</f>
        <v>0.4</v>
      </c>
    </row>
    <row r="1097" spans="1:6" ht="30" customHeight="1" x14ac:dyDescent="0.3">
      <c r="A1097" s="26" t="s">
        <v>3048</v>
      </c>
      <c r="B1097" s="27" t="s">
        <v>3049</v>
      </c>
      <c r="C1097" s="180">
        <v>44004</v>
      </c>
      <c r="D1097" s="28">
        <v>27</v>
      </c>
      <c r="E1097" s="49">
        <v>11</v>
      </c>
      <c r="F1097" s="211">
        <f>IFERROR(Tableau6[[#This Row],[Score]]/Tableau6[[#This Row],[Nb]],0)</f>
        <v>0.40740740740740738</v>
      </c>
    </row>
    <row r="1098" spans="1:6" ht="30" customHeight="1" x14ac:dyDescent="0.3">
      <c r="A1098" s="26" t="s">
        <v>272</v>
      </c>
      <c r="B1098" s="27" t="s">
        <v>3821</v>
      </c>
      <c r="C1098" s="180">
        <v>41621</v>
      </c>
      <c r="D1098" s="28">
        <v>22</v>
      </c>
      <c r="E1098" s="49">
        <v>9</v>
      </c>
      <c r="F1098" s="211">
        <f>IFERROR(Tableau6[[#This Row],[Score]]/Tableau6[[#This Row],[Nb]],0)</f>
        <v>0.40909090909090912</v>
      </c>
    </row>
    <row r="1099" spans="1:6" ht="30" customHeight="1" x14ac:dyDescent="0.3">
      <c r="A1099" s="26" t="s">
        <v>1085</v>
      </c>
      <c r="B1099" s="27" t="s">
        <v>4501</v>
      </c>
      <c r="C1099" s="180">
        <v>41621</v>
      </c>
      <c r="D1099" s="28">
        <v>22</v>
      </c>
      <c r="E1099" s="49">
        <v>9</v>
      </c>
      <c r="F1099" s="211">
        <f>IFERROR(Tableau6[[#This Row],[Score]]/Tableau6[[#This Row],[Nb]],0)</f>
        <v>0.40909090909090912</v>
      </c>
    </row>
    <row r="1100" spans="1:6" ht="30" customHeight="1" x14ac:dyDescent="0.3">
      <c r="A1100" s="26" t="s">
        <v>2989</v>
      </c>
      <c r="B1100" s="27" t="s">
        <v>2988</v>
      </c>
      <c r="C1100" s="180">
        <v>43296</v>
      </c>
      <c r="D1100" s="28">
        <v>22</v>
      </c>
      <c r="E1100" s="49">
        <v>9</v>
      </c>
      <c r="F1100" s="211">
        <f>IFERROR(Tableau6[[#This Row],[Score]]/Tableau6[[#This Row],[Nb]],0)</f>
        <v>0.40909090909090912</v>
      </c>
    </row>
    <row r="1101" spans="1:6" ht="30" customHeight="1" x14ac:dyDescent="0.3">
      <c r="A1101" s="26" t="s">
        <v>143</v>
      </c>
      <c r="B1101" s="27" t="s">
        <v>144</v>
      </c>
      <c r="C1101" s="180">
        <v>43370</v>
      </c>
      <c r="D1101" s="28">
        <v>22</v>
      </c>
      <c r="E1101" s="49">
        <v>9</v>
      </c>
      <c r="F1101" s="211">
        <f>IFERROR(Tableau6[[#This Row],[Score]]/Tableau6[[#This Row],[Nb]],0)</f>
        <v>0.40909090909090912</v>
      </c>
    </row>
    <row r="1102" spans="1:6" ht="30" customHeight="1" x14ac:dyDescent="0.3">
      <c r="A1102" s="26" t="s">
        <v>3399</v>
      </c>
      <c r="B1102" s="27" t="s">
        <v>3398</v>
      </c>
      <c r="C1102" s="180">
        <v>43377</v>
      </c>
      <c r="D1102" s="28">
        <v>22</v>
      </c>
      <c r="E1102" s="49">
        <v>9</v>
      </c>
      <c r="F1102" s="211">
        <f>IFERROR(Tableau6[[#This Row],[Score]]/Tableau6[[#This Row],[Nb]],0)</f>
        <v>0.40909090909090912</v>
      </c>
    </row>
    <row r="1103" spans="1:6" ht="30" customHeight="1" x14ac:dyDescent="0.3">
      <c r="A1103" s="26" t="s">
        <v>2948</v>
      </c>
      <c r="B1103" s="27" t="s">
        <v>2949</v>
      </c>
      <c r="C1103" s="180">
        <v>43984</v>
      </c>
      <c r="D1103" s="28">
        <v>22</v>
      </c>
      <c r="E1103" s="49">
        <v>9</v>
      </c>
      <c r="F1103" s="211">
        <f>IFERROR(Tableau6[[#This Row],[Score]]/Tableau6[[#This Row],[Nb]],0)</f>
        <v>0.40909090909090912</v>
      </c>
    </row>
    <row r="1104" spans="1:6" ht="30" customHeight="1" x14ac:dyDescent="0.3">
      <c r="A1104" s="26" t="s">
        <v>3069</v>
      </c>
      <c r="B1104" s="27" t="s">
        <v>3070</v>
      </c>
      <c r="C1104" s="180">
        <v>44004</v>
      </c>
      <c r="D1104" s="28">
        <v>22</v>
      </c>
      <c r="E1104" s="49">
        <v>9</v>
      </c>
      <c r="F1104" s="211">
        <f>IFERROR(Tableau6[[#This Row],[Score]]/Tableau6[[#This Row],[Nb]],0)</f>
        <v>0.40909090909090912</v>
      </c>
    </row>
    <row r="1105" spans="1:6" ht="30" customHeight="1" x14ac:dyDescent="0.3">
      <c r="A1105" s="26" t="s">
        <v>3037</v>
      </c>
      <c r="B1105" s="27" t="s">
        <v>3038</v>
      </c>
      <c r="C1105" s="180">
        <v>44004</v>
      </c>
      <c r="D1105" s="28">
        <v>22</v>
      </c>
      <c r="E1105" s="49">
        <v>9</v>
      </c>
      <c r="F1105" s="211">
        <f>IFERROR(Tableau6[[#This Row],[Score]]/Tableau6[[#This Row],[Nb]],0)</f>
        <v>0.40909090909090912</v>
      </c>
    </row>
    <row r="1106" spans="1:6" ht="30" customHeight="1" x14ac:dyDescent="0.3">
      <c r="A1106" s="26" t="s">
        <v>415</v>
      </c>
      <c r="B1106" s="27" t="s">
        <v>416</v>
      </c>
      <c r="C1106" s="180">
        <v>40611</v>
      </c>
      <c r="D1106" s="28">
        <v>17</v>
      </c>
      <c r="E1106" s="49">
        <v>7</v>
      </c>
      <c r="F1106" s="211">
        <f>IFERROR(Tableau6[[#This Row],[Score]]/Tableau6[[#This Row],[Nb]],0)</f>
        <v>0.41176470588235292</v>
      </c>
    </row>
    <row r="1107" spans="1:6" ht="30" customHeight="1" x14ac:dyDescent="0.3">
      <c r="A1107" s="26" t="s">
        <v>1319</v>
      </c>
      <c r="B1107" s="27" t="s">
        <v>4948</v>
      </c>
      <c r="C1107" s="180">
        <v>43341</v>
      </c>
      <c r="D1107" s="28">
        <v>17</v>
      </c>
      <c r="E1107" s="49">
        <v>7</v>
      </c>
      <c r="F1107" s="211">
        <f>IFERROR(Tableau6[[#This Row],[Score]]/Tableau6[[#This Row],[Nb]],0)</f>
        <v>0.41176470588235292</v>
      </c>
    </row>
    <row r="1108" spans="1:6" ht="30" customHeight="1" x14ac:dyDescent="0.3">
      <c r="A1108" s="26" t="s">
        <v>4743</v>
      </c>
      <c r="B1108" s="27" t="s">
        <v>4742</v>
      </c>
      <c r="C1108" s="180">
        <v>43605</v>
      </c>
      <c r="D1108" s="28">
        <v>17</v>
      </c>
      <c r="E1108" s="49">
        <v>7</v>
      </c>
      <c r="F1108" s="211">
        <f>IFERROR(Tableau6[[#This Row],[Score]]/Tableau6[[#This Row],[Nb]],0)</f>
        <v>0.41176470588235292</v>
      </c>
    </row>
    <row r="1109" spans="1:6" ht="30" customHeight="1" x14ac:dyDescent="0.3">
      <c r="A1109" s="151" t="s">
        <v>5323</v>
      </c>
      <c r="B1109" s="152" t="s">
        <v>5324</v>
      </c>
      <c r="C1109" s="208">
        <v>44534</v>
      </c>
      <c r="D1109" s="154">
        <v>17</v>
      </c>
      <c r="E1109" s="154">
        <v>7</v>
      </c>
      <c r="F1109" s="211">
        <f>IFERROR(Tableau6[[#This Row],[Score]]/Tableau6[[#This Row],[Nb]],0)</f>
        <v>0.41176470588235292</v>
      </c>
    </row>
    <row r="1110" spans="1:6" ht="30" customHeight="1" x14ac:dyDescent="0.3">
      <c r="A1110" s="26" t="s">
        <v>2291</v>
      </c>
      <c r="B1110" s="27" t="s">
        <v>2292</v>
      </c>
      <c r="C1110" s="180">
        <v>43767</v>
      </c>
      <c r="D1110" s="28">
        <v>29</v>
      </c>
      <c r="E1110" s="49">
        <v>12</v>
      </c>
      <c r="F1110" s="211">
        <f>IFERROR(Tableau6[[#This Row],[Score]]/Tableau6[[#This Row],[Nb]],0)</f>
        <v>0.41379310344827586</v>
      </c>
    </row>
    <row r="1111" spans="1:6" ht="30" customHeight="1" x14ac:dyDescent="0.3">
      <c r="A1111" s="26" t="s">
        <v>3255</v>
      </c>
      <c r="B1111" s="27" t="s">
        <v>3256</v>
      </c>
      <c r="C1111" s="180">
        <v>44026</v>
      </c>
      <c r="D1111" s="28">
        <v>29</v>
      </c>
      <c r="E1111" s="49">
        <v>12</v>
      </c>
      <c r="F1111" s="211">
        <f>IFERROR(Tableau6[[#This Row],[Score]]/Tableau6[[#This Row],[Nb]],0)</f>
        <v>0.41379310344827586</v>
      </c>
    </row>
    <row r="1112" spans="1:6" ht="30" customHeight="1" x14ac:dyDescent="0.3">
      <c r="A1112" s="26" t="s">
        <v>3321</v>
      </c>
      <c r="B1112" s="27" t="s">
        <v>3322</v>
      </c>
      <c r="C1112" s="180">
        <v>44042</v>
      </c>
      <c r="D1112" s="28">
        <v>29</v>
      </c>
      <c r="E1112" s="49">
        <v>12</v>
      </c>
      <c r="F1112" s="211">
        <f>IFERROR(Tableau6[[#This Row],[Score]]/Tableau6[[#This Row],[Nb]],0)</f>
        <v>0.41379310344827586</v>
      </c>
    </row>
    <row r="1113" spans="1:6" ht="30" customHeight="1" x14ac:dyDescent="0.3">
      <c r="A1113" s="26" t="s">
        <v>919</v>
      </c>
      <c r="B1113" s="27" t="s">
        <v>779</v>
      </c>
      <c r="C1113" s="180">
        <v>41522</v>
      </c>
      <c r="D1113" s="28">
        <v>24</v>
      </c>
      <c r="E1113" s="49">
        <v>10</v>
      </c>
      <c r="F1113" s="211">
        <f>IFERROR(Tableau6[[#This Row],[Score]]/Tableau6[[#This Row],[Nb]],0)</f>
        <v>0.41666666666666669</v>
      </c>
    </row>
    <row r="1114" spans="1:6" ht="30" customHeight="1" x14ac:dyDescent="0.3">
      <c r="A1114" s="26" t="s">
        <v>1213</v>
      </c>
      <c r="B1114" s="27" t="s">
        <v>4779</v>
      </c>
      <c r="C1114" s="180">
        <v>41621</v>
      </c>
      <c r="D1114" s="28">
        <v>24</v>
      </c>
      <c r="E1114" s="49">
        <v>10</v>
      </c>
      <c r="F1114" s="211">
        <f>IFERROR(Tableau6[[#This Row],[Score]]/Tableau6[[#This Row],[Nb]],0)</f>
        <v>0.41666666666666669</v>
      </c>
    </row>
    <row r="1115" spans="1:6" ht="30" customHeight="1" x14ac:dyDescent="0.3">
      <c r="A1115" s="26" t="s">
        <v>3900</v>
      </c>
      <c r="B1115" s="27" t="s">
        <v>3899</v>
      </c>
      <c r="C1115" s="180">
        <v>41621</v>
      </c>
      <c r="D1115" s="28">
        <v>24</v>
      </c>
      <c r="E1115" s="49">
        <v>10</v>
      </c>
      <c r="F1115" s="211">
        <f>IFERROR(Tableau6[[#This Row],[Score]]/Tableau6[[#This Row],[Nb]],0)</f>
        <v>0.41666666666666669</v>
      </c>
    </row>
    <row r="1116" spans="1:6" ht="30" customHeight="1" x14ac:dyDescent="0.3">
      <c r="A1116" s="26" t="s">
        <v>3796</v>
      </c>
      <c r="B1116" s="27" t="s">
        <v>3795</v>
      </c>
      <c r="C1116" s="180">
        <v>43633</v>
      </c>
      <c r="D1116" s="28">
        <v>12</v>
      </c>
      <c r="E1116" s="49">
        <v>5</v>
      </c>
      <c r="F1116" s="211">
        <f>IFERROR(Tableau6[[#This Row],[Score]]/Tableau6[[#This Row],[Nb]],0)</f>
        <v>0.41666666666666669</v>
      </c>
    </row>
    <row r="1117" spans="1:6" ht="30" customHeight="1" x14ac:dyDescent="0.3">
      <c r="A1117" s="26" t="s">
        <v>2235</v>
      </c>
      <c r="B1117" s="27" t="s">
        <v>2236</v>
      </c>
      <c r="C1117" s="180">
        <v>43752</v>
      </c>
      <c r="D1117" s="28">
        <v>24</v>
      </c>
      <c r="E1117" s="49">
        <v>10</v>
      </c>
      <c r="F1117" s="211">
        <f>IFERROR(Tableau6[[#This Row],[Score]]/Tableau6[[#This Row],[Nb]],0)</f>
        <v>0.41666666666666669</v>
      </c>
    </row>
    <row r="1118" spans="1:6" ht="30" customHeight="1" x14ac:dyDescent="0.3">
      <c r="A1118" s="26" t="s">
        <v>4057</v>
      </c>
      <c r="B1118" s="27" t="s">
        <v>2484</v>
      </c>
      <c r="C1118" s="180">
        <v>43787</v>
      </c>
      <c r="D1118" s="28">
        <v>24</v>
      </c>
      <c r="E1118" s="49">
        <v>10</v>
      </c>
      <c r="F1118" s="211">
        <f>IFERROR(Tableau6[[#This Row],[Score]]/Tableau6[[#This Row],[Nb]],0)</f>
        <v>0.41666666666666669</v>
      </c>
    </row>
    <row r="1119" spans="1:6" ht="30" customHeight="1" x14ac:dyDescent="0.3">
      <c r="A1119" s="26" t="s">
        <v>4103</v>
      </c>
      <c r="B1119" s="27" t="s">
        <v>4104</v>
      </c>
      <c r="C1119" s="180">
        <v>44269</v>
      </c>
      <c r="D1119" s="28">
        <v>24</v>
      </c>
      <c r="E1119" s="49">
        <v>10</v>
      </c>
      <c r="F1119" s="211">
        <f>IFERROR(Tableau6[[#This Row],[Score]]/Tableau6[[#This Row],[Nb]],0)</f>
        <v>0.41666666666666669</v>
      </c>
    </row>
    <row r="1120" spans="1:6" ht="30" customHeight="1" x14ac:dyDescent="0.3">
      <c r="A1120" s="26" t="s">
        <v>470</v>
      </c>
      <c r="B1120" s="27" t="s">
        <v>471</v>
      </c>
      <c r="C1120" s="180">
        <v>40611</v>
      </c>
      <c r="D1120" s="28">
        <v>38</v>
      </c>
      <c r="E1120" s="49">
        <v>16</v>
      </c>
      <c r="F1120" s="211">
        <f>IFERROR(Tableau6[[#This Row],[Score]]/Tableau6[[#This Row],[Nb]],0)</f>
        <v>0.42105263157894735</v>
      </c>
    </row>
    <row r="1121" spans="1:6" ht="30" customHeight="1" x14ac:dyDescent="0.3">
      <c r="A1121" s="26" t="s">
        <v>914</v>
      </c>
      <c r="B1121" s="27" t="s">
        <v>870</v>
      </c>
      <c r="C1121" s="180">
        <v>41522</v>
      </c>
      <c r="D1121" s="28">
        <v>19</v>
      </c>
      <c r="E1121" s="49">
        <v>8</v>
      </c>
      <c r="F1121" s="211">
        <f>IFERROR(Tableau6[[#This Row],[Score]]/Tableau6[[#This Row],[Nb]],0)</f>
        <v>0.42105263157894735</v>
      </c>
    </row>
    <row r="1122" spans="1:6" ht="30" customHeight="1" x14ac:dyDescent="0.3">
      <c r="A1122" s="26" t="s">
        <v>3893</v>
      </c>
      <c r="B1122" s="27" t="s">
        <v>3894</v>
      </c>
      <c r="C1122" s="180">
        <v>41621</v>
      </c>
      <c r="D1122" s="28">
        <v>19</v>
      </c>
      <c r="E1122" s="49">
        <v>8</v>
      </c>
      <c r="F1122" s="211">
        <f>IFERROR(Tableau6[[#This Row],[Score]]/Tableau6[[#This Row],[Nb]],0)</f>
        <v>0.42105263157894735</v>
      </c>
    </row>
    <row r="1123" spans="1:6" ht="30" customHeight="1" x14ac:dyDescent="0.3">
      <c r="A1123" s="26" t="s">
        <v>924</v>
      </c>
      <c r="B1123" s="27" t="s">
        <v>925</v>
      </c>
      <c r="C1123" s="180">
        <v>41621</v>
      </c>
      <c r="D1123" s="28">
        <v>19</v>
      </c>
      <c r="E1123" s="49">
        <v>8</v>
      </c>
      <c r="F1123" s="211">
        <f>IFERROR(Tableau6[[#This Row],[Score]]/Tableau6[[#This Row],[Nb]],0)</f>
        <v>0.42105263157894735</v>
      </c>
    </row>
    <row r="1124" spans="1:6" ht="30" customHeight="1" x14ac:dyDescent="0.3">
      <c r="A1124" s="26" t="s">
        <v>1026</v>
      </c>
      <c r="B1124" s="27" t="s">
        <v>783</v>
      </c>
      <c r="C1124" s="180">
        <v>41621</v>
      </c>
      <c r="D1124" s="28">
        <v>19</v>
      </c>
      <c r="E1124" s="49">
        <v>8</v>
      </c>
      <c r="F1124" s="211">
        <f>IFERROR(Tableau6[[#This Row],[Score]]/Tableau6[[#This Row],[Nb]],0)</f>
        <v>0.42105263157894735</v>
      </c>
    </row>
    <row r="1125" spans="1:6" ht="30" customHeight="1" x14ac:dyDescent="0.3">
      <c r="A1125" s="26" t="s">
        <v>683</v>
      </c>
      <c r="B1125" s="27" t="s">
        <v>751</v>
      </c>
      <c r="C1125" s="180">
        <v>43205</v>
      </c>
      <c r="D1125" s="28">
        <v>19</v>
      </c>
      <c r="E1125" s="49">
        <v>8</v>
      </c>
      <c r="F1125" s="211">
        <f>IFERROR(Tableau6[[#This Row],[Score]]/Tableau6[[#This Row],[Nb]],0)</f>
        <v>0.42105263157894735</v>
      </c>
    </row>
    <row r="1126" spans="1:6" ht="30" customHeight="1" x14ac:dyDescent="0.3">
      <c r="A1126" s="26" t="s">
        <v>1050</v>
      </c>
      <c r="B1126" s="27" t="s">
        <v>1084</v>
      </c>
      <c r="C1126" s="180">
        <v>43237</v>
      </c>
      <c r="D1126" s="28">
        <v>19</v>
      </c>
      <c r="E1126" s="49">
        <v>8</v>
      </c>
      <c r="F1126" s="211">
        <f>IFERROR(Tableau6[[#This Row],[Score]]/Tableau6[[#This Row],[Nb]],0)</f>
        <v>0.42105263157894735</v>
      </c>
    </row>
    <row r="1127" spans="1:6" ht="30" customHeight="1" x14ac:dyDescent="0.3">
      <c r="A1127" s="151" t="s">
        <v>5694</v>
      </c>
      <c r="B1127" s="27" t="s">
        <v>267</v>
      </c>
      <c r="C1127" s="180">
        <v>43390</v>
      </c>
      <c r="D1127" s="28">
        <v>19</v>
      </c>
      <c r="E1127" s="49">
        <v>8</v>
      </c>
      <c r="F1127" s="211">
        <f>IFERROR(Tableau6[[#This Row],[Score]]/Tableau6[[#This Row],[Nb]],0)</f>
        <v>0.42105263157894735</v>
      </c>
    </row>
    <row r="1128" spans="1:6" ht="30" customHeight="1" x14ac:dyDescent="0.3">
      <c r="A1128" s="268" t="s">
        <v>1967</v>
      </c>
      <c r="B1128" s="27" t="s">
        <v>4068</v>
      </c>
      <c r="C1128" s="180">
        <v>43605</v>
      </c>
      <c r="D1128" s="28">
        <v>19</v>
      </c>
      <c r="E1128" s="49">
        <v>8</v>
      </c>
      <c r="F1128" s="211">
        <f>IFERROR(Tableau6[[#This Row],[Score]]/Tableau6[[#This Row],[Nb]],0)</f>
        <v>0.42105263157894735</v>
      </c>
    </row>
    <row r="1129" spans="1:6" ht="30" customHeight="1" x14ac:dyDescent="0.3">
      <c r="A1129" s="26" t="s">
        <v>3746</v>
      </c>
      <c r="B1129" s="27" t="s">
        <v>3747</v>
      </c>
      <c r="C1129" s="180">
        <v>44249</v>
      </c>
      <c r="D1129" s="28">
        <v>19</v>
      </c>
      <c r="E1129" s="49">
        <v>8</v>
      </c>
      <c r="F1129" s="211">
        <f>IFERROR(Tableau6[[#This Row],[Score]]/Tableau6[[#This Row],[Nb]],0)</f>
        <v>0.42105263157894735</v>
      </c>
    </row>
    <row r="1130" spans="1:6" ht="30" customHeight="1" x14ac:dyDescent="0.3">
      <c r="A1130" s="26" t="s">
        <v>676</v>
      </c>
      <c r="B1130" s="27" t="s">
        <v>509</v>
      </c>
      <c r="C1130" s="180">
        <v>40611</v>
      </c>
      <c r="D1130" s="28">
        <v>14</v>
      </c>
      <c r="E1130" s="49">
        <v>6</v>
      </c>
      <c r="F1130" s="211">
        <f>IFERROR(Tableau6[[#This Row],[Score]]/Tableau6[[#This Row],[Nb]],0)</f>
        <v>0.42857142857142855</v>
      </c>
    </row>
    <row r="1131" spans="1:6" ht="30" customHeight="1" x14ac:dyDescent="0.3">
      <c r="A1131" s="26" t="s">
        <v>2880</v>
      </c>
      <c r="B1131" s="27" t="s">
        <v>2882</v>
      </c>
      <c r="C1131" s="180">
        <v>41522</v>
      </c>
      <c r="D1131" s="28">
        <v>14</v>
      </c>
      <c r="E1131" s="49">
        <v>6</v>
      </c>
      <c r="F1131" s="211">
        <f>IFERROR(Tableau6[[#This Row],[Score]]/Tableau6[[#This Row],[Nb]],0)</f>
        <v>0.42857142857142855</v>
      </c>
    </row>
    <row r="1132" spans="1:6" ht="30" customHeight="1" x14ac:dyDescent="0.3">
      <c r="A1132" s="26" t="s">
        <v>131</v>
      </c>
      <c r="B1132" s="27" t="s">
        <v>847</v>
      </c>
      <c r="C1132" s="180">
        <v>41621</v>
      </c>
      <c r="D1132" s="28">
        <v>35</v>
      </c>
      <c r="E1132" s="49">
        <v>15</v>
      </c>
      <c r="F1132" s="211">
        <f>IFERROR(Tableau6[[#This Row],[Score]]/Tableau6[[#This Row],[Nb]],0)</f>
        <v>0.42857142857142855</v>
      </c>
    </row>
    <row r="1133" spans="1:6" ht="30" customHeight="1" x14ac:dyDescent="0.3">
      <c r="A1133" s="26" t="s">
        <v>3637</v>
      </c>
      <c r="B1133" s="27" t="s">
        <v>3105</v>
      </c>
      <c r="C1133" s="180">
        <v>41621</v>
      </c>
      <c r="D1133" s="28">
        <v>21</v>
      </c>
      <c r="E1133" s="49">
        <v>9</v>
      </c>
      <c r="F1133" s="211">
        <f>IFERROR(Tableau6[[#This Row],[Score]]/Tableau6[[#This Row],[Nb]],0)</f>
        <v>0.42857142857142855</v>
      </c>
    </row>
    <row r="1134" spans="1:6" ht="30" customHeight="1" x14ac:dyDescent="0.3">
      <c r="A1134" s="26" t="s">
        <v>60</v>
      </c>
      <c r="B1134" s="27" t="s">
        <v>61</v>
      </c>
      <c r="C1134" s="180">
        <v>43311</v>
      </c>
      <c r="D1134" s="28">
        <v>21</v>
      </c>
      <c r="E1134" s="49">
        <v>9</v>
      </c>
      <c r="F1134" s="211">
        <f>IFERROR(Tableau6[[#This Row],[Score]]/Tableau6[[#This Row],[Nb]],0)</f>
        <v>0.42857142857142855</v>
      </c>
    </row>
    <row r="1135" spans="1:6" ht="30" customHeight="1" x14ac:dyDescent="0.3">
      <c r="A1135" s="26" t="s">
        <v>530</v>
      </c>
      <c r="B1135" s="27" t="s">
        <v>531</v>
      </c>
      <c r="C1135" s="180">
        <v>43408</v>
      </c>
      <c r="D1135" s="28">
        <v>21</v>
      </c>
      <c r="E1135" s="49">
        <v>9</v>
      </c>
      <c r="F1135" s="211">
        <f>IFERROR(Tableau6[[#This Row],[Score]]/Tableau6[[#This Row],[Nb]],0)</f>
        <v>0.42857142857142855</v>
      </c>
    </row>
    <row r="1136" spans="1:6" ht="30" customHeight="1" x14ac:dyDescent="0.3">
      <c r="A1136" s="26" t="s">
        <v>1394</v>
      </c>
      <c r="B1136" s="27" t="s">
        <v>1395</v>
      </c>
      <c r="C1136" s="180">
        <v>43444</v>
      </c>
      <c r="D1136" s="28">
        <v>21</v>
      </c>
      <c r="E1136" s="49">
        <v>9</v>
      </c>
      <c r="F1136" s="211">
        <f>IFERROR(Tableau6[[#This Row],[Score]]/Tableau6[[#This Row],[Nb]],0)</f>
        <v>0.42857142857142855</v>
      </c>
    </row>
    <row r="1137" spans="1:6" ht="30" customHeight="1" x14ac:dyDescent="0.3">
      <c r="A1137" s="26" t="s">
        <v>1392</v>
      </c>
      <c r="B1137" s="27" t="s">
        <v>1393</v>
      </c>
      <c r="C1137" s="180">
        <v>43444</v>
      </c>
      <c r="D1137" s="28">
        <v>21</v>
      </c>
      <c r="E1137" s="49">
        <v>9</v>
      </c>
      <c r="F1137" s="211">
        <f>IFERROR(Tableau6[[#This Row],[Score]]/Tableau6[[#This Row],[Nb]],0)</f>
        <v>0.42857142857142855</v>
      </c>
    </row>
    <row r="1138" spans="1:6" ht="30" customHeight="1" x14ac:dyDescent="0.3">
      <c r="A1138" s="26" t="s">
        <v>1962</v>
      </c>
      <c r="B1138" s="27" t="s">
        <v>1963</v>
      </c>
      <c r="C1138" s="180">
        <v>43605</v>
      </c>
      <c r="D1138" s="28">
        <v>21</v>
      </c>
      <c r="E1138" s="49">
        <v>9</v>
      </c>
      <c r="F1138" s="211">
        <f>IFERROR(Tableau6[[#This Row],[Score]]/Tableau6[[#This Row],[Nb]],0)</f>
        <v>0.42857142857142855</v>
      </c>
    </row>
    <row r="1139" spans="1:6" ht="30" customHeight="1" x14ac:dyDescent="0.3">
      <c r="A1139" s="26" t="s">
        <v>3433</v>
      </c>
      <c r="B1139" s="27" t="s">
        <v>2303</v>
      </c>
      <c r="C1139" s="180">
        <v>43767</v>
      </c>
      <c r="D1139" s="28">
        <v>21</v>
      </c>
      <c r="E1139" s="49">
        <v>9</v>
      </c>
      <c r="F1139" s="211">
        <f>IFERROR(Tableau6[[#This Row],[Score]]/Tableau6[[#This Row],[Nb]],0)</f>
        <v>0.42857142857142855</v>
      </c>
    </row>
    <row r="1140" spans="1:6" ht="30" customHeight="1" x14ac:dyDescent="0.3">
      <c r="A1140" s="26" t="s">
        <v>2421</v>
      </c>
      <c r="B1140" s="27" t="s">
        <v>2420</v>
      </c>
      <c r="C1140" s="180">
        <v>43776</v>
      </c>
      <c r="D1140" s="28">
        <v>21</v>
      </c>
      <c r="E1140" s="49">
        <v>9</v>
      </c>
      <c r="F1140" s="211">
        <f>IFERROR(Tableau6[[#This Row],[Score]]/Tableau6[[#This Row],[Nb]],0)</f>
        <v>0.42857142857142855</v>
      </c>
    </row>
    <row r="1141" spans="1:6" ht="30" customHeight="1" x14ac:dyDescent="0.3">
      <c r="A1141" s="151" t="s">
        <v>5670</v>
      </c>
      <c r="B1141" s="27" t="s">
        <v>3262</v>
      </c>
      <c r="C1141" s="180">
        <v>44026</v>
      </c>
      <c r="D1141" s="28">
        <v>21</v>
      </c>
      <c r="E1141" s="49">
        <v>9</v>
      </c>
      <c r="F1141" s="211">
        <f>IFERROR(Tableau6[[#This Row],[Score]]/Tableau6[[#This Row],[Nb]],0)</f>
        <v>0.42857142857142855</v>
      </c>
    </row>
    <row r="1142" spans="1:6" ht="30" customHeight="1" x14ac:dyDescent="0.3">
      <c r="A1142" s="26" t="s">
        <v>3195</v>
      </c>
      <c r="B1142" s="27" t="s">
        <v>3196</v>
      </c>
      <c r="C1142" s="180">
        <v>44026</v>
      </c>
      <c r="D1142" s="28">
        <v>42</v>
      </c>
      <c r="E1142" s="49">
        <v>18</v>
      </c>
      <c r="F1142" s="211">
        <f>IFERROR(Tableau6[[#This Row],[Score]]/Tableau6[[#This Row],[Nb]],0)</f>
        <v>0.42857142857142855</v>
      </c>
    </row>
    <row r="1143" spans="1:6" ht="30" customHeight="1" x14ac:dyDescent="0.3">
      <c r="A1143" s="26" t="s">
        <v>3201</v>
      </c>
      <c r="B1143" s="27" t="s">
        <v>3202</v>
      </c>
      <c r="C1143" s="180">
        <v>44026</v>
      </c>
      <c r="D1143" s="28">
        <v>21</v>
      </c>
      <c r="E1143" s="49">
        <v>9</v>
      </c>
      <c r="F1143" s="211">
        <f>IFERROR(Tableau6[[#This Row],[Score]]/Tableau6[[#This Row],[Nb]],0)</f>
        <v>0.42857142857142855</v>
      </c>
    </row>
    <row r="1144" spans="1:6" ht="30" customHeight="1" x14ac:dyDescent="0.3">
      <c r="A1144" s="26" t="s">
        <v>3436</v>
      </c>
      <c r="B1144" s="27" t="s">
        <v>3437</v>
      </c>
      <c r="C1144" s="180">
        <v>44053</v>
      </c>
      <c r="D1144" s="28">
        <v>21</v>
      </c>
      <c r="E1144" s="49">
        <v>9</v>
      </c>
      <c r="F1144" s="211">
        <f>IFERROR(Tableau6[[#This Row],[Score]]/Tableau6[[#This Row],[Nb]],0)</f>
        <v>0.42857142857142855</v>
      </c>
    </row>
    <row r="1145" spans="1:6" ht="30" customHeight="1" x14ac:dyDescent="0.3">
      <c r="A1145" s="26" t="s">
        <v>3650</v>
      </c>
      <c r="B1145" s="27" t="s">
        <v>3651</v>
      </c>
      <c r="C1145" s="180">
        <v>44241</v>
      </c>
      <c r="D1145" s="28">
        <v>21</v>
      </c>
      <c r="E1145" s="49">
        <v>9</v>
      </c>
      <c r="F1145" s="211">
        <f>IFERROR(Tableau6[[#This Row],[Score]]/Tableau6[[#This Row],[Nb]],0)</f>
        <v>0.42857142857142855</v>
      </c>
    </row>
    <row r="1146" spans="1:6" ht="30" customHeight="1" x14ac:dyDescent="0.3">
      <c r="A1146" s="26" t="s">
        <v>4270</v>
      </c>
      <c r="B1146" s="27" t="s">
        <v>4271</v>
      </c>
      <c r="C1146" s="180">
        <v>44283</v>
      </c>
      <c r="D1146" s="28">
        <v>14</v>
      </c>
      <c r="E1146" s="49">
        <v>6</v>
      </c>
      <c r="F1146" s="211">
        <f>IFERROR(Tableau6[[#This Row],[Score]]/Tableau6[[#This Row],[Nb]],0)</f>
        <v>0.42857142857142855</v>
      </c>
    </row>
    <row r="1147" spans="1:6" ht="30" customHeight="1" x14ac:dyDescent="0.3">
      <c r="A1147" s="26" t="s">
        <v>4422</v>
      </c>
      <c r="B1147" s="27" t="s">
        <v>4423</v>
      </c>
      <c r="C1147" s="180">
        <v>44299</v>
      </c>
      <c r="D1147" s="28">
        <v>28</v>
      </c>
      <c r="E1147" s="49">
        <v>12</v>
      </c>
      <c r="F1147" s="211">
        <f>IFERROR(Tableau6[[#This Row],[Score]]/Tableau6[[#This Row],[Nb]],0)</f>
        <v>0.42857142857142855</v>
      </c>
    </row>
    <row r="1148" spans="1:6" ht="30" customHeight="1" x14ac:dyDescent="0.3">
      <c r="A1148" s="151" t="s">
        <v>5553</v>
      </c>
      <c r="B1148" s="152" t="s">
        <v>5554</v>
      </c>
      <c r="C1148" s="208">
        <v>44591</v>
      </c>
      <c r="D1148" s="154">
        <v>14</v>
      </c>
      <c r="E1148" s="154">
        <v>6</v>
      </c>
      <c r="F1148" s="211">
        <f>IFERROR(Tableau6[[#This Row],[Score]]/Tableau6[[#This Row],[Nb]],0)</f>
        <v>0.42857142857142855</v>
      </c>
    </row>
    <row r="1149" spans="1:6" ht="30" customHeight="1" x14ac:dyDescent="0.3">
      <c r="A1149" s="151" t="s">
        <v>5618</v>
      </c>
      <c r="B1149" s="152" t="s">
        <v>5617</v>
      </c>
      <c r="C1149" s="208">
        <v>44605</v>
      </c>
      <c r="D1149" s="154">
        <v>7</v>
      </c>
      <c r="E1149" s="154">
        <v>3</v>
      </c>
      <c r="F1149" s="211">
        <f>IFERROR(Tableau6[[#This Row],[Score]]/Tableau6[[#This Row],[Nb]],0)</f>
        <v>0.42857142857142855</v>
      </c>
    </row>
    <row r="1150" spans="1:6" ht="30" customHeight="1" x14ac:dyDescent="0.3">
      <c r="A1150" s="151" t="s">
        <v>5636</v>
      </c>
      <c r="B1150" s="152" t="s">
        <v>5637</v>
      </c>
      <c r="C1150" s="208">
        <v>44608</v>
      </c>
      <c r="D1150" s="154">
        <v>14</v>
      </c>
      <c r="E1150" s="154">
        <v>6</v>
      </c>
      <c r="F1150" s="211">
        <f>IFERROR(Tableau6[[#This Row],[Score]]/Tableau6[[#This Row],[Nb]],0)</f>
        <v>0.42857142857142855</v>
      </c>
    </row>
    <row r="1151" spans="1:6" ht="30" customHeight="1" x14ac:dyDescent="0.3">
      <c r="A1151" s="151" t="s">
        <v>5709</v>
      </c>
      <c r="B1151" s="152" t="s">
        <v>5710</v>
      </c>
      <c r="C1151" s="208">
        <v>44627</v>
      </c>
      <c r="D1151" s="154">
        <v>7</v>
      </c>
      <c r="E1151" s="154">
        <v>3</v>
      </c>
      <c r="F1151" s="211">
        <f>IFERROR(Tableau6[[#This Row],[Score]]/Tableau6[[#This Row],[Nb]],0)</f>
        <v>0.42857142857142855</v>
      </c>
    </row>
    <row r="1152" spans="1:6" ht="30" customHeight="1" x14ac:dyDescent="0.3">
      <c r="A1152" s="151" t="s">
        <v>5884</v>
      </c>
      <c r="B1152" s="152" t="s">
        <v>5885</v>
      </c>
      <c r="C1152" s="208">
        <v>44666</v>
      </c>
      <c r="D1152" s="154">
        <v>7</v>
      </c>
      <c r="E1152" s="154">
        <v>3</v>
      </c>
      <c r="F1152" s="211">
        <f>IFERROR(Tableau6[[#This Row],[Score]]/Tableau6[[#This Row],[Nb]],0)</f>
        <v>0.42857142857142855</v>
      </c>
    </row>
    <row r="1153" spans="1:6" ht="30" customHeight="1" x14ac:dyDescent="0.3">
      <c r="A1153" s="151" t="s">
        <v>6016</v>
      </c>
      <c r="B1153" s="152" t="s">
        <v>6017</v>
      </c>
      <c r="C1153" s="208">
        <v>44710</v>
      </c>
      <c r="D1153" s="154">
        <v>7</v>
      </c>
      <c r="E1153" s="154">
        <v>3</v>
      </c>
      <c r="F1153" s="211">
        <f>IFERROR(Tableau6[[#This Row],[Score]]/Tableau6[[#This Row],[Nb]],0)</f>
        <v>0.42857142857142855</v>
      </c>
    </row>
    <row r="1154" spans="1:6" ht="30" customHeight="1" x14ac:dyDescent="0.3">
      <c r="A1154" s="26" t="s">
        <v>3571</v>
      </c>
      <c r="B1154" s="27" t="s">
        <v>3572</v>
      </c>
      <c r="C1154" s="180">
        <v>43673</v>
      </c>
      <c r="D1154" s="28">
        <v>30</v>
      </c>
      <c r="E1154" s="49">
        <v>13</v>
      </c>
      <c r="F1154" s="211">
        <f>IFERROR(Tableau6[[#This Row],[Score]]/Tableau6[[#This Row],[Nb]],0)</f>
        <v>0.43333333333333335</v>
      </c>
    </row>
    <row r="1155" spans="1:6" ht="30" customHeight="1" x14ac:dyDescent="0.3">
      <c r="A1155" s="26" t="s">
        <v>293</v>
      </c>
      <c r="B1155" s="27" t="s">
        <v>294</v>
      </c>
      <c r="C1155" s="180">
        <v>40611</v>
      </c>
      <c r="D1155" s="28">
        <v>23</v>
      </c>
      <c r="E1155" s="49">
        <v>10</v>
      </c>
      <c r="F1155" s="211">
        <f>IFERROR(Tableau6[[#This Row],[Score]]/Tableau6[[#This Row],[Nb]],0)</f>
        <v>0.43478260869565216</v>
      </c>
    </row>
    <row r="1156" spans="1:6" ht="30" customHeight="1" x14ac:dyDescent="0.3">
      <c r="A1156" s="26" t="s">
        <v>355</v>
      </c>
      <c r="B1156" s="27" t="s">
        <v>356</v>
      </c>
      <c r="C1156" s="180">
        <v>40611</v>
      </c>
      <c r="D1156" s="28">
        <v>23</v>
      </c>
      <c r="E1156" s="49">
        <v>10</v>
      </c>
      <c r="F1156" s="211">
        <f>IFERROR(Tableau6[[#This Row],[Score]]/Tableau6[[#This Row],[Nb]],0)</f>
        <v>0.43478260869565216</v>
      </c>
    </row>
    <row r="1157" spans="1:6" ht="30" customHeight="1" x14ac:dyDescent="0.3">
      <c r="A1157" s="26" t="s">
        <v>1098</v>
      </c>
      <c r="B1157" s="27" t="s">
        <v>1099</v>
      </c>
      <c r="C1157" s="180">
        <v>41621</v>
      </c>
      <c r="D1157" s="28">
        <v>23</v>
      </c>
      <c r="E1157" s="49">
        <v>10</v>
      </c>
      <c r="F1157" s="211">
        <f>IFERROR(Tableau6[[#This Row],[Score]]/Tableau6[[#This Row],[Nb]],0)</f>
        <v>0.43478260869565216</v>
      </c>
    </row>
    <row r="1158" spans="1:6" ht="30" customHeight="1" x14ac:dyDescent="0.3">
      <c r="A1158" s="26" t="s">
        <v>3779</v>
      </c>
      <c r="B1158" s="27" t="s">
        <v>3780</v>
      </c>
      <c r="C1158" s="180">
        <v>43776</v>
      </c>
      <c r="D1158" s="28">
        <v>23</v>
      </c>
      <c r="E1158" s="49">
        <v>10</v>
      </c>
      <c r="F1158" s="211">
        <f>IFERROR(Tableau6[[#This Row],[Score]]/Tableau6[[#This Row],[Nb]],0)</f>
        <v>0.43478260869565216</v>
      </c>
    </row>
    <row r="1159" spans="1:6" ht="30" customHeight="1" x14ac:dyDescent="0.3">
      <c r="A1159" s="26" t="s">
        <v>2462</v>
      </c>
      <c r="B1159" s="27" t="s">
        <v>2463</v>
      </c>
      <c r="C1159" s="180">
        <v>43776</v>
      </c>
      <c r="D1159" s="28">
        <v>23</v>
      </c>
      <c r="E1159" s="49">
        <v>10</v>
      </c>
      <c r="F1159" s="211">
        <f>IFERROR(Tableau6[[#This Row],[Score]]/Tableau6[[#This Row],[Nb]],0)</f>
        <v>0.43478260869565216</v>
      </c>
    </row>
    <row r="1160" spans="1:6" ht="30" customHeight="1" x14ac:dyDescent="0.3">
      <c r="A1160" s="26" t="s">
        <v>2886</v>
      </c>
      <c r="B1160" s="27" t="s">
        <v>2887</v>
      </c>
      <c r="C1160" s="180">
        <v>43969</v>
      </c>
      <c r="D1160" s="28">
        <v>23</v>
      </c>
      <c r="E1160" s="49">
        <v>10</v>
      </c>
      <c r="F1160" s="211">
        <f>IFERROR(Tableau6[[#This Row],[Score]]/Tableau6[[#This Row],[Nb]],0)</f>
        <v>0.43478260869565216</v>
      </c>
    </row>
    <row r="1161" spans="1:6" ht="30" customHeight="1" x14ac:dyDescent="0.3">
      <c r="A1161" s="26" t="s">
        <v>4086</v>
      </c>
      <c r="B1161" s="27" t="s">
        <v>3130</v>
      </c>
      <c r="C1161" s="180">
        <v>44014</v>
      </c>
      <c r="D1161" s="28">
        <v>23</v>
      </c>
      <c r="E1161" s="49">
        <v>10</v>
      </c>
      <c r="F1161" s="211">
        <f>IFERROR(Tableau6[[#This Row],[Score]]/Tableau6[[#This Row],[Nb]],0)</f>
        <v>0.43478260869565216</v>
      </c>
    </row>
    <row r="1162" spans="1:6" ht="30" customHeight="1" x14ac:dyDescent="0.3">
      <c r="A1162" s="26" t="s">
        <v>3946</v>
      </c>
      <c r="B1162" s="27" t="s">
        <v>3947</v>
      </c>
      <c r="C1162" s="180">
        <v>44262</v>
      </c>
      <c r="D1162" s="28">
        <v>23</v>
      </c>
      <c r="E1162" s="49">
        <v>10</v>
      </c>
      <c r="F1162" s="211">
        <f>IFERROR(Tableau6[[#This Row],[Score]]/Tableau6[[#This Row],[Nb]],0)</f>
        <v>0.43478260869565216</v>
      </c>
    </row>
    <row r="1163" spans="1:6" ht="30" customHeight="1" x14ac:dyDescent="0.3">
      <c r="A1163" s="26" t="s">
        <v>4109</v>
      </c>
      <c r="B1163" s="27" t="s">
        <v>4110</v>
      </c>
      <c r="C1163" s="180">
        <v>44269</v>
      </c>
      <c r="D1163" s="28">
        <v>23</v>
      </c>
      <c r="E1163" s="49">
        <v>10</v>
      </c>
      <c r="F1163" s="211">
        <f>IFERROR(Tableau6[[#This Row],[Score]]/Tableau6[[#This Row],[Nb]],0)</f>
        <v>0.43478260869565216</v>
      </c>
    </row>
    <row r="1164" spans="1:6" ht="30" customHeight="1" x14ac:dyDescent="0.3">
      <c r="A1164" s="26" t="s">
        <v>2119</v>
      </c>
      <c r="B1164" s="27" t="s">
        <v>2120</v>
      </c>
      <c r="C1164" s="180">
        <v>43673</v>
      </c>
      <c r="D1164" s="28">
        <v>32</v>
      </c>
      <c r="E1164" s="49">
        <v>14</v>
      </c>
      <c r="F1164" s="211">
        <f>IFERROR(Tableau6[[#This Row],[Score]]/Tableau6[[#This Row],[Nb]],0)</f>
        <v>0.4375</v>
      </c>
    </row>
    <row r="1165" spans="1:6" ht="30" customHeight="1" x14ac:dyDescent="0.3">
      <c r="A1165" s="26" t="s">
        <v>2237</v>
      </c>
      <c r="B1165" s="27" t="s">
        <v>2238</v>
      </c>
      <c r="C1165" s="180">
        <v>43752</v>
      </c>
      <c r="D1165" s="28">
        <v>16</v>
      </c>
      <c r="E1165" s="49">
        <v>7</v>
      </c>
      <c r="F1165" s="211">
        <f>IFERROR(Tableau6[[#This Row],[Score]]/Tableau6[[#This Row],[Nb]],0)</f>
        <v>0.4375</v>
      </c>
    </row>
    <row r="1166" spans="1:6" ht="30" customHeight="1" x14ac:dyDescent="0.3">
      <c r="A1166" s="26" t="s">
        <v>4721</v>
      </c>
      <c r="B1166" s="27" t="s">
        <v>4722</v>
      </c>
      <c r="C1166" s="180">
        <v>44364</v>
      </c>
      <c r="D1166" s="28">
        <v>16</v>
      </c>
      <c r="E1166" s="49">
        <v>7</v>
      </c>
      <c r="F1166" s="211">
        <f>IFERROR(Tableau6[[#This Row],[Score]]/Tableau6[[#This Row],[Nb]],0)</f>
        <v>0.4375</v>
      </c>
    </row>
    <row r="1167" spans="1:6" ht="30" customHeight="1" x14ac:dyDescent="0.3">
      <c r="A1167" s="26" t="s">
        <v>1544</v>
      </c>
      <c r="B1167" s="27" t="s">
        <v>1545</v>
      </c>
      <c r="C1167" s="180">
        <v>41621</v>
      </c>
      <c r="D1167" s="28">
        <v>25</v>
      </c>
      <c r="E1167" s="49">
        <v>11</v>
      </c>
      <c r="F1167" s="211">
        <f>IFERROR(Tableau6[[#This Row],[Score]]/Tableau6[[#This Row],[Nb]],0)</f>
        <v>0.44</v>
      </c>
    </row>
    <row r="1168" spans="1:6" ht="30" customHeight="1" x14ac:dyDescent="0.3">
      <c r="A1168" s="26" t="s">
        <v>4251</v>
      </c>
      <c r="B1168" s="27" t="s">
        <v>4252</v>
      </c>
      <c r="C1168" s="180">
        <v>41621</v>
      </c>
      <c r="D1168" s="28">
        <v>25</v>
      </c>
      <c r="E1168" s="49">
        <v>11</v>
      </c>
      <c r="F1168" s="211">
        <f>IFERROR(Tableau6[[#This Row],[Score]]/Tableau6[[#This Row],[Nb]],0)</f>
        <v>0.44</v>
      </c>
    </row>
    <row r="1169" spans="1:6" ht="30" customHeight="1" x14ac:dyDescent="0.3">
      <c r="A1169" s="26" t="s">
        <v>3901</v>
      </c>
      <c r="B1169" s="27" t="s">
        <v>3902</v>
      </c>
      <c r="C1169" s="180">
        <v>41621</v>
      </c>
      <c r="D1169" s="28">
        <v>25</v>
      </c>
      <c r="E1169" s="49">
        <v>11</v>
      </c>
      <c r="F1169" s="211">
        <f>IFERROR(Tableau6[[#This Row],[Score]]/Tableau6[[#This Row],[Nb]],0)</f>
        <v>0.44</v>
      </c>
    </row>
    <row r="1170" spans="1:6" ht="30" customHeight="1" x14ac:dyDescent="0.3">
      <c r="A1170" s="26" t="s">
        <v>1347</v>
      </c>
      <c r="B1170" s="27" t="s">
        <v>1348</v>
      </c>
      <c r="C1170" s="180">
        <v>43444</v>
      </c>
      <c r="D1170" s="28">
        <v>25</v>
      </c>
      <c r="E1170" s="49">
        <v>11</v>
      </c>
      <c r="F1170" s="211">
        <f>IFERROR(Tableau6[[#This Row],[Score]]/Tableau6[[#This Row],[Nb]],0)</f>
        <v>0.44</v>
      </c>
    </row>
    <row r="1171" spans="1:6" ht="30" customHeight="1" x14ac:dyDescent="0.3">
      <c r="A1171" s="26" t="s">
        <v>4291</v>
      </c>
      <c r="B1171" s="27" t="s">
        <v>4656</v>
      </c>
      <c r="C1171" s="180">
        <v>44283</v>
      </c>
      <c r="D1171" s="28">
        <v>25</v>
      </c>
      <c r="E1171" s="49">
        <v>11</v>
      </c>
      <c r="F1171" s="211">
        <f>IFERROR(Tableau6[[#This Row],[Score]]/Tableau6[[#This Row],[Nb]],0)</f>
        <v>0.44</v>
      </c>
    </row>
    <row r="1172" spans="1:6" ht="30" customHeight="1" x14ac:dyDescent="0.3">
      <c r="A1172" s="26" t="s">
        <v>246</v>
      </c>
      <c r="B1172" s="27" t="s">
        <v>247</v>
      </c>
      <c r="C1172" s="180">
        <v>43397</v>
      </c>
      <c r="D1172" s="28">
        <v>34</v>
      </c>
      <c r="E1172" s="49">
        <v>15</v>
      </c>
      <c r="F1172" s="211">
        <f>IFERROR(Tableau6[[#This Row],[Score]]/Tableau6[[#This Row],[Nb]],0)</f>
        <v>0.44117647058823528</v>
      </c>
    </row>
    <row r="1173" spans="1:6" ht="30" customHeight="1" x14ac:dyDescent="0.3">
      <c r="A1173" s="26" t="s">
        <v>1604</v>
      </c>
      <c r="B1173" s="27" t="s">
        <v>4217</v>
      </c>
      <c r="C1173" s="180">
        <v>41621</v>
      </c>
      <c r="D1173" s="28">
        <v>18</v>
      </c>
      <c r="E1173" s="49">
        <v>8</v>
      </c>
      <c r="F1173" s="211">
        <f>IFERROR(Tableau6[[#This Row],[Score]]/Tableau6[[#This Row],[Nb]],0)</f>
        <v>0.44444444444444442</v>
      </c>
    </row>
    <row r="1174" spans="1:6" ht="30" customHeight="1" x14ac:dyDescent="0.3">
      <c r="A1174" s="26" t="s">
        <v>996</v>
      </c>
      <c r="B1174" s="27" t="s">
        <v>743</v>
      </c>
      <c r="C1174" s="180">
        <v>41621</v>
      </c>
      <c r="D1174" s="28">
        <v>18</v>
      </c>
      <c r="E1174" s="49">
        <v>8</v>
      </c>
      <c r="F1174" s="211">
        <f>IFERROR(Tableau6[[#This Row],[Score]]/Tableau6[[#This Row],[Nb]],0)</f>
        <v>0.44444444444444442</v>
      </c>
    </row>
    <row r="1175" spans="1:6" ht="30" customHeight="1" x14ac:dyDescent="0.3">
      <c r="A1175" s="26" t="s">
        <v>965</v>
      </c>
      <c r="B1175" s="27" t="s">
        <v>852</v>
      </c>
      <c r="C1175" s="180">
        <v>41621</v>
      </c>
      <c r="D1175" s="28">
        <v>18</v>
      </c>
      <c r="E1175" s="49">
        <v>8</v>
      </c>
      <c r="F1175" s="211">
        <f>IFERROR(Tableau6[[#This Row],[Score]]/Tableau6[[#This Row],[Nb]],0)</f>
        <v>0.44444444444444442</v>
      </c>
    </row>
    <row r="1176" spans="1:6" ht="30" customHeight="1" x14ac:dyDescent="0.3">
      <c r="A1176" s="26" t="s">
        <v>3512</v>
      </c>
      <c r="B1176" s="27" t="s">
        <v>4561</v>
      </c>
      <c r="C1176" s="180">
        <v>43444</v>
      </c>
      <c r="D1176" s="28">
        <v>27</v>
      </c>
      <c r="E1176" s="49">
        <v>12</v>
      </c>
      <c r="F1176" s="211">
        <f>IFERROR(Tableau6[[#This Row],[Score]]/Tableau6[[#This Row],[Nb]],0)</f>
        <v>0.44444444444444442</v>
      </c>
    </row>
    <row r="1177" spans="1:6" ht="30" customHeight="1" x14ac:dyDescent="0.3">
      <c r="A1177" s="26" t="s">
        <v>2339</v>
      </c>
      <c r="B1177" s="27" t="s">
        <v>2340</v>
      </c>
      <c r="C1177" s="180">
        <v>43771</v>
      </c>
      <c r="D1177" s="28">
        <v>27</v>
      </c>
      <c r="E1177" s="49">
        <v>12</v>
      </c>
      <c r="F1177" s="211">
        <f>IFERROR(Tableau6[[#This Row],[Score]]/Tableau6[[#This Row],[Nb]],0)</f>
        <v>0.44444444444444442</v>
      </c>
    </row>
    <row r="1178" spans="1:6" ht="30" customHeight="1" x14ac:dyDescent="0.3">
      <c r="A1178" s="26" t="s">
        <v>3135</v>
      </c>
      <c r="B1178" s="27" t="s">
        <v>3136</v>
      </c>
      <c r="C1178" s="180">
        <v>44014</v>
      </c>
      <c r="D1178" s="28">
        <v>36</v>
      </c>
      <c r="E1178" s="49">
        <v>16</v>
      </c>
      <c r="F1178" s="211">
        <f>IFERROR(Tableau6[[#This Row],[Score]]/Tableau6[[#This Row],[Nb]],0)</f>
        <v>0.44444444444444442</v>
      </c>
    </row>
    <row r="1179" spans="1:6" ht="30" customHeight="1" x14ac:dyDescent="0.3">
      <c r="A1179" s="26" t="s">
        <v>3137</v>
      </c>
      <c r="B1179" s="27" t="s">
        <v>3138</v>
      </c>
      <c r="C1179" s="180">
        <v>44014</v>
      </c>
      <c r="D1179" s="28">
        <v>27</v>
      </c>
      <c r="E1179" s="49">
        <v>12</v>
      </c>
      <c r="F1179" s="211">
        <f>IFERROR(Tableau6[[#This Row],[Score]]/Tableau6[[#This Row],[Nb]],0)</f>
        <v>0.44444444444444442</v>
      </c>
    </row>
    <row r="1180" spans="1:6" ht="30" customHeight="1" x14ac:dyDescent="0.3">
      <c r="A1180" s="26" t="s">
        <v>3979</v>
      </c>
      <c r="B1180" s="27" t="s">
        <v>3980</v>
      </c>
      <c r="C1180" s="180">
        <v>44262</v>
      </c>
      <c r="D1180" s="28">
        <v>27</v>
      </c>
      <c r="E1180" s="49">
        <v>12</v>
      </c>
      <c r="F1180" s="211">
        <f>IFERROR(Tableau6[[#This Row],[Score]]/Tableau6[[#This Row],[Nb]],0)</f>
        <v>0.44444444444444442</v>
      </c>
    </row>
    <row r="1181" spans="1:6" ht="30" customHeight="1" x14ac:dyDescent="0.3">
      <c r="A1181" s="26" t="s">
        <v>4863</v>
      </c>
      <c r="B1181" s="27" t="s">
        <v>4864</v>
      </c>
      <c r="C1181" s="180">
        <v>44395</v>
      </c>
      <c r="D1181" s="28">
        <v>18</v>
      </c>
      <c r="E1181" s="49">
        <v>8</v>
      </c>
      <c r="F1181" s="211">
        <f>IFERROR(Tableau6[[#This Row],[Score]]/Tableau6[[#This Row],[Nb]],0)</f>
        <v>0.44444444444444442</v>
      </c>
    </row>
    <row r="1182" spans="1:6" ht="30" customHeight="1" x14ac:dyDescent="0.3">
      <c r="A1182" s="26" t="s">
        <v>396</v>
      </c>
      <c r="B1182" s="27" t="s">
        <v>397</v>
      </c>
      <c r="C1182" s="180">
        <v>40611</v>
      </c>
      <c r="D1182" s="28">
        <v>20</v>
      </c>
      <c r="E1182" s="49">
        <v>9</v>
      </c>
      <c r="F1182" s="211">
        <f>IFERROR(Tableau6[[#This Row],[Score]]/Tableau6[[#This Row],[Nb]],0)</f>
        <v>0.45</v>
      </c>
    </row>
    <row r="1183" spans="1:6" ht="30" customHeight="1" x14ac:dyDescent="0.3">
      <c r="A1183" s="26" t="s">
        <v>3698</v>
      </c>
      <c r="B1183" s="27" t="s">
        <v>3699</v>
      </c>
      <c r="C1183" s="180">
        <v>44248</v>
      </c>
      <c r="D1183" s="28">
        <v>20</v>
      </c>
      <c r="E1183" s="49">
        <v>9</v>
      </c>
      <c r="F1183" s="211">
        <f>IFERROR(Tableau6[[#This Row],[Score]]/Tableau6[[#This Row],[Nb]],0)</f>
        <v>0.45</v>
      </c>
    </row>
    <row r="1184" spans="1:6" ht="30" customHeight="1" x14ac:dyDescent="0.3">
      <c r="A1184" s="26" t="s">
        <v>4750</v>
      </c>
      <c r="B1184" s="152" t="s">
        <v>6350</v>
      </c>
      <c r="C1184" s="180">
        <v>44369</v>
      </c>
      <c r="D1184" s="28">
        <v>20</v>
      </c>
      <c r="E1184" s="49">
        <v>9</v>
      </c>
      <c r="F1184" s="211">
        <f>IFERROR(Tableau6[[#This Row],[Score]]/Tableau6[[#This Row],[Nb]],0)</f>
        <v>0.45</v>
      </c>
    </row>
    <row r="1185" spans="1:6" ht="30" customHeight="1" x14ac:dyDescent="0.3">
      <c r="A1185" s="26" t="s">
        <v>4893</v>
      </c>
      <c r="B1185" s="27" t="s">
        <v>4894</v>
      </c>
      <c r="C1185" s="180">
        <v>40611</v>
      </c>
      <c r="D1185" s="28">
        <v>22</v>
      </c>
      <c r="E1185" s="49">
        <v>10</v>
      </c>
      <c r="F1185" s="211">
        <f>IFERROR(Tableau6[[#This Row],[Score]]/Tableau6[[#This Row],[Nb]],0)</f>
        <v>0.45454545454545453</v>
      </c>
    </row>
    <row r="1186" spans="1:6" ht="30" customHeight="1" x14ac:dyDescent="0.3">
      <c r="A1186" s="26" t="s">
        <v>4507</v>
      </c>
      <c r="B1186" s="27" t="s">
        <v>3103</v>
      </c>
      <c r="C1186" s="180">
        <v>41621</v>
      </c>
      <c r="D1186" s="28">
        <v>11</v>
      </c>
      <c r="E1186" s="49">
        <v>5</v>
      </c>
      <c r="F1186" s="211">
        <f>IFERROR(Tableau6[[#This Row],[Score]]/Tableau6[[#This Row],[Nb]],0)</f>
        <v>0.45454545454545453</v>
      </c>
    </row>
    <row r="1187" spans="1:6" ht="30" customHeight="1" x14ac:dyDescent="0.3">
      <c r="A1187" s="26" t="s">
        <v>2053</v>
      </c>
      <c r="B1187" s="152" t="s">
        <v>6202</v>
      </c>
      <c r="C1187" s="180">
        <v>43633</v>
      </c>
      <c r="D1187" s="28">
        <v>22</v>
      </c>
      <c r="E1187" s="49">
        <v>10</v>
      </c>
      <c r="F1187" s="211">
        <f>IFERROR(Tableau6[[#This Row],[Score]]/Tableau6[[#This Row],[Nb]],0)</f>
        <v>0.45454545454545453</v>
      </c>
    </row>
    <row r="1188" spans="1:6" ht="30" customHeight="1" x14ac:dyDescent="0.3">
      <c r="A1188" s="26" t="s">
        <v>4446</v>
      </c>
      <c r="B1188" s="27" t="s">
        <v>4447</v>
      </c>
      <c r="C1188" s="180">
        <v>43767</v>
      </c>
      <c r="D1188" s="28">
        <v>22</v>
      </c>
      <c r="E1188" s="49">
        <v>10</v>
      </c>
      <c r="F1188" s="211">
        <f>IFERROR(Tableau6[[#This Row],[Score]]/Tableau6[[#This Row],[Nb]],0)</f>
        <v>0.45454545454545453</v>
      </c>
    </row>
    <row r="1189" spans="1:6" ht="30" customHeight="1" x14ac:dyDescent="0.3">
      <c r="A1189" s="26" t="s">
        <v>4389</v>
      </c>
      <c r="B1189" s="27" t="s">
        <v>4390</v>
      </c>
      <c r="C1189" s="180">
        <v>44299</v>
      </c>
      <c r="D1189" s="28">
        <v>11</v>
      </c>
      <c r="E1189" s="49">
        <v>5</v>
      </c>
      <c r="F1189" s="211">
        <f>IFERROR(Tableau6[[#This Row],[Score]]/Tableau6[[#This Row],[Nb]],0)</f>
        <v>0.45454545454545453</v>
      </c>
    </row>
    <row r="1190" spans="1:6" ht="30" customHeight="1" x14ac:dyDescent="0.3">
      <c r="A1190" s="151" t="s">
        <v>5753</v>
      </c>
      <c r="B1190" s="152" t="s">
        <v>5754</v>
      </c>
      <c r="C1190" s="208">
        <v>44636</v>
      </c>
      <c r="D1190" s="154">
        <v>11</v>
      </c>
      <c r="E1190" s="154">
        <v>5</v>
      </c>
      <c r="F1190" s="211">
        <f>IFERROR(Tableau6[[#This Row],[Score]]/Tableau6[[#This Row],[Nb]],0)</f>
        <v>0.45454545454545453</v>
      </c>
    </row>
    <row r="1191" spans="1:6" ht="30" customHeight="1" x14ac:dyDescent="0.3">
      <c r="A1191" s="151" t="s">
        <v>6090</v>
      </c>
      <c r="B1191" s="152" t="s">
        <v>6091</v>
      </c>
      <c r="C1191" s="208">
        <v>44738</v>
      </c>
      <c r="D1191" s="154">
        <v>11</v>
      </c>
      <c r="E1191" s="154">
        <v>5</v>
      </c>
      <c r="F1191" s="211">
        <f>IFERROR(Tableau6[[#This Row],[Score]]/Tableau6[[#This Row],[Nb]],0)</f>
        <v>0.45454545454545453</v>
      </c>
    </row>
    <row r="1192" spans="1:6" ht="30" customHeight="1" x14ac:dyDescent="0.3">
      <c r="A1192" s="26" t="s">
        <v>2329</v>
      </c>
      <c r="B1192" s="27" t="s">
        <v>2330</v>
      </c>
      <c r="C1192" s="180">
        <v>43771</v>
      </c>
      <c r="D1192" s="28">
        <v>24</v>
      </c>
      <c r="E1192" s="49">
        <v>11</v>
      </c>
      <c r="F1192" s="211">
        <f>IFERROR(Tableau6[[#This Row],[Score]]/Tableau6[[#This Row],[Nb]],0)</f>
        <v>0.45833333333333331</v>
      </c>
    </row>
    <row r="1193" spans="1:6" ht="30" customHeight="1" x14ac:dyDescent="0.3">
      <c r="A1193" s="26" t="s">
        <v>2472</v>
      </c>
      <c r="B1193" s="27" t="s">
        <v>2473</v>
      </c>
      <c r="C1193" s="180">
        <v>43787</v>
      </c>
      <c r="D1193" s="28">
        <v>24</v>
      </c>
      <c r="E1193" s="49">
        <v>11</v>
      </c>
      <c r="F1193" s="211">
        <f>IFERROR(Tableau6[[#This Row],[Score]]/Tableau6[[#This Row],[Nb]],0)</f>
        <v>0.45833333333333331</v>
      </c>
    </row>
    <row r="1194" spans="1:6" ht="30" customHeight="1" x14ac:dyDescent="0.3">
      <c r="A1194" s="26" t="s">
        <v>3744</v>
      </c>
      <c r="B1194" s="27" t="s">
        <v>781</v>
      </c>
      <c r="C1194" s="180">
        <v>44249</v>
      </c>
      <c r="D1194" s="28">
        <v>24</v>
      </c>
      <c r="E1194" s="49">
        <v>11</v>
      </c>
      <c r="F1194" s="211">
        <f>IFERROR(Tableau6[[#This Row],[Score]]/Tableau6[[#This Row],[Nb]],0)</f>
        <v>0.45833333333333331</v>
      </c>
    </row>
    <row r="1195" spans="1:6" ht="30" customHeight="1" x14ac:dyDescent="0.3">
      <c r="A1195" s="26" t="s">
        <v>423</v>
      </c>
      <c r="B1195" s="27" t="s">
        <v>424</v>
      </c>
      <c r="C1195" s="180">
        <v>40611</v>
      </c>
      <c r="D1195" s="28">
        <v>13</v>
      </c>
      <c r="E1195" s="49">
        <v>6</v>
      </c>
      <c r="F1195" s="211">
        <f>IFERROR(Tableau6[[#This Row],[Score]]/Tableau6[[#This Row],[Nb]],0)</f>
        <v>0.46153846153846156</v>
      </c>
    </row>
    <row r="1196" spans="1:6" ht="30" customHeight="1" x14ac:dyDescent="0.3">
      <c r="A1196" s="26" t="s">
        <v>1180</v>
      </c>
      <c r="B1196" s="27" t="s">
        <v>4551</v>
      </c>
      <c r="C1196" s="180">
        <v>43422</v>
      </c>
      <c r="D1196" s="28">
        <v>26</v>
      </c>
      <c r="E1196" s="49">
        <v>12</v>
      </c>
      <c r="F1196" s="211">
        <f>IFERROR(Tableau6[[#This Row],[Score]]/Tableau6[[#This Row],[Nb]],0)</f>
        <v>0.46153846153846156</v>
      </c>
    </row>
    <row r="1197" spans="1:6" ht="30" customHeight="1" x14ac:dyDescent="0.3">
      <c r="A1197" s="26" t="s">
        <v>1383</v>
      </c>
      <c r="B1197" s="27" t="s">
        <v>2314</v>
      </c>
      <c r="C1197" s="180">
        <v>43444</v>
      </c>
      <c r="D1197" s="28">
        <v>13</v>
      </c>
      <c r="E1197" s="49">
        <v>6</v>
      </c>
      <c r="F1197" s="211">
        <f>IFERROR(Tableau6[[#This Row],[Score]]/Tableau6[[#This Row],[Nb]],0)</f>
        <v>0.46153846153846156</v>
      </c>
    </row>
    <row r="1198" spans="1:6" ht="30" customHeight="1" x14ac:dyDescent="0.3">
      <c r="A1198" s="26" t="s">
        <v>2143</v>
      </c>
      <c r="B1198" s="27" t="s">
        <v>1586</v>
      </c>
      <c r="C1198" s="180">
        <v>43682</v>
      </c>
      <c r="D1198" s="28">
        <v>26</v>
      </c>
      <c r="E1198" s="49">
        <v>12</v>
      </c>
      <c r="F1198" s="211">
        <f>IFERROR(Tableau6[[#This Row],[Score]]/Tableau6[[#This Row],[Nb]],0)</f>
        <v>0.46153846153846156</v>
      </c>
    </row>
    <row r="1199" spans="1:6" ht="30" customHeight="1" x14ac:dyDescent="0.3">
      <c r="A1199" s="26" t="s">
        <v>2714</v>
      </c>
      <c r="B1199" s="27" t="s">
        <v>2715</v>
      </c>
      <c r="C1199" s="180">
        <v>43895</v>
      </c>
      <c r="D1199" s="28">
        <v>13</v>
      </c>
      <c r="E1199" s="49">
        <v>6</v>
      </c>
      <c r="F1199" s="211">
        <f>IFERROR(Tableau6[[#This Row],[Score]]/Tableau6[[#This Row],[Nb]],0)</f>
        <v>0.46153846153846156</v>
      </c>
    </row>
    <row r="1200" spans="1:6" ht="30" customHeight="1" x14ac:dyDescent="0.3">
      <c r="A1200" s="26" t="s">
        <v>4199</v>
      </c>
      <c r="B1200" s="27" t="s">
        <v>4200</v>
      </c>
      <c r="C1200" s="180">
        <v>44276</v>
      </c>
      <c r="D1200" s="28">
        <v>26</v>
      </c>
      <c r="E1200" s="49">
        <v>12</v>
      </c>
      <c r="F1200" s="211">
        <f>IFERROR(Tableau6[[#This Row],[Score]]/Tableau6[[#This Row],[Nb]],0)</f>
        <v>0.46153846153846156</v>
      </c>
    </row>
    <row r="1201" spans="1:6" ht="30" customHeight="1" x14ac:dyDescent="0.3">
      <c r="A1201" s="26" t="s">
        <v>1015</v>
      </c>
      <c r="B1201" s="27" t="s">
        <v>4965</v>
      </c>
      <c r="C1201" s="180">
        <v>41621</v>
      </c>
      <c r="D1201" s="28">
        <v>28</v>
      </c>
      <c r="E1201" s="49">
        <v>13</v>
      </c>
      <c r="F1201" s="211">
        <f>IFERROR(Tableau6[[#This Row],[Score]]/Tableau6[[#This Row],[Nb]],0)</f>
        <v>0.4642857142857143</v>
      </c>
    </row>
    <row r="1202" spans="1:6" ht="30" customHeight="1" x14ac:dyDescent="0.3">
      <c r="A1202" s="26" t="s">
        <v>1341</v>
      </c>
      <c r="B1202" s="27" t="s">
        <v>1342</v>
      </c>
      <c r="C1202" s="180">
        <v>43444</v>
      </c>
      <c r="D1202" s="28">
        <v>28</v>
      </c>
      <c r="E1202" s="49">
        <v>13</v>
      </c>
      <c r="F1202" s="211">
        <f>IFERROR(Tableau6[[#This Row],[Score]]/Tableau6[[#This Row],[Nb]],0)</f>
        <v>0.4642857142857143</v>
      </c>
    </row>
    <row r="1203" spans="1:6" ht="30" customHeight="1" x14ac:dyDescent="0.3">
      <c r="A1203" s="26" t="s">
        <v>3247</v>
      </c>
      <c r="B1203" s="27" t="s">
        <v>3248</v>
      </c>
      <c r="C1203" s="180">
        <v>44026</v>
      </c>
      <c r="D1203" s="28">
        <v>28</v>
      </c>
      <c r="E1203" s="49">
        <v>13</v>
      </c>
      <c r="F1203" s="211">
        <f>IFERROR(Tableau6[[#This Row],[Score]]/Tableau6[[#This Row],[Nb]],0)</f>
        <v>0.4642857142857143</v>
      </c>
    </row>
    <row r="1204" spans="1:6" ht="30" customHeight="1" x14ac:dyDescent="0.3">
      <c r="A1204" s="26" t="s">
        <v>665</v>
      </c>
      <c r="B1204" s="27" t="s">
        <v>1076</v>
      </c>
      <c r="C1204" s="180">
        <v>43237</v>
      </c>
      <c r="D1204" s="28">
        <v>30</v>
      </c>
      <c r="E1204" s="49">
        <v>14</v>
      </c>
      <c r="F1204" s="211">
        <f>IFERROR(Tableau6[[#This Row],[Score]]/Tableau6[[#This Row],[Nb]],0)</f>
        <v>0.46666666666666667</v>
      </c>
    </row>
    <row r="1205" spans="1:6" ht="30" customHeight="1" x14ac:dyDescent="0.3">
      <c r="A1205" s="151" t="s">
        <v>5230</v>
      </c>
      <c r="B1205" s="152" t="s">
        <v>5814</v>
      </c>
      <c r="C1205" s="180">
        <v>43444</v>
      </c>
      <c r="D1205" s="28">
        <v>15</v>
      </c>
      <c r="E1205" s="49">
        <v>7</v>
      </c>
      <c r="F1205" s="211">
        <f>IFERROR(Tableau6[[#This Row],[Score]]/Tableau6[[#This Row],[Nb]],0)</f>
        <v>0.46666666666666667</v>
      </c>
    </row>
    <row r="1206" spans="1:6" ht="30" customHeight="1" x14ac:dyDescent="0.3">
      <c r="A1206" s="151" t="s">
        <v>5622</v>
      </c>
      <c r="B1206" s="152" t="s">
        <v>5140</v>
      </c>
      <c r="C1206" s="208">
        <v>44482</v>
      </c>
      <c r="D1206" s="154">
        <v>15</v>
      </c>
      <c r="E1206" s="154">
        <v>7</v>
      </c>
      <c r="F1206" s="211">
        <f>IFERROR(Tableau6[[#This Row],[Score]]/Tableau6[[#This Row],[Nb]],0)</f>
        <v>0.46666666666666667</v>
      </c>
    </row>
    <row r="1207" spans="1:6" ht="30" customHeight="1" x14ac:dyDescent="0.3">
      <c r="A1207" s="151" t="s">
        <v>5440</v>
      </c>
      <c r="B1207" s="152" t="s">
        <v>5441</v>
      </c>
      <c r="C1207" s="208">
        <v>44571</v>
      </c>
      <c r="D1207" s="154">
        <v>15</v>
      </c>
      <c r="E1207" s="154">
        <v>7</v>
      </c>
      <c r="F1207" s="211">
        <f>IFERROR(Tableau6[[#This Row],[Score]]/Tableau6[[#This Row],[Nb]],0)</f>
        <v>0.46666666666666667</v>
      </c>
    </row>
    <row r="1208" spans="1:6" ht="30" customHeight="1" x14ac:dyDescent="0.3">
      <c r="A1208" s="151" t="s">
        <v>5692</v>
      </c>
      <c r="B1208" s="152" t="s">
        <v>5693</v>
      </c>
      <c r="C1208" s="208">
        <v>44625</v>
      </c>
      <c r="D1208" s="154">
        <v>15</v>
      </c>
      <c r="E1208" s="154">
        <v>7</v>
      </c>
      <c r="F1208" s="211">
        <f>IFERROR(Tableau6[[#This Row],[Score]]/Tableau6[[#This Row],[Nb]],0)</f>
        <v>0.46666666666666667</v>
      </c>
    </row>
    <row r="1209" spans="1:6" ht="30" customHeight="1" x14ac:dyDescent="0.3">
      <c r="A1209" s="26" t="s">
        <v>3125</v>
      </c>
      <c r="B1209" s="27" t="s">
        <v>3126</v>
      </c>
      <c r="C1209" s="180">
        <v>43298</v>
      </c>
      <c r="D1209" s="28">
        <v>17</v>
      </c>
      <c r="E1209" s="49">
        <v>8</v>
      </c>
      <c r="F1209" s="211">
        <f>IFERROR(Tableau6[[#This Row],[Score]]/Tableau6[[#This Row],[Nb]],0)</f>
        <v>0.47058823529411764</v>
      </c>
    </row>
    <row r="1210" spans="1:6" ht="30" customHeight="1" x14ac:dyDescent="0.3">
      <c r="A1210" s="26" t="s">
        <v>1150</v>
      </c>
      <c r="B1210" s="27" t="s">
        <v>1151</v>
      </c>
      <c r="C1210" s="180">
        <v>43423</v>
      </c>
      <c r="D1210" s="28">
        <v>17</v>
      </c>
      <c r="E1210" s="49">
        <v>8</v>
      </c>
      <c r="F1210" s="211">
        <f>IFERROR(Tableau6[[#This Row],[Score]]/Tableau6[[#This Row],[Nb]],0)</f>
        <v>0.47058823529411764</v>
      </c>
    </row>
    <row r="1211" spans="1:6" ht="30" customHeight="1" x14ac:dyDescent="0.3">
      <c r="A1211" s="26" t="s">
        <v>1319</v>
      </c>
      <c r="B1211" s="27" t="s">
        <v>1320</v>
      </c>
      <c r="C1211" s="180">
        <v>43438</v>
      </c>
      <c r="D1211" s="28">
        <v>17</v>
      </c>
      <c r="E1211" s="49">
        <v>8</v>
      </c>
      <c r="F1211" s="211">
        <f>IFERROR(Tableau6[[#This Row],[Score]]/Tableau6[[#This Row],[Nb]],0)</f>
        <v>0.47058823529411764</v>
      </c>
    </row>
    <row r="1212" spans="1:6" ht="30" customHeight="1" x14ac:dyDescent="0.3">
      <c r="A1212" s="26" t="s">
        <v>2045</v>
      </c>
      <c r="B1212" s="27" t="s">
        <v>2046</v>
      </c>
      <c r="C1212" s="180">
        <v>43605</v>
      </c>
      <c r="D1212" s="28">
        <v>17</v>
      </c>
      <c r="E1212" s="49">
        <v>8</v>
      </c>
      <c r="F1212" s="211">
        <f>IFERROR(Tableau6[[#This Row],[Score]]/Tableau6[[#This Row],[Nb]],0)</f>
        <v>0.47058823529411764</v>
      </c>
    </row>
    <row r="1213" spans="1:6" ht="30" customHeight="1" x14ac:dyDescent="0.3">
      <c r="A1213" s="151" t="s">
        <v>5963</v>
      </c>
      <c r="B1213" s="27" t="s">
        <v>2088</v>
      </c>
      <c r="C1213" s="180">
        <v>43673</v>
      </c>
      <c r="D1213" s="28">
        <v>17</v>
      </c>
      <c r="E1213" s="49">
        <v>8</v>
      </c>
      <c r="F1213" s="211">
        <f>IFERROR(Tableau6[[#This Row],[Score]]/Tableau6[[#This Row],[Nb]],0)</f>
        <v>0.47058823529411764</v>
      </c>
    </row>
    <row r="1214" spans="1:6" ht="30" customHeight="1" x14ac:dyDescent="0.3">
      <c r="A1214" s="26" t="s">
        <v>2663</v>
      </c>
      <c r="B1214" s="27" t="s">
        <v>2664</v>
      </c>
      <c r="C1214" s="180">
        <v>43872</v>
      </c>
      <c r="D1214" s="28">
        <v>17</v>
      </c>
      <c r="E1214" s="49">
        <v>8</v>
      </c>
      <c r="F1214" s="211">
        <f>IFERROR(Tableau6[[#This Row],[Score]]/Tableau6[[#This Row],[Nb]],0)</f>
        <v>0.47058823529411764</v>
      </c>
    </row>
    <row r="1215" spans="1:6" ht="30" customHeight="1" x14ac:dyDescent="0.3">
      <c r="A1215" s="26" t="s">
        <v>661</v>
      </c>
      <c r="B1215" s="27" t="s">
        <v>1072</v>
      </c>
      <c r="C1215" s="180">
        <v>43237</v>
      </c>
      <c r="D1215" s="28">
        <v>19</v>
      </c>
      <c r="E1215" s="49">
        <v>9</v>
      </c>
      <c r="F1215" s="211">
        <f>IFERROR(Tableau6[[#This Row],[Score]]/Tableau6[[#This Row],[Nb]],0)</f>
        <v>0.47368421052631576</v>
      </c>
    </row>
    <row r="1216" spans="1:6" ht="30" customHeight="1" x14ac:dyDescent="0.3">
      <c r="A1216" s="26" t="s">
        <v>1970</v>
      </c>
      <c r="B1216" s="27" t="s">
        <v>1971</v>
      </c>
      <c r="C1216" s="180">
        <v>43605</v>
      </c>
      <c r="D1216" s="28">
        <v>19</v>
      </c>
      <c r="E1216" s="49">
        <v>9</v>
      </c>
      <c r="F1216" s="211">
        <f>IFERROR(Tableau6[[#This Row],[Score]]/Tableau6[[#This Row],[Nb]],0)</f>
        <v>0.47368421052631576</v>
      </c>
    </row>
    <row r="1217" spans="1:6" ht="30" customHeight="1" x14ac:dyDescent="0.3">
      <c r="A1217" s="26" t="s">
        <v>1218</v>
      </c>
      <c r="B1217" s="27" t="s">
        <v>1219</v>
      </c>
      <c r="C1217" s="180">
        <v>43772</v>
      </c>
      <c r="D1217" s="28">
        <v>19</v>
      </c>
      <c r="E1217" s="49">
        <v>9</v>
      </c>
      <c r="F1217" s="211">
        <f>IFERROR(Tableau6[[#This Row],[Score]]/Tableau6[[#This Row],[Nb]],0)</f>
        <v>0.47368421052631576</v>
      </c>
    </row>
    <row r="1218" spans="1:6" ht="30" customHeight="1" x14ac:dyDescent="0.3">
      <c r="A1218" s="26" t="s">
        <v>2594</v>
      </c>
      <c r="B1218" s="27" t="s">
        <v>2595</v>
      </c>
      <c r="C1218" s="180">
        <v>43848</v>
      </c>
      <c r="D1218" s="28">
        <v>19</v>
      </c>
      <c r="E1218" s="49">
        <v>9</v>
      </c>
      <c r="F1218" s="211">
        <f>IFERROR(Tableau6[[#This Row],[Score]]/Tableau6[[#This Row],[Nb]],0)</f>
        <v>0.47368421052631576</v>
      </c>
    </row>
    <row r="1219" spans="1:6" ht="30" customHeight="1" x14ac:dyDescent="0.3">
      <c r="A1219" s="26" t="s">
        <v>288</v>
      </c>
      <c r="B1219" s="27" t="s">
        <v>3772</v>
      </c>
      <c r="C1219" s="180">
        <v>43900</v>
      </c>
      <c r="D1219" s="28">
        <v>19</v>
      </c>
      <c r="E1219" s="49">
        <v>9</v>
      </c>
      <c r="F1219" s="211">
        <f>IFERROR(Tableau6[[#This Row],[Score]]/Tableau6[[#This Row],[Nb]],0)</f>
        <v>0.47368421052631576</v>
      </c>
    </row>
    <row r="1220" spans="1:6" ht="30" customHeight="1" x14ac:dyDescent="0.3">
      <c r="A1220" s="26" t="s">
        <v>2969</v>
      </c>
      <c r="B1220" s="27" t="s">
        <v>2970</v>
      </c>
      <c r="C1220" s="180">
        <v>43984</v>
      </c>
      <c r="D1220" s="28">
        <v>19</v>
      </c>
      <c r="E1220" s="49">
        <v>9</v>
      </c>
      <c r="F1220" s="211">
        <f>IFERROR(Tableau6[[#This Row],[Score]]/Tableau6[[#This Row],[Nb]],0)</f>
        <v>0.47368421052631576</v>
      </c>
    </row>
    <row r="1221" spans="1:6" ht="30" customHeight="1" x14ac:dyDescent="0.3">
      <c r="A1221" s="26" t="s">
        <v>3236</v>
      </c>
      <c r="B1221" s="27" t="s">
        <v>1972</v>
      </c>
      <c r="C1221" s="180">
        <v>44026</v>
      </c>
      <c r="D1221" s="28">
        <v>19</v>
      </c>
      <c r="E1221" s="49">
        <v>9</v>
      </c>
      <c r="F1221" s="211">
        <f>IFERROR(Tableau6[[#This Row],[Score]]/Tableau6[[#This Row],[Nb]],0)</f>
        <v>0.47368421052631576</v>
      </c>
    </row>
    <row r="1222" spans="1:6" ht="30" customHeight="1" x14ac:dyDescent="0.3">
      <c r="A1222" s="26" t="s">
        <v>3670</v>
      </c>
      <c r="B1222" s="27" t="s">
        <v>3671</v>
      </c>
      <c r="C1222" s="180">
        <v>44242</v>
      </c>
      <c r="D1222" s="28">
        <v>19</v>
      </c>
      <c r="E1222" s="49">
        <v>9</v>
      </c>
      <c r="F1222" s="211">
        <f>IFERROR(Tableau6[[#This Row],[Score]]/Tableau6[[#This Row],[Nb]],0)</f>
        <v>0.47368421052631576</v>
      </c>
    </row>
    <row r="1223" spans="1:6" ht="30" customHeight="1" x14ac:dyDescent="0.3">
      <c r="A1223" s="26" t="s">
        <v>808</v>
      </c>
      <c r="B1223" s="27" t="s">
        <v>723</v>
      </c>
      <c r="C1223" s="180">
        <v>41522</v>
      </c>
      <c r="D1223" s="28">
        <v>21</v>
      </c>
      <c r="E1223" s="49">
        <v>10</v>
      </c>
      <c r="F1223" s="211">
        <f>IFERROR(Tableau6[[#This Row],[Score]]/Tableau6[[#This Row],[Nb]],0)</f>
        <v>0.47619047619047616</v>
      </c>
    </row>
    <row r="1224" spans="1:6" ht="30" customHeight="1" x14ac:dyDescent="0.3">
      <c r="A1224" s="26" t="s">
        <v>4066</v>
      </c>
      <c r="B1224" s="27" t="s">
        <v>4067</v>
      </c>
      <c r="C1224" s="180">
        <v>41621</v>
      </c>
      <c r="D1224" s="28">
        <v>21</v>
      </c>
      <c r="E1224" s="49">
        <v>10</v>
      </c>
      <c r="F1224" s="211">
        <f>IFERROR(Tableau6[[#This Row],[Score]]/Tableau6[[#This Row],[Nb]],0)</f>
        <v>0.47619047619047616</v>
      </c>
    </row>
    <row r="1225" spans="1:6" ht="30" customHeight="1" x14ac:dyDescent="0.3">
      <c r="A1225" s="26" t="s">
        <v>2755</v>
      </c>
      <c r="B1225" s="27" t="s">
        <v>2756</v>
      </c>
      <c r="C1225" s="180">
        <v>41621</v>
      </c>
      <c r="D1225" s="28">
        <v>21</v>
      </c>
      <c r="E1225" s="49">
        <v>10</v>
      </c>
      <c r="F1225" s="211">
        <f>IFERROR(Tableau6[[#This Row],[Score]]/Tableau6[[#This Row],[Nb]],0)</f>
        <v>0.47619047619047616</v>
      </c>
    </row>
    <row r="1226" spans="1:6" ht="30" customHeight="1" x14ac:dyDescent="0.3">
      <c r="A1226" s="26" t="s">
        <v>4033</v>
      </c>
      <c r="B1226" s="27" t="s">
        <v>4034</v>
      </c>
      <c r="C1226" s="180">
        <v>43237</v>
      </c>
      <c r="D1226" s="28">
        <v>21</v>
      </c>
      <c r="E1226" s="49">
        <v>10</v>
      </c>
      <c r="F1226" s="211">
        <f>IFERROR(Tableau6[[#This Row],[Score]]/Tableau6[[#This Row],[Nb]],0)</f>
        <v>0.47619047619047616</v>
      </c>
    </row>
    <row r="1227" spans="1:6" ht="30" customHeight="1" x14ac:dyDescent="0.3">
      <c r="A1227" s="26" t="s">
        <v>2227</v>
      </c>
      <c r="B1227" s="27" t="s">
        <v>2228</v>
      </c>
      <c r="C1227" s="180">
        <v>43752</v>
      </c>
      <c r="D1227" s="28">
        <v>21</v>
      </c>
      <c r="E1227" s="49">
        <v>10</v>
      </c>
      <c r="F1227" s="211">
        <f>IFERROR(Tableau6[[#This Row],[Score]]/Tableau6[[#This Row],[Nb]],0)</f>
        <v>0.47619047619047616</v>
      </c>
    </row>
    <row r="1228" spans="1:6" ht="30" customHeight="1" x14ac:dyDescent="0.3">
      <c r="A1228" s="26" t="s">
        <v>2640</v>
      </c>
      <c r="B1228" s="27" t="s">
        <v>2641</v>
      </c>
      <c r="C1228" s="180">
        <v>43872</v>
      </c>
      <c r="D1228" s="28">
        <v>21</v>
      </c>
      <c r="E1228" s="49">
        <v>10</v>
      </c>
      <c r="F1228" s="211">
        <f>IFERROR(Tableau6[[#This Row],[Score]]/Tableau6[[#This Row],[Nb]],0)</f>
        <v>0.47619047619047616</v>
      </c>
    </row>
    <row r="1229" spans="1:6" ht="30" customHeight="1" x14ac:dyDescent="0.3">
      <c r="A1229" s="26" t="s">
        <v>4305</v>
      </c>
      <c r="B1229" s="27" t="s">
        <v>4306</v>
      </c>
      <c r="C1229" s="180">
        <v>44283</v>
      </c>
      <c r="D1229" s="28">
        <v>21</v>
      </c>
      <c r="E1229" s="49">
        <v>10</v>
      </c>
      <c r="F1229" s="211">
        <f>IFERROR(Tableau6[[#This Row],[Score]]/Tableau6[[#This Row],[Nb]],0)</f>
        <v>0.47619047619047616</v>
      </c>
    </row>
    <row r="1230" spans="1:6" ht="30" customHeight="1" x14ac:dyDescent="0.3">
      <c r="A1230" s="26" t="s">
        <v>1470</v>
      </c>
      <c r="B1230" s="27" t="s">
        <v>1471</v>
      </c>
      <c r="C1230" s="180">
        <v>41621</v>
      </c>
      <c r="D1230" s="28">
        <v>23</v>
      </c>
      <c r="E1230" s="49">
        <v>11</v>
      </c>
      <c r="F1230" s="211">
        <f>IFERROR(Tableau6[[#This Row],[Score]]/Tableau6[[#This Row],[Nb]],0)</f>
        <v>0.47826086956521741</v>
      </c>
    </row>
    <row r="1231" spans="1:6" ht="30" customHeight="1" x14ac:dyDescent="0.3">
      <c r="A1231" s="26" t="s">
        <v>4043</v>
      </c>
      <c r="B1231" s="27" t="s">
        <v>4044</v>
      </c>
      <c r="C1231" s="180">
        <v>41621</v>
      </c>
      <c r="D1231" s="28">
        <v>23</v>
      </c>
      <c r="E1231" s="49">
        <v>11</v>
      </c>
      <c r="F1231" s="211">
        <f>IFERROR(Tableau6[[#This Row],[Score]]/Tableau6[[#This Row],[Nb]],0)</f>
        <v>0.47826086956521741</v>
      </c>
    </row>
    <row r="1232" spans="1:6" ht="30" customHeight="1" x14ac:dyDescent="0.3">
      <c r="A1232" s="26" t="s">
        <v>4590</v>
      </c>
      <c r="B1232" s="27" t="s">
        <v>4583</v>
      </c>
      <c r="C1232" s="180">
        <v>43401</v>
      </c>
      <c r="D1232" s="28">
        <v>23</v>
      </c>
      <c r="E1232" s="49">
        <v>11</v>
      </c>
      <c r="F1232" s="211">
        <f>IFERROR(Tableau6[[#This Row],[Score]]/Tableau6[[#This Row],[Nb]],0)</f>
        <v>0.47826086956521741</v>
      </c>
    </row>
    <row r="1233" spans="1:6" ht="30" customHeight="1" x14ac:dyDescent="0.3">
      <c r="A1233" s="26" t="s">
        <v>2743</v>
      </c>
      <c r="B1233" s="27" t="s">
        <v>2744</v>
      </c>
      <c r="C1233" s="180">
        <v>43444</v>
      </c>
      <c r="D1233" s="28">
        <v>23</v>
      </c>
      <c r="E1233" s="49">
        <v>11</v>
      </c>
      <c r="F1233" s="211">
        <f>IFERROR(Tableau6[[#This Row],[Score]]/Tableau6[[#This Row],[Nb]],0)</f>
        <v>0.47826086956521741</v>
      </c>
    </row>
    <row r="1234" spans="1:6" ht="30" customHeight="1" x14ac:dyDescent="0.3">
      <c r="A1234" s="26" t="s">
        <v>2097</v>
      </c>
      <c r="B1234" s="27" t="s">
        <v>2098</v>
      </c>
      <c r="C1234" s="180">
        <v>43673</v>
      </c>
      <c r="D1234" s="28">
        <v>23</v>
      </c>
      <c r="E1234" s="49">
        <v>11</v>
      </c>
      <c r="F1234" s="211">
        <f>IFERROR(Tableau6[[#This Row],[Score]]/Tableau6[[#This Row],[Nb]],0)</f>
        <v>0.47826086956521741</v>
      </c>
    </row>
    <row r="1235" spans="1:6" ht="30" customHeight="1" x14ac:dyDescent="0.3">
      <c r="A1235" s="26" t="s">
        <v>3542</v>
      </c>
      <c r="B1235" s="27" t="s">
        <v>3543</v>
      </c>
      <c r="C1235" s="180">
        <v>44235</v>
      </c>
      <c r="D1235" s="28">
        <v>23</v>
      </c>
      <c r="E1235" s="49">
        <v>11</v>
      </c>
      <c r="F1235" s="211">
        <f>IFERROR(Tableau6[[#This Row],[Score]]/Tableau6[[#This Row],[Nb]],0)</f>
        <v>0.47826086956521741</v>
      </c>
    </row>
    <row r="1236" spans="1:6" ht="30" customHeight="1" x14ac:dyDescent="0.3">
      <c r="A1236" s="26" t="s">
        <v>4386</v>
      </c>
      <c r="B1236" s="27" t="s">
        <v>4387</v>
      </c>
      <c r="C1236" s="180">
        <v>44299</v>
      </c>
      <c r="D1236" s="28">
        <v>23</v>
      </c>
      <c r="E1236" s="49">
        <v>11</v>
      </c>
      <c r="F1236" s="211">
        <f>IFERROR(Tableau6[[#This Row],[Score]]/Tableau6[[#This Row],[Nb]],0)</f>
        <v>0.47826086956521741</v>
      </c>
    </row>
    <row r="1237" spans="1:6" ht="30" customHeight="1" x14ac:dyDescent="0.3">
      <c r="A1237" s="26" t="s">
        <v>1573</v>
      </c>
      <c r="B1237" s="27" t="s">
        <v>1574</v>
      </c>
      <c r="C1237" s="180">
        <v>41522</v>
      </c>
      <c r="D1237" s="28">
        <v>25</v>
      </c>
      <c r="E1237" s="49">
        <v>12</v>
      </c>
      <c r="F1237" s="211">
        <f>IFERROR(Tableau6[[#This Row],[Score]]/Tableau6[[#This Row],[Nb]],0)</f>
        <v>0.48</v>
      </c>
    </row>
    <row r="1238" spans="1:6" ht="30" customHeight="1" x14ac:dyDescent="0.3">
      <c r="A1238" s="26" t="s">
        <v>193</v>
      </c>
      <c r="B1238" s="27" t="s">
        <v>3167</v>
      </c>
      <c r="C1238" s="180">
        <v>41621</v>
      </c>
      <c r="D1238" s="28">
        <v>25</v>
      </c>
      <c r="E1238" s="49">
        <v>12</v>
      </c>
      <c r="F1238" s="211">
        <f>IFERROR(Tableau6[[#This Row],[Score]]/Tableau6[[#This Row],[Nb]],0)</f>
        <v>0.48</v>
      </c>
    </row>
    <row r="1239" spans="1:6" ht="30" customHeight="1" x14ac:dyDescent="0.3">
      <c r="A1239" s="26" t="s">
        <v>3</v>
      </c>
      <c r="B1239" s="27" t="s">
        <v>4</v>
      </c>
      <c r="C1239" s="180">
        <v>43206</v>
      </c>
      <c r="D1239" s="28">
        <v>25</v>
      </c>
      <c r="E1239" s="49">
        <v>12</v>
      </c>
      <c r="F1239" s="211">
        <f>IFERROR(Tableau6[[#This Row],[Score]]/Tableau6[[#This Row],[Nb]],0)</f>
        <v>0.48</v>
      </c>
    </row>
    <row r="1240" spans="1:6" ht="30" customHeight="1" x14ac:dyDescent="0.3">
      <c r="A1240" s="26" t="s">
        <v>807</v>
      </c>
      <c r="B1240" s="27" t="s">
        <v>718</v>
      </c>
      <c r="C1240" s="180">
        <v>43237</v>
      </c>
      <c r="D1240" s="28">
        <v>25</v>
      </c>
      <c r="E1240" s="49">
        <v>12</v>
      </c>
      <c r="F1240" s="211">
        <f>IFERROR(Tableau6[[#This Row],[Score]]/Tableau6[[#This Row],[Nb]],0)</f>
        <v>0.48</v>
      </c>
    </row>
    <row r="1241" spans="1:6" ht="30" customHeight="1" x14ac:dyDescent="0.3">
      <c r="A1241" s="26" t="s">
        <v>111</v>
      </c>
      <c r="B1241" s="27" t="s">
        <v>112</v>
      </c>
      <c r="C1241" s="180">
        <v>43341</v>
      </c>
      <c r="D1241" s="28">
        <v>25</v>
      </c>
      <c r="E1241" s="49">
        <v>12</v>
      </c>
      <c r="F1241" s="211">
        <f>IFERROR(Tableau6[[#This Row],[Score]]/Tableau6[[#This Row],[Nb]],0)</f>
        <v>0.48</v>
      </c>
    </row>
    <row r="1242" spans="1:6" ht="30" customHeight="1" x14ac:dyDescent="0.3">
      <c r="A1242" s="26" t="s">
        <v>1375</v>
      </c>
      <c r="B1242" s="27" t="s">
        <v>4525</v>
      </c>
      <c r="C1242" s="180">
        <v>43444</v>
      </c>
      <c r="D1242" s="28">
        <v>25</v>
      </c>
      <c r="E1242" s="49">
        <v>12</v>
      </c>
      <c r="F1242" s="211">
        <f>IFERROR(Tableau6[[#This Row],[Score]]/Tableau6[[#This Row],[Nb]],0)</f>
        <v>0.48</v>
      </c>
    </row>
    <row r="1243" spans="1:6" ht="30" customHeight="1" x14ac:dyDescent="0.3">
      <c r="A1243" s="26" t="s">
        <v>3803</v>
      </c>
      <c r="B1243" s="27" t="s">
        <v>3804</v>
      </c>
      <c r="C1243" s="180">
        <v>43661</v>
      </c>
      <c r="D1243" s="28">
        <v>25</v>
      </c>
      <c r="E1243" s="49">
        <v>12</v>
      </c>
      <c r="F1243" s="211">
        <f>IFERROR(Tableau6[[#This Row],[Score]]/Tableau6[[#This Row],[Nb]],0)</f>
        <v>0.48</v>
      </c>
    </row>
    <row r="1244" spans="1:6" ht="30" customHeight="1" x14ac:dyDescent="0.3">
      <c r="A1244" s="26" t="s">
        <v>2121</v>
      </c>
      <c r="B1244" s="27" t="s">
        <v>2122</v>
      </c>
      <c r="C1244" s="180">
        <v>43673</v>
      </c>
      <c r="D1244" s="28">
        <v>25</v>
      </c>
      <c r="E1244" s="49">
        <v>12</v>
      </c>
      <c r="F1244" s="211">
        <f>IFERROR(Tableau6[[#This Row],[Score]]/Tableau6[[#This Row],[Nb]],0)</f>
        <v>0.48</v>
      </c>
    </row>
    <row r="1245" spans="1:6" ht="30" customHeight="1" x14ac:dyDescent="0.3">
      <c r="A1245" s="26" t="s">
        <v>2797</v>
      </c>
      <c r="B1245" s="27" t="s">
        <v>2798</v>
      </c>
      <c r="C1245" s="180">
        <v>43934</v>
      </c>
      <c r="D1245" s="28">
        <v>25</v>
      </c>
      <c r="E1245" s="49">
        <v>12</v>
      </c>
      <c r="F1245" s="211">
        <f>IFERROR(Tableau6[[#This Row],[Score]]/Tableau6[[#This Row],[Nb]],0)</f>
        <v>0.48</v>
      </c>
    </row>
    <row r="1246" spans="1:6" ht="30" customHeight="1" x14ac:dyDescent="0.3">
      <c r="A1246" s="26" t="s">
        <v>4253</v>
      </c>
      <c r="B1246" s="27" t="s">
        <v>4254</v>
      </c>
      <c r="C1246" s="180">
        <v>41621</v>
      </c>
      <c r="D1246" s="28">
        <v>27</v>
      </c>
      <c r="E1246" s="49">
        <v>13</v>
      </c>
      <c r="F1246" s="211">
        <f>IFERROR(Tableau6[[#This Row],[Score]]/Tableau6[[#This Row],[Nb]],0)</f>
        <v>0.48148148148148145</v>
      </c>
    </row>
    <row r="1247" spans="1:6" ht="30" customHeight="1" x14ac:dyDescent="0.3">
      <c r="A1247" s="26" t="s">
        <v>2299</v>
      </c>
      <c r="B1247" s="27" t="s">
        <v>2300</v>
      </c>
      <c r="C1247" s="180">
        <v>43767</v>
      </c>
      <c r="D1247" s="28">
        <v>27</v>
      </c>
      <c r="E1247" s="49">
        <v>13</v>
      </c>
      <c r="F1247" s="211">
        <f>IFERROR(Tableau6[[#This Row],[Score]]/Tableau6[[#This Row],[Nb]],0)</f>
        <v>0.48148148148148145</v>
      </c>
    </row>
    <row r="1248" spans="1:6" ht="30" customHeight="1" x14ac:dyDescent="0.3">
      <c r="A1248" s="26" t="s">
        <v>2884</v>
      </c>
      <c r="B1248" s="27" t="s">
        <v>2885</v>
      </c>
      <c r="C1248" s="180">
        <v>43969</v>
      </c>
      <c r="D1248" s="28">
        <v>27</v>
      </c>
      <c r="E1248" s="49">
        <v>13</v>
      </c>
      <c r="F1248" s="211">
        <f>IFERROR(Tableau6[[#This Row],[Score]]/Tableau6[[#This Row],[Nb]],0)</f>
        <v>0.48148148148148145</v>
      </c>
    </row>
    <row r="1249" spans="1:6" ht="30" customHeight="1" x14ac:dyDescent="0.3">
      <c r="A1249" s="26" t="s">
        <v>4431</v>
      </c>
      <c r="B1249" s="27" t="s">
        <v>4432</v>
      </c>
      <c r="C1249" s="180">
        <v>44299</v>
      </c>
      <c r="D1249" s="28">
        <v>27</v>
      </c>
      <c r="E1249" s="49">
        <v>13</v>
      </c>
      <c r="F1249" s="211">
        <f>IFERROR(Tableau6[[#This Row],[Score]]/Tableau6[[#This Row],[Nb]],0)</f>
        <v>0.48148148148148145</v>
      </c>
    </row>
    <row r="1250" spans="1:6" ht="30" customHeight="1" x14ac:dyDescent="0.3">
      <c r="A1250" s="26" t="s">
        <v>1257</v>
      </c>
      <c r="B1250" s="27" t="s">
        <v>1258</v>
      </c>
      <c r="C1250" s="180">
        <v>43427</v>
      </c>
      <c r="D1250" s="28">
        <v>29</v>
      </c>
      <c r="E1250" s="49">
        <v>14</v>
      </c>
      <c r="F1250" s="211">
        <f>IFERROR(Tableau6[[#This Row],[Score]]/Tableau6[[#This Row],[Nb]],0)</f>
        <v>0.48275862068965519</v>
      </c>
    </row>
    <row r="1251" spans="1:6" ht="30" customHeight="1" x14ac:dyDescent="0.3">
      <c r="A1251" s="26" t="s">
        <v>1287</v>
      </c>
      <c r="B1251" s="27" t="s">
        <v>1288</v>
      </c>
      <c r="C1251" s="180">
        <v>43438</v>
      </c>
      <c r="D1251" s="28">
        <v>29</v>
      </c>
      <c r="E1251" s="49">
        <v>14</v>
      </c>
      <c r="F1251" s="211">
        <f>IFERROR(Tableau6[[#This Row],[Score]]/Tableau6[[#This Row],[Nb]],0)</f>
        <v>0.48275862068965519</v>
      </c>
    </row>
    <row r="1252" spans="1:6" ht="30" customHeight="1" x14ac:dyDescent="0.3">
      <c r="A1252" s="26" t="s">
        <v>1317</v>
      </c>
      <c r="B1252" s="27" t="s">
        <v>1318</v>
      </c>
      <c r="C1252" s="180">
        <v>43438</v>
      </c>
      <c r="D1252" s="28">
        <v>29</v>
      </c>
      <c r="E1252" s="49">
        <v>14</v>
      </c>
      <c r="F1252" s="211">
        <f>IFERROR(Tableau6[[#This Row],[Score]]/Tableau6[[#This Row],[Nb]],0)</f>
        <v>0.48275862068965519</v>
      </c>
    </row>
    <row r="1253" spans="1:6" ht="30" customHeight="1" x14ac:dyDescent="0.3">
      <c r="A1253" s="26" t="s">
        <v>2808</v>
      </c>
      <c r="B1253" s="27" t="s">
        <v>2809</v>
      </c>
      <c r="C1253" s="180">
        <v>43941</v>
      </c>
      <c r="D1253" s="28">
        <v>29</v>
      </c>
      <c r="E1253" s="49">
        <v>14</v>
      </c>
      <c r="F1253" s="211">
        <f>IFERROR(Tableau6[[#This Row],[Score]]/Tableau6[[#This Row],[Nb]],0)</f>
        <v>0.48275862068965519</v>
      </c>
    </row>
    <row r="1254" spans="1:6" ht="30" customHeight="1" x14ac:dyDescent="0.3">
      <c r="A1254" s="151" t="s">
        <v>6158</v>
      </c>
      <c r="B1254" s="27" t="s">
        <v>215</v>
      </c>
      <c r="C1254" s="180">
        <v>43400</v>
      </c>
      <c r="D1254" s="28">
        <v>35</v>
      </c>
      <c r="E1254" s="49">
        <v>17</v>
      </c>
      <c r="F1254" s="211">
        <f>IFERROR(Tableau6[[#This Row],[Score]]/Tableau6[[#This Row],[Nb]],0)</f>
        <v>0.48571428571428571</v>
      </c>
    </row>
    <row r="1255" spans="1:6" ht="30" customHeight="1" x14ac:dyDescent="0.3">
      <c r="A1255" s="26" t="s">
        <v>5041</v>
      </c>
      <c r="B1255" s="27" t="s">
        <v>2209</v>
      </c>
      <c r="C1255" s="180">
        <v>41522</v>
      </c>
      <c r="D1255" s="28">
        <v>14</v>
      </c>
      <c r="E1255" s="49">
        <v>7</v>
      </c>
      <c r="F1255" s="211">
        <f>IFERROR(Tableau6[[#This Row],[Score]]/Tableau6[[#This Row],[Nb]],0)</f>
        <v>0.5</v>
      </c>
    </row>
    <row r="1256" spans="1:6" ht="30" customHeight="1" x14ac:dyDescent="0.3">
      <c r="A1256" s="26" t="s">
        <v>931</v>
      </c>
      <c r="B1256" s="27" t="s">
        <v>791</v>
      </c>
      <c r="C1256" s="180">
        <v>41621</v>
      </c>
      <c r="D1256" s="28">
        <v>36</v>
      </c>
      <c r="E1256" s="49">
        <v>18</v>
      </c>
      <c r="F1256" s="211">
        <f>IFERROR(Tableau6[[#This Row],[Score]]/Tableau6[[#This Row],[Nb]],0)</f>
        <v>0.5</v>
      </c>
    </row>
    <row r="1257" spans="1:6" ht="30" customHeight="1" x14ac:dyDescent="0.3">
      <c r="A1257" s="26" t="s">
        <v>4255</v>
      </c>
      <c r="B1257" s="27" t="s">
        <v>4256</v>
      </c>
      <c r="C1257" s="180">
        <v>41621</v>
      </c>
      <c r="D1257" s="28">
        <v>18</v>
      </c>
      <c r="E1257" s="49">
        <v>9</v>
      </c>
      <c r="F1257" s="211">
        <f>IFERROR(Tableau6[[#This Row],[Score]]/Tableau6[[#This Row],[Nb]],0)</f>
        <v>0.5</v>
      </c>
    </row>
    <row r="1258" spans="1:6" ht="30" customHeight="1" x14ac:dyDescent="0.3">
      <c r="A1258" s="26" t="s">
        <v>926</v>
      </c>
      <c r="B1258" s="27" t="s">
        <v>1092</v>
      </c>
      <c r="C1258" s="180">
        <v>41621</v>
      </c>
      <c r="D1258" s="28">
        <v>18</v>
      </c>
      <c r="E1258" s="49">
        <v>9</v>
      </c>
      <c r="F1258" s="211">
        <f>IFERROR(Tableau6[[#This Row],[Score]]/Tableau6[[#This Row],[Nb]],0)</f>
        <v>0.5</v>
      </c>
    </row>
    <row r="1259" spans="1:6" ht="30" customHeight="1" x14ac:dyDescent="0.3">
      <c r="A1259" s="26" t="s">
        <v>970</v>
      </c>
      <c r="B1259" s="27" t="s">
        <v>624</v>
      </c>
      <c r="C1259" s="180">
        <v>41621</v>
      </c>
      <c r="D1259" s="28">
        <v>22</v>
      </c>
      <c r="E1259" s="49">
        <v>11</v>
      </c>
      <c r="F1259" s="211">
        <f>IFERROR(Tableau6[[#This Row],[Score]]/Tableau6[[#This Row],[Nb]],0)</f>
        <v>0.5</v>
      </c>
    </row>
    <row r="1260" spans="1:6" ht="30" customHeight="1" x14ac:dyDescent="0.3">
      <c r="A1260" s="26" t="s">
        <v>765</v>
      </c>
      <c r="B1260" s="27" t="s">
        <v>4181</v>
      </c>
      <c r="C1260" s="180">
        <v>41621</v>
      </c>
      <c r="D1260" s="28">
        <v>14</v>
      </c>
      <c r="E1260" s="49">
        <v>7</v>
      </c>
      <c r="F1260" s="211">
        <f>IFERROR(Tableau6[[#This Row],[Score]]/Tableau6[[#This Row],[Nb]],0)</f>
        <v>0.5</v>
      </c>
    </row>
    <row r="1261" spans="1:6" ht="30" customHeight="1" x14ac:dyDescent="0.3">
      <c r="A1261" s="26" t="s">
        <v>1011</v>
      </c>
      <c r="B1261" s="27" t="s">
        <v>329</v>
      </c>
      <c r="C1261" s="180">
        <v>41621</v>
      </c>
      <c r="D1261" s="28">
        <v>16</v>
      </c>
      <c r="E1261" s="49">
        <v>8</v>
      </c>
      <c r="F1261" s="211">
        <f>IFERROR(Tableau6[[#This Row],[Score]]/Tableau6[[#This Row],[Nb]],0)</f>
        <v>0.5</v>
      </c>
    </row>
    <row r="1262" spans="1:6" ht="30" customHeight="1" x14ac:dyDescent="0.3">
      <c r="A1262" s="26" t="s">
        <v>812</v>
      </c>
      <c r="B1262" s="27" t="s">
        <v>634</v>
      </c>
      <c r="C1262" s="180">
        <v>41621</v>
      </c>
      <c r="D1262" s="28">
        <v>20</v>
      </c>
      <c r="E1262" s="49">
        <v>10</v>
      </c>
      <c r="F1262" s="211">
        <f>IFERROR(Tableau6[[#This Row],[Score]]/Tableau6[[#This Row],[Nb]],0)</f>
        <v>0.5</v>
      </c>
    </row>
    <row r="1263" spans="1:6" ht="30" customHeight="1" x14ac:dyDescent="0.3">
      <c r="A1263" s="26" t="s">
        <v>974</v>
      </c>
      <c r="B1263" s="27" t="s">
        <v>37</v>
      </c>
      <c r="C1263" s="180">
        <v>41621</v>
      </c>
      <c r="D1263" s="28">
        <v>24</v>
      </c>
      <c r="E1263" s="49">
        <v>12</v>
      </c>
      <c r="F1263" s="211">
        <f>IFERROR(Tableau6[[#This Row],[Score]]/Tableau6[[#This Row],[Nb]],0)</f>
        <v>0.5</v>
      </c>
    </row>
    <row r="1264" spans="1:6" ht="30" customHeight="1" x14ac:dyDescent="0.3">
      <c r="A1264" s="26" t="s">
        <v>944</v>
      </c>
      <c r="B1264" s="27" t="s">
        <v>850</v>
      </c>
      <c r="C1264" s="180">
        <v>41621</v>
      </c>
      <c r="D1264" s="28">
        <v>26</v>
      </c>
      <c r="E1264" s="49">
        <v>13</v>
      </c>
      <c r="F1264" s="211">
        <f>IFERROR(Tableau6[[#This Row],[Score]]/Tableau6[[#This Row],[Nb]],0)</f>
        <v>0.5</v>
      </c>
    </row>
    <row r="1265" spans="1:6" ht="30" customHeight="1" x14ac:dyDescent="0.3">
      <c r="A1265" s="26" t="s">
        <v>646</v>
      </c>
      <c r="B1265" s="27" t="s">
        <v>684</v>
      </c>
      <c r="C1265" s="180">
        <v>43206</v>
      </c>
      <c r="D1265" s="28">
        <v>22</v>
      </c>
      <c r="E1265" s="49">
        <v>11</v>
      </c>
      <c r="F1265" s="211">
        <f>IFERROR(Tableau6[[#This Row],[Score]]/Tableau6[[#This Row],[Nb]],0)</f>
        <v>0.5</v>
      </c>
    </row>
    <row r="1266" spans="1:6" ht="30" customHeight="1" x14ac:dyDescent="0.3">
      <c r="A1266" s="26" t="s">
        <v>674</v>
      </c>
      <c r="B1266" s="27" t="s">
        <v>1082</v>
      </c>
      <c r="C1266" s="180">
        <v>43237</v>
      </c>
      <c r="D1266" s="28">
        <v>14</v>
      </c>
      <c r="E1266" s="49">
        <v>7</v>
      </c>
      <c r="F1266" s="211">
        <f>IFERROR(Tableau6[[#This Row],[Score]]/Tableau6[[#This Row],[Nb]],0)</f>
        <v>0.5</v>
      </c>
    </row>
    <row r="1267" spans="1:6" ht="30" customHeight="1" x14ac:dyDescent="0.3">
      <c r="A1267" s="327" t="s">
        <v>6473</v>
      </c>
      <c r="B1267" s="328" t="s">
        <v>6474</v>
      </c>
      <c r="C1267" s="180">
        <v>43237</v>
      </c>
      <c r="D1267" s="28">
        <v>22</v>
      </c>
      <c r="E1267" s="49">
        <v>11</v>
      </c>
      <c r="F1267" s="211">
        <f>IFERROR(Tableau6[[#This Row],[Score]]/Tableau6[[#This Row],[Nb]],0)</f>
        <v>0.5</v>
      </c>
    </row>
    <row r="1268" spans="1:6" ht="30" customHeight="1" x14ac:dyDescent="0.3">
      <c r="A1268" s="26" t="s">
        <v>1051</v>
      </c>
      <c r="B1268" s="27" t="s">
        <v>868</v>
      </c>
      <c r="C1268" s="180">
        <v>43237</v>
      </c>
      <c r="D1268" s="28">
        <v>16</v>
      </c>
      <c r="E1268" s="49">
        <v>8</v>
      </c>
      <c r="F1268" s="211">
        <f>IFERROR(Tableau6[[#This Row],[Score]]/Tableau6[[#This Row],[Nb]],0)</f>
        <v>0.5</v>
      </c>
    </row>
    <row r="1269" spans="1:6" ht="30" customHeight="1" x14ac:dyDescent="0.3">
      <c r="A1269" s="26" t="s">
        <v>40</v>
      </c>
      <c r="B1269" s="27" t="s">
        <v>41</v>
      </c>
      <c r="C1269" s="180">
        <v>43295</v>
      </c>
      <c r="D1269" s="28">
        <v>20</v>
      </c>
      <c r="E1269" s="49">
        <v>10</v>
      </c>
      <c r="F1269" s="211">
        <f>IFERROR(Tableau6[[#This Row],[Score]]/Tableau6[[#This Row],[Nb]],0)</f>
        <v>0.5</v>
      </c>
    </row>
    <row r="1270" spans="1:6" ht="30" customHeight="1" x14ac:dyDescent="0.3">
      <c r="A1270" s="26" t="s">
        <v>46</v>
      </c>
      <c r="B1270" s="27" t="s">
        <v>47</v>
      </c>
      <c r="C1270" s="180">
        <v>43296</v>
      </c>
      <c r="D1270" s="28">
        <v>16</v>
      </c>
      <c r="E1270" s="49">
        <v>8</v>
      </c>
      <c r="F1270" s="211">
        <f>IFERROR(Tableau6[[#This Row],[Score]]/Tableau6[[#This Row],[Nb]],0)</f>
        <v>0.5</v>
      </c>
    </row>
    <row r="1271" spans="1:6" ht="30" customHeight="1" x14ac:dyDescent="0.3">
      <c r="A1271" s="26" t="s">
        <v>58</v>
      </c>
      <c r="B1271" s="27" t="s">
        <v>59</v>
      </c>
      <c r="C1271" s="180">
        <v>43298</v>
      </c>
      <c r="D1271" s="28">
        <v>22</v>
      </c>
      <c r="E1271" s="49">
        <v>11</v>
      </c>
      <c r="F1271" s="211">
        <f>IFERROR(Tableau6[[#This Row],[Score]]/Tableau6[[#This Row],[Nb]],0)</f>
        <v>0.5</v>
      </c>
    </row>
    <row r="1272" spans="1:6" ht="30" customHeight="1" x14ac:dyDescent="0.3">
      <c r="A1272" s="151" t="s">
        <v>5158</v>
      </c>
      <c r="B1272" s="152" t="s">
        <v>5159</v>
      </c>
      <c r="C1272" s="180">
        <v>43311</v>
      </c>
      <c r="D1272" s="28">
        <v>20</v>
      </c>
      <c r="E1272" s="49">
        <v>10</v>
      </c>
      <c r="F1272" s="211">
        <f>IFERROR(Tableau6[[#This Row],[Score]]/Tableau6[[#This Row],[Nb]],0)</f>
        <v>0.5</v>
      </c>
    </row>
    <row r="1273" spans="1:6" ht="30" customHeight="1" x14ac:dyDescent="0.3">
      <c r="A1273" s="26" t="s">
        <v>2749</v>
      </c>
      <c r="B1273" s="27" t="s">
        <v>2750</v>
      </c>
      <c r="C1273" s="180">
        <v>43317</v>
      </c>
      <c r="D1273" s="28">
        <v>28</v>
      </c>
      <c r="E1273" s="49">
        <v>14</v>
      </c>
      <c r="F1273" s="211">
        <f>IFERROR(Tableau6[[#This Row],[Score]]/Tableau6[[#This Row],[Nb]],0)</f>
        <v>0.5</v>
      </c>
    </row>
    <row r="1274" spans="1:6" ht="30" customHeight="1" x14ac:dyDescent="0.3">
      <c r="A1274" s="26" t="s">
        <v>240</v>
      </c>
      <c r="B1274" s="27" t="s">
        <v>241</v>
      </c>
      <c r="C1274" s="180">
        <v>43397</v>
      </c>
      <c r="D1274" s="28">
        <v>10</v>
      </c>
      <c r="E1274" s="49">
        <v>5</v>
      </c>
      <c r="F1274" s="211">
        <f>IFERROR(Tableau6[[#This Row],[Score]]/Tableau6[[#This Row],[Nb]],0)</f>
        <v>0.5</v>
      </c>
    </row>
    <row r="1275" spans="1:6" ht="30" customHeight="1" x14ac:dyDescent="0.3">
      <c r="A1275" s="26" t="s">
        <v>202</v>
      </c>
      <c r="B1275" s="27" t="s">
        <v>4676</v>
      </c>
      <c r="C1275" s="180">
        <v>43401</v>
      </c>
      <c r="D1275" s="28">
        <v>18</v>
      </c>
      <c r="E1275" s="49">
        <v>9</v>
      </c>
      <c r="F1275" s="211">
        <f>IFERROR(Tableau6[[#This Row],[Score]]/Tableau6[[#This Row],[Nb]],0)</f>
        <v>0.5</v>
      </c>
    </row>
    <row r="1276" spans="1:6" ht="30" customHeight="1" x14ac:dyDescent="0.3">
      <c r="A1276" s="26" t="s">
        <v>557</v>
      </c>
      <c r="B1276" s="27" t="s">
        <v>558</v>
      </c>
      <c r="C1276" s="180">
        <v>43406</v>
      </c>
      <c r="D1276" s="28">
        <v>14</v>
      </c>
      <c r="E1276" s="49">
        <v>7</v>
      </c>
      <c r="F1276" s="211">
        <f>IFERROR(Tableau6[[#This Row],[Score]]/Tableau6[[#This Row],[Nb]],0)</f>
        <v>0.5</v>
      </c>
    </row>
    <row r="1277" spans="1:6" ht="30" customHeight="1" x14ac:dyDescent="0.3">
      <c r="A1277" s="26" t="s">
        <v>1110</v>
      </c>
      <c r="B1277" s="27" t="s">
        <v>1111</v>
      </c>
      <c r="C1277" s="180">
        <v>43415</v>
      </c>
      <c r="D1277" s="28">
        <v>22</v>
      </c>
      <c r="E1277" s="49">
        <v>11</v>
      </c>
      <c r="F1277" s="211">
        <f>IFERROR(Tableau6[[#This Row],[Score]]/Tableau6[[#This Row],[Nb]],0)</f>
        <v>0.5</v>
      </c>
    </row>
    <row r="1278" spans="1:6" ht="30" customHeight="1" x14ac:dyDescent="0.3">
      <c r="A1278" s="26" t="s">
        <v>1118</v>
      </c>
      <c r="B1278" s="27" t="s">
        <v>1119</v>
      </c>
      <c r="C1278" s="180">
        <v>43415</v>
      </c>
      <c r="D1278" s="28">
        <v>16</v>
      </c>
      <c r="E1278" s="49">
        <v>8</v>
      </c>
      <c r="F1278" s="211">
        <f>IFERROR(Tableau6[[#This Row],[Score]]/Tableau6[[#This Row],[Nb]],0)</f>
        <v>0.5</v>
      </c>
    </row>
    <row r="1279" spans="1:6" ht="30" customHeight="1" x14ac:dyDescent="0.3">
      <c r="A1279" s="26" t="s">
        <v>1214</v>
      </c>
      <c r="B1279" s="152" t="s">
        <v>5873</v>
      </c>
      <c r="C1279" s="180">
        <v>43417</v>
      </c>
      <c r="D1279" s="28">
        <v>18</v>
      </c>
      <c r="E1279" s="49">
        <v>9</v>
      </c>
      <c r="F1279" s="211">
        <f>IFERROR(Tableau6[[#This Row],[Score]]/Tableau6[[#This Row],[Nb]],0)</f>
        <v>0.5</v>
      </c>
    </row>
    <row r="1280" spans="1:6" ht="30" customHeight="1" x14ac:dyDescent="0.3">
      <c r="A1280" s="26" t="s">
        <v>1145</v>
      </c>
      <c r="B1280" s="27" t="s">
        <v>1146</v>
      </c>
      <c r="C1280" s="180">
        <v>43423</v>
      </c>
      <c r="D1280" s="28">
        <v>22</v>
      </c>
      <c r="E1280" s="49">
        <v>11</v>
      </c>
      <c r="F1280" s="211">
        <f>IFERROR(Tableau6[[#This Row],[Score]]/Tableau6[[#This Row],[Nb]],0)</f>
        <v>0.5</v>
      </c>
    </row>
    <row r="1281" spans="1:6" ht="30" customHeight="1" x14ac:dyDescent="0.3">
      <c r="A1281" s="26" t="s">
        <v>1255</v>
      </c>
      <c r="B1281" s="27" t="s">
        <v>1256</v>
      </c>
      <c r="C1281" s="180">
        <v>43428</v>
      </c>
      <c r="D1281" s="28">
        <v>20</v>
      </c>
      <c r="E1281" s="49">
        <v>10</v>
      </c>
      <c r="F1281" s="211">
        <f>IFERROR(Tableau6[[#This Row],[Score]]/Tableau6[[#This Row],[Nb]],0)</f>
        <v>0.5</v>
      </c>
    </row>
    <row r="1282" spans="1:6" ht="30" customHeight="1" x14ac:dyDescent="0.3">
      <c r="A1282" s="26" t="s">
        <v>1216</v>
      </c>
      <c r="B1282" s="27" t="s">
        <v>1217</v>
      </c>
      <c r="C1282" s="180">
        <v>43430</v>
      </c>
      <c r="D1282" s="28">
        <v>24</v>
      </c>
      <c r="E1282" s="49">
        <v>12</v>
      </c>
      <c r="F1282" s="211">
        <f>IFERROR(Tableau6[[#This Row],[Score]]/Tableau6[[#This Row],[Nb]],0)</f>
        <v>0.5</v>
      </c>
    </row>
    <row r="1283" spans="1:6" ht="30" customHeight="1" x14ac:dyDescent="0.3">
      <c r="A1283" s="26" t="s">
        <v>1368</v>
      </c>
      <c r="B1283" s="27" t="s">
        <v>1369</v>
      </c>
      <c r="C1283" s="180">
        <v>43444</v>
      </c>
      <c r="D1283" s="28">
        <v>18</v>
      </c>
      <c r="E1283" s="49">
        <v>9</v>
      </c>
      <c r="F1283" s="211">
        <f>IFERROR(Tableau6[[#This Row],[Score]]/Tableau6[[#This Row],[Nb]],0)</f>
        <v>0.5</v>
      </c>
    </row>
    <row r="1284" spans="1:6" ht="30" customHeight="1" x14ac:dyDescent="0.3">
      <c r="A1284" s="26" t="s">
        <v>1345</v>
      </c>
      <c r="B1284" s="27" t="s">
        <v>1346</v>
      </c>
      <c r="C1284" s="180">
        <v>43444</v>
      </c>
      <c r="D1284" s="28">
        <v>28</v>
      </c>
      <c r="E1284" s="49">
        <v>14</v>
      </c>
      <c r="F1284" s="211">
        <f>IFERROR(Tableau6[[#This Row],[Score]]/Tableau6[[#This Row],[Nb]],0)</f>
        <v>0.5</v>
      </c>
    </row>
    <row r="1285" spans="1:6" ht="30" customHeight="1" x14ac:dyDescent="0.3">
      <c r="A1285" s="26" t="s">
        <v>1355</v>
      </c>
      <c r="B1285" s="27" t="s">
        <v>1356</v>
      </c>
      <c r="C1285" s="180">
        <v>43444</v>
      </c>
      <c r="D1285" s="28">
        <v>18</v>
      </c>
      <c r="E1285" s="49">
        <v>9</v>
      </c>
      <c r="F1285" s="211">
        <f>IFERROR(Tableau6[[#This Row],[Score]]/Tableau6[[#This Row],[Nb]],0)</f>
        <v>0.5</v>
      </c>
    </row>
    <row r="1286" spans="1:6" ht="30" customHeight="1" x14ac:dyDescent="0.3">
      <c r="A1286" s="26" t="s">
        <v>1555</v>
      </c>
      <c r="B1286" s="27" t="s">
        <v>1504</v>
      </c>
      <c r="C1286" s="180">
        <v>43472</v>
      </c>
      <c r="D1286" s="28">
        <v>18</v>
      </c>
      <c r="E1286" s="49">
        <v>9</v>
      </c>
      <c r="F1286" s="211">
        <f>IFERROR(Tableau6[[#This Row],[Score]]/Tableau6[[#This Row],[Nb]],0)</f>
        <v>0.5</v>
      </c>
    </row>
    <row r="1287" spans="1:6" ht="30" customHeight="1" x14ac:dyDescent="0.3">
      <c r="A1287" s="26" t="s">
        <v>1505</v>
      </c>
      <c r="B1287" s="27" t="s">
        <v>1506</v>
      </c>
      <c r="C1287" s="180">
        <v>43472</v>
      </c>
      <c r="D1287" s="28">
        <v>22</v>
      </c>
      <c r="E1287" s="49">
        <v>11</v>
      </c>
      <c r="F1287" s="211">
        <f>IFERROR(Tableau6[[#This Row],[Score]]/Tableau6[[#This Row],[Nb]],0)</f>
        <v>0.5</v>
      </c>
    </row>
    <row r="1288" spans="1:6" ht="30" customHeight="1" x14ac:dyDescent="0.3">
      <c r="A1288" s="26" t="s">
        <v>1530</v>
      </c>
      <c r="B1288" s="27" t="s">
        <v>1531</v>
      </c>
      <c r="C1288" s="180">
        <v>43472</v>
      </c>
      <c r="D1288" s="28">
        <v>16</v>
      </c>
      <c r="E1288" s="49">
        <v>8</v>
      </c>
      <c r="F1288" s="211">
        <f>IFERROR(Tableau6[[#This Row],[Score]]/Tableau6[[#This Row],[Nb]],0)</f>
        <v>0.5</v>
      </c>
    </row>
    <row r="1289" spans="1:6" ht="30" customHeight="1" x14ac:dyDescent="0.3">
      <c r="A1289" s="26" t="s">
        <v>2009</v>
      </c>
      <c r="B1289" s="27" t="s">
        <v>2010</v>
      </c>
      <c r="C1289" s="180">
        <v>43605</v>
      </c>
      <c r="D1289" s="28">
        <v>16</v>
      </c>
      <c r="E1289" s="49">
        <v>8</v>
      </c>
      <c r="F1289" s="211">
        <f>IFERROR(Tableau6[[#This Row],[Score]]/Tableau6[[#This Row],[Nb]],0)</f>
        <v>0.5</v>
      </c>
    </row>
    <row r="1290" spans="1:6" ht="30" customHeight="1" x14ac:dyDescent="0.3">
      <c r="A1290" s="26" t="s">
        <v>1991</v>
      </c>
      <c r="B1290" s="27" t="s">
        <v>1992</v>
      </c>
      <c r="C1290" s="180">
        <v>43605</v>
      </c>
      <c r="D1290" s="28">
        <v>16</v>
      </c>
      <c r="E1290" s="49">
        <v>8</v>
      </c>
      <c r="F1290" s="211">
        <f>IFERROR(Tableau6[[#This Row],[Score]]/Tableau6[[#This Row],[Nb]],0)</f>
        <v>0.5</v>
      </c>
    </row>
    <row r="1291" spans="1:6" ht="30" customHeight="1" x14ac:dyDescent="0.3">
      <c r="A1291" s="26" t="s">
        <v>2081</v>
      </c>
      <c r="B1291" s="152" t="s">
        <v>5346</v>
      </c>
      <c r="C1291" s="180">
        <v>43673</v>
      </c>
      <c r="D1291" s="28">
        <v>30</v>
      </c>
      <c r="E1291" s="49">
        <v>15</v>
      </c>
      <c r="F1291" s="211">
        <f>IFERROR(Tableau6[[#This Row],[Score]]/Tableau6[[#This Row],[Nb]],0)</f>
        <v>0.5</v>
      </c>
    </row>
    <row r="1292" spans="1:6" ht="30" customHeight="1" x14ac:dyDescent="0.3">
      <c r="A1292" s="26" t="s">
        <v>2416</v>
      </c>
      <c r="B1292" s="27" t="s">
        <v>2415</v>
      </c>
      <c r="C1292" s="180">
        <v>43673</v>
      </c>
      <c r="D1292" s="28">
        <v>20</v>
      </c>
      <c r="E1292" s="49">
        <v>10</v>
      </c>
      <c r="F1292" s="211">
        <f>IFERROR(Tableau6[[#This Row],[Score]]/Tableau6[[#This Row],[Nb]],0)</f>
        <v>0.5</v>
      </c>
    </row>
    <row r="1293" spans="1:6" ht="30" customHeight="1" x14ac:dyDescent="0.3">
      <c r="A1293" s="26" t="s">
        <v>2745</v>
      </c>
      <c r="B1293" s="27" t="s">
        <v>2746</v>
      </c>
      <c r="C1293" s="180">
        <v>43767</v>
      </c>
      <c r="D1293" s="28">
        <v>18</v>
      </c>
      <c r="E1293" s="49">
        <v>9</v>
      </c>
      <c r="F1293" s="211">
        <f>IFERROR(Tableau6[[#This Row],[Score]]/Tableau6[[#This Row],[Nb]],0)</f>
        <v>0.5</v>
      </c>
    </row>
    <row r="1294" spans="1:6" ht="30" customHeight="1" x14ac:dyDescent="0.3">
      <c r="A1294" s="26" t="s">
        <v>2364</v>
      </c>
      <c r="B1294" s="27" t="s">
        <v>2365</v>
      </c>
      <c r="C1294" s="180">
        <v>43771</v>
      </c>
      <c r="D1294" s="28">
        <v>20</v>
      </c>
      <c r="E1294" s="49">
        <v>10</v>
      </c>
      <c r="F1294" s="211">
        <f>IFERROR(Tableau6[[#This Row],[Score]]/Tableau6[[#This Row],[Nb]],0)</f>
        <v>0.5</v>
      </c>
    </row>
    <row r="1295" spans="1:6" ht="30" customHeight="1" x14ac:dyDescent="0.3">
      <c r="A1295" s="26" t="s">
        <v>2376</v>
      </c>
      <c r="B1295" s="27" t="s">
        <v>4546</v>
      </c>
      <c r="C1295" s="180">
        <v>43772</v>
      </c>
      <c r="D1295" s="28">
        <v>26</v>
      </c>
      <c r="E1295" s="49">
        <v>13</v>
      </c>
      <c r="F1295" s="211">
        <f>IFERROR(Tableau6[[#This Row],[Score]]/Tableau6[[#This Row],[Nb]],0)</f>
        <v>0.5</v>
      </c>
    </row>
    <row r="1296" spans="1:6" ht="30" customHeight="1" x14ac:dyDescent="0.3">
      <c r="A1296" s="26" t="s">
        <v>2377</v>
      </c>
      <c r="B1296" s="27" t="s">
        <v>4682</v>
      </c>
      <c r="C1296" s="180">
        <v>43772</v>
      </c>
      <c r="D1296" s="28">
        <v>24</v>
      </c>
      <c r="E1296" s="49">
        <v>12</v>
      </c>
      <c r="F1296" s="211">
        <f>IFERROR(Tableau6[[#This Row],[Score]]/Tableau6[[#This Row],[Nb]],0)</f>
        <v>0.5</v>
      </c>
    </row>
    <row r="1297" spans="1:6" ht="30" customHeight="1" x14ac:dyDescent="0.3">
      <c r="A1297" s="26" t="s">
        <v>2402</v>
      </c>
      <c r="B1297" s="27" t="s">
        <v>2403</v>
      </c>
      <c r="C1297" s="180">
        <v>43775</v>
      </c>
      <c r="D1297" s="28">
        <v>18</v>
      </c>
      <c r="E1297" s="49">
        <v>9</v>
      </c>
      <c r="F1297" s="211">
        <f>IFERROR(Tableau6[[#This Row],[Score]]/Tableau6[[#This Row],[Nb]],0)</f>
        <v>0.5</v>
      </c>
    </row>
    <row r="1298" spans="1:6" ht="30" customHeight="1" x14ac:dyDescent="0.3">
      <c r="A1298" s="26" t="s">
        <v>2458</v>
      </c>
      <c r="B1298" s="27" t="s">
        <v>2459</v>
      </c>
      <c r="C1298" s="180">
        <v>43776</v>
      </c>
      <c r="D1298" s="28">
        <v>20</v>
      </c>
      <c r="E1298" s="49">
        <v>10</v>
      </c>
      <c r="F1298" s="211">
        <f>IFERROR(Tableau6[[#This Row],[Score]]/Tableau6[[#This Row],[Nb]],0)</f>
        <v>0.5</v>
      </c>
    </row>
    <row r="1299" spans="1:6" ht="30" customHeight="1" x14ac:dyDescent="0.3">
      <c r="A1299" s="26" t="s">
        <v>2550</v>
      </c>
      <c r="B1299" s="27" t="s">
        <v>2247</v>
      </c>
      <c r="C1299" s="180">
        <v>43826</v>
      </c>
      <c r="D1299" s="28">
        <v>24</v>
      </c>
      <c r="E1299" s="49">
        <v>12</v>
      </c>
      <c r="F1299" s="211">
        <f>IFERROR(Tableau6[[#This Row],[Score]]/Tableau6[[#This Row],[Nb]],0)</f>
        <v>0.5</v>
      </c>
    </row>
    <row r="1300" spans="1:6" ht="30" customHeight="1" x14ac:dyDescent="0.3">
      <c r="A1300" s="26" t="s">
        <v>2940</v>
      </c>
      <c r="B1300" s="27" t="s">
        <v>2941</v>
      </c>
      <c r="C1300" s="180">
        <v>43984</v>
      </c>
      <c r="D1300" s="28">
        <v>12</v>
      </c>
      <c r="E1300" s="49">
        <v>6</v>
      </c>
      <c r="F1300" s="211">
        <f>IFERROR(Tableau6[[#This Row],[Score]]/Tableau6[[#This Row],[Nb]],0)</f>
        <v>0.5</v>
      </c>
    </row>
    <row r="1301" spans="1:6" ht="30" customHeight="1" x14ac:dyDescent="0.3">
      <c r="A1301" s="26" t="s">
        <v>3045</v>
      </c>
      <c r="B1301" s="27" t="s">
        <v>3046</v>
      </c>
      <c r="C1301" s="180">
        <v>44004</v>
      </c>
      <c r="D1301" s="28">
        <v>24</v>
      </c>
      <c r="E1301" s="49">
        <v>12</v>
      </c>
      <c r="F1301" s="211">
        <f>IFERROR(Tableau6[[#This Row],[Score]]/Tableau6[[#This Row],[Nb]],0)</f>
        <v>0.5</v>
      </c>
    </row>
    <row r="1302" spans="1:6" ht="30" customHeight="1" x14ac:dyDescent="0.3">
      <c r="A1302" s="26" t="s">
        <v>3065</v>
      </c>
      <c r="B1302" s="27" t="s">
        <v>3066</v>
      </c>
      <c r="C1302" s="180">
        <v>44004</v>
      </c>
      <c r="D1302" s="28">
        <v>16</v>
      </c>
      <c r="E1302" s="49">
        <v>8</v>
      </c>
      <c r="F1302" s="211">
        <f>IFERROR(Tableau6[[#This Row],[Score]]/Tableau6[[#This Row],[Nb]],0)</f>
        <v>0.5</v>
      </c>
    </row>
    <row r="1303" spans="1:6" ht="30" customHeight="1" x14ac:dyDescent="0.3">
      <c r="A1303" s="26" t="s">
        <v>3098</v>
      </c>
      <c r="B1303" s="27" t="s">
        <v>3099</v>
      </c>
      <c r="C1303" s="180">
        <v>44004</v>
      </c>
      <c r="D1303" s="28">
        <v>16</v>
      </c>
      <c r="E1303" s="49">
        <v>8</v>
      </c>
      <c r="F1303" s="211">
        <f>IFERROR(Tableau6[[#This Row],[Score]]/Tableau6[[#This Row],[Nb]],0)</f>
        <v>0.5</v>
      </c>
    </row>
    <row r="1304" spans="1:6" ht="30" customHeight="1" x14ac:dyDescent="0.3">
      <c r="A1304" s="26" t="s">
        <v>3516</v>
      </c>
      <c r="B1304" s="27" t="s">
        <v>3134</v>
      </c>
      <c r="C1304" s="180">
        <v>44014</v>
      </c>
      <c r="D1304" s="28">
        <v>18</v>
      </c>
      <c r="E1304" s="49">
        <v>9</v>
      </c>
      <c r="F1304" s="211">
        <f>IFERROR(Tableau6[[#This Row],[Score]]/Tableau6[[#This Row],[Nb]],0)</f>
        <v>0.5</v>
      </c>
    </row>
    <row r="1305" spans="1:6" ht="30" customHeight="1" x14ac:dyDescent="0.3">
      <c r="A1305" s="26" t="s">
        <v>3223</v>
      </c>
      <c r="B1305" s="27" t="s">
        <v>4519</v>
      </c>
      <c r="C1305" s="180">
        <v>44026</v>
      </c>
      <c r="D1305" s="28">
        <v>20</v>
      </c>
      <c r="E1305" s="49">
        <v>10</v>
      </c>
      <c r="F1305" s="211">
        <f>IFERROR(Tableau6[[#This Row],[Score]]/Tableau6[[#This Row],[Nb]],0)</f>
        <v>0.5</v>
      </c>
    </row>
    <row r="1306" spans="1:6" ht="30" customHeight="1" x14ac:dyDescent="0.3">
      <c r="A1306" s="26" t="s">
        <v>3755</v>
      </c>
      <c r="B1306" s="27" t="s">
        <v>3756</v>
      </c>
      <c r="C1306" s="180">
        <v>44251</v>
      </c>
      <c r="D1306" s="28">
        <v>14</v>
      </c>
      <c r="E1306" s="49">
        <v>7</v>
      </c>
      <c r="F1306" s="211">
        <f>IFERROR(Tableau6[[#This Row],[Score]]/Tableau6[[#This Row],[Nb]],0)</f>
        <v>0.5</v>
      </c>
    </row>
    <row r="1307" spans="1:6" ht="30" customHeight="1" x14ac:dyDescent="0.3">
      <c r="A1307" s="26" t="s">
        <v>3883</v>
      </c>
      <c r="B1307" s="27" t="s">
        <v>3884</v>
      </c>
      <c r="C1307" s="180">
        <v>44258</v>
      </c>
      <c r="D1307" s="28">
        <v>18</v>
      </c>
      <c r="E1307" s="49">
        <v>9</v>
      </c>
      <c r="F1307" s="211">
        <f>IFERROR(Tableau6[[#This Row],[Score]]/Tableau6[[#This Row],[Nb]],0)</f>
        <v>0.5</v>
      </c>
    </row>
    <row r="1308" spans="1:6" ht="30" customHeight="1" x14ac:dyDescent="0.3">
      <c r="A1308" s="26" t="s">
        <v>4141</v>
      </c>
      <c r="B1308" s="27" t="s">
        <v>4142</v>
      </c>
      <c r="C1308" s="180">
        <v>44271</v>
      </c>
      <c r="D1308" s="28">
        <v>16</v>
      </c>
      <c r="E1308" s="49">
        <v>8</v>
      </c>
      <c r="F1308" s="211">
        <f>IFERROR(Tableau6[[#This Row],[Score]]/Tableau6[[#This Row],[Nb]],0)</f>
        <v>0.5</v>
      </c>
    </row>
    <row r="1309" spans="1:6" ht="30" customHeight="1" x14ac:dyDescent="0.3">
      <c r="A1309" s="26" t="s">
        <v>4596</v>
      </c>
      <c r="B1309" s="27" t="s">
        <v>4597</v>
      </c>
      <c r="C1309" s="180">
        <v>44334</v>
      </c>
      <c r="D1309" s="28">
        <v>20</v>
      </c>
      <c r="E1309" s="49">
        <v>10</v>
      </c>
      <c r="F1309" s="211">
        <f>IFERROR(Tableau6[[#This Row],[Score]]/Tableau6[[#This Row],[Nb]],0)</f>
        <v>0.5</v>
      </c>
    </row>
    <row r="1310" spans="1:6" ht="30" customHeight="1" x14ac:dyDescent="0.3">
      <c r="A1310" s="99" t="s">
        <v>5093</v>
      </c>
      <c r="B1310" s="100" t="s">
        <v>5094</v>
      </c>
      <c r="C1310" s="196">
        <v>44462</v>
      </c>
      <c r="D1310" s="101">
        <v>16</v>
      </c>
      <c r="E1310" s="101">
        <v>8</v>
      </c>
      <c r="F1310" s="211">
        <f>IFERROR(Tableau6[[#This Row],[Score]]/Tableau6[[#This Row],[Nb]],0)</f>
        <v>0.5</v>
      </c>
    </row>
    <row r="1311" spans="1:6" ht="30" customHeight="1" x14ac:dyDescent="0.3">
      <c r="A1311" s="151" t="s">
        <v>5293</v>
      </c>
      <c r="B1311" s="152" t="s">
        <v>5294</v>
      </c>
      <c r="C1311" s="208">
        <v>44529</v>
      </c>
      <c r="D1311" s="154">
        <v>8</v>
      </c>
      <c r="E1311" s="154">
        <v>4</v>
      </c>
      <c r="F1311" s="211">
        <f>IFERROR(Tableau6[[#This Row],[Score]]/Tableau6[[#This Row],[Nb]],0)</f>
        <v>0.5</v>
      </c>
    </row>
    <row r="1312" spans="1:6" ht="30" customHeight="1" x14ac:dyDescent="0.3">
      <c r="A1312" s="151" t="s">
        <v>5829</v>
      </c>
      <c r="B1312" s="152" t="s">
        <v>5830</v>
      </c>
      <c r="C1312" s="208">
        <v>44651</v>
      </c>
      <c r="D1312" s="154">
        <v>12</v>
      </c>
      <c r="E1312" s="154">
        <v>6</v>
      </c>
      <c r="F1312" s="211">
        <f>IFERROR(Tableau6[[#This Row],[Score]]/Tableau6[[#This Row],[Nb]],0)</f>
        <v>0.5</v>
      </c>
    </row>
    <row r="1313" spans="1:6" ht="30" customHeight="1" x14ac:dyDescent="0.3">
      <c r="A1313" s="151" t="s">
        <v>5840</v>
      </c>
      <c r="B1313" s="152" t="s">
        <v>5978</v>
      </c>
      <c r="C1313" s="208">
        <v>44652</v>
      </c>
      <c r="D1313" s="154">
        <v>12</v>
      </c>
      <c r="E1313" s="154">
        <v>6</v>
      </c>
      <c r="F1313" s="211">
        <f>IFERROR(Tableau6[[#This Row],[Score]]/Tableau6[[#This Row],[Nb]],0)</f>
        <v>0.5</v>
      </c>
    </row>
    <row r="1314" spans="1:6" ht="30" customHeight="1" x14ac:dyDescent="0.3">
      <c r="A1314" s="151" t="s">
        <v>5859</v>
      </c>
      <c r="B1314" s="152" t="s">
        <v>5860</v>
      </c>
      <c r="C1314" s="208">
        <v>44657</v>
      </c>
      <c r="D1314" s="154">
        <v>4</v>
      </c>
      <c r="E1314" s="154">
        <v>2</v>
      </c>
      <c r="F1314" s="211">
        <f>IFERROR(Tableau6[[#This Row],[Score]]/Tableau6[[#This Row],[Nb]],0)</f>
        <v>0.5</v>
      </c>
    </row>
    <row r="1315" spans="1:6" ht="30" customHeight="1" x14ac:dyDescent="0.3">
      <c r="A1315" s="151" t="s">
        <v>6026</v>
      </c>
      <c r="B1315" s="152" t="s">
        <v>6027</v>
      </c>
      <c r="C1315" s="208">
        <v>44714</v>
      </c>
      <c r="D1315" s="154">
        <v>4</v>
      </c>
      <c r="E1315" s="154">
        <v>2</v>
      </c>
      <c r="F1315" s="211">
        <f>IFERROR(Tableau6[[#This Row],[Score]]/Tableau6[[#This Row],[Nb]],0)</f>
        <v>0.5</v>
      </c>
    </row>
    <row r="1316" spans="1:6" ht="30" customHeight="1" x14ac:dyDescent="0.3">
      <c r="A1316" s="151" t="s">
        <v>6029</v>
      </c>
      <c r="B1316" s="152" t="s">
        <v>6030</v>
      </c>
      <c r="C1316" s="208">
        <v>44716</v>
      </c>
      <c r="D1316" s="154">
        <v>4</v>
      </c>
      <c r="E1316" s="154">
        <v>2</v>
      </c>
      <c r="F1316" s="211">
        <f>IFERROR(Tableau6[[#This Row],[Score]]/Tableau6[[#This Row],[Nb]],0)</f>
        <v>0.5</v>
      </c>
    </row>
    <row r="1317" spans="1:6" ht="30" customHeight="1" x14ac:dyDescent="0.3">
      <c r="A1317" s="151" t="s">
        <v>6065</v>
      </c>
      <c r="B1317" s="152" t="s">
        <v>6042</v>
      </c>
      <c r="C1317" s="208">
        <v>44720</v>
      </c>
      <c r="D1317" s="154">
        <v>8</v>
      </c>
      <c r="E1317" s="154">
        <v>4</v>
      </c>
      <c r="F1317" s="211">
        <f>IFERROR(Tableau6[[#This Row],[Score]]/Tableau6[[#This Row],[Nb]],0)</f>
        <v>0.5</v>
      </c>
    </row>
    <row r="1318" spans="1:6" ht="30" customHeight="1" x14ac:dyDescent="0.3">
      <c r="A1318" s="151" t="s">
        <v>6055</v>
      </c>
      <c r="B1318" s="152" t="s">
        <v>6054</v>
      </c>
      <c r="C1318" s="208">
        <v>44726</v>
      </c>
      <c r="D1318" s="154">
        <v>12</v>
      </c>
      <c r="E1318" s="154">
        <v>6</v>
      </c>
      <c r="F1318" s="211">
        <f>IFERROR(Tableau6[[#This Row],[Score]]/Tableau6[[#This Row],[Nb]],0)</f>
        <v>0.5</v>
      </c>
    </row>
    <row r="1319" spans="1:6" ht="30" customHeight="1" x14ac:dyDescent="0.3">
      <c r="A1319" s="151" t="s">
        <v>6085</v>
      </c>
      <c r="B1319" s="152" t="s">
        <v>1561</v>
      </c>
      <c r="C1319" s="208">
        <v>44735</v>
      </c>
      <c r="D1319" s="154">
        <v>4</v>
      </c>
      <c r="E1319" s="154">
        <v>2</v>
      </c>
      <c r="F1319" s="211">
        <f>IFERROR(Tableau6[[#This Row],[Score]]/Tableau6[[#This Row],[Nb]],0)</f>
        <v>0.5</v>
      </c>
    </row>
    <row r="1320" spans="1:6" ht="30" customHeight="1" x14ac:dyDescent="0.3">
      <c r="A1320" s="151" t="s">
        <v>6105</v>
      </c>
      <c r="B1320" s="152" t="s">
        <v>6106</v>
      </c>
      <c r="C1320" s="208">
        <v>44751</v>
      </c>
      <c r="D1320" s="154">
        <v>4</v>
      </c>
      <c r="E1320" s="154">
        <v>2</v>
      </c>
      <c r="F1320" s="211">
        <f>IFERROR(Tableau6[[#This Row],[Score]]/Tableau6[[#This Row],[Nb]],0)</f>
        <v>0.5</v>
      </c>
    </row>
    <row r="1321" spans="1:6" ht="30" customHeight="1" x14ac:dyDescent="0.3">
      <c r="A1321" s="151" t="s">
        <v>6173</v>
      </c>
      <c r="B1321" s="152" t="s">
        <v>6172</v>
      </c>
      <c r="C1321" s="208">
        <v>44805</v>
      </c>
      <c r="D1321" s="154">
        <v>4</v>
      </c>
      <c r="E1321" s="154">
        <v>2</v>
      </c>
      <c r="F1321" s="211">
        <f>IFERROR(Tableau6[[#This Row],[Score]]/Tableau6[[#This Row],[Nb]],0)</f>
        <v>0.5</v>
      </c>
    </row>
    <row r="1322" spans="1:6" ht="30" customHeight="1" x14ac:dyDescent="0.3">
      <c r="A1322" s="151" t="s">
        <v>6257</v>
      </c>
      <c r="B1322" s="152" t="s">
        <v>6258</v>
      </c>
      <c r="C1322" s="208">
        <v>44862</v>
      </c>
      <c r="D1322" s="154">
        <v>4</v>
      </c>
      <c r="E1322" s="154">
        <v>2</v>
      </c>
      <c r="F1322" s="211">
        <f>IFERROR(Tableau6[[#This Row],[Score]]/Tableau6[[#This Row],[Nb]],0)</f>
        <v>0.5</v>
      </c>
    </row>
    <row r="1323" spans="1:6" ht="30" customHeight="1" x14ac:dyDescent="0.3">
      <c r="A1323" s="151" t="s">
        <v>6320</v>
      </c>
      <c r="B1323" s="152" t="s">
        <v>6321</v>
      </c>
      <c r="C1323" s="208">
        <v>44878</v>
      </c>
      <c r="D1323" s="154">
        <v>4</v>
      </c>
      <c r="E1323" s="154">
        <v>2</v>
      </c>
      <c r="F1323" s="211">
        <f>IFERROR(Tableau6[[#This Row],[Score]]/Tableau6[[#This Row],[Nb]],0)</f>
        <v>0.5</v>
      </c>
    </row>
    <row r="1324" spans="1:6" ht="30" customHeight="1" x14ac:dyDescent="0.3">
      <c r="A1324" s="238" t="s">
        <v>6435</v>
      </c>
      <c r="B1324" s="239" t="s">
        <v>6436</v>
      </c>
      <c r="C1324" s="240">
        <v>44918</v>
      </c>
      <c r="D1324" s="241">
        <v>4</v>
      </c>
      <c r="E1324" s="241">
        <v>2</v>
      </c>
      <c r="F1324" s="242">
        <f>IFERROR(Tableau6[[#This Row],[Score]]/Tableau6[[#This Row],[Nb]],0)</f>
        <v>0.5</v>
      </c>
    </row>
    <row r="1325" spans="1:6" ht="30" customHeight="1" x14ac:dyDescent="0.3">
      <c r="A1325" s="26" t="s">
        <v>326</v>
      </c>
      <c r="B1325" s="27" t="s">
        <v>327</v>
      </c>
      <c r="C1325" s="180">
        <v>40611</v>
      </c>
      <c r="D1325" s="28">
        <v>33</v>
      </c>
      <c r="E1325" s="49">
        <v>17</v>
      </c>
      <c r="F1325" s="211">
        <f>IFERROR(Tableau6[[#This Row],[Score]]/Tableau6[[#This Row],[Nb]],0)</f>
        <v>0.51515151515151514</v>
      </c>
    </row>
    <row r="1326" spans="1:6" ht="30" customHeight="1" x14ac:dyDescent="0.3">
      <c r="A1326" s="26" t="s">
        <v>1538</v>
      </c>
      <c r="B1326" s="27" t="s">
        <v>1539</v>
      </c>
      <c r="C1326" s="180">
        <v>43428</v>
      </c>
      <c r="D1326" s="28">
        <v>31</v>
      </c>
      <c r="E1326" s="49">
        <v>16</v>
      </c>
      <c r="F1326" s="211">
        <f>IFERROR(Tableau6[[#This Row],[Score]]/Tableau6[[#This Row],[Nb]],0)</f>
        <v>0.5161290322580645</v>
      </c>
    </row>
    <row r="1327" spans="1:6" ht="30" customHeight="1" x14ac:dyDescent="0.3">
      <c r="A1327" s="26" t="s">
        <v>2440</v>
      </c>
      <c r="B1327" s="27" t="s">
        <v>2082</v>
      </c>
      <c r="C1327" s="180">
        <v>43776</v>
      </c>
      <c r="D1327" s="28">
        <v>31</v>
      </c>
      <c r="E1327" s="49">
        <v>16</v>
      </c>
      <c r="F1327" s="211">
        <f>IFERROR(Tableau6[[#This Row],[Score]]/Tableau6[[#This Row],[Nb]],0)</f>
        <v>0.5161290322580645</v>
      </c>
    </row>
    <row r="1328" spans="1:6" ht="30" customHeight="1" x14ac:dyDescent="0.3">
      <c r="A1328" s="26" t="s">
        <v>545</v>
      </c>
      <c r="B1328" s="27" t="s">
        <v>546</v>
      </c>
      <c r="C1328" s="180">
        <v>43408</v>
      </c>
      <c r="D1328" s="28">
        <v>27</v>
      </c>
      <c r="E1328" s="49">
        <v>14</v>
      </c>
      <c r="F1328" s="211">
        <f>IFERROR(Tableau6[[#This Row],[Score]]/Tableau6[[#This Row],[Nb]],0)</f>
        <v>0.51851851851851849</v>
      </c>
    </row>
    <row r="1329" spans="1:6" ht="30" customHeight="1" x14ac:dyDescent="0.3">
      <c r="A1329" s="26" t="s">
        <v>3915</v>
      </c>
      <c r="B1329" s="27" t="s">
        <v>1155</v>
      </c>
      <c r="C1329" s="180">
        <v>43422</v>
      </c>
      <c r="D1329" s="28">
        <v>27</v>
      </c>
      <c r="E1329" s="49">
        <v>14</v>
      </c>
      <c r="F1329" s="211">
        <f>IFERROR(Tableau6[[#This Row],[Score]]/Tableau6[[#This Row],[Nb]],0)</f>
        <v>0.51851851851851849</v>
      </c>
    </row>
    <row r="1330" spans="1:6" ht="30" customHeight="1" x14ac:dyDescent="0.3">
      <c r="A1330" s="26" t="s">
        <v>2589</v>
      </c>
      <c r="B1330" s="27" t="s">
        <v>2590</v>
      </c>
      <c r="C1330" s="180">
        <v>43848</v>
      </c>
      <c r="D1330" s="28">
        <v>27</v>
      </c>
      <c r="E1330" s="49">
        <v>14</v>
      </c>
      <c r="F1330" s="211">
        <f>IFERROR(Tableau6[[#This Row],[Score]]/Tableau6[[#This Row],[Nb]],0)</f>
        <v>0.51851851851851849</v>
      </c>
    </row>
    <row r="1331" spans="1:6" ht="30" customHeight="1" x14ac:dyDescent="0.3">
      <c r="A1331" s="26" t="s">
        <v>314</v>
      </c>
      <c r="B1331" s="27" t="s">
        <v>315</v>
      </c>
      <c r="C1331" s="180">
        <v>40611</v>
      </c>
      <c r="D1331" s="28">
        <v>25</v>
      </c>
      <c r="E1331" s="49">
        <v>13</v>
      </c>
      <c r="F1331" s="211">
        <f>IFERROR(Tableau6[[#This Row],[Score]]/Tableau6[[#This Row],[Nb]],0)</f>
        <v>0.52</v>
      </c>
    </row>
    <row r="1332" spans="1:6" ht="30" customHeight="1" x14ac:dyDescent="0.3">
      <c r="A1332" s="26" t="s">
        <v>694</v>
      </c>
      <c r="B1332" s="27" t="s">
        <v>695</v>
      </c>
      <c r="C1332" s="180">
        <v>41621</v>
      </c>
      <c r="D1332" s="28">
        <v>25</v>
      </c>
      <c r="E1332" s="49">
        <v>13</v>
      </c>
      <c r="F1332" s="211">
        <f>IFERROR(Tableau6[[#This Row],[Score]]/Tableau6[[#This Row],[Nb]],0)</f>
        <v>0.52</v>
      </c>
    </row>
    <row r="1333" spans="1:6" ht="30" customHeight="1" x14ac:dyDescent="0.3">
      <c r="A1333" s="26" t="s">
        <v>1018</v>
      </c>
      <c r="B1333" s="27" t="s">
        <v>887</v>
      </c>
      <c r="C1333" s="180">
        <v>41621</v>
      </c>
      <c r="D1333" s="28">
        <v>25</v>
      </c>
      <c r="E1333" s="49">
        <v>13</v>
      </c>
      <c r="F1333" s="211">
        <f>IFERROR(Tableau6[[#This Row],[Score]]/Tableau6[[#This Row],[Nb]],0)</f>
        <v>0.52</v>
      </c>
    </row>
    <row r="1334" spans="1:6" ht="30" customHeight="1" x14ac:dyDescent="0.3">
      <c r="A1334" s="26" t="s">
        <v>2015</v>
      </c>
      <c r="B1334" s="27" t="s">
        <v>2016</v>
      </c>
      <c r="C1334" s="180">
        <v>43605</v>
      </c>
      <c r="D1334" s="28">
        <v>25</v>
      </c>
      <c r="E1334" s="49">
        <v>13</v>
      </c>
      <c r="F1334" s="211">
        <f>IFERROR(Tableau6[[#This Row],[Score]]/Tableau6[[#This Row],[Nb]],0)</f>
        <v>0.52</v>
      </c>
    </row>
    <row r="1335" spans="1:6" ht="30" customHeight="1" x14ac:dyDescent="0.3">
      <c r="A1335" s="26" t="s">
        <v>2049</v>
      </c>
      <c r="B1335" s="27" t="s">
        <v>2050</v>
      </c>
      <c r="C1335" s="180">
        <v>43633</v>
      </c>
      <c r="D1335" s="28">
        <v>25</v>
      </c>
      <c r="E1335" s="49">
        <v>13</v>
      </c>
      <c r="F1335" s="211">
        <f>IFERROR(Tableau6[[#This Row],[Score]]/Tableau6[[#This Row],[Nb]],0)</f>
        <v>0.52</v>
      </c>
    </row>
    <row r="1336" spans="1:6" ht="30" customHeight="1" x14ac:dyDescent="0.3">
      <c r="A1336" s="26" t="s">
        <v>2075</v>
      </c>
      <c r="B1336" s="27" t="s">
        <v>782</v>
      </c>
      <c r="C1336" s="180">
        <v>43673</v>
      </c>
      <c r="D1336" s="28">
        <v>25</v>
      </c>
      <c r="E1336" s="49">
        <v>13</v>
      </c>
      <c r="F1336" s="211">
        <f>IFERROR(Tableau6[[#This Row],[Score]]/Tableau6[[#This Row],[Nb]],0)</f>
        <v>0.52</v>
      </c>
    </row>
    <row r="1337" spans="1:6" ht="30" customHeight="1" x14ac:dyDescent="0.3">
      <c r="A1337" s="26" t="s">
        <v>3992</v>
      </c>
      <c r="B1337" s="27" t="s">
        <v>3993</v>
      </c>
      <c r="C1337" s="180">
        <v>44262</v>
      </c>
      <c r="D1337" s="28">
        <v>25</v>
      </c>
      <c r="E1337" s="49">
        <v>13</v>
      </c>
      <c r="F1337" s="211">
        <f>IFERROR(Tableau6[[#This Row],[Score]]/Tableau6[[#This Row],[Nb]],0)</f>
        <v>0.52</v>
      </c>
    </row>
    <row r="1338" spans="1:6" ht="30" customHeight="1" x14ac:dyDescent="0.3">
      <c r="A1338" s="26" t="s">
        <v>1432</v>
      </c>
      <c r="B1338" s="27" t="s">
        <v>1603</v>
      </c>
      <c r="C1338" s="180">
        <v>41621</v>
      </c>
      <c r="D1338" s="28">
        <v>23</v>
      </c>
      <c r="E1338" s="49">
        <v>12</v>
      </c>
      <c r="F1338" s="211">
        <f>IFERROR(Tableau6[[#This Row],[Score]]/Tableau6[[#This Row],[Nb]],0)</f>
        <v>0.52173913043478259</v>
      </c>
    </row>
    <row r="1339" spans="1:6" ht="30" customHeight="1" x14ac:dyDescent="0.3">
      <c r="A1339" s="26" t="s">
        <v>1968</v>
      </c>
      <c r="B1339" s="27" t="s">
        <v>1156</v>
      </c>
      <c r="C1339" s="180">
        <v>43605</v>
      </c>
      <c r="D1339" s="28">
        <v>23</v>
      </c>
      <c r="E1339" s="49">
        <v>12</v>
      </c>
      <c r="F1339" s="211">
        <f>IFERROR(Tableau6[[#This Row],[Score]]/Tableau6[[#This Row],[Nb]],0)</f>
        <v>0.52173913043478259</v>
      </c>
    </row>
    <row r="1340" spans="1:6" ht="30" customHeight="1" x14ac:dyDescent="0.3">
      <c r="A1340" s="26" t="s">
        <v>4486</v>
      </c>
      <c r="B1340" s="27" t="s">
        <v>2602</v>
      </c>
      <c r="C1340" s="180">
        <v>43848</v>
      </c>
      <c r="D1340" s="28">
        <v>23</v>
      </c>
      <c r="E1340" s="49">
        <v>12</v>
      </c>
      <c r="F1340" s="211">
        <f>IFERROR(Tableau6[[#This Row],[Score]]/Tableau6[[#This Row],[Nb]],0)</f>
        <v>0.52173913043478259</v>
      </c>
    </row>
    <row r="1341" spans="1:6" ht="30" customHeight="1" x14ac:dyDescent="0.3">
      <c r="A1341" s="26" t="s">
        <v>487</v>
      </c>
      <c r="B1341" s="27" t="s">
        <v>488</v>
      </c>
      <c r="C1341" s="180">
        <v>40611</v>
      </c>
      <c r="D1341" s="28">
        <v>21</v>
      </c>
      <c r="E1341" s="49">
        <v>11</v>
      </c>
      <c r="F1341" s="211">
        <f>IFERROR(Tableau6[[#This Row],[Score]]/Tableau6[[#This Row],[Nb]],0)</f>
        <v>0.52380952380952384</v>
      </c>
    </row>
    <row r="1342" spans="1:6" ht="30" customHeight="1" x14ac:dyDescent="0.3">
      <c r="A1342" s="26" t="s">
        <v>3533</v>
      </c>
      <c r="B1342" s="27" t="s">
        <v>3534</v>
      </c>
      <c r="C1342" s="180">
        <v>41621</v>
      </c>
      <c r="D1342" s="28">
        <v>21</v>
      </c>
      <c r="E1342" s="49">
        <v>11</v>
      </c>
      <c r="F1342" s="211">
        <f>IFERROR(Tableau6[[#This Row],[Score]]/Tableau6[[#This Row],[Nb]],0)</f>
        <v>0.52380952380952384</v>
      </c>
    </row>
    <row r="1343" spans="1:6" ht="30" customHeight="1" x14ac:dyDescent="0.3">
      <c r="A1343" s="26" t="s">
        <v>4050</v>
      </c>
      <c r="B1343" s="27" t="s">
        <v>4051</v>
      </c>
      <c r="C1343" s="180">
        <v>41621</v>
      </c>
      <c r="D1343" s="28">
        <v>21</v>
      </c>
      <c r="E1343" s="49">
        <v>11</v>
      </c>
      <c r="F1343" s="211">
        <f>IFERROR(Tableau6[[#This Row],[Score]]/Tableau6[[#This Row],[Nb]],0)</f>
        <v>0.52380952380952384</v>
      </c>
    </row>
    <row r="1344" spans="1:6" ht="30" customHeight="1" x14ac:dyDescent="0.3">
      <c r="A1344" s="26" t="s">
        <v>979</v>
      </c>
      <c r="B1344" s="27" t="s">
        <v>626</v>
      </c>
      <c r="C1344" s="180">
        <v>41621</v>
      </c>
      <c r="D1344" s="28">
        <v>21</v>
      </c>
      <c r="E1344" s="49">
        <v>11</v>
      </c>
      <c r="F1344" s="211">
        <f>IFERROR(Tableau6[[#This Row],[Score]]/Tableau6[[#This Row],[Nb]],0)</f>
        <v>0.52380952380952384</v>
      </c>
    </row>
    <row r="1345" spans="1:6" ht="30" customHeight="1" x14ac:dyDescent="0.3">
      <c r="A1345" s="26" t="s">
        <v>4363</v>
      </c>
      <c r="B1345" s="27" t="s">
        <v>4364</v>
      </c>
      <c r="C1345" s="180">
        <v>41621</v>
      </c>
      <c r="D1345" s="28">
        <v>21</v>
      </c>
      <c r="E1345" s="49">
        <v>11</v>
      </c>
      <c r="F1345" s="211">
        <f>IFERROR(Tableau6[[#This Row],[Score]]/Tableau6[[#This Row],[Nb]],0)</f>
        <v>0.52380952380952384</v>
      </c>
    </row>
    <row r="1346" spans="1:6" ht="30" customHeight="1" x14ac:dyDescent="0.3">
      <c r="A1346" s="26" t="s">
        <v>2923</v>
      </c>
      <c r="B1346" s="27" t="s">
        <v>2924</v>
      </c>
      <c r="C1346" s="180">
        <v>41621</v>
      </c>
      <c r="D1346" s="28">
        <v>21</v>
      </c>
      <c r="E1346" s="49">
        <v>11</v>
      </c>
      <c r="F1346" s="211">
        <f>IFERROR(Tableau6[[#This Row],[Score]]/Tableau6[[#This Row],[Nb]],0)</f>
        <v>0.52380952380952384</v>
      </c>
    </row>
    <row r="1347" spans="1:6" ht="30" customHeight="1" x14ac:dyDescent="0.3">
      <c r="A1347" s="26" t="s">
        <v>653</v>
      </c>
      <c r="B1347" s="27" t="s">
        <v>3926</v>
      </c>
      <c r="C1347" s="180">
        <v>43237</v>
      </c>
      <c r="D1347" s="28">
        <v>21</v>
      </c>
      <c r="E1347" s="49">
        <v>11</v>
      </c>
      <c r="F1347" s="211">
        <f>IFERROR(Tableau6[[#This Row],[Score]]/Tableau6[[#This Row],[Nb]],0)</f>
        <v>0.52380952380952384</v>
      </c>
    </row>
    <row r="1348" spans="1:6" ht="30" customHeight="1" x14ac:dyDescent="0.3">
      <c r="A1348" s="26" t="s">
        <v>3016</v>
      </c>
      <c r="B1348" s="27" t="s">
        <v>4800</v>
      </c>
      <c r="C1348" s="180">
        <v>43298</v>
      </c>
      <c r="D1348" s="28">
        <v>21</v>
      </c>
      <c r="E1348" s="49">
        <v>11</v>
      </c>
      <c r="F1348" s="211">
        <f>IFERROR(Tableau6[[#This Row],[Score]]/Tableau6[[#This Row],[Nb]],0)</f>
        <v>0.52380952380952384</v>
      </c>
    </row>
    <row r="1349" spans="1:6" ht="30" customHeight="1" x14ac:dyDescent="0.3">
      <c r="A1349" s="26" t="s">
        <v>1370</v>
      </c>
      <c r="B1349" s="27" t="s">
        <v>1371</v>
      </c>
      <c r="C1349" s="180">
        <v>43444</v>
      </c>
      <c r="D1349" s="28">
        <v>21</v>
      </c>
      <c r="E1349" s="49">
        <v>11</v>
      </c>
      <c r="F1349" s="211">
        <f>IFERROR(Tableau6[[#This Row],[Score]]/Tableau6[[#This Row],[Nb]],0)</f>
        <v>0.52380952380952384</v>
      </c>
    </row>
    <row r="1350" spans="1:6" ht="30" customHeight="1" x14ac:dyDescent="0.3">
      <c r="A1350" s="26" t="s">
        <v>1952</v>
      </c>
      <c r="B1350" s="27" t="s">
        <v>1953</v>
      </c>
      <c r="C1350" s="180">
        <v>43603</v>
      </c>
      <c r="D1350" s="28">
        <v>21</v>
      </c>
      <c r="E1350" s="49">
        <v>11</v>
      </c>
      <c r="F1350" s="211">
        <f>IFERROR(Tableau6[[#This Row],[Score]]/Tableau6[[#This Row],[Nb]],0)</f>
        <v>0.52380952380952384</v>
      </c>
    </row>
    <row r="1351" spans="1:6" ht="30" customHeight="1" x14ac:dyDescent="0.3">
      <c r="A1351" s="26" t="s">
        <v>2035</v>
      </c>
      <c r="B1351" s="27" t="s">
        <v>2036</v>
      </c>
      <c r="C1351" s="180">
        <v>43605</v>
      </c>
      <c r="D1351" s="28">
        <v>21</v>
      </c>
      <c r="E1351" s="49">
        <v>11</v>
      </c>
      <c r="F1351" s="211">
        <f>IFERROR(Tableau6[[#This Row],[Score]]/Tableau6[[#This Row],[Nb]],0)</f>
        <v>0.52380952380952384</v>
      </c>
    </row>
    <row r="1352" spans="1:6" ht="30" customHeight="1" x14ac:dyDescent="0.3">
      <c r="A1352" s="26" t="s">
        <v>1958</v>
      </c>
      <c r="B1352" s="27" t="s">
        <v>1959</v>
      </c>
      <c r="C1352" s="180">
        <v>43605</v>
      </c>
      <c r="D1352" s="28">
        <v>21</v>
      </c>
      <c r="E1352" s="49">
        <v>11</v>
      </c>
      <c r="F1352" s="211">
        <f>IFERROR(Tableau6[[#This Row],[Score]]/Tableau6[[#This Row],[Nb]],0)</f>
        <v>0.52380952380952384</v>
      </c>
    </row>
    <row r="1353" spans="1:6" ht="30" customHeight="1" x14ac:dyDescent="0.3">
      <c r="A1353" s="26" t="s">
        <v>2181</v>
      </c>
      <c r="B1353" s="27" t="s">
        <v>2182</v>
      </c>
      <c r="C1353" s="180">
        <v>43689</v>
      </c>
      <c r="D1353" s="28">
        <v>21</v>
      </c>
      <c r="E1353" s="49">
        <v>11</v>
      </c>
      <c r="F1353" s="211">
        <f>IFERROR(Tableau6[[#This Row],[Score]]/Tableau6[[#This Row],[Nb]],0)</f>
        <v>0.52380952380952384</v>
      </c>
    </row>
    <row r="1354" spans="1:6" ht="30" customHeight="1" x14ac:dyDescent="0.3">
      <c r="A1354" s="26" t="s">
        <v>3554</v>
      </c>
      <c r="B1354" s="152" t="s">
        <v>5439</v>
      </c>
      <c r="C1354" s="180">
        <v>44235</v>
      </c>
      <c r="D1354" s="28">
        <v>21</v>
      </c>
      <c r="E1354" s="49">
        <v>11</v>
      </c>
      <c r="F1354" s="211">
        <f>IFERROR(Tableau6[[#This Row],[Score]]/Tableau6[[#This Row],[Nb]],0)</f>
        <v>0.52380952380952384</v>
      </c>
    </row>
    <row r="1355" spans="1:6" ht="30" customHeight="1" x14ac:dyDescent="0.3">
      <c r="A1355" s="151" t="s">
        <v>6405</v>
      </c>
      <c r="B1355" s="27" t="s">
        <v>4377</v>
      </c>
      <c r="C1355" s="180">
        <v>44299</v>
      </c>
      <c r="D1355" s="28">
        <v>21</v>
      </c>
      <c r="E1355" s="49">
        <v>11</v>
      </c>
      <c r="F1355" s="211">
        <f>IFERROR(Tableau6[[#This Row],[Score]]/Tableau6[[#This Row],[Nb]],0)</f>
        <v>0.52380952380952384</v>
      </c>
    </row>
    <row r="1356" spans="1:6" ht="30" customHeight="1" x14ac:dyDescent="0.3">
      <c r="A1356" s="26" t="s">
        <v>349</v>
      </c>
      <c r="B1356" s="27" t="s">
        <v>350</v>
      </c>
      <c r="C1356" s="180">
        <v>40611</v>
      </c>
      <c r="D1356" s="28">
        <v>19</v>
      </c>
      <c r="E1356" s="49">
        <v>10</v>
      </c>
      <c r="F1356" s="211">
        <f>IFERROR(Tableau6[[#This Row],[Score]]/Tableau6[[#This Row],[Nb]],0)</f>
        <v>0.52631578947368418</v>
      </c>
    </row>
    <row r="1357" spans="1:6" ht="30" customHeight="1" x14ac:dyDescent="0.3">
      <c r="A1357" s="26" t="s">
        <v>330</v>
      </c>
      <c r="B1357" s="27" t="s">
        <v>331</v>
      </c>
      <c r="C1357" s="180">
        <v>40611</v>
      </c>
      <c r="D1357" s="28">
        <v>19</v>
      </c>
      <c r="E1357" s="49">
        <v>10</v>
      </c>
      <c r="F1357" s="211">
        <f>IFERROR(Tableau6[[#This Row],[Score]]/Tableau6[[#This Row],[Nb]],0)</f>
        <v>0.52631578947368418</v>
      </c>
    </row>
    <row r="1358" spans="1:6" ht="30" customHeight="1" x14ac:dyDescent="0.3">
      <c r="A1358" s="26" t="s">
        <v>4500</v>
      </c>
      <c r="B1358" s="27" t="s">
        <v>4499</v>
      </c>
      <c r="C1358" s="180">
        <v>41522</v>
      </c>
      <c r="D1358" s="28">
        <v>19</v>
      </c>
      <c r="E1358" s="49">
        <v>10</v>
      </c>
      <c r="F1358" s="211">
        <f>IFERROR(Tableau6[[#This Row],[Score]]/Tableau6[[#This Row],[Nb]],0)</f>
        <v>0.52631578947368418</v>
      </c>
    </row>
    <row r="1359" spans="1:6" ht="30" customHeight="1" x14ac:dyDescent="0.3">
      <c r="A1359" s="26" t="s">
        <v>814</v>
      </c>
      <c r="B1359" s="27" t="s">
        <v>4967</v>
      </c>
      <c r="C1359" s="180">
        <v>41621</v>
      </c>
      <c r="D1359" s="28">
        <v>19</v>
      </c>
      <c r="E1359" s="49">
        <v>10</v>
      </c>
      <c r="F1359" s="211">
        <f>IFERROR(Tableau6[[#This Row],[Score]]/Tableau6[[#This Row],[Nb]],0)</f>
        <v>0.52631578947368418</v>
      </c>
    </row>
    <row r="1360" spans="1:6" ht="30" customHeight="1" x14ac:dyDescent="0.3">
      <c r="A1360" s="26" t="s">
        <v>2543</v>
      </c>
      <c r="B1360" s="27" t="s">
        <v>4438</v>
      </c>
      <c r="C1360" s="180">
        <v>41621</v>
      </c>
      <c r="D1360" s="28">
        <v>19</v>
      </c>
      <c r="E1360" s="49">
        <v>10</v>
      </c>
      <c r="F1360" s="211">
        <f>IFERROR(Tableau6[[#This Row],[Score]]/Tableau6[[#This Row],[Nb]],0)</f>
        <v>0.52631578947368418</v>
      </c>
    </row>
    <row r="1361" spans="1:6" ht="30" customHeight="1" x14ac:dyDescent="0.3">
      <c r="A1361" s="26" t="s">
        <v>981</v>
      </c>
      <c r="B1361" s="27" t="s">
        <v>884</v>
      </c>
      <c r="C1361" s="180">
        <v>41621</v>
      </c>
      <c r="D1361" s="28">
        <v>19</v>
      </c>
      <c r="E1361" s="49">
        <v>10</v>
      </c>
      <c r="F1361" s="211">
        <f>IFERROR(Tableau6[[#This Row],[Score]]/Tableau6[[#This Row],[Nb]],0)</f>
        <v>0.52631578947368418</v>
      </c>
    </row>
    <row r="1362" spans="1:6" ht="30" customHeight="1" x14ac:dyDescent="0.3">
      <c r="A1362" s="26" t="s">
        <v>3689</v>
      </c>
      <c r="B1362" s="27" t="s">
        <v>3688</v>
      </c>
      <c r="C1362" s="180">
        <v>43237</v>
      </c>
      <c r="D1362" s="28">
        <v>19</v>
      </c>
      <c r="E1362" s="49">
        <v>10</v>
      </c>
      <c r="F1362" s="211">
        <f>IFERROR(Tableau6[[#This Row],[Score]]/Tableau6[[#This Row],[Nb]],0)</f>
        <v>0.52631578947368418</v>
      </c>
    </row>
    <row r="1363" spans="1:6" ht="30" customHeight="1" x14ac:dyDescent="0.3">
      <c r="A1363" s="26" t="s">
        <v>3075</v>
      </c>
      <c r="B1363" s="27" t="s">
        <v>3076</v>
      </c>
      <c r="C1363" s="180">
        <v>44004</v>
      </c>
      <c r="D1363" s="28">
        <v>19</v>
      </c>
      <c r="E1363" s="49">
        <v>10</v>
      </c>
      <c r="F1363" s="211">
        <f>IFERROR(Tableau6[[#This Row],[Score]]/Tableau6[[#This Row],[Nb]],0)</f>
        <v>0.52631578947368418</v>
      </c>
    </row>
    <row r="1364" spans="1:6" ht="30" customHeight="1" x14ac:dyDescent="0.3">
      <c r="A1364" s="26" t="s">
        <v>3392</v>
      </c>
      <c r="B1364" s="27" t="s">
        <v>2513</v>
      </c>
      <c r="C1364" s="180">
        <v>44046</v>
      </c>
      <c r="D1364" s="28">
        <v>19</v>
      </c>
      <c r="E1364" s="49">
        <v>10</v>
      </c>
      <c r="F1364" s="211">
        <f>IFERROR(Tableau6[[#This Row],[Score]]/Tableau6[[#This Row],[Nb]],0)</f>
        <v>0.52631578947368418</v>
      </c>
    </row>
    <row r="1365" spans="1:6" ht="30" customHeight="1" x14ac:dyDescent="0.3">
      <c r="A1365" s="26" t="s">
        <v>3994</v>
      </c>
      <c r="B1365" s="27" t="s">
        <v>3995</v>
      </c>
      <c r="C1365" s="180">
        <v>44262</v>
      </c>
      <c r="D1365" s="28">
        <v>19</v>
      </c>
      <c r="E1365" s="49">
        <v>10</v>
      </c>
      <c r="F1365" s="211">
        <f>IFERROR(Tableau6[[#This Row],[Score]]/Tableau6[[#This Row],[Nb]],0)</f>
        <v>0.52631578947368418</v>
      </c>
    </row>
    <row r="1366" spans="1:6" ht="30" customHeight="1" x14ac:dyDescent="0.3">
      <c r="A1366" s="26" t="s">
        <v>4137</v>
      </c>
      <c r="B1366" s="27" t="s">
        <v>4138</v>
      </c>
      <c r="C1366" s="180">
        <v>44271</v>
      </c>
      <c r="D1366" s="28">
        <v>19</v>
      </c>
      <c r="E1366" s="49">
        <v>10</v>
      </c>
      <c r="F1366" s="211">
        <f>IFERROR(Tableau6[[#This Row],[Score]]/Tableau6[[#This Row],[Nb]],0)</f>
        <v>0.52631578947368418</v>
      </c>
    </row>
    <row r="1367" spans="1:6" ht="30" customHeight="1" x14ac:dyDescent="0.3">
      <c r="A1367" s="26" t="s">
        <v>635</v>
      </c>
      <c r="B1367" s="27" t="s">
        <v>4214</v>
      </c>
      <c r="C1367" s="180">
        <v>41621</v>
      </c>
      <c r="D1367" s="28">
        <v>17</v>
      </c>
      <c r="E1367" s="49">
        <v>9</v>
      </c>
      <c r="F1367" s="211">
        <f>IFERROR(Tableau6[[#This Row],[Score]]/Tableau6[[#This Row],[Nb]],0)</f>
        <v>0.52941176470588236</v>
      </c>
    </row>
    <row r="1368" spans="1:6" ht="30" customHeight="1" x14ac:dyDescent="0.3">
      <c r="A1368" s="26" t="s">
        <v>712</v>
      </c>
      <c r="B1368" s="27" t="s">
        <v>766</v>
      </c>
      <c r="C1368" s="180">
        <v>41621</v>
      </c>
      <c r="D1368" s="28">
        <v>17</v>
      </c>
      <c r="E1368" s="49">
        <v>9</v>
      </c>
      <c r="F1368" s="211">
        <f>IFERROR(Tableau6[[#This Row],[Score]]/Tableau6[[#This Row],[Nb]],0)</f>
        <v>0.52941176470588236</v>
      </c>
    </row>
    <row r="1369" spans="1:6" ht="30" customHeight="1" x14ac:dyDescent="0.3">
      <c r="A1369" s="26" t="s">
        <v>649</v>
      </c>
      <c r="B1369" s="27" t="s">
        <v>4264</v>
      </c>
      <c r="C1369" s="180">
        <v>43237</v>
      </c>
      <c r="D1369" s="28">
        <v>34</v>
      </c>
      <c r="E1369" s="49">
        <v>18</v>
      </c>
      <c r="F1369" s="211">
        <f>IFERROR(Tableau6[[#This Row],[Score]]/Tableau6[[#This Row],[Nb]],0)</f>
        <v>0.52941176470588236</v>
      </c>
    </row>
    <row r="1370" spans="1:6" ht="30" customHeight="1" x14ac:dyDescent="0.3">
      <c r="A1370" s="26" t="s">
        <v>675</v>
      </c>
      <c r="B1370" s="27" t="s">
        <v>36</v>
      </c>
      <c r="C1370" s="180">
        <v>43291</v>
      </c>
      <c r="D1370" s="28">
        <v>17</v>
      </c>
      <c r="E1370" s="49">
        <v>9</v>
      </c>
      <c r="F1370" s="211">
        <f>IFERROR(Tableau6[[#This Row],[Score]]/Tableau6[[#This Row],[Nb]],0)</f>
        <v>0.52941176470588236</v>
      </c>
    </row>
    <row r="1371" spans="1:6" ht="30" customHeight="1" x14ac:dyDescent="0.3">
      <c r="A1371" s="26" t="s">
        <v>76</v>
      </c>
      <c r="B1371" s="27" t="s">
        <v>77</v>
      </c>
      <c r="C1371" s="180">
        <v>43329</v>
      </c>
      <c r="D1371" s="28">
        <v>17</v>
      </c>
      <c r="E1371" s="49">
        <v>9</v>
      </c>
      <c r="F1371" s="211">
        <f>IFERROR(Tableau6[[#This Row],[Score]]/Tableau6[[#This Row],[Nb]],0)</f>
        <v>0.52941176470588236</v>
      </c>
    </row>
    <row r="1372" spans="1:6" ht="30" customHeight="1" x14ac:dyDescent="0.3">
      <c r="A1372" s="26" t="s">
        <v>1285</v>
      </c>
      <c r="B1372" s="27" t="s">
        <v>1286</v>
      </c>
      <c r="C1372" s="180">
        <v>43438</v>
      </c>
      <c r="D1372" s="28">
        <v>17</v>
      </c>
      <c r="E1372" s="49">
        <v>9</v>
      </c>
      <c r="F1372" s="211">
        <f>IFERROR(Tableau6[[#This Row],[Score]]/Tableau6[[#This Row],[Nb]],0)</f>
        <v>0.52941176470588236</v>
      </c>
    </row>
    <row r="1373" spans="1:6" ht="30" customHeight="1" x14ac:dyDescent="0.3">
      <c r="A1373" s="26" t="s">
        <v>1291</v>
      </c>
      <c r="B1373" s="27" t="s">
        <v>1292</v>
      </c>
      <c r="C1373" s="180">
        <v>43438</v>
      </c>
      <c r="D1373" s="28">
        <v>17</v>
      </c>
      <c r="E1373" s="49">
        <v>9</v>
      </c>
      <c r="F1373" s="211">
        <f>IFERROR(Tableau6[[#This Row],[Score]]/Tableau6[[#This Row],[Nb]],0)</f>
        <v>0.52941176470588236</v>
      </c>
    </row>
    <row r="1374" spans="1:6" ht="30" customHeight="1" x14ac:dyDescent="0.3">
      <c r="A1374" s="26" t="s">
        <v>1307</v>
      </c>
      <c r="B1374" s="27" t="s">
        <v>2408</v>
      </c>
      <c r="C1374" s="180">
        <v>43438</v>
      </c>
      <c r="D1374" s="28">
        <v>17</v>
      </c>
      <c r="E1374" s="49">
        <v>9</v>
      </c>
      <c r="F1374" s="211">
        <f>IFERROR(Tableau6[[#This Row],[Score]]/Tableau6[[#This Row],[Nb]],0)</f>
        <v>0.52941176470588236</v>
      </c>
    </row>
    <row r="1375" spans="1:6" ht="30" customHeight="1" x14ac:dyDescent="0.3">
      <c r="A1375" s="26" t="s">
        <v>2187</v>
      </c>
      <c r="B1375" s="27" t="s">
        <v>2188</v>
      </c>
      <c r="C1375" s="180">
        <v>43689</v>
      </c>
      <c r="D1375" s="28">
        <v>17</v>
      </c>
      <c r="E1375" s="49">
        <v>9</v>
      </c>
      <c r="F1375" s="211">
        <f>IFERROR(Tableau6[[#This Row],[Score]]/Tableau6[[#This Row],[Nb]],0)</f>
        <v>0.52941176470588236</v>
      </c>
    </row>
    <row r="1376" spans="1:6" ht="30" customHeight="1" x14ac:dyDescent="0.3">
      <c r="A1376" s="26" t="s">
        <v>1564</v>
      </c>
      <c r="B1376" s="27" t="s">
        <v>1565</v>
      </c>
      <c r="C1376" s="180">
        <v>43771</v>
      </c>
      <c r="D1376" s="28">
        <v>17</v>
      </c>
      <c r="E1376" s="49">
        <v>9</v>
      </c>
      <c r="F1376" s="211">
        <f>IFERROR(Tableau6[[#This Row],[Score]]/Tableau6[[#This Row],[Nb]],0)</f>
        <v>0.52941176470588236</v>
      </c>
    </row>
    <row r="1377" spans="1:6" ht="30" customHeight="1" x14ac:dyDescent="0.3">
      <c r="A1377" s="26" t="s">
        <v>4563</v>
      </c>
      <c r="B1377" s="27" t="s">
        <v>4564</v>
      </c>
      <c r="C1377" s="180">
        <v>43802</v>
      </c>
      <c r="D1377" s="28">
        <v>17</v>
      </c>
      <c r="E1377" s="49">
        <v>9</v>
      </c>
      <c r="F1377" s="211">
        <f>IFERROR(Tableau6[[#This Row],[Score]]/Tableau6[[#This Row],[Nb]],0)</f>
        <v>0.52941176470588236</v>
      </c>
    </row>
    <row r="1378" spans="1:6" ht="30" customHeight="1" x14ac:dyDescent="0.3">
      <c r="A1378" s="26" t="s">
        <v>2952</v>
      </c>
      <c r="B1378" s="27" t="s">
        <v>2953</v>
      </c>
      <c r="C1378" s="180">
        <v>43984</v>
      </c>
      <c r="D1378" s="28">
        <v>17</v>
      </c>
      <c r="E1378" s="49">
        <v>9</v>
      </c>
      <c r="F1378" s="211">
        <f>IFERROR(Tableau6[[#This Row],[Score]]/Tableau6[[#This Row],[Nb]],0)</f>
        <v>0.52941176470588236</v>
      </c>
    </row>
    <row r="1379" spans="1:6" ht="30" customHeight="1" x14ac:dyDescent="0.3">
      <c r="A1379" s="26" t="s">
        <v>4766</v>
      </c>
      <c r="B1379" s="27" t="s">
        <v>4767</v>
      </c>
      <c r="C1379" s="180">
        <v>44372</v>
      </c>
      <c r="D1379" s="28">
        <v>17</v>
      </c>
      <c r="E1379" s="49">
        <v>9</v>
      </c>
      <c r="F1379" s="211">
        <f>IFERROR(Tableau6[[#This Row],[Score]]/Tableau6[[#This Row],[Nb]],0)</f>
        <v>0.52941176470588236</v>
      </c>
    </row>
    <row r="1380" spans="1:6" ht="30" customHeight="1" x14ac:dyDescent="0.3">
      <c r="A1380" s="26" t="s">
        <v>4850</v>
      </c>
      <c r="B1380" s="27" t="s">
        <v>4851</v>
      </c>
      <c r="C1380" s="180">
        <v>44395</v>
      </c>
      <c r="D1380" s="28">
        <v>17</v>
      </c>
      <c r="E1380" s="49">
        <v>9</v>
      </c>
      <c r="F1380" s="211">
        <f>IFERROR(Tableau6[[#This Row],[Score]]/Tableau6[[#This Row],[Nb]],0)</f>
        <v>0.52941176470588236</v>
      </c>
    </row>
    <row r="1381" spans="1:6" ht="30" customHeight="1" x14ac:dyDescent="0.3">
      <c r="A1381" s="26" t="s">
        <v>4921</v>
      </c>
      <c r="B1381" s="27" t="s">
        <v>4922</v>
      </c>
      <c r="C1381" s="180">
        <v>44418</v>
      </c>
      <c r="D1381" s="28">
        <v>17</v>
      </c>
      <c r="E1381" s="49">
        <v>9</v>
      </c>
      <c r="F1381" s="211">
        <f>IFERROR(Tableau6[[#This Row],[Score]]/Tableau6[[#This Row],[Nb]],0)</f>
        <v>0.52941176470588236</v>
      </c>
    </row>
    <row r="1382" spans="1:6" ht="30" customHeight="1" x14ac:dyDescent="0.3">
      <c r="A1382" s="26" t="s">
        <v>4957</v>
      </c>
      <c r="B1382" s="27" t="s">
        <v>4958</v>
      </c>
      <c r="C1382" s="180">
        <v>44427</v>
      </c>
      <c r="D1382" s="28">
        <v>17</v>
      </c>
      <c r="E1382" s="49">
        <v>9</v>
      </c>
      <c r="F1382" s="211">
        <f>IFERROR(Tableau6[[#This Row],[Score]]/Tableau6[[#This Row],[Nb]],0)</f>
        <v>0.52941176470588236</v>
      </c>
    </row>
    <row r="1383" spans="1:6" ht="30" customHeight="1" x14ac:dyDescent="0.3">
      <c r="A1383" s="26" t="s">
        <v>893</v>
      </c>
      <c r="B1383" s="152" t="s">
        <v>6028</v>
      </c>
      <c r="C1383" s="180">
        <v>41621</v>
      </c>
      <c r="D1383" s="28">
        <v>15</v>
      </c>
      <c r="E1383" s="49">
        <v>8</v>
      </c>
      <c r="F1383" s="211">
        <f>IFERROR(Tableau6[[#This Row],[Score]]/Tableau6[[#This Row],[Nb]],0)</f>
        <v>0.53333333333333333</v>
      </c>
    </row>
    <row r="1384" spans="1:6" ht="30" customHeight="1" x14ac:dyDescent="0.3">
      <c r="A1384" s="26" t="s">
        <v>3852</v>
      </c>
      <c r="B1384" s="27" t="s">
        <v>3853</v>
      </c>
      <c r="C1384" s="180">
        <v>41621</v>
      </c>
      <c r="D1384" s="28">
        <v>30</v>
      </c>
      <c r="E1384" s="49">
        <v>16</v>
      </c>
      <c r="F1384" s="211">
        <f>IFERROR(Tableau6[[#This Row],[Score]]/Tableau6[[#This Row],[Nb]],0)</f>
        <v>0.53333333333333333</v>
      </c>
    </row>
    <row r="1385" spans="1:6" ht="30" customHeight="1" x14ac:dyDescent="0.3">
      <c r="A1385" s="26" t="s">
        <v>1511</v>
      </c>
      <c r="B1385" s="27" t="s">
        <v>1512</v>
      </c>
      <c r="C1385" s="180">
        <v>43472</v>
      </c>
      <c r="D1385" s="28">
        <v>15</v>
      </c>
      <c r="E1385" s="49">
        <v>8</v>
      </c>
      <c r="F1385" s="211">
        <f>IFERROR(Tableau6[[#This Row],[Score]]/Tableau6[[#This Row],[Nb]],0)</f>
        <v>0.53333333333333333</v>
      </c>
    </row>
    <row r="1386" spans="1:6" ht="30" customHeight="1" x14ac:dyDescent="0.3">
      <c r="A1386" s="26" t="s">
        <v>930</v>
      </c>
      <c r="B1386" s="27" t="s">
        <v>2382</v>
      </c>
      <c r="C1386" s="180">
        <v>43775</v>
      </c>
      <c r="D1386" s="28">
        <v>15</v>
      </c>
      <c r="E1386" s="49">
        <v>8</v>
      </c>
      <c r="F1386" s="211">
        <f>IFERROR(Tableau6[[#This Row],[Score]]/Tableau6[[#This Row],[Nb]],0)</f>
        <v>0.53333333333333333</v>
      </c>
    </row>
    <row r="1387" spans="1:6" ht="30" customHeight="1" x14ac:dyDescent="0.3">
      <c r="A1387" s="26" t="s">
        <v>1530</v>
      </c>
      <c r="B1387" s="27" t="s">
        <v>1531</v>
      </c>
      <c r="C1387" s="180">
        <v>44299</v>
      </c>
      <c r="D1387" s="28">
        <v>30</v>
      </c>
      <c r="E1387" s="49">
        <v>16</v>
      </c>
      <c r="F1387" s="211">
        <f>IFERROR(Tableau6[[#This Row],[Score]]/Tableau6[[#This Row],[Nb]],0)</f>
        <v>0.53333333333333333</v>
      </c>
    </row>
    <row r="1388" spans="1:6" ht="30" customHeight="1" x14ac:dyDescent="0.3">
      <c r="A1388" s="26" t="s">
        <v>575</v>
      </c>
      <c r="B1388" s="27" t="s">
        <v>4776</v>
      </c>
      <c r="C1388" s="180">
        <v>44376</v>
      </c>
      <c r="D1388" s="28">
        <v>15</v>
      </c>
      <c r="E1388" s="49">
        <v>8</v>
      </c>
      <c r="F1388" s="211">
        <f>IFERROR(Tableau6[[#This Row],[Score]]/Tableau6[[#This Row],[Nb]],0)</f>
        <v>0.53333333333333333</v>
      </c>
    </row>
    <row r="1389" spans="1:6" ht="30" customHeight="1" x14ac:dyDescent="0.3">
      <c r="A1389" s="287" t="s">
        <v>6456</v>
      </c>
      <c r="B1389" s="27" t="s">
        <v>447</v>
      </c>
      <c r="C1389" s="180">
        <v>40611</v>
      </c>
      <c r="D1389" s="28">
        <v>28</v>
      </c>
      <c r="E1389" s="49">
        <v>15</v>
      </c>
      <c r="F1389" s="211">
        <f>IFERROR(Tableau6[[#This Row],[Score]]/Tableau6[[#This Row],[Nb]],0)</f>
        <v>0.5357142857142857</v>
      </c>
    </row>
    <row r="1390" spans="1:6" ht="30" customHeight="1" x14ac:dyDescent="0.3">
      <c r="A1390" s="26" t="s">
        <v>945</v>
      </c>
      <c r="B1390" s="27" t="s">
        <v>781</v>
      </c>
      <c r="C1390" s="180">
        <v>41621</v>
      </c>
      <c r="D1390" s="28">
        <v>28</v>
      </c>
      <c r="E1390" s="49">
        <v>15</v>
      </c>
      <c r="F1390" s="211">
        <f>IFERROR(Tableau6[[#This Row],[Score]]/Tableau6[[#This Row],[Nb]],0)</f>
        <v>0.5357142857142857</v>
      </c>
    </row>
    <row r="1391" spans="1:6" ht="30" customHeight="1" x14ac:dyDescent="0.3">
      <c r="A1391" s="26" t="s">
        <v>375</v>
      </c>
      <c r="B1391" s="27" t="s">
        <v>376</v>
      </c>
      <c r="C1391" s="180">
        <v>40611</v>
      </c>
      <c r="D1391" s="28">
        <v>13</v>
      </c>
      <c r="E1391" s="49">
        <v>7</v>
      </c>
      <c r="F1391" s="211">
        <f>IFERROR(Tableau6[[#This Row],[Score]]/Tableau6[[#This Row],[Nb]],0)</f>
        <v>0.53846153846153844</v>
      </c>
    </row>
    <row r="1392" spans="1:6" ht="30" customHeight="1" x14ac:dyDescent="0.3">
      <c r="A1392" s="26" t="s">
        <v>3274</v>
      </c>
      <c r="B1392" s="27" t="s">
        <v>3275</v>
      </c>
      <c r="C1392" s="180">
        <v>41522</v>
      </c>
      <c r="D1392" s="28">
        <v>26</v>
      </c>
      <c r="E1392" s="49">
        <v>14</v>
      </c>
      <c r="F1392" s="211">
        <f>IFERROR(Tableau6[[#This Row],[Score]]/Tableau6[[#This Row],[Nb]],0)</f>
        <v>0.53846153846153844</v>
      </c>
    </row>
    <row r="1393" spans="1:6" ht="30" customHeight="1" x14ac:dyDescent="0.3">
      <c r="A1393" s="26" t="s">
        <v>1043</v>
      </c>
      <c r="B1393" s="27" t="s">
        <v>753</v>
      </c>
      <c r="C1393" s="180">
        <v>43237</v>
      </c>
      <c r="D1393" s="28">
        <v>26</v>
      </c>
      <c r="E1393" s="49">
        <v>14</v>
      </c>
      <c r="F1393" s="211">
        <f>IFERROR(Tableau6[[#This Row],[Score]]/Tableau6[[#This Row],[Nb]],0)</f>
        <v>0.53846153846153844</v>
      </c>
    </row>
    <row r="1394" spans="1:6" ht="30" customHeight="1" x14ac:dyDescent="0.3">
      <c r="A1394" s="26" t="s">
        <v>123</v>
      </c>
      <c r="B1394" s="27" t="s">
        <v>4520</v>
      </c>
      <c r="C1394" s="180">
        <v>43341</v>
      </c>
      <c r="D1394" s="28">
        <v>13</v>
      </c>
      <c r="E1394" s="49">
        <v>7</v>
      </c>
      <c r="F1394" s="211">
        <f>IFERROR(Tableau6[[#This Row],[Score]]/Tableau6[[#This Row],[Nb]],0)</f>
        <v>0.53846153846153844</v>
      </c>
    </row>
    <row r="1395" spans="1:6" ht="30" customHeight="1" x14ac:dyDescent="0.3">
      <c r="A1395" s="26" t="s">
        <v>606</v>
      </c>
      <c r="B1395" s="27" t="s">
        <v>607</v>
      </c>
      <c r="C1395" s="180">
        <v>43403</v>
      </c>
      <c r="D1395" s="28">
        <v>26</v>
      </c>
      <c r="E1395" s="49">
        <v>14</v>
      </c>
      <c r="F1395" s="211">
        <f>IFERROR(Tableau6[[#This Row],[Score]]/Tableau6[[#This Row],[Nb]],0)</f>
        <v>0.53846153846153844</v>
      </c>
    </row>
    <row r="1396" spans="1:6" ht="30" customHeight="1" x14ac:dyDescent="0.3">
      <c r="A1396" s="26" t="s">
        <v>3209</v>
      </c>
      <c r="B1396" s="27" t="s">
        <v>1639</v>
      </c>
      <c r="C1396" s="180">
        <v>43548</v>
      </c>
      <c r="D1396" s="28">
        <v>26</v>
      </c>
      <c r="E1396" s="49">
        <v>14</v>
      </c>
      <c r="F1396" s="211">
        <f>IFERROR(Tableau6[[#This Row],[Score]]/Tableau6[[#This Row],[Nb]],0)</f>
        <v>0.53846153846153844</v>
      </c>
    </row>
    <row r="1397" spans="1:6" ht="30" customHeight="1" x14ac:dyDescent="0.3">
      <c r="A1397" s="26" t="s">
        <v>1911</v>
      </c>
      <c r="B1397" s="27" t="s">
        <v>1912</v>
      </c>
      <c r="C1397" s="180">
        <v>43563</v>
      </c>
      <c r="D1397" s="28">
        <v>13</v>
      </c>
      <c r="E1397" s="49">
        <v>7</v>
      </c>
      <c r="F1397" s="211">
        <f>IFERROR(Tableau6[[#This Row],[Score]]/Tableau6[[#This Row],[Nb]],0)</f>
        <v>0.53846153846153844</v>
      </c>
    </row>
    <row r="1398" spans="1:6" ht="30" customHeight="1" x14ac:dyDescent="0.3">
      <c r="A1398" s="26" t="s">
        <v>2348</v>
      </c>
      <c r="B1398" s="27" t="s">
        <v>2349</v>
      </c>
      <c r="C1398" s="180">
        <v>43771</v>
      </c>
      <c r="D1398" s="28">
        <v>13</v>
      </c>
      <c r="E1398" s="49">
        <v>7</v>
      </c>
      <c r="F1398" s="211">
        <f>IFERROR(Tableau6[[#This Row],[Score]]/Tableau6[[#This Row],[Nb]],0)</f>
        <v>0.53846153846153844</v>
      </c>
    </row>
    <row r="1399" spans="1:6" ht="30" customHeight="1" x14ac:dyDescent="0.3">
      <c r="A1399" s="26" t="s">
        <v>4357</v>
      </c>
      <c r="B1399" s="27" t="s">
        <v>2435</v>
      </c>
      <c r="C1399" s="180">
        <v>43776</v>
      </c>
      <c r="D1399" s="28">
        <v>26</v>
      </c>
      <c r="E1399" s="49">
        <v>14</v>
      </c>
      <c r="F1399" s="211">
        <f>IFERROR(Tableau6[[#This Row],[Score]]/Tableau6[[#This Row],[Nb]],0)</f>
        <v>0.53846153846153844</v>
      </c>
    </row>
    <row r="1400" spans="1:6" ht="30" customHeight="1" x14ac:dyDescent="0.3">
      <c r="A1400" s="26" t="s">
        <v>2919</v>
      </c>
      <c r="B1400" s="27" t="s">
        <v>2920</v>
      </c>
      <c r="C1400" s="180">
        <v>43900</v>
      </c>
      <c r="D1400" s="28">
        <v>13</v>
      </c>
      <c r="E1400" s="49">
        <v>7</v>
      </c>
      <c r="F1400" s="211">
        <f>IFERROR(Tableau6[[#This Row],[Score]]/Tableau6[[#This Row],[Nb]],0)</f>
        <v>0.53846153846153844</v>
      </c>
    </row>
    <row r="1401" spans="1:6" ht="30" customHeight="1" x14ac:dyDescent="0.3">
      <c r="A1401" s="26" t="s">
        <v>3676</v>
      </c>
      <c r="B1401" s="27" t="s">
        <v>4556</v>
      </c>
      <c r="C1401" s="180">
        <v>44242</v>
      </c>
      <c r="D1401" s="28">
        <v>13</v>
      </c>
      <c r="E1401" s="49">
        <v>7</v>
      </c>
      <c r="F1401" s="211">
        <f>IFERROR(Tableau6[[#This Row],[Score]]/Tableau6[[#This Row],[Nb]],0)</f>
        <v>0.53846153846153844</v>
      </c>
    </row>
    <row r="1402" spans="1:6" ht="30" customHeight="1" x14ac:dyDescent="0.3">
      <c r="A1402" s="26" t="s">
        <v>4418</v>
      </c>
      <c r="B1402" s="27" t="s">
        <v>4419</v>
      </c>
      <c r="C1402" s="180">
        <v>44299</v>
      </c>
      <c r="D1402" s="28">
        <v>26</v>
      </c>
      <c r="E1402" s="49">
        <v>14</v>
      </c>
      <c r="F1402" s="211">
        <f>IFERROR(Tableau6[[#This Row],[Score]]/Tableau6[[#This Row],[Nb]],0)</f>
        <v>0.53846153846153844</v>
      </c>
    </row>
    <row r="1403" spans="1:6" ht="30" customHeight="1" x14ac:dyDescent="0.3">
      <c r="A1403" s="151" t="s">
        <v>5279</v>
      </c>
      <c r="B1403" s="152" t="s">
        <v>5280</v>
      </c>
      <c r="C1403" s="208">
        <v>44524</v>
      </c>
      <c r="D1403" s="154">
        <v>13</v>
      </c>
      <c r="E1403" s="154">
        <v>7</v>
      </c>
      <c r="F1403" s="211">
        <f>IFERROR(Tableau6[[#This Row],[Score]]/Tableau6[[#This Row],[Nb]],0)</f>
        <v>0.53846153846153844</v>
      </c>
    </row>
    <row r="1404" spans="1:6" ht="30" customHeight="1" x14ac:dyDescent="0.3">
      <c r="A1404" s="151" t="s">
        <v>5313</v>
      </c>
      <c r="B1404" s="152" t="s">
        <v>5314</v>
      </c>
      <c r="C1404" s="208">
        <v>44534</v>
      </c>
      <c r="D1404" s="154">
        <v>13</v>
      </c>
      <c r="E1404" s="154">
        <v>7</v>
      </c>
      <c r="F1404" s="211">
        <f>IFERROR(Tableau6[[#This Row],[Score]]/Tableau6[[#This Row],[Nb]],0)</f>
        <v>0.53846153846153844</v>
      </c>
    </row>
    <row r="1405" spans="1:6" ht="30" customHeight="1" x14ac:dyDescent="0.3">
      <c r="A1405" s="151" t="s">
        <v>5334</v>
      </c>
      <c r="B1405" s="152" t="s">
        <v>5335</v>
      </c>
      <c r="C1405" s="208">
        <v>44537</v>
      </c>
      <c r="D1405" s="154">
        <v>13</v>
      </c>
      <c r="E1405" s="154">
        <v>7</v>
      </c>
      <c r="F1405" s="211">
        <f>IFERROR(Tableau6[[#This Row],[Score]]/Tableau6[[#This Row],[Nb]],0)</f>
        <v>0.53846153846153844</v>
      </c>
    </row>
    <row r="1406" spans="1:6" ht="30" customHeight="1" x14ac:dyDescent="0.3">
      <c r="A1406" s="26" t="s">
        <v>4367</v>
      </c>
      <c r="B1406" s="27" t="s">
        <v>4368</v>
      </c>
      <c r="C1406" s="180">
        <v>41522</v>
      </c>
      <c r="D1406" s="28">
        <v>24</v>
      </c>
      <c r="E1406" s="49">
        <v>13</v>
      </c>
      <c r="F1406" s="211">
        <f>IFERROR(Tableau6[[#This Row],[Score]]/Tableau6[[#This Row],[Nb]],0)</f>
        <v>0.54166666666666663</v>
      </c>
    </row>
    <row r="1407" spans="1:6" ht="30" customHeight="1" x14ac:dyDescent="0.3">
      <c r="A1407" s="26" t="s">
        <v>3928</v>
      </c>
      <c r="B1407" s="27" t="s">
        <v>3927</v>
      </c>
      <c r="C1407" s="180">
        <v>41621</v>
      </c>
      <c r="D1407" s="28">
        <v>24</v>
      </c>
      <c r="E1407" s="49">
        <v>13</v>
      </c>
      <c r="F1407" s="211">
        <f>IFERROR(Tableau6[[#This Row],[Score]]/Tableau6[[#This Row],[Nb]],0)</f>
        <v>0.54166666666666663</v>
      </c>
    </row>
    <row r="1408" spans="1:6" ht="30" customHeight="1" x14ac:dyDescent="0.3">
      <c r="A1408" s="26" t="s">
        <v>3535</v>
      </c>
      <c r="B1408" s="27" t="s">
        <v>3536</v>
      </c>
      <c r="C1408" s="180">
        <v>43237</v>
      </c>
      <c r="D1408" s="28">
        <v>24</v>
      </c>
      <c r="E1408" s="49">
        <v>13</v>
      </c>
      <c r="F1408" s="211">
        <f>IFERROR(Tableau6[[#This Row],[Score]]/Tableau6[[#This Row],[Nb]],0)</f>
        <v>0.54166666666666663</v>
      </c>
    </row>
    <row r="1409" spans="1:6" ht="30" customHeight="1" x14ac:dyDescent="0.3">
      <c r="A1409" s="26" t="s">
        <v>1457</v>
      </c>
      <c r="B1409" s="27" t="s">
        <v>1458</v>
      </c>
      <c r="C1409" s="180">
        <v>43451</v>
      </c>
      <c r="D1409" s="28">
        <v>24</v>
      </c>
      <c r="E1409" s="49">
        <v>13</v>
      </c>
      <c r="F1409" s="211">
        <f>IFERROR(Tableau6[[#This Row],[Score]]/Tableau6[[#This Row],[Nb]],0)</f>
        <v>0.54166666666666663</v>
      </c>
    </row>
    <row r="1410" spans="1:6" ht="30" customHeight="1" x14ac:dyDescent="0.3">
      <c r="A1410" s="26" t="s">
        <v>2671</v>
      </c>
      <c r="B1410" s="27" t="s">
        <v>2672</v>
      </c>
      <c r="C1410" s="180">
        <v>40611</v>
      </c>
      <c r="D1410" s="28">
        <v>11</v>
      </c>
      <c r="E1410" s="49">
        <v>6</v>
      </c>
      <c r="F1410" s="211">
        <f>IFERROR(Tableau6[[#This Row],[Score]]/Tableau6[[#This Row],[Nb]],0)</f>
        <v>0.54545454545454541</v>
      </c>
    </row>
    <row r="1411" spans="1:6" ht="30" customHeight="1" x14ac:dyDescent="0.3">
      <c r="A1411" s="26" t="s">
        <v>1129</v>
      </c>
      <c r="B1411" s="27" t="s">
        <v>1130</v>
      </c>
      <c r="C1411" s="180">
        <v>43206</v>
      </c>
      <c r="D1411" s="28">
        <v>22</v>
      </c>
      <c r="E1411" s="49">
        <v>12</v>
      </c>
      <c r="F1411" s="211">
        <f>IFERROR(Tableau6[[#This Row],[Score]]/Tableau6[[#This Row],[Nb]],0)</f>
        <v>0.54545454545454541</v>
      </c>
    </row>
    <row r="1412" spans="1:6" ht="30" customHeight="1" x14ac:dyDescent="0.3">
      <c r="A1412" s="26" t="s">
        <v>3776</v>
      </c>
      <c r="B1412" s="523" t="s">
        <v>6588</v>
      </c>
      <c r="C1412" s="180">
        <v>43341</v>
      </c>
      <c r="D1412" s="28">
        <v>22</v>
      </c>
      <c r="E1412" s="49">
        <v>12</v>
      </c>
      <c r="F1412" s="211">
        <f>IFERROR(Tableau6[[#This Row],[Score]]/Tableau6[[#This Row],[Nb]],0)</f>
        <v>0.54545454545454541</v>
      </c>
    </row>
    <row r="1413" spans="1:6" ht="30" customHeight="1" x14ac:dyDescent="0.3">
      <c r="A1413" s="26" t="s">
        <v>173</v>
      </c>
      <c r="B1413" s="27" t="s">
        <v>174</v>
      </c>
      <c r="C1413" s="180">
        <v>43377</v>
      </c>
      <c r="D1413" s="28">
        <v>22</v>
      </c>
      <c r="E1413" s="49">
        <v>12</v>
      </c>
      <c r="F1413" s="211">
        <f>IFERROR(Tableau6[[#This Row],[Score]]/Tableau6[[#This Row],[Nb]],0)</f>
        <v>0.54545454545454541</v>
      </c>
    </row>
    <row r="1414" spans="1:6" ht="30" customHeight="1" x14ac:dyDescent="0.3">
      <c r="A1414" s="26" t="s">
        <v>4587</v>
      </c>
      <c r="B1414" s="27" t="s">
        <v>4588</v>
      </c>
      <c r="C1414" s="180">
        <v>43605</v>
      </c>
      <c r="D1414" s="28">
        <v>22</v>
      </c>
      <c r="E1414" s="49">
        <v>12</v>
      </c>
      <c r="F1414" s="211">
        <f>IFERROR(Tableau6[[#This Row],[Score]]/Tableau6[[#This Row],[Nb]],0)</f>
        <v>0.54545454545454541</v>
      </c>
    </row>
    <row r="1415" spans="1:6" ht="30" customHeight="1" x14ac:dyDescent="0.3">
      <c r="A1415" s="26" t="s">
        <v>2139</v>
      </c>
      <c r="B1415" s="152" t="s">
        <v>5431</v>
      </c>
      <c r="C1415" s="180">
        <v>43682</v>
      </c>
      <c r="D1415" s="28">
        <v>22</v>
      </c>
      <c r="E1415" s="49">
        <v>12</v>
      </c>
      <c r="F1415" s="211">
        <f>IFERROR(Tableau6[[#This Row],[Score]]/Tableau6[[#This Row],[Nb]],0)</f>
        <v>0.54545454545454541</v>
      </c>
    </row>
    <row r="1416" spans="1:6" ht="30" customHeight="1" x14ac:dyDescent="0.3">
      <c r="A1416" s="26" t="s">
        <v>2140</v>
      </c>
      <c r="B1416" s="27" t="s">
        <v>2141</v>
      </c>
      <c r="C1416" s="180">
        <v>43682</v>
      </c>
      <c r="D1416" s="28">
        <v>33</v>
      </c>
      <c r="E1416" s="49">
        <v>18</v>
      </c>
      <c r="F1416" s="211">
        <f>IFERROR(Tableau6[[#This Row],[Score]]/Tableau6[[#This Row],[Nb]],0)</f>
        <v>0.54545454545454541</v>
      </c>
    </row>
    <row r="1417" spans="1:6" ht="30" customHeight="1" x14ac:dyDescent="0.3">
      <c r="A1417" s="26" t="s">
        <v>2495</v>
      </c>
      <c r="B1417" s="27" t="s">
        <v>2496</v>
      </c>
      <c r="C1417" s="180">
        <v>43802</v>
      </c>
      <c r="D1417" s="28">
        <v>22</v>
      </c>
      <c r="E1417" s="49">
        <v>12</v>
      </c>
      <c r="F1417" s="211">
        <f>IFERROR(Tableau6[[#This Row],[Score]]/Tableau6[[#This Row],[Nb]],0)</f>
        <v>0.54545454545454541</v>
      </c>
    </row>
    <row r="1418" spans="1:6" ht="30" customHeight="1" x14ac:dyDescent="0.3">
      <c r="A1418" s="26" t="s">
        <v>467</v>
      </c>
      <c r="B1418" s="27" t="s">
        <v>468</v>
      </c>
      <c r="C1418" s="180">
        <v>40611</v>
      </c>
      <c r="D1418" s="28">
        <v>20</v>
      </c>
      <c r="E1418" s="49">
        <v>11</v>
      </c>
      <c r="F1418" s="211">
        <f>IFERROR(Tableau6[[#This Row],[Score]]/Tableau6[[#This Row],[Nb]],0)</f>
        <v>0.55000000000000004</v>
      </c>
    </row>
    <row r="1419" spans="1:6" ht="30" customHeight="1" x14ac:dyDescent="0.3">
      <c r="A1419" s="26" t="s">
        <v>457</v>
      </c>
      <c r="B1419" s="27" t="s">
        <v>458</v>
      </c>
      <c r="C1419" s="180">
        <v>40611</v>
      </c>
      <c r="D1419" s="28">
        <v>20</v>
      </c>
      <c r="E1419" s="49">
        <v>11</v>
      </c>
      <c r="F1419" s="211">
        <f>IFERROR(Tableau6[[#This Row],[Score]]/Tableau6[[#This Row],[Nb]],0)</f>
        <v>0.55000000000000004</v>
      </c>
    </row>
    <row r="1420" spans="1:6" ht="30" customHeight="1" x14ac:dyDescent="0.3">
      <c r="A1420" s="26" t="s">
        <v>803</v>
      </c>
      <c r="B1420" s="27" t="s">
        <v>796</v>
      </c>
      <c r="C1420" s="180">
        <v>41621</v>
      </c>
      <c r="D1420" s="28">
        <v>20</v>
      </c>
      <c r="E1420" s="49">
        <v>11</v>
      </c>
      <c r="F1420" s="211">
        <f>IFERROR(Tableau6[[#This Row],[Score]]/Tableau6[[#This Row],[Nb]],0)</f>
        <v>0.55000000000000004</v>
      </c>
    </row>
    <row r="1421" spans="1:6" ht="30" customHeight="1" x14ac:dyDescent="0.3">
      <c r="A1421" s="26" t="s">
        <v>3472</v>
      </c>
      <c r="B1421" s="27" t="s">
        <v>4660</v>
      </c>
      <c r="C1421" s="180">
        <v>43237</v>
      </c>
      <c r="D1421" s="28">
        <v>20</v>
      </c>
      <c r="E1421" s="49">
        <v>11</v>
      </c>
      <c r="F1421" s="211">
        <f>IFERROR(Tableau6[[#This Row],[Score]]/Tableau6[[#This Row],[Nb]],0)</f>
        <v>0.55000000000000004</v>
      </c>
    </row>
    <row r="1422" spans="1:6" ht="30" customHeight="1" x14ac:dyDescent="0.3">
      <c r="A1422" s="26" t="s">
        <v>1169</v>
      </c>
      <c r="B1422" s="27" t="s">
        <v>2257</v>
      </c>
      <c r="C1422" s="180">
        <v>43422</v>
      </c>
      <c r="D1422" s="28">
        <v>20</v>
      </c>
      <c r="E1422" s="49">
        <v>11</v>
      </c>
      <c r="F1422" s="211">
        <f>IFERROR(Tableau6[[#This Row],[Score]]/Tableau6[[#This Row],[Nb]],0)</f>
        <v>0.55000000000000004</v>
      </c>
    </row>
    <row r="1423" spans="1:6" ht="30" customHeight="1" x14ac:dyDescent="0.3">
      <c r="A1423" s="26" t="s">
        <v>1302</v>
      </c>
      <c r="B1423" s="27" t="s">
        <v>1303</v>
      </c>
      <c r="C1423" s="180">
        <v>43438</v>
      </c>
      <c r="D1423" s="28">
        <v>20</v>
      </c>
      <c r="E1423" s="49">
        <v>11</v>
      </c>
      <c r="F1423" s="211">
        <f>IFERROR(Tableau6[[#This Row],[Score]]/Tableau6[[#This Row],[Nb]],0)</f>
        <v>0.55000000000000004</v>
      </c>
    </row>
    <row r="1424" spans="1:6" ht="30" customHeight="1" x14ac:dyDescent="0.3">
      <c r="A1424" s="26" t="s">
        <v>4575</v>
      </c>
      <c r="B1424" s="27" t="s">
        <v>1388</v>
      </c>
      <c r="C1424" s="180">
        <v>43444</v>
      </c>
      <c r="D1424" s="28">
        <v>20</v>
      </c>
      <c r="E1424" s="49">
        <v>11</v>
      </c>
      <c r="F1424" s="211">
        <f>IFERROR(Tableau6[[#This Row],[Score]]/Tableau6[[#This Row],[Nb]],0)</f>
        <v>0.55000000000000004</v>
      </c>
    </row>
    <row r="1425" spans="1:6" ht="30" customHeight="1" x14ac:dyDescent="0.3">
      <c r="A1425" s="26" t="s">
        <v>2223</v>
      </c>
      <c r="B1425" s="27" t="s">
        <v>2224</v>
      </c>
      <c r="C1425" s="180">
        <v>43752</v>
      </c>
      <c r="D1425" s="28">
        <v>20</v>
      </c>
      <c r="E1425" s="49">
        <v>11</v>
      </c>
      <c r="F1425" s="211">
        <f>IFERROR(Tableau6[[#This Row],[Score]]/Tableau6[[#This Row],[Nb]],0)</f>
        <v>0.55000000000000004</v>
      </c>
    </row>
    <row r="1426" spans="1:6" ht="30" customHeight="1" x14ac:dyDescent="0.3">
      <c r="A1426" s="26" t="s">
        <v>3087</v>
      </c>
      <c r="B1426" s="27" t="s">
        <v>3088</v>
      </c>
      <c r="C1426" s="180">
        <v>44004</v>
      </c>
      <c r="D1426" s="28">
        <v>20</v>
      </c>
      <c r="E1426" s="49">
        <v>11</v>
      </c>
      <c r="F1426" s="211">
        <f>IFERROR(Tableau6[[#This Row],[Score]]/Tableau6[[#This Row],[Nb]],0)</f>
        <v>0.55000000000000004</v>
      </c>
    </row>
    <row r="1427" spans="1:6" ht="30" customHeight="1" x14ac:dyDescent="0.3">
      <c r="A1427" s="26" t="s">
        <v>4185</v>
      </c>
      <c r="B1427" s="27" t="s">
        <v>4186</v>
      </c>
      <c r="C1427" s="180">
        <v>44276</v>
      </c>
      <c r="D1427" s="28">
        <v>20</v>
      </c>
      <c r="E1427" s="49">
        <v>11</v>
      </c>
      <c r="F1427" s="211">
        <f>IFERROR(Tableau6[[#This Row],[Score]]/Tableau6[[#This Row],[Nb]],0)</f>
        <v>0.55000000000000004</v>
      </c>
    </row>
    <row r="1428" spans="1:6" ht="30" customHeight="1" x14ac:dyDescent="0.3">
      <c r="A1428" s="26" t="s">
        <v>4610</v>
      </c>
      <c r="B1428" s="27" t="s">
        <v>4611</v>
      </c>
      <c r="C1428" s="180">
        <v>44334</v>
      </c>
      <c r="D1428" s="28">
        <v>20</v>
      </c>
      <c r="E1428" s="49">
        <v>11</v>
      </c>
      <c r="F1428" s="211">
        <f>IFERROR(Tableau6[[#This Row],[Score]]/Tableau6[[#This Row],[Nb]],0)</f>
        <v>0.55000000000000004</v>
      </c>
    </row>
    <row r="1429" spans="1:6" ht="30" customHeight="1" x14ac:dyDescent="0.3">
      <c r="A1429" s="26" t="s">
        <v>3684</v>
      </c>
      <c r="B1429" s="27" t="s">
        <v>3685</v>
      </c>
      <c r="C1429" s="180">
        <v>41621</v>
      </c>
      <c r="D1429" s="28">
        <v>29</v>
      </c>
      <c r="E1429" s="49">
        <v>16</v>
      </c>
      <c r="F1429" s="211">
        <f>IFERROR(Tableau6[[#This Row],[Score]]/Tableau6[[#This Row],[Nb]],0)</f>
        <v>0.55172413793103448</v>
      </c>
    </row>
    <row r="1430" spans="1:6" ht="30" customHeight="1" x14ac:dyDescent="0.3">
      <c r="A1430" s="26" t="s">
        <v>2547</v>
      </c>
      <c r="B1430" s="27" t="s">
        <v>1973</v>
      </c>
      <c r="C1430" s="180">
        <v>43826</v>
      </c>
      <c r="D1430" s="28">
        <v>29</v>
      </c>
      <c r="E1430" s="49">
        <v>16</v>
      </c>
      <c r="F1430" s="211">
        <f>IFERROR(Tableau6[[#This Row],[Score]]/Tableau6[[#This Row],[Nb]],0)</f>
        <v>0.55172413793103448</v>
      </c>
    </row>
    <row r="1431" spans="1:6" ht="30" customHeight="1" x14ac:dyDescent="0.3">
      <c r="A1431" s="26" t="s">
        <v>3713</v>
      </c>
      <c r="B1431" s="27" t="s">
        <v>362</v>
      </c>
      <c r="C1431" s="180">
        <v>40611</v>
      </c>
      <c r="D1431" s="28">
        <v>18</v>
      </c>
      <c r="E1431" s="49">
        <v>10</v>
      </c>
      <c r="F1431" s="211">
        <f>IFERROR(Tableau6[[#This Row],[Score]]/Tableau6[[#This Row],[Nb]],0)</f>
        <v>0.55555555555555558</v>
      </c>
    </row>
    <row r="1432" spans="1:6" ht="30" customHeight="1" x14ac:dyDescent="0.3">
      <c r="A1432" s="151" t="s">
        <v>5767</v>
      </c>
      <c r="B1432" s="27" t="s">
        <v>4450</v>
      </c>
      <c r="C1432" s="180">
        <v>40611</v>
      </c>
      <c r="D1432" s="28">
        <v>18</v>
      </c>
      <c r="E1432" s="49">
        <v>10</v>
      </c>
      <c r="F1432" s="211">
        <f>IFERROR(Tableau6[[#This Row],[Score]]/Tableau6[[#This Row],[Nb]],0)</f>
        <v>0.55555555555555558</v>
      </c>
    </row>
    <row r="1433" spans="1:6" ht="30" customHeight="1" x14ac:dyDescent="0.3">
      <c r="A1433" s="26" t="s">
        <v>332</v>
      </c>
      <c r="B1433" s="27" t="s">
        <v>4533</v>
      </c>
      <c r="C1433" s="180">
        <v>40611</v>
      </c>
      <c r="D1433" s="28">
        <v>18</v>
      </c>
      <c r="E1433" s="49">
        <v>10</v>
      </c>
      <c r="F1433" s="211">
        <f>IFERROR(Tableau6[[#This Row],[Score]]/Tableau6[[#This Row],[Nb]],0)</f>
        <v>0.55555555555555558</v>
      </c>
    </row>
    <row r="1434" spans="1:6" ht="30" customHeight="1" x14ac:dyDescent="0.3">
      <c r="A1434" s="26" t="s">
        <v>463</v>
      </c>
      <c r="B1434" s="27" t="s">
        <v>464</v>
      </c>
      <c r="C1434" s="180">
        <v>40611</v>
      </c>
      <c r="D1434" s="28">
        <v>18</v>
      </c>
      <c r="E1434" s="49">
        <v>10</v>
      </c>
      <c r="F1434" s="211">
        <f>IFERROR(Tableau6[[#This Row],[Score]]/Tableau6[[#This Row],[Nb]],0)</f>
        <v>0.55555555555555558</v>
      </c>
    </row>
    <row r="1435" spans="1:6" ht="30" customHeight="1" x14ac:dyDescent="0.3">
      <c r="A1435" s="26" t="s">
        <v>429</v>
      </c>
      <c r="B1435" s="27" t="s">
        <v>430</v>
      </c>
      <c r="C1435" s="180">
        <v>40611</v>
      </c>
      <c r="D1435" s="28">
        <v>18</v>
      </c>
      <c r="E1435" s="49">
        <v>10</v>
      </c>
      <c r="F1435" s="211">
        <f>IFERROR(Tableau6[[#This Row],[Score]]/Tableau6[[#This Row],[Nb]],0)</f>
        <v>0.55555555555555558</v>
      </c>
    </row>
    <row r="1436" spans="1:6" ht="30" customHeight="1" x14ac:dyDescent="0.3">
      <c r="A1436" s="26" t="s">
        <v>705</v>
      </c>
      <c r="B1436" s="27" t="s">
        <v>706</v>
      </c>
      <c r="C1436" s="180">
        <v>41522</v>
      </c>
      <c r="D1436" s="28">
        <v>27</v>
      </c>
      <c r="E1436" s="49">
        <v>15</v>
      </c>
      <c r="F1436" s="211">
        <f>IFERROR(Tableau6[[#This Row],[Score]]/Tableau6[[#This Row],[Nb]],0)</f>
        <v>0.55555555555555558</v>
      </c>
    </row>
    <row r="1437" spans="1:6" ht="30" customHeight="1" x14ac:dyDescent="0.3">
      <c r="A1437" s="26" t="s">
        <v>734</v>
      </c>
      <c r="B1437" s="27" t="s">
        <v>681</v>
      </c>
      <c r="C1437" s="180">
        <v>41621</v>
      </c>
      <c r="D1437" s="28">
        <v>18</v>
      </c>
      <c r="E1437" s="49">
        <v>10</v>
      </c>
      <c r="F1437" s="211">
        <f>IFERROR(Tableau6[[#This Row],[Score]]/Tableau6[[#This Row],[Nb]],0)</f>
        <v>0.55555555555555558</v>
      </c>
    </row>
    <row r="1438" spans="1:6" ht="30" customHeight="1" x14ac:dyDescent="0.3">
      <c r="A1438" s="26" t="s">
        <v>892</v>
      </c>
      <c r="B1438" s="27" t="s">
        <v>4567</v>
      </c>
      <c r="C1438" s="180">
        <v>41621</v>
      </c>
      <c r="D1438" s="28">
        <v>18</v>
      </c>
      <c r="E1438" s="49">
        <v>10</v>
      </c>
      <c r="F1438" s="211">
        <f>IFERROR(Tableau6[[#This Row],[Score]]/Tableau6[[#This Row],[Nb]],0)</f>
        <v>0.55555555555555558</v>
      </c>
    </row>
    <row r="1439" spans="1:6" ht="30" customHeight="1" x14ac:dyDescent="0.3">
      <c r="A1439" s="26" t="s">
        <v>961</v>
      </c>
      <c r="B1439" s="27" t="s">
        <v>881</v>
      </c>
      <c r="C1439" s="180">
        <v>41621</v>
      </c>
      <c r="D1439" s="28">
        <v>18</v>
      </c>
      <c r="E1439" s="49">
        <v>10</v>
      </c>
      <c r="F1439" s="211">
        <f>IFERROR(Tableau6[[#This Row],[Score]]/Tableau6[[#This Row],[Nb]],0)</f>
        <v>0.55555555555555558</v>
      </c>
    </row>
    <row r="1440" spans="1:6" ht="30" customHeight="1" x14ac:dyDescent="0.3">
      <c r="A1440" s="26" t="s">
        <v>3792</v>
      </c>
      <c r="B1440" s="27" t="s">
        <v>3793</v>
      </c>
      <c r="C1440" s="180">
        <v>41621</v>
      </c>
      <c r="D1440" s="28">
        <v>27</v>
      </c>
      <c r="E1440" s="49">
        <v>15</v>
      </c>
      <c r="F1440" s="211">
        <f>IFERROR(Tableau6[[#This Row],[Score]]/Tableau6[[#This Row],[Nb]],0)</f>
        <v>0.55555555555555558</v>
      </c>
    </row>
    <row r="1441" spans="1:6" ht="30" customHeight="1" x14ac:dyDescent="0.3">
      <c r="A1441" s="26" t="s">
        <v>4616</v>
      </c>
      <c r="B1441" s="27" t="s">
        <v>4617</v>
      </c>
      <c r="C1441" s="180">
        <v>43206</v>
      </c>
      <c r="D1441" s="28">
        <v>18</v>
      </c>
      <c r="E1441" s="49">
        <v>10</v>
      </c>
      <c r="F1441" s="211">
        <f>IFERROR(Tableau6[[#This Row],[Score]]/Tableau6[[#This Row],[Nb]],0)</f>
        <v>0.55555555555555558</v>
      </c>
    </row>
    <row r="1442" spans="1:6" ht="30" customHeight="1" x14ac:dyDescent="0.3">
      <c r="A1442" s="26" t="s">
        <v>137</v>
      </c>
      <c r="B1442" s="27" t="s">
        <v>138</v>
      </c>
      <c r="C1442" s="180">
        <v>43373</v>
      </c>
      <c r="D1442" s="28">
        <v>18</v>
      </c>
      <c r="E1442" s="49">
        <v>10</v>
      </c>
      <c r="F1442" s="211">
        <f>IFERROR(Tableau6[[#This Row],[Score]]/Tableau6[[#This Row],[Nb]],0)</f>
        <v>0.55555555555555558</v>
      </c>
    </row>
    <row r="1443" spans="1:6" ht="30" customHeight="1" x14ac:dyDescent="0.3">
      <c r="A1443" s="26" t="s">
        <v>571</v>
      </c>
      <c r="B1443" s="27" t="s">
        <v>572</v>
      </c>
      <c r="C1443" s="180">
        <v>43405</v>
      </c>
      <c r="D1443" s="28">
        <v>18</v>
      </c>
      <c r="E1443" s="49">
        <v>10</v>
      </c>
      <c r="F1443" s="211">
        <f>IFERROR(Tableau6[[#This Row],[Score]]/Tableau6[[#This Row],[Nb]],0)</f>
        <v>0.55555555555555558</v>
      </c>
    </row>
    <row r="1444" spans="1:6" ht="30" customHeight="1" x14ac:dyDescent="0.3">
      <c r="A1444" s="26" t="s">
        <v>1248</v>
      </c>
      <c r="B1444" s="27" t="s">
        <v>1249</v>
      </c>
      <c r="C1444" s="180">
        <v>43428</v>
      </c>
      <c r="D1444" s="28">
        <v>18</v>
      </c>
      <c r="E1444" s="49">
        <v>10</v>
      </c>
      <c r="F1444" s="211">
        <f>IFERROR(Tableau6[[#This Row],[Score]]/Tableau6[[#This Row],[Nb]],0)</f>
        <v>0.55555555555555558</v>
      </c>
    </row>
    <row r="1445" spans="1:6" ht="30" customHeight="1" x14ac:dyDescent="0.3">
      <c r="A1445" s="26" t="s">
        <v>4371</v>
      </c>
      <c r="B1445" s="27" t="s">
        <v>1631</v>
      </c>
      <c r="C1445" s="180">
        <v>43548</v>
      </c>
      <c r="D1445" s="28">
        <v>18</v>
      </c>
      <c r="E1445" s="49">
        <v>10</v>
      </c>
      <c r="F1445" s="211">
        <f>IFERROR(Tableau6[[#This Row],[Score]]/Tableau6[[#This Row],[Nb]],0)</f>
        <v>0.55555555555555558</v>
      </c>
    </row>
    <row r="1446" spans="1:6" ht="30" customHeight="1" x14ac:dyDescent="0.3">
      <c r="A1446" s="26" t="s">
        <v>2022</v>
      </c>
      <c r="B1446" s="27" t="s">
        <v>2023</v>
      </c>
      <c r="C1446" s="180">
        <v>43605</v>
      </c>
      <c r="D1446" s="28">
        <v>18</v>
      </c>
      <c r="E1446" s="49">
        <v>10</v>
      </c>
      <c r="F1446" s="211">
        <f>IFERROR(Tableau6[[#This Row],[Score]]/Tableau6[[#This Row],[Nb]],0)</f>
        <v>0.55555555555555558</v>
      </c>
    </row>
    <row r="1447" spans="1:6" ht="30" customHeight="1" x14ac:dyDescent="0.3">
      <c r="A1447" s="26" t="s">
        <v>2171</v>
      </c>
      <c r="B1447" s="27" t="s">
        <v>2172</v>
      </c>
      <c r="C1447" s="180">
        <v>43689</v>
      </c>
      <c r="D1447" s="28">
        <v>9</v>
      </c>
      <c r="E1447" s="49">
        <v>5</v>
      </c>
      <c r="F1447" s="211">
        <f>IFERROR(Tableau6[[#This Row],[Score]]/Tableau6[[#This Row],[Nb]],0)</f>
        <v>0.55555555555555558</v>
      </c>
    </row>
    <row r="1448" spans="1:6" ht="30" customHeight="1" x14ac:dyDescent="0.3">
      <c r="A1448" s="26" t="s">
        <v>2335</v>
      </c>
      <c r="B1448" s="27" t="s">
        <v>2336</v>
      </c>
      <c r="C1448" s="180">
        <v>43771</v>
      </c>
      <c r="D1448" s="28">
        <v>18</v>
      </c>
      <c r="E1448" s="49">
        <v>10</v>
      </c>
      <c r="F1448" s="211">
        <f>IFERROR(Tableau6[[#This Row],[Score]]/Tableau6[[#This Row],[Nb]],0)</f>
        <v>0.55555555555555558</v>
      </c>
    </row>
    <row r="1449" spans="1:6" ht="30" customHeight="1" x14ac:dyDescent="0.3">
      <c r="A1449" s="26" t="s">
        <v>671</v>
      </c>
      <c r="B1449" s="27" t="s">
        <v>2381</v>
      </c>
      <c r="C1449" s="180">
        <v>43775</v>
      </c>
      <c r="D1449" s="28">
        <v>18</v>
      </c>
      <c r="E1449" s="49">
        <v>10</v>
      </c>
      <c r="F1449" s="211">
        <f>IFERROR(Tableau6[[#This Row],[Score]]/Tableau6[[#This Row],[Nb]],0)</f>
        <v>0.55555555555555558</v>
      </c>
    </row>
    <row r="1450" spans="1:6" ht="30" customHeight="1" x14ac:dyDescent="0.3">
      <c r="A1450" s="26" t="s">
        <v>2385</v>
      </c>
      <c r="B1450" s="27" t="s">
        <v>2386</v>
      </c>
      <c r="C1450" s="180">
        <v>43775</v>
      </c>
      <c r="D1450" s="28">
        <v>18</v>
      </c>
      <c r="E1450" s="49">
        <v>10</v>
      </c>
      <c r="F1450" s="211">
        <f>IFERROR(Tableau6[[#This Row],[Score]]/Tableau6[[#This Row],[Nb]],0)</f>
        <v>0.55555555555555558</v>
      </c>
    </row>
    <row r="1451" spans="1:6" ht="30" customHeight="1" x14ac:dyDescent="0.3">
      <c r="A1451" s="26" t="s">
        <v>2587</v>
      </c>
      <c r="B1451" s="27" t="s">
        <v>2588</v>
      </c>
      <c r="C1451" s="180">
        <v>43848</v>
      </c>
      <c r="D1451" s="28">
        <v>18</v>
      </c>
      <c r="E1451" s="49">
        <v>10</v>
      </c>
      <c r="F1451" s="211">
        <f>IFERROR(Tableau6[[#This Row],[Score]]/Tableau6[[#This Row],[Nb]],0)</f>
        <v>0.55555555555555558</v>
      </c>
    </row>
    <row r="1452" spans="1:6" ht="30" customHeight="1" x14ac:dyDescent="0.3">
      <c r="A1452" s="26" t="s">
        <v>2962</v>
      </c>
      <c r="B1452" s="27" t="s">
        <v>1217</v>
      </c>
      <c r="C1452" s="180">
        <v>43984</v>
      </c>
      <c r="D1452" s="28">
        <v>27</v>
      </c>
      <c r="E1452" s="49">
        <v>15</v>
      </c>
      <c r="F1452" s="211">
        <f>IFERROR(Tableau6[[#This Row],[Score]]/Tableau6[[#This Row],[Nb]],0)</f>
        <v>0.55555555555555558</v>
      </c>
    </row>
    <row r="1453" spans="1:6" ht="30" customHeight="1" x14ac:dyDescent="0.3">
      <c r="A1453" s="26" t="s">
        <v>3760</v>
      </c>
      <c r="B1453" s="27" t="s">
        <v>3761</v>
      </c>
      <c r="C1453" s="180">
        <v>44251</v>
      </c>
      <c r="D1453" s="28">
        <v>27</v>
      </c>
      <c r="E1453" s="49">
        <v>15</v>
      </c>
      <c r="F1453" s="211">
        <f>IFERROR(Tableau6[[#This Row],[Score]]/Tableau6[[#This Row],[Nb]],0)</f>
        <v>0.55555555555555558</v>
      </c>
    </row>
    <row r="1454" spans="1:6" ht="30" customHeight="1" x14ac:dyDescent="0.3">
      <c r="A1454" s="26" t="s">
        <v>4329</v>
      </c>
      <c r="B1454" s="27" t="s">
        <v>4330</v>
      </c>
      <c r="C1454" s="180">
        <v>44298</v>
      </c>
      <c r="D1454" s="28">
        <v>18</v>
      </c>
      <c r="E1454" s="49">
        <v>10</v>
      </c>
      <c r="F1454" s="211">
        <f>IFERROR(Tableau6[[#This Row],[Score]]/Tableau6[[#This Row],[Nb]],0)</f>
        <v>0.55555555555555558</v>
      </c>
    </row>
    <row r="1455" spans="1:6" ht="30" customHeight="1" x14ac:dyDescent="0.3">
      <c r="A1455" s="151" t="s">
        <v>5138</v>
      </c>
      <c r="B1455" s="27" t="s">
        <v>4917</v>
      </c>
      <c r="C1455" s="180">
        <v>44414</v>
      </c>
      <c r="D1455" s="28">
        <v>18</v>
      </c>
      <c r="E1455" s="49">
        <v>10</v>
      </c>
      <c r="F1455" s="211">
        <f>IFERROR(Tableau6[[#This Row],[Score]]/Tableau6[[#This Row],[Nb]],0)</f>
        <v>0.55555555555555558</v>
      </c>
    </row>
    <row r="1456" spans="1:6" ht="30" customHeight="1" x14ac:dyDescent="0.3">
      <c r="A1456" s="151" t="s">
        <v>5248</v>
      </c>
      <c r="B1456" s="152" t="s">
        <v>1382</v>
      </c>
      <c r="C1456" s="208">
        <v>44521</v>
      </c>
      <c r="D1456" s="154">
        <v>18</v>
      </c>
      <c r="E1456" s="154">
        <v>10</v>
      </c>
      <c r="F1456" s="211">
        <f>IFERROR(Tableau6[[#This Row],[Score]]/Tableau6[[#This Row],[Nb]],0)</f>
        <v>0.55555555555555558</v>
      </c>
    </row>
    <row r="1457" spans="1:6" ht="30" customHeight="1" x14ac:dyDescent="0.3">
      <c r="A1457" s="151" t="s">
        <v>5365</v>
      </c>
      <c r="B1457" s="152" t="s">
        <v>5366</v>
      </c>
      <c r="C1457" s="208">
        <v>44552</v>
      </c>
      <c r="D1457" s="154">
        <v>9</v>
      </c>
      <c r="E1457" s="154">
        <v>5</v>
      </c>
      <c r="F1457" s="211">
        <f>IFERROR(Tableau6[[#This Row],[Score]]/Tableau6[[#This Row],[Nb]],0)</f>
        <v>0.55555555555555558</v>
      </c>
    </row>
    <row r="1458" spans="1:6" ht="30" customHeight="1" x14ac:dyDescent="0.3">
      <c r="A1458" s="151" t="s">
        <v>5659</v>
      </c>
      <c r="B1458" s="152" t="s">
        <v>5660</v>
      </c>
      <c r="C1458" s="208">
        <v>44615</v>
      </c>
      <c r="D1458" s="154">
        <v>9</v>
      </c>
      <c r="E1458" s="154">
        <v>5</v>
      </c>
      <c r="F1458" s="211">
        <f>IFERROR(Tableau6[[#This Row],[Score]]/Tableau6[[#This Row],[Nb]],0)</f>
        <v>0.55555555555555558</v>
      </c>
    </row>
    <row r="1459" spans="1:6" ht="30" customHeight="1" x14ac:dyDescent="0.3">
      <c r="A1459" s="26" t="s">
        <v>913</v>
      </c>
      <c r="B1459" s="27" t="s">
        <v>1090</v>
      </c>
      <c r="C1459" s="180">
        <v>41522</v>
      </c>
      <c r="D1459" s="28">
        <v>25</v>
      </c>
      <c r="E1459" s="49">
        <v>14</v>
      </c>
      <c r="F1459" s="211">
        <f>IFERROR(Tableau6[[#This Row],[Score]]/Tableau6[[#This Row],[Nb]],0)</f>
        <v>0.56000000000000005</v>
      </c>
    </row>
    <row r="1460" spans="1:6" ht="30" customHeight="1" x14ac:dyDescent="0.3">
      <c r="A1460" s="26" t="s">
        <v>194</v>
      </c>
      <c r="B1460" s="156" t="s">
        <v>5644</v>
      </c>
      <c r="C1460" s="180">
        <v>43237</v>
      </c>
      <c r="D1460" s="28">
        <v>25</v>
      </c>
      <c r="E1460" s="49">
        <v>14</v>
      </c>
      <c r="F1460" s="211">
        <f>IFERROR(Tableau6[[#This Row],[Score]]/Tableau6[[#This Row],[Nb]],0)</f>
        <v>0.56000000000000005</v>
      </c>
    </row>
    <row r="1461" spans="1:6" ht="30" customHeight="1" x14ac:dyDescent="0.3">
      <c r="A1461" s="26" t="s">
        <v>3691</v>
      </c>
      <c r="B1461" s="27" t="s">
        <v>3690</v>
      </c>
      <c r="C1461" s="180">
        <v>43247</v>
      </c>
      <c r="D1461" s="28">
        <v>25</v>
      </c>
      <c r="E1461" s="49">
        <v>14</v>
      </c>
      <c r="F1461" s="211">
        <f>IFERROR(Tableau6[[#This Row],[Score]]/Tableau6[[#This Row],[Nb]],0)</f>
        <v>0.56000000000000005</v>
      </c>
    </row>
    <row r="1462" spans="1:6" ht="30" customHeight="1" x14ac:dyDescent="0.3">
      <c r="A1462" s="26" t="s">
        <v>177</v>
      </c>
      <c r="B1462" s="27" t="s">
        <v>178</v>
      </c>
      <c r="C1462" s="180">
        <v>43361</v>
      </c>
      <c r="D1462" s="28">
        <v>25</v>
      </c>
      <c r="E1462" s="49">
        <v>14</v>
      </c>
      <c r="F1462" s="211">
        <f>IFERROR(Tableau6[[#This Row],[Score]]/Tableau6[[#This Row],[Nb]],0)</f>
        <v>0.56000000000000005</v>
      </c>
    </row>
    <row r="1463" spans="1:6" ht="30" customHeight="1" x14ac:dyDescent="0.3">
      <c r="A1463" s="26" t="s">
        <v>831</v>
      </c>
      <c r="B1463" s="27" t="s">
        <v>4903</v>
      </c>
      <c r="C1463" s="180">
        <v>43605</v>
      </c>
      <c r="D1463" s="28">
        <v>25</v>
      </c>
      <c r="E1463" s="49">
        <v>14</v>
      </c>
      <c r="F1463" s="211">
        <f>IFERROR(Tableau6[[#This Row],[Score]]/Tableau6[[#This Row],[Nb]],0)</f>
        <v>0.56000000000000005</v>
      </c>
    </row>
    <row r="1464" spans="1:6" ht="30" customHeight="1" x14ac:dyDescent="0.3">
      <c r="A1464" s="26" t="s">
        <v>2068</v>
      </c>
      <c r="B1464" s="27" t="s">
        <v>2069</v>
      </c>
      <c r="C1464" s="180">
        <v>43661</v>
      </c>
      <c r="D1464" s="28">
        <v>25</v>
      </c>
      <c r="E1464" s="49">
        <v>14</v>
      </c>
      <c r="F1464" s="211">
        <f>IFERROR(Tableau6[[#This Row],[Score]]/Tableau6[[#This Row],[Nb]],0)</f>
        <v>0.56000000000000005</v>
      </c>
    </row>
    <row r="1465" spans="1:6" ht="30" customHeight="1" x14ac:dyDescent="0.3">
      <c r="A1465" s="26" t="s">
        <v>2990</v>
      </c>
      <c r="B1465" s="27" t="s">
        <v>872</v>
      </c>
      <c r="C1465" s="180">
        <v>41522</v>
      </c>
      <c r="D1465" s="28">
        <v>16</v>
      </c>
      <c r="E1465" s="49">
        <v>9</v>
      </c>
      <c r="F1465" s="211">
        <f>IFERROR(Tableau6[[#This Row],[Score]]/Tableau6[[#This Row],[Nb]],0)</f>
        <v>0.5625</v>
      </c>
    </row>
    <row r="1466" spans="1:6" ht="30" customHeight="1" x14ac:dyDescent="0.3">
      <c r="A1466" s="26" t="s">
        <v>618</v>
      </c>
      <c r="B1466" s="27" t="s">
        <v>1058</v>
      </c>
      <c r="C1466" s="180">
        <v>41522</v>
      </c>
      <c r="D1466" s="28">
        <v>16</v>
      </c>
      <c r="E1466" s="49">
        <v>9</v>
      </c>
      <c r="F1466" s="211">
        <f>IFERROR(Tableau6[[#This Row],[Score]]/Tableau6[[#This Row],[Nb]],0)</f>
        <v>0.5625</v>
      </c>
    </row>
    <row r="1467" spans="1:6" ht="30" customHeight="1" x14ac:dyDescent="0.3">
      <c r="A1467" s="26" t="s">
        <v>268</v>
      </c>
      <c r="B1467" s="27" t="s">
        <v>269</v>
      </c>
      <c r="C1467" s="180">
        <v>41621</v>
      </c>
      <c r="D1467" s="28">
        <v>16</v>
      </c>
      <c r="E1467" s="49">
        <v>9</v>
      </c>
      <c r="F1467" s="211">
        <f>IFERROR(Tableau6[[#This Row],[Score]]/Tableau6[[#This Row],[Nb]],0)</f>
        <v>0.5625</v>
      </c>
    </row>
    <row r="1468" spans="1:6" ht="30" customHeight="1" x14ac:dyDescent="0.3">
      <c r="A1468" s="26" t="s">
        <v>4872</v>
      </c>
      <c r="B1468" s="27" t="s">
        <v>4873</v>
      </c>
      <c r="C1468" s="180">
        <v>41621</v>
      </c>
      <c r="D1468" s="28">
        <v>16</v>
      </c>
      <c r="E1468" s="49">
        <v>9</v>
      </c>
      <c r="F1468" s="211">
        <f>IFERROR(Tableau6[[#This Row],[Score]]/Tableau6[[#This Row],[Nb]],0)</f>
        <v>0.5625</v>
      </c>
    </row>
    <row r="1469" spans="1:6" ht="30" customHeight="1" x14ac:dyDescent="0.3">
      <c r="A1469" s="26" t="s">
        <v>4699</v>
      </c>
      <c r="B1469" s="27" t="s">
        <v>204</v>
      </c>
      <c r="C1469" s="180">
        <v>43401</v>
      </c>
      <c r="D1469" s="28">
        <v>16</v>
      </c>
      <c r="E1469" s="49">
        <v>9</v>
      </c>
      <c r="F1469" s="211">
        <f>IFERROR(Tableau6[[#This Row],[Score]]/Tableau6[[#This Row],[Nb]],0)</f>
        <v>0.5625</v>
      </c>
    </row>
    <row r="1470" spans="1:6" ht="30" customHeight="1" x14ac:dyDescent="0.3">
      <c r="A1470" s="26" t="s">
        <v>1455</v>
      </c>
      <c r="B1470" s="27" t="s">
        <v>1456</v>
      </c>
      <c r="C1470" s="180">
        <v>43451</v>
      </c>
      <c r="D1470" s="28">
        <v>32</v>
      </c>
      <c r="E1470" s="49">
        <v>18</v>
      </c>
      <c r="F1470" s="211">
        <f>IFERROR(Tableau6[[#This Row],[Score]]/Tableau6[[#This Row],[Nb]],0)</f>
        <v>0.5625</v>
      </c>
    </row>
    <row r="1471" spans="1:6" ht="30" customHeight="1" x14ac:dyDescent="0.3">
      <c r="A1471" s="26" t="s">
        <v>2346</v>
      </c>
      <c r="B1471" s="27" t="s">
        <v>2345</v>
      </c>
      <c r="C1471" s="180">
        <v>43771</v>
      </c>
      <c r="D1471" s="28">
        <v>16</v>
      </c>
      <c r="E1471" s="49">
        <v>9</v>
      </c>
      <c r="F1471" s="211">
        <f>IFERROR(Tableau6[[#This Row],[Score]]/Tableau6[[#This Row],[Nb]],0)</f>
        <v>0.5625</v>
      </c>
    </row>
    <row r="1472" spans="1:6" ht="30" customHeight="1" x14ac:dyDescent="0.3">
      <c r="A1472" s="26" t="s">
        <v>1398</v>
      </c>
      <c r="B1472" s="27" t="s">
        <v>2593</v>
      </c>
      <c r="C1472" s="180">
        <v>43848</v>
      </c>
      <c r="D1472" s="28">
        <v>32</v>
      </c>
      <c r="E1472" s="49">
        <v>18</v>
      </c>
      <c r="F1472" s="211">
        <f>IFERROR(Tableau6[[#This Row],[Score]]/Tableau6[[#This Row],[Nb]],0)</f>
        <v>0.5625</v>
      </c>
    </row>
    <row r="1473" spans="1:6" ht="30" customHeight="1" x14ac:dyDescent="0.3">
      <c r="A1473" s="26" t="s">
        <v>2581</v>
      </c>
      <c r="B1473" s="27" t="s">
        <v>2582</v>
      </c>
      <c r="C1473" s="180">
        <v>43848</v>
      </c>
      <c r="D1473" s="28">
        <v>16</v>
      </c>
      <c r="E1473" s="49">
        <v>9</v>
      </c>
      <c r="F1473" s="211">
        <f>IFERROR(Tableau6[[#This Row],[Score]]/Tableau6[[#This Row],[Nb]],0)</f>
        <v>0.5625</v>
      </c>
    </row>
    <row r="1474" spans="1:6" ht="30" customHeight="1" x14ac:dyDescent="0.3">
      <c r="A1474" s="26" t="s">
        <v>3085</v>
      </c>
      <c r="B1474" s="27" t="s">
        <v>3086</v>
      </c>
      <c r="C1474" s="180">
        <v>44004</v>
      </c>
      <c r="D1474" s="28">
        <v>16</v>
      </c>
      <c r="E1474" s="49">
        <v>9</v>
      </c>
      <c r="F1474" s="211">
        <f>IFERROR(Tableau6[[#This Row],[Score]]/Tableau6[[#This Row],[Nb]],0)</f>
        <v>0.5625</v>
      </c>
    </row>
    <row r="1475" spans="1:6" ht="30" customHeight="1" x14ac:dyDescent="0.3">
      <c r="A1475" s="26" t="s">
        <v>3841</v>
      </c>
      <c r="B1475" s="27" t="s">
        <v>4737</v>
      </c>
      <c r="C1475" s="180">
        <v>44256</v>
      </c>
      <c r="D1475" s="28">
        <v>16</v>
      </c>
      <c r="E1475" s="49">
        <v>9</v>
      </c>
      <c r="F1475" s="211">
        <f>IFERROR(Tableau6[[#This Row],[Score]]/Tableau6[[#This Row],[Nb]],0)</f>
        <v>0.5625</v>
      </c>
    </row>
    <row r="1476" spans="1:6" ht="30" customHeight="1" x14ac:dyDescent="0.3">
      <c r="A1476" s="26" t="s">
        <v>4093</v>
      </c>
      <c r="B1476" s="27" t="s">
        <v>4094</v>
      </c>
      <c r="C1476" s="180">
        <v>44269</v>
      </c>
      <c r="D1476" s="28">
        <v>16</v>
      </c>
      <c r="E1476" s="49">
        <v>9</v>
      </c>
      <c r="F1476" s="211">
        <f>IFERROR(Tableau6[[#This Row],[Score]]/Tableau6[[#This Row],[Nb]],0)</f>
        <v>0.5625</v>
      </c>
    </row>
    <row r="1477" spans="1:6" ht="30" customHeight="1" x14ac:dyDescent="0.3">
      <c r="A1477" s="26" t="s">
        <v>1004</v>
      </c>
      <c r="B1477" s="152" t="s">
        <v>5485</v>
      </c>
      <c r="C1477" s="180">
        <v>41621</v>
      </c>
      <c r="D1477" s="28">
        <v>23</v>
      </c>
      <c r="E1477" s="49">
        <v>13</v>
      </c>
      <c r="F1477" s="211">
        <f>IFERROR(Tableau6[[#This Row],[Score]]/Tableau6[[#This Row],[Nb]],0)</f>
        <v>0.56521739130434778</v>
      </c>
    </row>
    <row r="1478" spans="1:6" ht="30" customHeight="1" x14ac:dyDescent="0.3">
      <c r="A1478" s="26" t="s">
        <v>4047</v>
      </c>
      <c r="B1478" s="27" t="s">
        <v>4613</v>
      </c>
      <c r="C1478" s="180">
        <v>41621</v>
      </c>
      <c r="D1478" s="28">
        <v>23</v>
      </c>
      <c r="E1478" s="49">
        <v>13</v>
      </c>
      <c r="F1478" s="211">
        <f>IFERROR(Tableau6[[#This Row],[Score]]/Tableau6[[#This Row],[Nb]],0)</f>
        <v>0.56521739130434778</v>
      </c>
    </row>
    <row r="1479" spans="1:6" ht="30" customHeight="1" x14ac:dyDescent="0.3">
      <c r="A1479" s="26" t="s">
        <v>1024</v>
      </c>
      <c r="B1479" s="27" t="s">
        <v>794</v>
      </c>
      <c r="C1479" s="180">
        <v>41621</v>
      </c>
      <c r="D1479" s="28">
        <v>23</v>
      </c>
      <c r="E1479" s="49">
        <v>13</v>
      </c>
      <c r="F1479" s="211">
        <f>IFERROR(Tableau6[[#This Row],[Score]]/Tableau6[[#This Row],[Nb]],0)</f>
        <v>0.56521739130434778</v>
      </c>
    </row>
    <row r="1480" spans="1:6" ht="30" customHeight="1" x14ac:dyDescent="0.3">
      <c r="A1480" s="26" t="s">
        <v>4480</v>
      </c>
      <c r="B1480" s="27" t="s">
        <v>4479</v>
      </c>
      <c r="C1480" s="180">
        <v>43237</v>
      </c>
      <c r="D1480" s="28">
        <v>23</v>
      </c>
      <c r="E1480" s="49">
        <v>13</v>
      </c>
      <c r="F1480" s="211">
        <f>IFERROR(Tableau6[[#This Row],[Score]]/Tableau6[[#This Row],[Nb]],0)</f>
        <v>0.56521739130434778</v>
      </c>
    </row>
    <row r="1481" spans="1:6" ht="30" customHeight="1" x14ac:dyDescent="0.3">
      <c r="A1481" s="271" t="s">
        <v>6449</v>
      </c>
      <c r="B1481" s="27" t="s">
        <v>4744</v>
      </c>
      <c r="C1481" s="180">
        <v>43341</v>
      </c>
      <c r="D1481" s="28">
        <v>23</v>
      </c>
      <c r="E1481" s="49">
        <v>13</v>
      </c>
      <c r="F1481" s="211">
        <f>IFERROR(Tableau6[[#This Row],[Score]]/Tableau6[[#This Row],[Nb]],0)</f>
        <v>0.56521739130434778</v>
      </c>
    </row>
    <row r="1482" spans="1:6" ht="30" customHeight="1" x14ac:dyDescent="0.3">
      <c r="A1482" s="26" t="s">
        <v>2482</v>
      </c>
      <c r="B1482" s="27" t="s">
        <v>2483</v>
      </c>
      <c r="C1482" s="180">
        <v>43787</v>
      </c>
      <c r="D1482" s="28">
        <v>23</v>
      </c>
      <c r="E1482" s="49">
        <v>13</v>
      </c>
      <c r="F1482" s="211">
        <f>IFERROR(Tableau6[[#This Row],[Score]]/Tableau6[[#This Row],[Nb]],0)</f>
        <v>0.56521739130434778</v>
      </c>
    </row>
    <row r="1483" spans="1:6" ht="30" customHeight="1" x14ac:dyDescent="0.3">
      <c r="A1483" s="151" t="s">
        <v>5181</v>
      </c>
      <c r="B1483" s="152" t="s">
        <v>5182</v>
      </c>
      <c r="C1483" s="208">
        <v>44494</v>
      </c>
      <c r="D1483" s="154">
        <v>23</v>
      </c>
      <c r="E1483" s="154">
        <v>13</v>
      </c>
      <c r="F1483" s="211">
        <f>IFERROR(Tableau6[[#This Row],[Score]]/Tableau6[[#This Row],[Nb]],0)</f>
        <v>0.56521739130434778</v>
      </c>
    </row>
    <row r="1484" spans="1:6" ht="30" customHeight="1" x14ac:dyDescent="0.3">
      <c r="A1484" s="26" t="s">
        <v>3303</v>
      </c>
      <c r="B1484" s="152" t="s">
        <v>5160</v>
      </c>
      <c r="C1484" s="180">
        <v>43247</v>
      </c>
      <c r="D1484" s="28">
        <v>30</v>
      </c>
      <c r="E1484" s="49">
        <v>17</v>
      </c>
      <c r="F1484" s="211">
        <f>IFERROR(Tableau6[[#This Row],[Score]]/Tableau6[[#This Row],[Nb]],0)</f>
        <v>0.56666666666666665</v>
      </c>
    </row>
    <row r="1485" spans="1:6" ht="30" customHeight="1" x14ac:dyDescent="0.3">
      <c r="A1485" s="26" t="s">
        <v>418</v>
      </c>
      <c r="B1485" s="27" t="s">
        <v>419</v>
      </c>
      <c r="C1485" s="180">
        <v>40611</v>
      </c>
      <c r="D1485" s="28">
        <v>28</v>
      </c>
      <c r="E1485" s="49">
        <v>16</v>
      </c>
      <c r="F1485" s="211">
        <f>IFERROR(Tableau6[[#This Row],[Score]]/Tableau6[[#This Row],[Nb]],0)</f>
        <v>0.5714285714285714</v>
      </c>
    </row>
    <row r="1486" spans="1:6" ht="30" customHeight="1" x14ac:dyDescent="0.3">
      <c r="A1486" s="26" t="s">
        <v>295</v>
      </c>
      <c r="B1486" s="27" t="s">
        <v>296</v>
      </c>
      <c r="C1486" s="180">
        <v>40611</v>
      </c>
      <c r="D1486" s="28">
        <v>21</v>
      </c>
      <c r="E1486" s="49">
        <v>12</v>
      </c>
      <c r="F1486" s="211">
        <f>IFERROR(Tableau6[[#This Row],[Score]]/Tableau6[[#This Row],[Nb]],0)</f>
        <v>0.5714285714285714</v>
      </c>
    </row>
    <row r="1487" spans="1:6" ht="30" customHeight="1" x14ac:dyDescent="0.3">
      <c r="A1487" s="26" t="s">
        <v>516</v>
      </c>
      <c r="B1487" s="27" t="s">
        <v>517</v>
      </c>
      <c r="C1487" s="180">
        <v>40611</v>
      </c>
      <c r="D1487" s="28">
        <v>14</v>
      </c>
      <c r="E1487" s="49">
        <v>8</v>
      </c>
      <c r="F1487" s="211">
        <f>IFERROR(Tableau6[[#This Row],[Score]]/Tableau6[[#This Row],[Nb]],0)</f>
        <v>0.5714285714285714</v>
      </c>
    </row>
    <row r="1488" spans="1:6" ht="30" customHeight="1" x14ac:dyDescent="0.3">
      <c r="A1488" s="26" t="s">
        <v>377</v>
      </c>
      <c r="B1488" s="27" t="s">
        <v>378</v>
      </c>
      <c r="C1488" s="180">
        <v>40611</v>
      </c>
      <c r="D1488" s="28">
        <v>21</v>
      </c>
      <c r="E1488" s="49">
        <v>12</v>
      </c>
      <c r="F1488" s="211">
        <f>IFERROR(Tableau6[[#This Row],[Score]]/Tableau6[[#This Row],[Nb]],0)</f>
        <v>0.5714285714285714</v>
      </c>
    </row>
    <row r="1489" spans="1:6" ht="30" customHeight="1" x14ac:dyDescent="0.3">
      <c r="A1489" s="26" t="s">
        <v>871</v>
      </c>
      <c r="B1489" s="27" t="s">
        <v>4803</v>
      </c>
      <c r="C1489" s="180">
        <v>41522</v>
      </c>
      <c r="D1489" s="28">
        <v>21</v>
      </c>
      <c r="E1489" s="49">
        <v>12</v>
      </c>
      <c r="F1489" s="211">
        <f>IFERROR(Tableau6[[#This Row],[Score]]/Tableau6[[#This Row],[Nb]],0)</f>
        <v>0.5714285714285714</v>
      </c>
    </row>
    <row r="1490" spans="1:6" ht="30" customHeight="1" x14ac:dyDescent="0.3">
      <c r="A1490" s="26" t="s">
        <v>1136</v>
      </c>
      <c r="B1490" s="27" t="s">
        <v>1591</v>
      </c>
      <c r="C1490" s="180">
        <v>41522</v>
      </c>
      <c r="D1490" s="28">
        <v>14</v>
      </c>
      <c r="E1490" s="49">
        <v>8</v>
      </c>
      <c r="F1490" s="211">
        <f>IFERROR(Tableau6[[#This Row],[Score]]/Tableau6[[#This Row],[Nb]],0)</f>
        <v>0.5714285714285714</v>
      </c>
    </row>
    <row r="1491" spans="1:6" ht="30" customHeight="1" x14ac:dyDescent="0.3">
      <c r="A1491" s="26" t="s">
        <v>4333</v>
      </c>
      <c r="B1491" s="27" t="s">
        <v>4334</v>
      </c>
      <c r="C1491" s="180">
        <v>41621</v>
      </c>
      <c r="D1491" s="28">
        <v>21</v>
      </c>
      <c r="E1491" s="49">
        <v>12</v>
      </c>
      <c r="F1491" s="211">
        <f>IFERROR(Tableau6[[#This Row],[Score]]/Tableau6[[#This Row],[Nb]],0)</f>
        <v>0.5714285714285714</v>
      </c>
    </row>
    <row r="1492" spans="1:6" ht="30" customHeight="1" x14ac:dyDescent="0.3">
      <c r="A1492" s="26" t="s">
        <v>3175</v>
      </c>
      <c r="B1492" s="27" t="s">
        <v>3176</v>
      </c>
      <c r="C1492" s="180">
        <v>41621</v>
      </c>
      <c r="D1492" s="28">
        <v>21</v>
      </c>
      <c r="E1492" s="49">
        <v>12</v>
      </c>
      <c r="F1492" s="211">
        <f>IFERROR(Tableau6[[#This Row],[Score]]/Tableau6[[#This Row],[Nb]],0)</f>
        <v>0.5714285714285714</v>
      </c>
    </row>
    <row r="1493" spans="1:6" ht="30" customHeight="1" x14ac:dyDescent="0.3">
      <c r="A1493" s="26" t="s">
        <v>1010</v>
      </c>
      <c r="B1493" s="27" t="s">
        <v>4370</v>
      </c>
      <c r="C1493" s="180">
        <v>41621</v>
      </c>
      <c r="D1493" s="28">
        <v>21</v>
      </c>
      <c r="E1493" s="49">
        <v>12</v>
      </c>
      <c r="F1493" s="211">
        <f>IFERROR(Tableau6[[#This Row],[Score]]/Tableau6[[#This Row],[Nb]],0)</f>
        <v>0.5714285714285714</v>
      </c>
    </row>
    <row r="1494" spans="1:6" ht="30" customHeight="1" x14ac:dyDescent="0.3">
      <c r="A1494" s="26" t="s">
        <v>967</v>
      </c>
      <c r="B1494" s="27" t="s">
        <v>622</v>
      </c>
      <c r="C1494" s="180">
        <v>41621</v>
      </c>
      <c r="D1494" s="28">
        <v>14</v>
      </c>
      <c r="E1494" s="49">
        <v>8</v>
      </c>
      <c r="F1494" s="211">
        <f>IFERROR(Tableau6[[#This Row],[Score]]/Tableau6[[#This Row],[Nb]],0)</f>
        <v>0.5714285714285714</v>
      </c>
    </row>
    <row r="1495" spans="1:6" ht="30" customHeight="1" x14ac:dyDescent="0.3">
      <c r="A1495" s="26" t="s">
        <v>1310</v>
      </c>
      <c r="B1495" s="27" t="s">
        <v>4184</v>
      </c>
      <c r="C1495" s="180">
        <v>41621</v>
      </c>
      <c r="D1495" s="28">
        <v>21</v>
      </c>
      <c r="E1495" s="49">
        <v>12</v>
      </c>
      <c r="F1495" s="211">
        <f>IFERROR(Tableau6[[#This Row],[Score]]/Tableau6[[#This Row],[Nb]],0)</f>
        <v>0.5714285714285714</v>
      </c>
    </row>
    <row r="1496" spans="1:6" ht="30" customHeight="1" x14ac:dyDescent="0.3">
      <c r="A1496" s="26" t="s">
        <v>4182</v>
      </c>
      <c r="B1496" s="27" t="s">
        <v>4183</v>
      </c>
      <c r="C1496" s="180">
        <v>41621</v>
      </c>
      <c r="D1496" s="28">
        <v>21</v>
      </c>
      <c r="E1496" s="49">
        <v>12</v>
      </c>
      <c r="F1496" s="211">
        <f>IFERROR(Tableau6[[#This Row],[Score]]/Tableau6[[#This Row],[Nb]],0)</f>
        <v>0.5714285714285714</v>
      </c>
    </row>
    <row r="1497" spans="1:6" ht="30" customHeight="1" x14ac:dyDescent="0.3">
      <c r="A1497" s="26" t="s">
        <v>4355</v>
      </c>
      <c r="B1497" s="27" t="s">
        <v>4356</v>
      </c>
      <c r="C1497" s="180">
        <v>41621</v>
      </c>
      <c r="D1497" s="28">
        <v>28</v>
      </c>
      <c r="E1497" s="49">
        <v>16</v>
      </c>
      <c r="F1497" s="211">
        <f>IFERROR(Tableau6[[#This Row],[Score]]/Tableau6[[#This Row],[Nb]],0)</f>
        <v>0.5714285714285714</v>
      </c>
    </row>
    <row r="1498" spans="1:6" ht="30" customHeight="1" x14ac:dyDescent="0.3">
      <c r="A1498" s="26" t="s">
        <v>3916</v>
      </c>
      <c r="B1498" s="27" t="s">
        <v>3917</v>
      </c>
      <c r="C1498" s="180">
        <v>41621</v>
      </c>
      <c r="D1498" s="28">
        <v>28</v>
      </c>
      <c r="E1498" s="49">
        <v>16</v>
      </c>
      <c r="F1498" s="211">
        <f>IFERROR(Tableau6[[#This Row],[Score]]/Tableau6[[#This Row],[Nb]],0)</f>
        <v>0.5714285714285714</v>
      </c>
    </row>
    <row r="1499" spans="1:6" ht="30" customHeight="1" x14ac:dyDescent="0.3">
      <c r="A1499" s="26" t="s">
        <v>662</v>
      </c>
      <c r="B1499" s="27" t="s">
        <v>1073</v>
      </c>
      <c r="C1499" s="180">
        <v>43237</v>
      </c>
      <c r="D1499" s="28">
        <v>14</v>
      </c>
      <c r="E1499" s="49">
        <v>8</v>
      </c>
      <c r="F1499" s="211">
        <f>IFERROR(Tableau6[[#This Row],[Score]]/Tableau6[[#This Row],[Nb]],0)</f>
        <v>0.5714285714285714</v>
      </c>
    </row>
    <row r="1500" spans="1:6" ht="30" customHeight="1" x14ac:dyDescent="0.3">
      <c r="A1500" s="26" t="s">
        <v>2751</v>
      </c>
      <c r="B1500" s="27" t="s">
        <v>2752</v>
      </c>
      <c r="C1500" s="180">
        <v>43237</v>
      </c>
      <c r="D1500" s="28">
        <v>14</v>
      </c>
      <c r="E1500" s="49">
        <v>8</v>
      </c>
      <c r="F1500" s="211">
        <f>IFERROR(Tableau6[[#This Row],[Score]]/Tableau6[[#This Row],[Nb]],0)</f>
        <v>0.5714285714285714</v>
      </c>
    </row>
    <row r="1501" spans="1:6" ht="30" customHeight="1" x14ac:dyDescent="0.3">
      <c r="A1501" s="26" t="s">
        <v>1096</v>
      </c>
      <c r="B1501" s="27" t="s">
        <v>1097</v>
      </c>
      <c r="C1501" s="180">
        <v>43383</v>
      </c>
      <c r="D1501" s="28">
        <v>21</v>
      </c>
      <c r="E1501" s="49">
        <v>12</v>
      </c>
      <c r="F1501" s="211">
        <f>IFERROR(Tableau6[[#This Row],[Score]]/Tableau6[[#This Row],[Nb]],0)</f>
        <v>0.5714285714285714</v>
      </c>
    </row>
    <row r="1502" spans="1:6" ht="30" customHeight="1" x14ac:dyDescent="0.3">
      <c r="A1502" s="26" t="s">
        <v>609</v>
      </c>
      <c r="B1502" s="27" t="s">
        <v>66</v>
      </c>
      <c r="C1502" s="180">
        <v>43403</v>
      </c>
      <c r="D1502" s="28">
        <v>21</v>
      </c>
      <c r="E1502" s="49">
        <v>12</v>
      </c>
      <c r="F1502" s="211">
        <f>IFERROR(Tableau6[[#This Row],[Score]]/Tableau6[[#This Row],[Nb]],0)</f>
        <v>0.5714285714285714</v>
      </c>
    </row>
    <row r="1503" spans="1:6" ht="30" customHeight="1" x14ac:dyDescent="0.3">
      <c r="A1503" s="151" t="s">
        <v>6018</v>
      </c>
      <c r="B1503" s="27" t="s">
        <v>525</v>
      </c>
      <c r="C1503" s="180">
        <v>43408</v>
      </c>
      <c r="D1503" s="28">
        <v>28</v>
      </c>
      <c r="E1503" s="49">
        <v>16</v>
      </c>
      <c r="F1503" s="211">
        <f>IFERROR(Tableau6[[#This Row],[Score]]/Tableau6[[#This Row],[Nb]],0)</f>
        <v>0.5714285714285714</v>
      </c>
    </row>
    <row r="1504" spans="1:6" ht="30" customHeight="1" x14ac:dyDescent="0.3">
      <c r="A1504" s="26" t="s">
        <v>1124</v>
      </c>
      <c r="B1504" s="27" t="s">
        <v>3846</v>
      </c>
      <c r="C1504" s="180">
        <v>43415</v>
      </c>
      <c r="D1504" s="28">
        <v>14</v>
      </c>
      <c r="E1504" s="49">
        <v>8</v>
      </c>
      <c r="F1504" s="211">
        <f>IFERROR(Tableau6[[#This Row],[Score]]/Tableau6[[#This Row],[Nb]],0)</f>
        <v>0.5714285714285714</v>
      </c>
    </row>
    <row r="1505" spans="1:6" ht="30" customHeight="1" x14ac:dyDescent="0.3">
      <c r="A1505" s="26" t="s">
        <v>1703</v>
      </c>
      <c r="B1505" s="27" t="s">
        <v>1704</v>
      </c>
      <c r="C1505" s="180">
        <v>43548</v>
      </c>
      <c r="D1505" s="28">
        <v>21</v>
      </c>
      <c r="E1505" s="49">
        <v>12</v>
      </c>
      <c r="F1505" s="211">
        <f>IFERROR(Tableau6[[#This Row],[Score]]/Tableau6[[#This Row],[Nb]],0)</f>
        <v>0.5714285714285714</v>
      </c>
    </row>
    <row r="1506" spans="1:6" ht="30" customHeight="1" x14ac:dyDescent="0.3">
      <c r="A1506" s="26" t="s">
        <v>3204</v>
      </c>
      <c r="B1506" s="27" t="s">
        <v>1630</v>
      </c>
      <c r="C1506" s="180">
        <v>43548</v>
      </c>
      <c r="D1506" s="28">
        <v>28</v>
      </c>
      <c r="E1506" s="49">
        <v>16</v>
      </c>
      <c r="F1506" s="211">
        <f>IFERROR(Tableau6[[#This Row],[Score]]/Tableau6[[#This Row],[Nb]],0)</f>
        <v>0.5714285714285714</v>
      </c>
    </row>
    <row r="1507" spans="1:6" ht="30" customHeight="1" x14ac:dyDescent="0.3">
      <c r="A1507" s="26" t="s">
        <v>2019</v>
      </c>
      <c r="B1507" s="27" t="s">
        <v>2020</v>
      </c>
      <c r="C1507" s="180">
        <v>43605</v>
      </c>
      <c r="D1507" s="28">
        <v>21</v>
      </c>
      <c r="E1507" s="49">
        <v>12</v>
      </c>
      <c r="F1507" s="211">
        <f>IFERROR(Tableau6[[#This Row],[Score]]/Tableau6[[#This Row],[Nb]],0)</f>
        <v>0.5714285714285714</v>
      </c>
    </row>
    <row r="1508" spans="1:6" ht="30" customHeight="1" x14ac:dyDescent="0.3">
      <c r="A1508" s="26" t="s">
        <v>2189</v>
      </c>
      <c r="B1508" s="27" t="s">
        <v>2190</v>
      </c>
      <c r="C1508" s="180">
        <v>43689</v>
      </c>
      <c r="D1508" s="28">
        <v>14</v>
      </c>
      <c r="E1508" s="49">
        <v>8</v>
      </c>
      <c r="F1508" s="211">
        <f>IFERROR(Tableau6[[#This Row],[Score]]/Tableau6[[#This Row],[Nb]],0)</f>
        <v>0.5714285714285714</v>
      </c>
    </row>
    <row r="1509" spans="1:6" ht="30" customHeight="1" x14ac:dyDescent="0.3">
      <c r="A1509" s="26" t="s">
        <v>1585</v>
      </c>
      <c r="B1509" s="27" t="s">
        <v>1586</v>
      </c>
      <c r="C1509" s="180">
        <v>43752</v>
      </c>
      <c r="D1509" s="28">
        <v>21</v>
      </c>
      <c r="E1509" s="49">
        <v>12</v>
      </c>
      <c r="F1509" s="211">
        <f>IFERROR(Tableau6[[#This Row],[Score]]/Tableau6[[#This Row],[Nb]],0)</f>
        <v>0.5714285714285714</v>
      </c>
    </row>
    <row r="1510" spans="1:6" ht="30" customHeight="1" x14ac:dyDescent="0.3">
      <c r="A1510" s="26" t="s">
        <v>2375</v>
      </c>
      <c r="B1510" s="27" t="s">
        <v>3457</v>
      </c>
      <c r="C1510" s="180">
        <v>43772</v>
      </c>
      <c r="D1510" s="28">
        <v>21</v>
      </c>
      <c r="E1510" s="49">
        <v>12</v>
      </c>
      <c r="F1510" s="211">
        <f>IFERROR(Tableau6[[#This Row],[Score]]/Tableau6[[#This Row],[Nb]],0)</f>
        <v>0.5714285714285714</v>
      </c>
    </row>
    <row r="1511" spans="1:6" ht="30" customHeight="1" x14ac:dyDescent="0.3">
      <c r="A1511" s="26" t="s">
        <v>4713</v>
      </c>
      <c r="B1511" s="27" t="s">
        <v>4714</v>
      </c>
      <c r="C1511" s="180">
        <v>43815</v>
      </c>
      <c r="D1511" s="28">
        <v>21</v>
      </c>
      <c r="E1511" s="49">
        <v>12</v>
      </c>
      <c r="F1511" s="211">
        <f>IFERROR(Tableau6[[#This Row],[Score]]/Tableau6[[#This Row],[Nb]],0)</f>
        <v>0.5714285714285714</v>
      </c>
    </row>
    <row r="1512" spans="1:6" ht="30" customHeight="1" x14ac:dyDescent="0.3">
      <c r="A1512" s="26" t="s">
        <v>2548</v>
      </c>
      <c r="B1512" s="27" t="s">
        <v>2549</v>
      </c>
      <c r="C1512" s="180">
        <v>43826</v>
      </c>
      <c r="D1512" s="28">
        <v>21</v>
      </c>
      <c r="E1512" s="49">
        <v>12</v>
      </c>
      <c r="F1512" s="211">
        <f>IFERROR(Tableau6[[#This Row],[Score]]/Tableau6[[#This Row],[Nb]],0)</f>
        <v>0.5714285714285714</v>
      </c>
    </row>
    <row r="1513" spans="1:6" ht="30" customHeight="1" x14ac:dyDescent="0.3">
      <c r="A1513" s="26" t="s">
        <v>2598</v>
      </c>
      <c r="B1513" s="27" t="s">
        <v>2599</v>
      </c>
      <c r="C1513" s="180">
        <v>43848</v>
      </c>
      <c r="D1513" s="28">
        <v>21</v>
      </c>
      <c r="E1513" s="49">
        <v>12</v>
      </c>
      <c r="F1513" s="211">
        <f>IFERROR(Tableau6[[#This Row],[Score]]/Tableau6[[#This Row],[Nb]],0)</f>
        <v>0.5714285714285714</v>
      </c>
    </row>
    <row r="1514" spans="1:6" ht="30" customHeight="1" x14ac:dyDescent="0.3">
      <c r="A1514" s="26" t="s">
        <v>2738</v>
      </c>
      <c r="B1514" s="27" t="s">
        <v>2739</v>
      </c>
      <c r="C1514" s="180">
        <v>43900</v>
      </c>
      <c r="D1514" s="28">
        <v>21</v>
      </c>
      <c r="E1514" s="49">
        <v>12</v>
      </c>
      <c r="F1514" s="211">
        <f>IFERROR(Tableau6[[#This Row],[Score]]/Tableau6[[#This Row],[Nb]],0)</f>
        <v>0.5714285714285714</v>
      </c>
    </row>
    <row r="1515" spans="1:6" ht="30" customHeight="1" x14ac:dyDescent="0.3">
      <c r="A1515" s="26" t="s">
        <v>4099</v>
      </c>
      <c r="B1515" s="27" t="s">
        <v>4100</v>
      </c>
      <c r="C1515" s="180">
        <v>44269</v>
      </c>
      <c r="D1515" s="28">
        <v>28</v>
      </c>
      <c r="E1515" s="49">
        <v>16</v>
      </c>
      <c r="F1515" s="211">
        <f>IFERROR(Tableau6[[#This Row],[Score]]/Tableau6[[#This Row],[Nb]],0)</f>
        <v>0.5714285714285714</v>
      </c>
    </row>
    <row r="1516" spans="1:6" ht="30" customHeight="1" x14ac:dyDescent="0.3">
      <c r="A1516" s="26" t="s">
        <v>4856</v>
      </c>
      <c r="B1516" s="27" t="s">
        <v>4857</v>
      </c>
      <c r="C1516" s="180">
        <v>44395</v>
      </c>
      <c r="D1516" s="28">
        <v>14</v>
      </c>
      <c r="E1516" s="49">
        <v>8</v>
      </c>
      <c r="F1516" s="211">
        <f>IFERROR(Tableau6[[#This Row],[Score]]/Tableau6[[#This Row],[Nb]],0)</f>
        <v>0.5714285714285714</v>
      </c>
    </row>
    <row r="1517" spans="1:6" ht="30" customHeight="1" x14ac:dyDescent="0.3">
      <c r="A1517" s="151" t="s">
        <v>5367</v>
      </c>
      <c r="B1517" s="152" t="s">
        <v>5368</v>
      </c>
      <c r="C1517" s="208">
        <v>44553</v>
      </c>
      <c r="D1517" s="154">
        <v>14</v>
      </c>
      <c r="E1517" s="154">
        <v>8</v>
      </c>
      <c r="F1517" s="211">
        <f>IFERROR(Tableau6[[#This Row],[Score]]/Tableau6[[#This Row],[Nb]],0)</f>
        <v>0.5714285714285714</v>
      </c>
    </row>
    <row r="1518" spans="1:6" ht="30" customHeight="1" x14ac:dyDescent="0.3">
      <c r="A1518" s="151" t="s">
        <v>5442</v>
      </c>
      <c r="B1518" s="152" t="s">
        <v>5443</v>
      </c>
      <c r="C1518" s="208">
        <v>44572</v>
      </c>
      <c r="D1518" s="154">
        <v>14</v>
      </c>
      <c r="E1518" s="154">
        <v>8</v>
      </c>
      <c r="F1518" s="211">
        <f>IFERROR(Tableau6[[#This Row],[Score]]/Tableau6[[#This Row],[Nb]],0)</f>
        <v>0.5714285714285714</v>
      </c>
    </row>
    <row r="1519" spans="1:6" ht="30" customHeight="1" x14ac:dyDescent="0.3">
      <c r="A1519" s="151" t="s">
        <v>5996</v>
      </c>
      <c r="B1519" s="152" t="s">
        <v>5997</v>
      </c>
      <c r="C1519" s="208">
        <v>44707</v>
      </c>
      <c r="D1519" s="154">
        <v>14</v>
      </c>
      <c r="E1519" s="154">
        <v>8</v>
      </c>
      <c r="F1519" s="211">
        <f>IFERROR(Tableau6[[#This Row],[Score]]/Tableau6[[#This Row],[Nb]],0)</f>
        <v>0.5714285714285714</v>
      </c>
    </row>
    <row r="1520" spans="1:6" ht="30" customHeight="1" x14ac:dyDescent="0.3">
      <c r="A1520" s="26" t="s">
        <v>1027</v>
      </c>
      <c r="B1520" s="27" t="s">
        <v>1028</v>
      </c>
      <c r="C1520" s="180">
        <v>41621</v>
      </c>
      <c r="D1520" s="28">
        <v>33</v>
      </c>
      <c r="E1520" s="49">
        <v>19</v>
      </c>
      <c r="F1520" s="211">
        <f>IFERROR(Tableau6[[#This Row],[Score]]/Tableau6[[#This Row],[Nb]],0)</f>
        <v>0.5757575757575758</v>
      </c>
    </row>
    <row r="1521" spans="1:6" ht="30" customHeight="1" x14ac:dyDescent="0.3">
      <c r="A1521" s="26" t="s">
        <v>910</v>
      </c>
      <c r="B1521" s="27" t="s">
        <v>869</v>
      </c>
      <c r="C1521" s="180">
        <v>41621</v>
      </c>
      <c r="D1521" s="28">
        <v>26</v>
      </c>
      <c r="E1521" s="49">
        <v>15</v>
      </c>
      <c r="F1521" s="211">
        <f>IFERROR(Tableau6[[#This Row],[Score]]/Tableau6[[#This Row],[Nb]],0)</f>
        <v>0.57692307692307687</v>
      </c>
    </row>
    <row r="1522" spans="1:6" ht="30" customHeight="1" x14ac:dyDescent="0.3">
      <c r="A1522" s="26" t="s">
        <v>3168</v>
      </c>
      <c r="B1522" s="27" t="s">
        <v>3169</v>
      </c>
      <c r="C1522" s="180">
        <v>43237</v>
      </c>
      <c r="D1522" s="28">
        <v>26</v>
      </c>
      <c r="E1522" s="49">
        <v>15</v>
      </c>
      <c r="F1522" s="211">
        <f>IFERROR(Tableau6[[#This Row],[Score]]/Tableau6[[#This Row],[Nb]],0)</f>
        <v>0.57692307692307687</v>
      </c>
    </row>
    <row r="1523" spans="1:6" ht="30" customHeight="1" x14ac:dyDescent="0.3">
      <c r="A1523" s="26" t="s">
        <v>4620</v>
      </c>
      <c r="B1523" s="27" t="s">
        <v>4621</v>
      </c>
      <c r="C1523" s="180">
        <v>43548</v>
      </c>
      <c r="D1523" s="28">
        <v>26</v>
      </c>
      <c r="E1523" s="49">
        <v>15</v>
      </c>
      <c r="F1523" s="211">
        <f>IFERROR(Tableau6[[#This Row],[Score]]/Tableau6[[#This Row],[Nb]],0)</f>
        <v>0.57692307692307687</v>
      </c>
    </row>
    <row r="1524" spans="1:6" ht="30" customHeight="1" x14ac:dyDescent="0.3">
      <c r="A1524" s="26" t="s">
        <v>2489</v>
      </c>
      <c r="B1524" s="27" t="s">
        <v>2490</v>
      </c>
      <c r="C1524" s="180">
        <v>43787</v>
      </c>
      <c r="D1524" s="28">
        <v>26</v>
      </c>
      <c r="E1524" s="49">
        <v>15</v>
      </c>
      <c r="F1524" s="211">
        <f>IFERROR(Tableau6[[#This Row],[Score]]/Tableau6[[#This Row],[Nb]],0)</f>
        <v>0.57692307692307687</v>
      </c>
    </row>
    <row r="1525" spans="1:6" ht="30" customHeight="1" x14ac:dyDescent="0.3">
      <c r="A1525" s="26" t="s">
        <v>2760</v>
      </c>
      <c r="B1525" s="27" t="s">
        <v>2761</v>
      </c>
      <c r="C1525" s="180">
        <v>43900</v>
      </c>
      <c r="D1525" s="28">
        <v>26</v>
      </c>
      <c r="E1525" s="49">
        <v>15</v>
      </c>
      <c r="F1525" s="211">
        <f>IFERROR(Tableau6[[#This Row],[Score]]/Tableau6[[#This Row],[Nb]],0)</f>
        <v>0.57692307692307687</v>
      </c>
    </row>
    <row r="1526" spans="1:6" ht="30" customHeight="1" x14ac:dyDescent="0.3">
      <c r="A1526" s="26" t="s">
        <v>732</v>
      </c>
      <c r="B1526" s="27" t="s">
        <v>4437</v>
      </c>
      <c r="C1526" s="180">
        <v>41621</v>
      </c>
      <c r="D1526" s="28">
        <v>19</v>
      </c>
      <c r="E1526" s="49">
        <v>11</v>
      </c>
      <c r="F1526" s="211">
        <f>IFERROR(Tableau6[[#This Row],[Score]]/Tableau6[[#This Row],[Nb]],0)</f>
        <v>0.57894736842105265</v>
      </c>
    </row>
    <row r="1527" spans="1:6" ht="30" customHeight="1" x14ac:dyDescent="0.3">
      <c r="A1527" s="26" t="s">
        <v>162</v>
      </c>
      <c r="B1527" s="27" t="s">
        <v>163</v>
      </c>
      <c r="C1527" s="180">
        <v>43382</v>
      </c>
      <c r="D1527" s="28">
        <v>19</v>
      </c>
      <c r="E1527" s="49">
        <v>11</v>
      </c>
      <c r="F1527" s="211">
        <f>IFERROR(Tableau6[[#This Row],[Score]]/Tableau6[[#This Row],[Nb]],0)</f>
        <v>0.57894736842105265</v>
      </c>
    </row>
    <row r="1528" spans="1:6" ht="30" customHeight="1" x14ac:dyDescent="0.3">
      <c r="A1528" s="26" t="s">
        <v>186</v>
      </c>
      <c r="B1528" s="27" t="s">
        <v>187</v>
      </c>
      <c r="C1528" s="180">
        <v>43394</v>
      </c>
      <c r="D1528" s="28">
        <v>19</v>
      </c>
      <c r="E1528" s="49">
        <v>11</v>
      </c>
      <c r="F1528" s="211">
        <f>IFERROR(Tableau6[[#This Row],[Score]]/Tableau6[[#This Row],[Nb]],0)</f>
        <v>0.57894736842105265</v>
      </c>
    </row>
    <row r="1529" spans="1:6" ht="30" customHeight="1" x14ac:dyDescent="0.3">
      <c r="A1529" s="26" t="s">
        <v>1498</v>
      </c>
      <c r="B1529" s="27" t="s">
        <v>1499</v>
      </c>
      <c r="C1529" s="180">
        <v>43472</v>
      </c>
      <c r="D1529" s="28">
        <v>19</v>
      </c>
      <c r="E1529" s="49">
        <v>11</v>
      </c>
      <c r="F1529" s="211">
        <f>IFERROR(Tableau6[[#This Row],[Score]]/Tableau6[[#This Row],[Nb]],0)</f>
        <v>0.57894736842105265</v>
      </c>
    </row>
    <row r="1530" spans="1:6" ht="30" customHeight="1" x14ac:dyDescent="0.3">
      <c r="A1530" s="26" t="s">
        <v>4555</v>
      </c>
      <c r="B1530" s="27" t="s">
        <v>4622</v>
      </c>
      <c r="C1530" s="180">
        <v>43682</v>
      </c>
      <c r="D1530" s="28">
        <v>19</v>
      </c>
      <c r="E1530" s="49">
        <v>11</v>
      </c>
      <c r="F1530" s="211">
        <f>IFERROR(Tableau6[[#This Row],[Score]]/Tableau6[[#This Row],[Nb]],0)</f>
        <v>0.57894736842105265</v>
      </c>
    </row>
    <row r="1531" spans="1:6" ht="30" customHeight="1" x14ac:dyDescent="0.3">
      <c r="A1531" s="26" t="s">
        <v>2156</v>
      </c>
      <c r="B1531" s="27" t="s">
        <v>2157</v>
      </c>
      <c r="C1531" s="180">
        <v>43682</v>
      </c>
      <c r="D1531" s="28">
        <v>19</v>
      </c>
      <c r="E1531" s="49">
        <v>11</v>
      </c>
      <c r="F1531" s="211">
        <f>IFERROR(Tableau6[[#This Row],[Score]]/Tableau6[[#This Row],[Nb]],0)</f>
        <v>0.57894736842105265</v>
      </c>
    </row>
    <row r="1532" spans="1:6" ht="30" customHeight="1" x14ac:dyDescent="0.3">
      <c r="A1532" s="26" t="s">
        <v>4220</v>
      </c>
      <c r="B1532" s="27" t="s">
        <v>4221</v>
      </c>
      <c r="C1532" s="180">
        <v>43767</v>
      </c>
      <c r="D1532" s="28">
        <v>19</v>
      </c>
      <c r="E1532" s="49">
        <v>11</v>
      </c>
      <c r="F1532" s="211">
        <f>IFERROR(Tableau6[[#This Row],[Score]]/Tableau6[[#This Row],[Nb]],0)</f>
        <v>0.57894736842105265</v>
      </c>
    </row>
    <row r="1533" spans="1:6" ht="30" customHeight="1" x14ac:dyDescent="0.3">
      <c r="A1533" s="26" t="s">
        <v>2774</v>
      </c>
      <c r="B1533" s="27" t="s">
        <v>2775</v>
      </c>
      <c r="C1533" s="180">
        <v>43900</v>
      </c>
      <c r="D1533" s="28">
        <v>19</v>
      </c>
      <c r="E1533" s="49">
        <v>11</v>
      </c>
      <c r="F1533" s="211">
        <f>IFERROR(Tableau6[[#This Row],[Score]]/Tableau6[[#This Row],[Nb]],0)</f>
        <v>0.57894736842105265</v>
      </c>
    </row>
    <row r="1534" spans="1:6" ht="30" customHeight="1" x14ac:dyDescent="0.3">
      <c r="A1534" s="26" t="s">
        <v>3737</v>
      </c>
      <c r="B1534" s="27" t="s">
        <v>3738</v>
      </c>
      <c r="C1534" s="180">
        <v>44249</v>
      </c>
      <c r="D1534" s="28">
        <v>19</v>
      </c>
      <c r="E1534" s="49">
        <v>11</v>
      </c>
      <c r="F1534" s="211">
        <f>IFERROR(Tableau6[[#This Row],[Score]]/Tableau6[[#This Row],[Nb]],0)</f>
        <v>0.57894736842105265</v>
      </c>
    </row>
    <row r="1535" spans="1:6" ht="30" customHeight="1" x14ac:dyDescent="0.3">
      <c r="A1535" s="26" t="s">
        <v>4017</v>
      </c>
      <c r="B1535" s="27" t="s">
        <v>3842</v>
      </c>
      <c r="C1535" s="180">
        <v>44256</v>
      </c>
      <c r="D1535" s="28">
        <v>19</v>
      </c>
      <c r="E1535" s="49">
        <v>11</v>
      </c>
      <c r="F1535" s="211">
        <f>IFERROR(Tableau6[[#This Row],[Score]]/Tableau6[[#This Row],[Nb]],0)</f>
        <v>0.57894736842105265</v>
      </c>
    </row>
    <row r="1536" spans="1:6" ht="30" customHeight="1" x14ac:dyDescent="0.3">
      <c r="A1536" s="26" t="s">
        <v>4410</v>
      </c>
      <c r="B1536" s="27" t="s">
        <v>4411</v>
      </c>
      <c r="C1536" s="180">
        <v>44299</v>
      </c>
      <c r="D1536" s="28">
        <v>19</v>
      </c>
      <c r="E1536" s="49">
        <v>11</v>
      </c>
      <c r="F1536" s="211">
        <f>IFERROR(Tableau6[[#This Row],[Score]]/Tableau6[[#This Row],[Nb]],0)</f>
        <v>0.57894736842105265</v>
      </c>
    </row>
    <row r="1537" spans="1:6" ht="30" customHeight="1" x14ac:dyDescent="0.3">
      <c r="A1537" s="95" t="s">
        <v>5091</v>
      </c>
      <c r="B1537" s="96" t="s">
        <v>5092</v>
      </c>
      <c r="C1537" s="195">
        <v>44460</v>
      </c>
      <c r="D1537" s="97">
        <v>19</v>
      </c>
      <c r="E1537" s="97">
        <v>11</v>
      </c>
      <c r="F1537" s="211">
        <f>IFERROR(Tableau6[[#This Row],[Score]]/Tableau6[[#This Row],[Nb]],0)</f>
        <v>0.57894736842105265</v>
      </c>
    </row>
    <row r="1538" spans="1:6" ht="30" customHeight="1" x14ac:dyDescent="0.3">
      <c r="A1538" s="26" t="s">
        <v>1137</v>
      </c>
      <c r="B1538" s="27" t="s">
        <v>1138</v>
      </c>
      <c r="C1538" s="180">
        <v>41621</v>
      </c>
      <c r="D1538" s="28">
        <v>31</v>
      </c>
      <c r="E1538" s="49">
        <v>18</v>
      </c>
      <c r="F1538" s="211">
        <f>IFERROR(Tableau6[[#This Row],[Score]]/Tableau6[[#This Row],[Nb]],0)</f>
        <v>0.58064516129032262</v>
      </c>
    </row>
    <row r="1539" spans="1:6" ht="30" customHeight="1" x14ac:dyDescent="0.3">
      <c r="A1539" s="26" t="s">
        <v>3998</v>
      </c>
      <c r="B1539" s="27" t="s">
        <v>3999</v>
      </c>
      <c r="C1539" s="180">
        <v>44262</v>
      </c>
      <c r="D1539" s="28">
        <v>31</v>
      </c>
      <c r="E1539" s="49">
        <v>18</v>
      </c>
      <c r="F1539" s="211">
        <f>IFERROR(Tableau6[[#This Row],[Score]]/Tableau6[[#This Row],[Nb]],0)</f>
        <v>0.58064516129032262</v>
      </c>
    </row>
    <row r="1540" spans="1:6" ht="30" customHeight="1" x14ac:dyDescent="0.3">
      <c r="A1540" s="26" t="s">
        <v>2700</v>
      </c>
      <c r="B1540" s="27" t="s">
        <v>2701</v>
      </c>
      <c r="C1540" s="180">
        <v>41621</v>
      </c>
      <c r="D1540" s="28">
        <v>24</v>
      </c>
      <c r="E1540" s="49">
        <v>14</v>
      </c>
      <c r="F1540" s="211">
        <f>IFERROR(Tableau6[[#This Row],[Score]]/Tableau6[[#This Row],[Nb]],0)</f>
        <v>0.58333333333333337</v>
      </c>
    </row>
    <row r="1541" spans="1:6" ht="30" customHeight="1" x14ac:dyDescent="0.3">
      <c r="A1541" s="26" t="s">
        <v>2811</v>
      </c>
      <c r="B1541" s="27" t="s">
        <v>2812</v>
      </c>
      <c r="C1541" s="180">
        <v>41621</v>
      </c>
      <c r="D1541" s="28">
        <v>24</v>
      </c>
      <c r="E1541" s="49">
        <v>14</v>
      </c>
      <c r="F1541" s="211">
        <f>IFERROR(Tableau6[[#This Row],[Score]]/Tableau6[[#This Row],[Nb]],0)</f>
        <v>0.58333333333333337</v>
      </c>
    </row>
    <row r="1542" spans="1:6" ht="30" customHeight="1" x14ac:dyDescent="0.3">
      <c r="A1542" s="26" t="s">
        <v>1046</v>
      </c>
      <c r="B1542" s="27" t="s">
        <v>4681</v>
      </c>
      <c r="C1542" s="180">
        <v>43237</v>
      </c>
      <c r="D1542" s="28">
        <v>24</v>
      </c>
      <c r="E1542" s="49">
        <v>14</v>
      </c>
      <c r="F1542" s="211">
        <f>IFERROR(Tableau6[[#This Row],[Score]]/Tableau6[[#This Row],[Nb]],0)</f>
        <v>0.58333333333333337</v>
      </c>
    </row>
    <row r="1543" spans="1:6" ht="30" customHeight="1" x14ac:dyDescent="0.3">
      <c r="A1543" s="26" t="s">
        <v>130</v>
      </c>
      <c r="B1543" s="27" t="s">
        <v>2613</v>
      </c>
      <c r="C1543" s="180">
        <v>43372</v>
      </c>
      <c r="D1543" s="28">
        <v>24</v>
      </c>
      <c r="E1543" s="49">
        <v>14</v>
      </c>
      <c r="F1543" s="211">
        <f>IFERROR(Tableau6[[#This Row],[Score]]/Tableau6[[#This Row],[Nb]],0)</f>
        <v>0.58333333333333337</v>
      </c>
    </row>
    <row r="1544" spans="1:6" ht="30" customHeight="1" x14ac:dyDescent="0.3">
      <c r="A1544" s="26" t="s">
        <v>2647</v>
      </c>
      <c r="B1544" s="27" t="s">
        <v>2648</v>
      </c>
      <c r="C1544" s="180">
        <v>43872</v>
      </c>
      <c r="D1544" s="28">
        <v>24</v>
      </c>
      <c r="E1544" s="49">
        <v>14</v>
      </c>
      <c r="F1544" s="211">
        <f>IFERROR(Tableau6[[#This Row],[Score]]/Tableau6[[#This Row],[Nb]],0)</f>
        <v>0.58333333333333337</v>
      </c>
    </row>
    <row r="1545" spans="1:6" ht="30" customHeight="1" x14ac:dyDescent="0.3">
      <c r="A1545" s="26" t="s">
        <v>2704</v>
      </c>
      <c r="B1545" s="27" t="s">
        <v>2705</v>
      </c>
      <c r="C1545" s="180">
        <v>43895</v>
      </c>
      <c r="D1545" s="28">
        <v>24</v>
      </c>
      <c r="E1545" s="49">
        <v>14</v>
      </c>
      <c r="F1545" s="211">
        <f>IFERROR(Tableau6[[#This Row],[Score]]/Tableau6[[#This Row],[Nb]],0)</f>
        <v>0.58333333333333337</v>
      </c>
    </row>
    <row r="1546" spans="1:6" ht="30" customHeight="1" x14ac:dyDescent="0.3">
      <c r="A1546" s="26" t="s">
        <v>2791</v>
      </c>
      <c r="B1546" s="27" t="s">
        <v>2792</v>
      </c>
      <c r="C1546" s="180">
        <v>43934</v>
      </c>
      <c r="D1546" s="28">
        <v>24</v>
      </c>
      <c r="E1546" s="49">
        <v>14</v>
      </c>
      <c r="F1546" s="211">
        <f>IFERROR(Tableau6[[#This Row],[Score]]/Tableau6[[#This Row],[Nb]],0)</f>
        <v>0.58333333333333337</v>
      </c>
    </row>
    <row r="1547" spans="1:6" ht="30" customHeight="1" x14ac:dyDescent="0.3">
      <c r="A1547" s="26" t="s">
        <v>2910</v>
      </c>
      <c r="B1547" s="27" t="s">
        <v>2911</v>
      </c>
      <c r="C1547" s="180">
        <v>43969</v>
      </c>
      <c r="D1547" s="28">
        <v>24</v>
      </c>
      <c r="E1547" s="49">
        <v>14</v>
      </c>
      <c r="F1547" s="211">
        <f>IFERROR(Tableau6[[#This Row],[Score]]/Tableau6[[#This Row],[Nb]],0)</f>
        <v>0.58333333333333337</v>
      </c>
    </row>
    <row r="1548" spans="1:6" ht="30" customHeight="1" x14ac:dyDescent="0.3">
      <c r="A1548" s="26" t="s">
        <v>657</v>
      </c>
      <c r="B1548" s="27" t="s">
        <v>4250</v>
      </c>
      <c r="C1548" s="180">
        <v>41621</v>
      </c>
      <c r="D1548" s="28">
        <v>29</v>
      </c>
      <c r="E1548" s="49">
        <v>17</v>
      </c>
      <c r="F1548" s="211">
        <f>IFERROR(Tableau6[[#This Row],[Score]]/Tableau6[[#This Row],[Nb]],0)</f>
        <v>0.58620689655172409</v>
      </c>
    </row>
    <row r="1549" spans="1:6" ht="30" customHeight="1" x14ac:dyDescent="0.3">
      <c r="A1549" s="26" t="s">
        <v>3867</v>
      </c>
      <c r="B1549" s="27" t="s">
        <v>4614</v>
      </c>
      <c r="C1549" s="180">
        <v>41621</v>
      </c>
      <c r="D1549" s="28">
        <v>29</v>
      </c>
      <c r="E1549" s="49">
        <v>17</v>
      </c>
      <c r="F1549" s="211">
        <f>IFERROR(Tableau6[[#This Row],[Score]]/Tableau6[[#This Row],[Nb]],0)</f>
        <v>0.58620689655172409</v>
      </c>
    </row>
    <row r="1550" spans="1:6" ht="30" customHeight="1" x14ac:dyDescent="0.3">
      <c r="A1550" s="26" t="s">
        <v>4072</v>
      </c>
      <c r="B1550" s="27" t="s">
        <v>4071</v>
      </c>
      <c r="C1550" s="180">
        <v>43341</v>
      </c>
      <c r="D1550" s="28">
        <v>29</v>
      </c>
      <c r="E1550" s="49">
        <v>17</v>
      </c>
      <c r="F1550" s="211">
        <f>IFERROR(Tableau6[[#This Row],[Score]]/Tableau6[[#This Row],[Nb]],0)</f>
        <v>0.58620689655172409</v>
      </c>
    </row>
    <row r="1551" spans="1:6" ht="30" customHeight="1" x14ac:dyDescent="0.3">
      <c r="A1551" s="26" t="s">
        <v>211</v>
      </c>
      <c r="B1551" s="27" t="s">
        <v>4553</v>
      </c>
      <c r="C1551" s="180">
        <v>43401</v>
      </c>
      <c r="D1551" s="28">
        <v>29</v>
      </c>
      <c r="E1551" s="49">
        <v>17</v>
      </c>
      <c r="F1551" s="211">
        <f>IFERROR(Tableau6[[#This Row],[Score]]/Tableau6[[#This Row],[Nb]],0)</f>
        <v>0.58620689655172409</v>
      </c>
    </row>
    <row r="1552" spans="1:6" ht="30" customHeight="1" x14ac:dyDescent="0.3">
      <c r="A1552" s="26" t="s">
        <v>2559</v>
      </c>
      <c r="B1552" s="27" t="s">
        <v>2993</v>
      </c>
      <c r="C1552" s="180">
        <v>43826</v>
      </c>
      <c r="D1552" s="28">
        <v>29</v>
      </c>
      <c r="E1552" s="49">
        <v>17</v>
      </c>
      <c r="F1552" s="211">
        <f>IFERROR(Tableau6[[#This Row],[Score]]/Tableau6[[#This Row],[Nb]],0)</f>
        <v>0.58620689655172409</v>
      </c>
    </row>
    <row r="1553" spans="1:6" ht="30" customHeight="1" x14ac:dyDescent="0.3">
      <c r="A1553" s="26" t="s">
        <v>2974</v>
      </c>
      <c r="B1553" s="27" t="s">
        <v>2975</v>
      </c>
      <c r="C1553" s="180">
        <v>43984</v>
      </c>
      <c r="D1553" s="28">
        <v>29</v>
      </c>
      <c r="E1553" s="49">
        <v>17</v>
      </c>
      <c r="F1553" s="211">
        <f>IFERROR(Tableau6[[#This Row],[Score]]/Tableau6[[#This Row],[Nb]],0)</f>
        <v>0.58620689655172409</v>
      </c>
    </row>
    <row r="1554" spans="1:6" ht="30" customHeight="1" x14ac:dyDescent="0.3">
      <c r="A1554" s="26" t="s">
        <v>505</v>
      </c>
      <c r="B1554" s="27" t="s">
        <v>506</v>
      </c>
      <c r="C1554" s="180">
        <v>40611</v>
      </c>
      <c r="D1554" s="28">
        <v>17</v>
      </c>
      <c r="E1554" s="49">
        <v>10</v>
      </c>
      <c r="F1554" s="211">
        <f>IFERROR(Tableau6[[#This Row],[Score]]/Tableau6[[#This Row],[Nb]],0)</f>
        <v>0.58823529411764708</v>
      </c>
    </row>
    <row r="1555" spans="1:6" ht="30" customHeight="1" x14ac:dyDescent="0.3">
      <c r="A1555" s="26" t="s">
        <v>980</v>
      </c>
      <c r="B1555" s="152" t="s">
        <v>5231</v>
      </c>
      <c r="C1555" s="180">
        <v>41621</v>
      </c>
      <c r="D1555" s="28">
        <v>17</v>
      </c>
      <c r="E1555" s="49">
        <v>10</v>
      </c>
      <c r="F1555" s="211">
        <f>IFERROR(Tableau6[[#This Row],[Score]]/Tableau6[[#This Row],[Nb]],0)</f>
        <v>0.58823529411764708</v>
      </c>
    </row>
    <row r="1556" spans="1:6" ht="30" customHeight="1" x14ac:dyDescent="0.3">
      <c r="A1556" s="26" t="s">
        <v>645</v>
      </c>
      <c r="B1556" s="27" t="s">
        <v>4916</v>
      </c>
      <c r="C1556" s="180">
        <v>43206</v>
      </c>
      <c r="D1556" s="28">
        <v>34</v>
      </c>
      <c r="E1556" s="49">
        <v>20</v>
      </c>
      <c r="F1556" s="211">
        <f>IFERROR(Tableau6[[#This Row],[Score]]/Tableau6[[#This Row],[Nb]],0)</f>
        <v>0.58823529411764708</v>
      </c>
    </row>
    <row r="1557" spans="1:6" ht="30" customHeight="1" x14ac:dyDescent="0.3">
      <c r="A1557" s="26" t="s">
        <v>2984</v>
      </c>
      <c r="B1557" s="27" t="s">
        <v>2985</v>
      </c>
      <c r="C1557" s="180">
        <v>43296</v>
      </c>
      <c r="D1557" s="28">
        <v>17</v>
      </c>
      <c r="E1557" s="49">
        <v>10</v>
      </c>
      <c r="F1557" s="211">
        <f>IFERROR(Tableau6[[#This Row],[Score]]/Tableau6[[#This Row],[Nb]],0)</f>
        <v>0.58823529411764708</v>
      </c>
    </row>
    <row r="1558" spans="1:6" ht="30" customHeight="1" x14ac:dyDescent="0.3">
      <c r="A1558" s="26" t="s">
        <v>1298</v>
      </c>
      <c r="B1558" s="27" t="s">
        <v>1299</v>
      </c>
      <c r="C1558" s="180">
        <v>43438</v>
      </c>
      <c r="D1558" s="28">
        <v>17</v>
      </c>
      <c r="E1558" s="49">
        <v>10</v>
      </c>
      <c r="F1558" s="211">
        <f>IFERROR(Tableau6[[#This Row],[Score]]/Tableau6[[#This Row],[Nb]],0)</f>
        <v>0.58823529411764708</v>
      </c>
    </row>
    <row r="1559" spans="1:6" ht="30" customHeight="1" x14ac:dyDescent="0.3">
      <c r="A1559" s="26" t="s">
        <v>3208</v>
      </c>
      <c r="B1559" s="152" t="s">
        <v>5879</v>
      </c>
      <c r="C1559" s="180">
        <v>43548</v>
      </c>
      <c r="D1559" s="28">
        <v>17</v>
      </c>
      <c r="E1559" s="49">
        <v>10</v>
      </c>
      <c r="F1559" s="211">
        <f>IFERROR(Tableau6[[#This Row],[Score]]/Tableau6[[#This Row],[Nb]],0)</f>
        <v>0.58823529411764708</v>
      </c>
    </row>
    <row r="1560" spans="1:6" ht="30" customHeight="1" x14ac:dyDescent="0.3">
      <c r="A1560" s="26" t="s">
        <v>2718</v>
      </c>
      <c r="B1560" s="27" t="s">
        <v>2719</v>
      </c>
      <c r="C1560" s="180">
        <v>43895</v>
      </c>
      <c r="D1560" s="28">
        <v>17</v>
      </c>
      <c r="E1560" s="49">
        <v>10</v>
      </c>
      <c r="F1560" s="211">
        <f>IFERROR(Tableau6[[#This Row],[Score]]/Tableau6[[#This Row],[Nb]],0)</f>
        <v>0.58823529411764708</v>
      </c>
    </row>
    <row r="1561" spans="1:6" ht="30" customHeight="1" x14ac:dyDescent="0.3">
      <c r="A1561" s="26" t="s">
        <v>2784</v>
      </c>
      <c r="B1561" s="27" t="s">
        <v>2785</v>
      </c>
      <c r="C1561" s="180">
        <v>43900</v>
      </c>
      <c r="D1561" s="28">
        <v>17</v>
      </c>
      <c r="E1561" s="49">
        <v>10</v>
      </c>
      <c r="F1561" s="211">
        <f>IFERROR(Tableau6[[#This Row],[Score]]/Tableau6[[#This Row],[Nb]],0)</f>
        <v>0.58823529411764708</v>
      </c>
    </row>
    <row r="1562" spans="1:6" ht="30" customHeight="1" x14ac:dyDescent="0.3">
      <c r="A1562" s="26" t="s">
        <v>2895</v>
      </c>
      <c r="B1562" s="27" t="s">
        <v>2896</v>
      </c>
      <c r="C1562" s="180">
        <v>43969</v>
      </c>
      <c r="D1562" s="28">
        <v>17</v>
      </c>
      <c r="E1562" s="49">
        <v>10</v>
      </c>
      <c r="F1562" s="211">
        <f>IFERROR(Tableau6[[#This Row],[Score]]/Tableau6[[#This Row],[Nb]],0)</f>
        <v>0.58823529411764708</v>
      </c>
    </row>
    <row r="1563" spans="1:6" ht="30" customHeight="1" x14ac:dyDescent="0.3">
      <c r="A1563" s="26" t="s">
        <v>3228</v>
      </c>
      <c r="B1563" s="27" t="s">
        <v>3229</v>
      </c>
      <c r="C1563" s="180">
        <v>44026</v>
      </c>
      <c r="D1563" s="28">
        <v>17</v>
      </c>
      <c r="E1563" s="49">
        <v>10</v>
      </c>
      <c r="F1563" s="211">
        <f>IFERROR(Tableau6[[#This Row],[Score]]/Tableau6[[#This Row],[Nb]],0)</f>
        <v>0.58823529411764708</v>
      </c>
    </row>
    <row r="1564" spans="1:6" ht="30" customHeight="1" x14ac:dyDescent="0.3">
      <c r="A1564" s="26" t="s">
        <v>3742</v>
      </c>
      <c r="B1564" s="27" t="s">
        <v>3743</v>
      </c>
      <c r="C1564" s="180">
        <v>44249</v>
      </c>
      <c r="D1564" s="28">
        <v>17</v>
      </c>
      <c r="E1564" s="49">
        <v>10</v>
      </c>
      <c r="F1564" s="211">
        <f>IFERROR(Tableau6[[#This Row],[Score]]/Tableau6[[#This Row],[Nb]],0)</f>
        <v>0.58823529411764708</v>
      </c>
    </row>
    <row r="1565" spans="1:6" ht="30" customHeight="1" x14ac:dyDescent="0.3">
      <c r="A1565" s="26" t="s">
        <v>363</v>
      </c>
      <c r="B1565" s="27" t="s">
        <v>364</v>
      </c>
      <c r="C1565" s="180">
        <v>40611</v>
      </c>
      <c r="D1565" s="28">
        <v>22</v>
      </c>
      <c r="E1565" s="49">
        <v>13</v>
      </c>
      <c r="F1565" s="211">
        <f>IFERROR(Tableau6[[#This Row],[Score]]/Tableau6[[#This Row],[Nb]],0)</f>
        <v>0.59090909090909094</v>
      </c>
    </row>
    <row r="1566" spans="1:6" ht="30" customHeight="1" x14ac:dyDescent="0.3">
      <c r="A1566" s="26" t="s">
        <v>1446</v>
      </c>
      <c r="B1566" s="27" t="s">
        <v>1447</v>
      </c>
      <c r="C1566" s="180">
        <v>41621</v>
      </c>
      <c r="D1566" s="28">
        <v>22</v>
      </c>
      <c r="E1566" s="49">
        <v>13</v>
      </c>
      <c r="F1566" s="211">
        <f>IFERROR(Tableau6[[#This Row],[Score]]/Tableau6[[#This Row],[Nb]],0)</f>
        <v>0.59090909090909094</v>
      </c>
    </row>
    <row r="1567" spans="1:6" ht="30" customHeight="1" x14ac:dyDescent="0.3">
      <c r="A1567" s="26" t="s">
        <v>3802</v>
      </c>
      <c r="B1567" s="27" t="s">
        <v>4897</v>
      </c>
      <c r="C1567" s="180">
        <v>41621</v>
      </c>
      <c r="D1567" s="28">
        <v>22</v>
      </c>
      <c r="E1567" s="49">
        <v>13</v>
      </c>
      <c r="F1567" s="211">
        <f>IFERROR(Tableau6[[#This Row],[Score]]/Tableau6[[#This Row],[Nb]],0)</f>
        <v>0.59090909090909094</v>
      </c>
    </row>
    <row r="1568" spans="1:6" ht="30" customHeight="1" x14ac:dyDescent="0.3">
      <c r="A1568" s="26" t="s">
        <v>4695</v>
      </c>
      <c r="B1568" s="27" t="s">
        <v>4696</v>
      </c>
      <c r="C1568" s="180">
        <v>41621</v>
      </c>
      <c r="D1568" s="28">
        <v>22</v>
      </c>
      <c r="E1568" s="49">
        <v>13</v>
      </c>
      <c r="F1568" s="211">
        <f>IFERROR(Tableau6[[#This Row],[Score]]/Tableau6[[#This Row],[Nb]],0)</f>
        <v>0.59090909090909094</v>
      </c>
    </row>
    <row r="1569" spans="1:6" ht="30" customHeight="1" x14ac:dyDescent="0.3">
      <c r="A1569" s="26" t="s">
        <v>1259</v>
      </c>
      <c r="B1569" s="27" t="s">
        <v>3646</v>
      </c>
      <c r="C1569" s="180">
        <v>41621</v>
      </c>
      <c r="D1569" s="28">
        <v>22</v>
      </c>
      <c r="E1569" s="49">
        <v>13</v>
      </c>
      <c r="F1569" s="211">
        <f>IFERROR(Tableau6[[#This Row],[Score]]/Tableau6[[#This Row],[Nb]],0)</f>
        <v>0.59090909090909094</v>
      </c>
    </row>
    <row r="1570" spans="1:6" ht="30" customHeight="1" x14ac:dyDescent="0.3">
      <c r="A1570" s="26" t="s">
        <v>270</v>
      </c>
      <c r="B1570" s="27" t="s">
        <v>271</v>
      </c>
      <c r="C1570" s="180">
        <v>41621</v>
      </c>
      <c r="D1570" s="28">
        <v>22</v>
      </c>
      <c r="E1570" s="49">
        <v>13</v>
      </c>
      <c r="F1570" s="211">
        <f>IFERROR(Tableau6[[#This Row],[Score]]/Tableau6[[#This Row],[Nb]],0)</f>
        <v>0.59090909090909094</v>
      </c>
    </row>
    <row r="1571" spans="1:6" ht="30" customHeight="1" x14ac:dyDescent="0.3">
      <c r="A1571" s="26" t="s">
        <v>1052</v>
      </c>
      <c r="B1571" s="27" t="s">
        <v>776</v>
      </c>
      <c r="C1571" s="180">
        <v>43237</v>
      </c>
      <c r="D1571" s="28">
        <v>22</v>
      </c>
      <c r="E1571" s="49">
        <v>13</v>
      </c>
      <c r="F1571" s="211">
        <f>IFERROR(Tableau6[[#This Row],[Score]]/Tableau6[[#This Row],[Nb]],0)</f>
        <v>0.59090909090909094</v>
      </c>
    </row>
    <row r="1572" spans="1:6" ht="30" customHeight="1" x14ac:dyDescent="0.3">
      <c r="A1572" s="26" t="s">
        <v>38</v>
      </c>
      <c r="B1572" s="27" t="s">
        <v>39</v>
      </c>
      <c r="C1572" s="180">
        <v>43295</v>
      </c>
      <c r="D1572" s="28">
        <v>22</v>
      </c>
      <c r="E1572" s="49">
        <v>13</v>
      </c>
      <c r="F1572" s="211">
        <f>IFERROR(Tableau6[[#This Row],[Score]]/Tableau6[[#This Row],[Nb]],0)</f>
        <v>0.59090909090909094</v>
      </c>
    </row>
    <row r="1573" spans="1:6" ht="30" customHeight="1" x14ac:dyDescent="0.3">
      <c r="A1573" s="151" t="s">
        <v>6224</v>
      </c>
      <c r="B1573" s="27" t="s">
        <v>251</v>
      </c>
      <c r="C1573" s="180">
        <v>43397</v>
      </c>
      <c r="D1573" s="28">
        <v>22</v>
      </c>
      <c r="E1573" s="49">
        <v>13</v>
      </c>
      <c r="F1573" s="211">
        <f>IFERROR(Tableau6[[#This Row],[Score]]/Tableau6[[#This Row],[Nb]],0)</f>
        <v>0.59090909090909094</v>
      </c>
    </row>
    <row r="1574" spans="1:6" ht="30" customHeight="1" x14ac:dyDescent="0.3">
      <c r="A1574" s="26" t="s">
        <v>1187</v>
      </c>
      <c r="B1574" s="27" t="s">
        <v>1188</v>
      </c>
      <c r="C1574" s="180">
        <v>43422</v>
      </c>
      <c r="D1574" s="28">
        <v>22</v>
      </c>
      <c r="E1574" s="49">
        <v>13</v>
      </c>
      <c r="F1574" s="211">
        <f>IFERROR(Tableau6[[#This Row],[Score]]/Tableau6[[#This Row],[Nb]],0)</f>
        <v>0.59090909090909094</v>
      </c>
    </row>
    <row r="1575" spans="1:6" ht="30" customHeight="1" x14ac:dyDescent="0.3">
      <c r="A1575" s="26" t="s">
        <v>2005</v>
      </c>
      <c r="B1575" s="152" t="s">
        <v>5966</v>
      </c>
      <c r="C1575" s="180">
        <v>43605</v>
      </c>
      <c r="D1575" s="28">
        <v>22</v>
      </c>
      <c r="E1575" s="49">
        <v>13</v>
      </c>
      <c r="F1575" s="211">
        <f>IFERROR(Tableau6[[#This Row],[Score]]/Tableau6[[#This Row],[Nb]],0)</f>
        <v>0.59090909090909094</v>
      </c>
    </row>
    <row r="1576" spans="1:6" ht="30" customHeight="1" x14ac:dyDescent="0.3">
      <c r="A1576" s="26" t="s">
        <v>2383</v>
      </c>
      <c r="B1576" s="27" t="s">
        <v>2384</v>
      </c>
      <c r="C1576" s="180">
        <v>43775</v>
      </c>
      <c r="D1576" s="28">
        <v>22</v>
      </c>
      <c r="E1576" s="49">
        <v>13</v>
      </c>
      <c r="F1576" s="211">
        <f>IFERROR(Tableau6[[#This Row],[Score]]/Tableau6[[#This Row],[Nb]],0)</f>
        <v>0.59090909090909094</v>
      </c>
    </row>
    <row r="1577" spans="1:6" ht="30" customHeight="1" x14ac:dyDescent="0.3">
      <c r="A1577" s="26" t="s">
        <v>2485</v>
      </c>
      <c r="B1577" s="27" t="s">
        <v>2486</v>
      </c>
      <c r="C1577" s="180">
        <v>43787</v>
      </c>
      <c r="D1577" s="28">
        <v>22</v>
      </c>
      <c r="E1577" s="49">
        <v>13</v>
      </c>
      <c r="F1577" s="211">
        <f>IFERROR(Tableau6[[#This Row],[Score]]/Tableau6[[#This Row],[Nb]],0)</f>
        <v>0.59090909090909094</v>
      </c>
    </row>
    <row r="1578" spans="1:6" ht="30" customHeight="1" x14ac:dyDescent="0.3">
      <c r="A1578" s="26" t="s">
        <v>2805</v>
      </c>
      <c r="B1578" s="27" t="s">
        <v>2806</v>
      </c>
      <c r="C1578" s="180">
        <v>43941</v>
      </c>
      <c r="D1578" s="28">
        <v>22</v>
      </c>
      <c r="E1578" s="49">
        <v>13</v>
      </c>
      <c r="F1578" s="211">
        <f>IFERROR(Tableau6[[#This Row],[Score]]/Tableau6[[#This Row],[Nb]],0)</f>
        <v>0.59090909090909094</v>
      </c>
    </row>
    <row r="1579" spans="1:6" ht="30" customHeight="1" x14ac:dyDescent="0.3">
      <c r="A1579" s="26" t="s">
        <v>373</v>
      </c>
      <c r="B1579" s="27" t="s">
        <v>374</v>
      </c>
      <c r="C1579" s="180">
        <v>44026</v>
      </c>
      <c r="D1579" s="28">
        <v>22</v>
      </c>
      <c r="E1579" s="49">
        <v>13</v>
      </c>
      <c r="F1579" s="211">
        <f>IFERROR(Tableau6[[#This Row],[Score]]/Tableau6[[#This Row],[Nb]],0)</f>
        <v>0.59090909090909094</v>
      </c>
    </row>
    <row r="1580" spans="1:6" ht="30" customHeight="1" x14ac:dyDescent="0.3">
      <c r="A1580" s="26" t="s">
        <v>3293</v>
      </c>
      <c r="B1580" s="27" t="s">
        <v>3294</v>
      </c>
      <c r="C1580" s="180">
        <v>44033</v>
      </c>
      <c r="D1580" s="28">
        <v>22</v>
      </c>
      <c r="E1580" s="49">
        <v>13</v>
      </c>
      <c r="F1580" s="211">
        <f>IFERROR(Tableau6[[#This Row],[Score]]/Tableau6[[#This Row],[Nb]],0)</f>
        <v>0.59090909090909094</v>
      </c>
    </row>
    <row r="1581" spans="1:6" ht="30" customHeight="1" x14ac:dyDescent="0.3">
      <c r="A1581" s="26" t="s">
        <v>3289</v>
      </c>
      <c r="B1581" s="27" t="s">
        <v>820</v>
      </c>
      <c r="C1581" s="180">
        <v>44033</v>
      </c>
      <c r="D1581" s="28">
        <v>22</v>
      </c>
      <c r="E1581" s="49">
        <v>13</v>
      </c>
      <c r="F1581" s="211">
        <f>IFERROR(Tableau6[[#This Row],[Score]]/Tableau6[[#This Row],[Nb]],0)</f>
        <v>0.59090909090909094</v>
      </c>
    </row>
    <row r="1582" spans="1:6" ht="30" customHeight="1" x14ac:dyDescent="0.3">
      <c r="A1582" s="26" t="s">
        <v>304</v>
      </c>
      <c r="B1582" s="27" t="s">
        <v>305</v>
      </c>
      <c r="C1582" s="180">
        <v>40611</v>
      </c>
      <c r="D1582" s="28">
        <v>27</v>
      </c>
      <c r="E1582" s="49">
        <v>16</v>
      </c>
      <c r="F1582" s="211">
        <f>IFERROR(Tableau6[[#This Row],[Score]]/Tableau6[[#This Row],[Nb]],0)</f>
        <v>0.59259259259259256</v>
      </c>
    </row>
    <row r="1583" spans="1:6" ht="30" customHeight="1" x14ac:dyDescent="0.3">
      <c r="A1583" s="26" t="s">
        <v>3847</v>
      </c>
      <c r="B1583" s="27" t="s">
        <v>3848</v>
      </c>
      <c r="C1583" s="180">
        <v>40611</v>
      </c>
      <c r="D1583" s="28">
        <v>27</v>
      </c>
      <c r="E1583" s="49">
        <v>16</v>
      </c>
      <c r="F1583" s="211">
        <f>IFERROR(Tableau6[[#This Row],[Score]]/Tableau6[[#This Row],[Nb]],0)</f>
        <v>0.59259259259259256</v>
      </c>
    </row>
    <row r="1584" spans="1:6" ht="30" customHeight="1" x14ac:dyDescent="0.3">
      <c r="A1584" s="26" t="s">
        <v>20</v>
      </c>
      <c r="B1584" s="27" t="s">
        <v>21</v>
      </c>
      <c r="C1584" s="180">
        <v>43247</v>
      </c>
      <c r="D1584" s="28">
        <v>27</v>
      </c>
      <c r="E1584" s="49">
        <v>16</v>
      </c>
      <c r="F1584" s="211">
        <f>IFERROR(Tableau6[[#This Row],[Score]]/Tableau6[[#This Row],[Nb]],0)</f>
        <v>0.59259259259259256</v>
      </c>
    </row>
    <row r="1585" spans="1:6" ht="30" customHeight="1" x14ac:dyDescent="0.3">
      <c r="A1585" s="26" t="s">
        <v>3864</v>
      </c>
      <c r="B1585" s="27" t="s">
        <v>1278</v>
      </c>
      <c r="C1585" s="180">
        <v>43424</v>
      </c>
      <c r="D1585" s="28">
        <v>27</v>
      </c>
      <c r="E1585" s="49">
        <v>16</v>
      </c>
      <c r="F1585" s="211">
        <f>IFERROR(Tableau6[[#This Row],[Score]]/Tableau6[[#This Row],[Nb]],0)</f>
        <v>0.59259259259259256</v>
      </c>
    </row>
    <row r="1586" spans="1:6" ht="30" customHeight="1" x14ac:dyDescent="0.3">
      <c r="A1586" s="26" t="s">
        <v>1337</v>
      </c>
      <c r="B1586" s="27" t="s">
        <v>1338</v>
      </c>
      <c r="C1586" s="180">
        <v>43444</v>
      </c>
      <c r="D1586" s="28">
        <v>27</v>
      </c>
      <c r="E1586" s="49">
        <v>16</v>
      </c>
      <c r="F1586" s="211">
        <f>IFERROR(Tableau6[[#This Row],[Score]]/Tableau6[[#This Row],[Nb]],0)</f>
        <v>0.59259259259259256</v>
      </c>
    </row>
    <row r="1587" spans="1:6" ht="30" customHeight="1" x14ac:dyDescent="0.3">
      <c r="A1587" s="26" t="s">
        <v>4341</v>
      </c>
      <c r="B1587" s="27" t="s">
        <v>3354</v>
      </c>
      <c r="C1587" s="180">
        <v>43493</v>
      </c>
      <c r="D1587" s="28">
        <v>27</v>
      </c>
      <c r="E1587" s="49">
        <v>16</v>
      </c>
      <c r="F1587" s="211">
        <f>IFERROR(Tableau6[[#This Row],[Score]]/Tableau6[[#This Row],[Nb]],0)</f>
        <v>0.59259259259259256</v>
      </c>
    </row>
    <row r="1588" spans="1:6" ht="30" customHeight="1" x14ac:dyDescent="0.3">
      <c r="A1588" s="26" t="s">
        <v>2029</v>
      </c>
      <c r="B1588" s="27" t="s">
        <v>2030</v>
      </c>
      <c r="C1588" s="180">
        <v>43605</v>
      </c>
      <c r="D1588" s="28">
        <v>27</v>
      </c>
      <c r="E1588" s="49">
        <v>16</v>
      </c>
      <c r="F1588" s="211">
        <f>IFERROR(Tableau6[[#This Row],[Score]]/Tableau6[[#This Row],[Nb]],0)</f>
        <v>0.59259259259259256</v>
      </c>
    </row>
    <row r="1589" spans="1:6" ht="30" customHeight="1" x14ac:dyDescent="0.3">
      <c r="A1589" s="26" t="s">
        <v>2477</v>
      </c>
      <c r="B1589" s="27" t="s">
        <v>2478</v>
      </c>
      <c r="C1589" s="180">
        <v>43787</v>
      </c>
      <c r="D1589" s="28">
        <v>27</v>
      </c>
      <c r="E1589" s="49">
        <v>16</v>
      </c>
      <c r="F1589" s="211">
        <f>IFERROR(Tableau6[[#This Row],[Score]]/Tableau6[[#This Row],[Nb]],0)</f>
        <v>0.59259259259259256</v>
      </c>
    </row>
    <row r="1590" spans="1:6" ht="30" customHeight="1" x14ac:dyDescent="0.3">
      <c r="A1590" s="26" t="s">
        <v>3054</v>
      </c>
      <c r="B1590" s="27" t="s">
        <v>3055</v>
      </c>
      <c r="C1590" s="180">
        <v>44004</v>
      </c>
      <c r="D1590" s="28">
        <v>27</v>
      </c>
      <c r="E1590" s="49">
        <v>16</v>
      </c>
      <c r="F1590" s="211">
        <f>IFERROR(Tableau6[[#This Row],[Score]]/Tableau6[[#This Row],[Nb]],0)</f>
        <v>0.59259259259259256</v>
      </c>
    </row>
    <row r="1591" spans="1:6" ht="30" customHeight="1" x14ac:dyDescent="0.3">
      <c r="A1591" s="26" t="s">
        <v>496</v>
      </c>
      <c r="B1591" s="27" t="s">
        <v>497</v>
      </c>
      <c r="C1591" s="180">
        <v>40611</v>
      </c>
      <c r="D1591" s="28">
        <v>32</v>
      </c>
      <c r="E1591" s="49">
        <v>19</v>
      </c>
      <c r="F1591" s="211">
        <f>IFERROR(Tableau6[[#This Row],[Score]]/Tableau6[[#This Row],[Nb]],0)</f>
        <v>0.59375</v>
      </c>
    </row>
    <row r="1592" spans="1:6" ht="30" customHeight="1" x14ac:dyDescent="0.3">
      <c r="A1592" s="26" t="s">
        <v>3159</v>
      </c>
      <c r="B1592" s="27" t="s">
        <v>3160</v>
      </c>
      <c r="C1592" s="180">
        <v>41621</v>
      </c>
      <c r="D1592" s="28">
        <v>32</v>
      </c>
      <c r="E1592" s="49">
        <v>19</v>
      </c>
      <c r="F1592" s="211">
        <f>IFERROR(Tableau6[[#This Row],[Score]]/Tableau6[[#This Row],[Nb]],0)</f>
        <v>0.59375</v>
      </c>
    </row>
    <row r="1593" spans="1:6" ht="30" customHeight="1" x14ac:dyDescent="0.3">
      <c r="A1593" s="26" t="s">
        <v>3526</v>
      </c>
      <c r="B1593" s="27" t="s">
        <v>94</v>
      </c>
      <c r="C1593" s="180">
        <v>43341</v>
      </c>
      <c r="D1593" s="28">
        <v>32</v>
      </c>
      <c r="E1593" s="49">
        <v>19</v>
      </c>
      <c r="F1593" s="211">
        <f>IFERROR(Tableau6[[#This Row],[Score]]/Tableau6[[#This Row],[Nb]],0)</f>
        <v>0.59375</v>
      </c>
    </row>
    <row r="1594" spans="1:6" ht="30" customHeight="1" x14ac:dyDescent="0.3">
      <c r="A1594" s="26" t="s">
        <v>672</v>
      </c>
      <c r="B1594" s="27" t="s">
        <v>1322</v>
      </c>
      <c r="C1594" s="180">
        <v>43438</v>
      </c>
      <c r="D1594" s="28">
        <v>32</v>
      </c>
      <c r="E1594" s="49">
        <v>19</v>
      </c>
      <c r="F1594" s="211">
        <f>IFERROR(Tableau6[[#This Row],[Score]]/Tableau6[[#This Row],[Nb]],0)</f>
        <v>0.59375</v>
      </c>
    </row>
    <row r="1595" spans="1:6" ht="30" customHeight="1" x14ac:dyDescent="0.3">
      <c r="A1595" s="26" t="s">
        <v>299</v>
      </c>
      <c r="B1595" s="27" t="s">
        <v>2255</v>
      </c>
      <c r="C1595" s="180">
        <v>40611</v>
      </c>
      <c r="D1595" s="28">
        <v>25</v>
      </c>
      <c r="E1595" s="49">
        <v>15</v>
      </c>
      <c r="F1595" s="211">
        <f>IFERROR(Tableau6[[#This Row],[Score]]/Tableau6[[#This Row],[Nb]],0)</f>
        <v>0.6</v>
      </c>
    </row>
    <row r="1596" spans="1:6" ht="30" customHeight="1" x14ac:dyDescent="0.3">
      <c r="A1596" s="26" t="s">
        <v>425</v>
      </c>
      <c r="B1596" s="27" t="s">
        <v>426</v>
      </c>
      <c r="C1596" s="180">
        <v>40611</v>
      </c>
      <c r="D1596" s="28">
        <v>15</v>
      </c>
      <c r="E1596" s="49">
        <v>9</v>
      </c>
      <c r="F1596" s="211">
        <f>IFERROR(Tableau6[[#This Row],[Score]]/Tableau6[[#This Row],[Nb]],0)</f>
        <v>0.6</v>
      </c>
    </row>
    <row r="1597" spans="1:6" ht="30" customHeight="1" x14ac:dyDescent="0.3">
      <c r="A1597" s="26" t="s">
        <v>389</v>
      </c>
      <c r="B1597" s="27" t="s">
        <v>390</v>
      </c>
      <c r="C1597" s="180">
        <v>40611</v>
      </c>
      <c r="D1597" s="28">
        <v>15</v>
      </c>
      <c r="E1597" s="49">
        <v>9</v>
      </c>
      <c r="F1597" s="211">
        <f>IFERROR(Tableau6[[#This Row],[Score]]/Tableau6[[#This Row],[Nb]],0)</f>
        <v>0.6</v>
      </c>
    </row>
    <row r="1598" spans="1:6" ht="30" customHeight="1" x14ac:dyDescent="0.3">
      <c r="A1598" s="26" t="s">
        <v>461</v>
      </c>
      <c r="B1598" s="27" t="s">
        <v>462</v>
      </c>
      <c r="C1598" s="180">
        <v>40611</v>
      </c>
      <c r="D1598" s="28">
        <v>15</v>
      </c>
      <c r="E1598" s="49">
        <v>9</v>
      </c>
      <c r="F1598" s="211">
        <f>IFERROR(Tableau6[[#This Row],[Score]]/Tableau6[[#This Row],[Nb]],0)</f>
        <v>0.6</v>
      </c>
    </row>
    <row r="1599" spans="1:6" ht="30" customHeight="1" x14ac:dyDescent="0.3">
      <c r="A1599" s="26" t="s">
        <v>3719</v>
      </c>
      <c r="B1599" s="27" t="s">
        <v>612</v>
      </c>
      <c r="C1599" s="180">
        <v>40611</v>
      </c>
      <c r="D1599" s="28">
        <v>10</v>
      </c>
      <c r="E1599" s="49">
        <v>6</v>
      </c>
      <c r="F1599" s="211">
        <f>IFERROR(Tableau6[[#This Row],[Score]]/Tableau6[[#This Row],[Nb]],0)</f>
        <v>0.6</v>
      </c>
    </row>
    <row r="1600" spans="1:6" ht="30" customHeight="1" x14ac:dyDescent="0.3">
      <c r="A1600" s="26" t="s">
        <v>1537</v>
      </c>
      <c r="B1600" s="27" t="s">
        <v>4122</v>
      </c>
      <c r="C1600" s="180">
        <v>41621</v>
      </c>
      <c r="D1600" s="28">
        <v>20</v>
      </c>
      <c r="E1600" s="49">
        <v>12</v>
      </c>
      <c r="F1600" s="211">
        <f>IFERROR(Tableau6[[#This Row],[Score]]/Tableau6[[#This Row],[Nb]],0)</f>
        <v>0.6</v>
      </c>
    </row>
    <row r="1601" spans="1:6" ht="30" customHeight="1" x14ac:dyDescent="0.3">
      <c r="A1601" s="26" t="s">
        <v>989</v>
      </c>
      <c r="B1601" s="27" t="s">
        <v>853</v>
      </c>
      <c r="C1601" s="180">
        <v>41621</v>
      </c>
      <c r="D1601" s="28">
        <v>20</v>
      </c>
      <c r="E1601" s="49">
        <v>12</v>
      </c>
      <c r="F1601" s="211">
        <f>IFERROR(Tableau6[[#This Row],[Score]]/Tableau6[[#This Row],[Nb]],0)</f>
        <v>0.6</v>
      </c>
    </row>
    <row r="1602" spans="1:6" ht="30" customHeight="1" x14ac:dyDescent="0.3">
      <c r="A1602" s="26" t="s">
        <v>946</v>
      </c>
      <c r="B1602" s="27" t="s">
        <v>878</v>
      </c>
      <c r="C1602" s="180">
        <v>41621</v>
      </c>
      <c r="D1602" s="28">
        <v>25</v>
      </c>
      <c r="E1602" s="49">
        <v>15</v>
      </c>
      <c r="F1602" s="211">
        <f>IFERROR(Tableau6[[#This Row],[Score]]/Tableau6[[#This Row],[Nb]],0)</f>
        <v>0.6</v>
      </c>
    </row>
    <row r="1603" spans="1:6" ht="30" customHeight="1" x14ac:dyDescent="0.3">
      <c r="A1603" s="26" t="s">
        <v>787</v>
      </c>
      <c r="B1603" s="27" t="s">
        <v>865</v>
      </c>
      <c r="C1603" s="180">
        <v>41621</v>
      </c>
      <c r="D1603" s="28">
        <v>15</v>
      </c>
      <c r="E1603" s="49">
        <v>9</v>
      </c>
      <c r="F1603" s="211">
        <f>IFERROR(Tableau6[[#This Row],[Score]]/Tableau6[[#This Row],[Nb]],0)</f>
        <v>0.6</v>
      </c>
    </row>
    <row r="1604" spans="1:6" ht="30" customHeight="1" x14ac:dyDescent="0.3">
      <c r="A1604" s="26" t="s">
        <v>982</v>
      </c>
      <c r="B1604" s="152" t="s">
        <v>5847</v>
      </c>
      <c r="C1604" s="180">
        <v>41621</v>
      </c>
      <c r="D1604" s="28">
        <v>20</v>
      </c>
      <c r="E1604" s="49">
        <v>12</v>
      </c>
      <c r="F1604" s="211">
        <f>IFERROR(Tableau6[[#This Row],[Score]]/Tableau6[[#This Row],[Nb]],0)</f>
        <v>0.6</v>
      </c>
    </row>
    <row r="1605" spans="1:6" ht="30" customHeight="1" x14ac:dyDescent="0.3">
      <c r="A1605" s="26" t="s">
        <v>411</v>
      </c>
      <c r="B1605" s="27" t="s">
        <v>3144</v>
      </c>
      <c r="C1605" s="180">
        <v>41621</v>
      </c>
      <c r="D1605" s="28">
        <v>20</v>
      </c>
      <c r="E1605" s="49">
        <v>12</v>
      </c>
      <c r="F1605" s="211">
        <f>IFERROR(Tableau6[[#This Row],[Score]]/Tableau6[[#This Row],[Nb]],0)</f>
        <v>0.6</v>
      </c>
    </row>
    <row r="1606" spans="1:6" ht="30" customHeight="1" x14ac:dyDescent="0.3">
      <c r="A1606" s="26" t="s">
        <v>2210</v>
      </c>
      <c r="B1606" s="27" t="s">
        <v>2211</v>
      </c>
      <c r="C1606" s="180">
        <v>43205</v>
      </c>
      <c r="D1606" s="28">
        <v>30</v>
      </c>
      <c r="E1606" s="49">
        <v>18</v>
      </c>
      <c r="F1606" s="211">
        <f>IFERROR(Tableau6[[#This Row],[Score]]/Tableau6[[#This Row],[Nb]],0)</f>
        <v>0.6</v>
      </c>
    </row>
    <row r="1607" spans="1:6" ht="30" customHeight="1" x14ac:dyDescent="0.3">
      <c r="A1607" s="26" t="s">
        <v>1034</v>
      </c>
      <c r="B1607" s="27" t="s">
        <v>1433</v>
      </c>
      <c r="C1607" s="180">
        <v>43205</v>
      </c>
      <c r="D1607" s="28">
        <v>20</v>
      </c>
      <c r="E1607" s="49">
        <v>12</v>
      </c>
      <c r="F1607" s="211">
        <f>IFERROR(Tableau6[[#This Row],[Score]]/Tableau6[[#This Row],[Nb]],0)</f>
        <v>0.6</v>
      </c>
    </row>
    <row r="1608" spans="1:6" ht="30" customHeight="1" x14ac:dyDescent="0.3">
      <c r="A1608" s="26" t="s">
        <v>660</v>
      </c>
      <c r="B1608" s="27" t="s">
        <v>1071</v>
      </c>
      <c r="C1608" s="180">
        <v>43237</v>
      </c>
      <c r="D1608" s="28">
        <v>25</v>
      </c>
      <c r="E1608" s="49">
        <v>15</v>
      </c>
      <c r="F1608" s="211">
        <f>IFERROR(Tableau6[[#This Row],[Score]]/Tableau6[[#This Row],[Nb]],0)</f>
        <v>0.6</v>
      </c>
    </row>
    <row r="1609" spans="1:6" ht="30" customHeight="1" x14ac:dyDescent="0.3">
      <c r="A1609" s="26" t="s">
        <v>686</v>
      </c>
      <c r="B1609" s="27" t="s">
        <v>844</v>
      </c>
      <c r="C1609" s="180">
        <v>43329</v>
      </c>
      <c r="D1609" s="28">
        <v>15</v>
      </c>
      <c r="E1609" s="49">
        <v>9</v>
      </c>
      <c r="F1609" s="211">
        <f>IFERROR(Tableau6[[#This Row],[Score]]/Tableau6[[#This Row],[Nb]],0)</f>
        <v>0.6</v>
      </c>
    </row>
    <row r="1610" spans="1:6" ht="30" customHeight="1" x14ac:dyDescent="0.3">
      <c r="A1610" s="26" t="s">
        <v>1200</v>
      </c>
      <c r="B1610" s="27" t="s">
        <v>4229</v>
      </c>
      <c r="C1610" s="180">
        <v>43422</v>
      </c>
      <c r="D1610" s="28">
        <v>20</v>
      </c>
      <c r="E1610" s="49">
        <v>12</v>
      </c>
      <c r="F1610" s="211">
        <f>IFERROR(Tableau6[[#This Row],[Score]]/Tableau6[[#This Row],[Nb]],0)</f>
        <v>0.6</v>
      </c>
    </row>
    <row r="1611" spans="1:6" ht="30" customHeight="1" x14ac:dyDescent="0.3">
      <c r="A1611" s="26" t="s">
        <v>2179</v>
      </c>
      <c r="B1611" s="27" t="s">
        <v>2180</v>
      </c>
      <c r="C1611" s="180">
        <v>43689</v>
      </c>
      <c r="D1611" s="28">
        <v>20</v>
      </c>
      <c r="E1611" s="49">
        <v>12</v>
      </c>
      <c r="F1611" s="211">
        <f>IFERROR(Tableau6[[#This Row],[Score]]/Tableau6[[#This Row],[Nb]],0)</f>
        <v>0.6</v>
      </c>
    </row>
    <row r="1612" spans="1:6" ht="30" customHeight="1" x14ac:dyDescent="0.3">
      <c r="A1612" s="26" t="s">
        <v>2226</v>
      </c>
      <c r="B1612" s="27" t="s">
        <v>2706</v>
      </c>
      <c r="C1612" s="180">
        <v>43752</v>
      </c>
      <c r="D1612" s="28">
        <v>35</v>
      </c>
      <c r="E1612" s="49">
        <v>21</v>
      </c>
      <c r="F1612" s="211">
        <f>IFERROR(Tableau6[[#This Row],[Score]]/Tableau6[[#This Row],[Nb]],0)</f>
        <v>0.6</v>
      </c>
    </row>
    <row r="1613" spans="1:6" ht="30" customHeight="1" x14ac:dyDescent="0.3">
      <c r="A1613" s="26" t="s">
        <v>1157</v>
      </c>
      <c r="B1613" s="27" t="s">
        <v>2301</v>
      </c>
      <c r="C1613" s="180">
        <v>43767</v>
      </c>
      <c r="D1613" s="28">
        <v>25</v>
      </c>
      <c r="E1613" s="49">
        <v>15</v>
      </c>
      <c r="F1613" s="211">
        <f>IFERROR(Tableau6[[#This Row],[Score]]/Tableau6[[#This Row],[Nb]],0)</f>
        <v>0.6</v>
      </c>
    </row>
    <row r="1614" spans="1:6" ht="30" customHeight="1" x14ac:dyDescent="0.3">
      <c r="A1614" s="26" t="s">
        <v>2327</v>
      </c>
      <c r="B1614" s="27" t="s">
        <v>4019</v>
      </c>
      <c r="C1614" s="180">
        <v>43771</v>
      </c>
      <c r="D1614" s="28">
        <v>25</v>
      </c>
      <c r="E1614" s="49">
        <v>15</v>
      </c>
      <c r="F1614" s="211">
        <f>IFERROR(Tableau6[[#This Row],[Score]]/Tableau6[[#This Row],[Nb]],0)</f>
        <v>0.6</v>
      </c>
    </row>
    <row r="1615" spans="1:6" ht="30" customHeight="1" x14ac:dyDescent="0.3">
      <c r="A1615" s="26" t="s">
        <v>2387</v>
      </c>
      <c r="B1615" s="27" t="s">
        <v>2388</v>
      </c>
      <c r="C1615" s="180">
        <v>43775</v>
      </c>
      <c r="D1615" s="28">
        <v>15</v>
      </c>
      <c r="E1615" s="49">
        <v>9</v>
      </c>
      <c r="F1615" s="211">
        <f>IFERROR(Tableau6[[#This Row],[Score]]/Tableau6[[#This Row],[Nb]],0)</f>
        <v>0.6</v>
      </c>
    </row>
    <row r="1616" spans="1:6" ht="30" customHeight="1" x14ac:dyDescent="0.3">
      <c r="A1616" s="26" t="s">
        <v>2497</v>
      </c>
      <c r="B1616" s="27" t="s">
        <v>2498</v>
      </c>
      <c r="C1616" s="180">
        <v>43802</v>
      </c>
      <c r="D1616" s="28">
        <v>20</v>
      </c>
      <c r="E1616" s="49">
        <v>12</v>
      </c>
      <c r="F1616" s="211">
        <f>IFERROR(Tableau6[[#This Row],[Score]]/Tableau6[[#This Row],[Nb]],0)</f>
        <v>0.6</v>
      </c>
    </row>
    <row r="1617" spans="1:6" ht="30" customHeight="1" x14ac:dyDescent="0.3">
      <c r="A1617" s="26" t="s">
        <v>1396</v>
      </c>
      <c r="B1617" s="27" t="s">
        <v>1397</v>
      </c>
      <c r="C1617" s="180">
        <v>43848</v>
      </c>
      <c r="D1617" s="28">
        <v>15</v>
      </c>
      <c r="E1617" s="49">
        <v>9</v>
      </c>
      <c r="F1617" s="211">
        <f>IFERROR(Tableau6[[#This Row],[Score]]/Tableau6[[#This Row],[Nb]],0)</f>
        <v>0.6</v>
      </c>
    </row>
    <row r="1618" spans="1:6" ht="30" customHeight="1" x14ac:dyDescent="0.3">
      <c r="A1618" s="26" t="s">
        <v>2605</v>
      </c>
      <c r="B1618" s="27" t="s">
        <v>2606</v>
      </c>
      <c r="C1618" s="180">
        <v>43857</v>
      </c>
      <c r="D1618" s="28">
        <v>15</v>
      </c>
      <c r="E1618" s="49">
        <v>9</v>
      </c>
      <c r="F1618" s="211">
        <f>IFERROR(Tableau6[[#This Row],[Score]]/Tableau6[[#This Row],[Nb]],0)</f>
        <v>0.6</v>
      </c>
    </row>
    <row r="1619" spans="1:6" ht="30" customHeight="1" x14ac:dyDescent="0.3">
      <c r="A1619" s="26" t="s">
        <v>2631</v>
      </c>
      <c r="B1619" s="27" t="s">
        <v>2632</v>
      </c>
      <c r="C1619" s="180">
        <v>43858</v>
      </c>
      <c r="D1619" s="28">
        <v>15</v>
      </c>
      <c r="E1619" s="49">
        <v>9</v>
      </c>
      <c r="F1619" s="211">
        <f>IFERROR(Tableau6[[#This Row],[Score]]/Tableau6[[#This Row],[Nb]],0)</f>
        <v>0.6</v>
      </c>
    </row>
    <row r="1620" spans="1:6" ht="30" customHeight="1" x14ac:dyDescent="0.3">
      <c r="A1620" s="26" t="s">
        <v>1337</v>
      </c>
      <c r="B1620" s="27" t="s">
        <v>1338</v>
      </c>
      <c r="C1620" s="180">
        <v>43895</v>
      </c>
      <c r="D1620" s="28">
        <v>20</v>
      </c>
      <c r="E1620" s="49">
        <v>12</v>
      </c>
      <c r="F1620" s="211">
        <f>IFERROR(Tableau6[[#This Row],[Score]]/Tableau6[[#This Row],[Nb]],0)</f>
        <v>0.6</v>
      </c>
    </row>
    <row r="1621" spans="1:6" ht="30" customHeight="1" x14ac:dyDescent="0.3">
      <c r="A1621" s="26" t="s">
        <v>3797</v>
      </c>
      <c r="B1621" s="27" t="s">
        <v>2807</v>
      </c>
      <c r="C1621" s="180">
        <v>43941</v>
      </c>
      <c r="D1621" s="28">
        <v>25</v>
      </c>
      <c r="E1621" s="49">
        <v>15</v>
      </c>
      <c r="F1621" s="211">
        <f>IFERROR(Tableau6[[#This Row],[Score]]/Tableau6[[#This Row],[Nb]],0)</f>
        <v>0.6</v>
      </c>
    </row>
    <row r="1622" spans="1:6" ht="30" customHeight="1" x14ac:dyDescent="0.3">
      <c r="A1622" s="26" t="s">
        <v>2967</v>
      </c>
      <c r="B1622" s="27" t="s">
        <v>2968</v>
      </c>
      <c r="C1622" s="180">
        <v>43984</v>
      </c>
      <c r="D1622" s="28">
        <v>25</v>
      </c>
      <c r="E1622" s="49">
        <v>15</v>
      </c>
      <c r="F1622" s="211">
        <f>IFERROR(Tableau6[[#This Row],[Score]]/Tableau6[[#This Row],[Nb]],0)</f>
        <v>0.6</v>
      </c>
    </row>
    <row r="1623" spans="1:6" ht="30" customHeight="1" x14ac:dyDescent="0.3">
      <c r="A1623" s="26" t="s">
        <v>4580</v>
      </c>
      <c r="B1623" s="27" t="s">
        <v>3232</v>
      </c>
      <c r="C1623" s="180">
        <v>44026</v>
      </c>
      <c r="D1623" s="28">
        <v>15</v>
      </c>
      <c r="E1623" s="49">
        <v>9</v>
      </c>
      <c r="F1623" s="211">
        <f>IFERROR(Tableau6[[#This Row],[Score]]/Tableau6[[#This Row],[Nb]],0)</f>
        <v>0.6</v>
      </c>
    </row>
    <row r="1624" spans="1:6" ht="30" customHeight="1" x14ac:dyDescent="0.3">
      <c r="A1624" s="26" t="s">
        <v>3287</v>
      </c>
      <c r="B1624" s="27" t="s">
        <v>3288</v>
      </c>
      <c r="C1624" s="180">
        <v>44033</v>
      </c>
      <c r="D1624" s="28">
        <v>25</v>
      </c>
      <c r="E1624" s="49">
        <v>15</v>
      </c>
      <c r="F1624" s="211">
        <f>IFERROR(Tableau6[[#This Row],[Score]]/Tableau6[[#This Row],[Nb]],0)</f>
        <v>0.6</v>
      </c>
    </row>
    <row r="1625" spans="1:6" ht="30" customHeight="1" x14ac:dyDescent="0.3">
      <c r="A1625" s="26" t="s">
        <v>1384</v>
      </c>
      <c r="B1625" s="27" t="s">
        <v>1385</v>
      </c>
      <c r="C1625" s="180">
        <v>44235</v>
      </c>
      <c r="D1625" s="28">
        <v>20</v>
      </c>
      <c r="E1625" s="49">
        <v>12</v>
      </c>
      <c r="F1625" s="211">
        <f>IFERROR(Tableau6[[#This Row],[Score]]/Tableau6[[#This Row],[Nb]],0)</f>
        <v>0.6</v>
      </c>
    </row>
    <row r="1626" spans="1:6" ht="30" customHeight="1" x14ac:dyDescent="0.3">
      <c r="A1626" s="26" t="s">
        <v>3700</v>
      </c>
      <c r="B1626" s="27" t="s">
        <v>3701</v>
      </c>
      <c r="C1626" s="180">
        <v>44248</v>
      </c>
      <c r="D1626" s="28">
        <v>25</v>
      </c>
      <c r="E1626" s="49">
        <v>15</v>
      </c>
      <c r="F1626" s="211">
        <f>IFERROR(Tableau6[[#This Row],[Score]]/Tableau6[[#This Row],[Nb]],0)</f>
        <v>0.6</v>
      </c>
    </row>
    <row r="1627" spans="1:6" ht="30" customHeight="1" x14ac:dyDescent="0.3">
      <c r="A1627" s="26" t="s">
        <v>3731</v>
      </c>
      <c r="B1627" s="27" t="s">
        <v>3732</v>
      </c>
      <c r="C1627" s="180">
        <v>44249</v>
      </c>
      <c r="D1627" s="28">
        <v>20</v>
      </c>
      <c r="E1627" s="49">
        <v>12</v>
      </c>
      <c r="F1627" s="211">
        <f>IFERROR(Tableau6[[#This Row],[Score]]/Tableau6[[#This Row],[Nb]],0)</f>
        <v>0.6</v>
      </c>
    </row>
    <row r="1628" spans="1:6" ht="30" customHeight="1" x14ac:dyDescent="0.3">
      <c r="A1628" s="26" t="s">
        <v>4143</v>
      </c>
      <c r="B1628" s="27" t="s">
        <v>4144</v>
      </c>
      <c r="C1628" s="180">
        <v>44271</v>
      </c>
      <c r="D1628" s="28">
        <v>20</v>
      </c>
      <c r="E1628" s="49">
        <v>12</v>
      </c>
      <c r="F1628" s="211">
        <f>IFERROR(Tableau6[[#This Row],[Score]]/Tableau6[[#This Row],[Nb]],0)</f>
        <v>0.6</v>
      </c>
    </row>
    <row r="1629" spans="1:6" ht="30" customHeight="1" x14ac:dyDescent="0.3">
      <c r="A1629" s="26" t="s">
        <v>4793</v>
      </c>
      <c r="B1629" s="27" t="s">
        <v>4794</v>
      </c>
      <c r="C1629" s="180">
        <v>44381</v>
      </c>
      <c r="D1629" s="28">
        <v>25</v>
      </c>
      <c r="E1629" s="49">
        <v>15</v>
      </c>
      <c r="F1629" s="211">
        <f>IFERROR(Tableau6[[#This Row],[Score]]/Tableau6[[#This Row],[Nb]],0)</f>
        <v>0.6</v>
      </c>
    </row>
    <row r="1630" spans="1:6" ht="30" customHeight="1" x14ac:dyDescent="0.3">
      <c r="A1630" s="26" t="s">
        <v>4869</v>
      </c>
      <c r="B1630" s="27" t="s">
        <v>4870</v>
      </c>
      <c r="C1630" s="180">
        <v>44396</v>
      </c>
      <c r="D1630" s="28">
        <v>15</v>
      </c>
      <c r="E1630" s="49">
        <v>9</v>
      </c>
      <c r="F1630" s="211">
        <f>IFERROR(Tableau6[[#This Row],[Score]]/Tableau6[[#This Row],[Nb]],0)</f>
        <v>0.6</v>
      </c>
    </row>
    <row r="1631" spans="1:6" ht="30" customHeight="1" x14ac:dyDescent="0.3">
      <c r="A1631" s="103" t="s">
        <v>5095</v>
      </c>
      <c r="B1631" s="104" t="s">
        <v>5096</v>
      </c>
      <c r="C1631" s="197">
        <v>44463</v>
      </c>
      <c r="D1631" s="105">
        <v>20</v>
      </c>
      <c r="E1631" s="105">
        <v>12</v>
      </c>
      <c r="F1631" s="211">
        <f>IFERROR(Tableau6[[#This Row],[Score]]/Tableau6[[#This Row],[Nb]],0)</f>
        <v>0.6</v>
      </c>
    </row>
    <row r="1632" spans="1:6" ht="30" customHeight="1" x14ac:dyDescent="0.3">
      <c r="A1632" s="151" t="s">
        <v>5188</v>
      </c>
      <c r="B1632" s="152" t="s">
        <v>5189</v>
      </c>
      <c r="C1632" s="208">
        <v>44497</v>
      </c>
      <c r="D1632" s="154">
        <v>15</v>
      </c>
      <c r="E1632" s="154">
        <v>9</v>
      </c>
      <c r="F1632" s="211">
        <f>IFERROR(Tableau6[[#This Row],[Score]]/Tableau6[[#This Row],[Nb]],0)</f>
        <v>0.6</v>
      </c>
    </row>
    <row r="1633" spans="1:6" ht="30" customHeight="1" x14ac:dyDescent="0.3">
      <c r="A1633" s="151" t="s">
        <v>5301</v>
      </c>
      <c r="B1633" s="152" t="s">
        <v>5302</v>
      </c>
      <c r="C1633" s="208">
        <v>44531</v>
      </c>
      <c r="D1633" s="154">
        <v>15</v>
      </c>
      <c r="E1633" s="154">
        <v>9</v>
      </c>
      <c r="F1633" s="211">
        <f>IFERROR(Tableau6[[#This Row],[Score]]/Tableau6[[#This Row],[Nb]],0)</f>
        <v>0.6</v>
      </c>
    </row>
    <row r="1634" spans="1:6" ht="30" customHeight="1" x14ac:dyDescent="0.3">
      <c r="A1634" s="151" t="s">
        <v>5422</v>
      </c>
      <c r="B1634" s="152" t="s">
        <v>5423</v>
      </c>
      <c r="C1634" s="208">
        <v>44564</v>
      </c>
      <c r="D1634" s="154">
        <v>10</v>
      </c>
      <c r="E1634" s="154">
        <v>6</v>
      </c>
      <c r="F1634" s="211">
        <f>IFERROR(Tableau6[[#This Row],[Score]]/Tableau6[[#This Row],[Nb]],0)</f>
        <v>0.6</v>
      </c>
    </row>
    <row r="1635" spans="1:6" ht="30" customHeight="1" x14ac:dyDescent="0.3">
      <c r="A1635" s="151" t="s">
        <v>5428</v>
      </c>
      <c r="B1635" s="152" t="s">
        <v>5429</v>
      </c>
      <c r="C1635" s="208">
        <v>44566</v>
      </c>
      <c r="D1635" s="154">
        <v>15</v>
      </c>
      <c r="E1635" s="154">
        <v>9</v>
      </c>
      <c r="F1635" s="211">
        <f>IFERROR(Tableau6[[#This Row],[Score]]/Tableau6[[#This Row],[Nb]],0)</f>
        <v>0.6</v>
      </c>
    </row>
    <row r="1636" spans="1:6" ht="30" customHeight="1" x14ac:dyDescent="0.3">
      <c r="A1636" s="151" t="s">
        <v>5434</v>
      </c>
      <c r="B1636" s="152" t="s">
        <v>5435</v>
      </c>
      <c r="C1636" s="208">
        <v>44568</v>
      </c>
      <c r="D1636" s="154">
        <v>10</v>
      </c>
      <c r="E1636" s="154">
        <v>6</v>
      </c>
      <c r="F1636" s="211">
        <f>IFERROR(Tableau6[[#This Row],[Score]]/Tableau6[[#This Row],[Nb]],0)</f>
        <v>0.6</v>
      </c>
    </row>
    <row r="1637" spans="1:6" ht="30" customHeight="1" x14ac:dyDescent="0.3">
      <c r="A1637" s="151" t="s">
        <v>5512</v>
      </c>
      <c r="B1637" s="152" t="s">
        <v>5513</v>
      </c>
      <c r="C1637" s="208">
        <v>44584</v>
      </c>
      <c r="D1637" s="154">
        <v>10</v>
      </c>
      <c r="E1637" s="154">
        <v>6</v>
      </c>
      <c r="F1637" s="211">
        <f>IFERROR(Tableau6[[#This Row],[Score]]/Tableau6[[#This Row],[Nb]],0)</f>
        <v>0.6</v>
      </c>
    </row>
    <row r="1638" spans="1:6" ht="30" customHeight="1" x14ac:dyDescent="0.3">
      <c r="A1638" s="151" t="s">
        <v>5716</v>
      </c>
      <c r="B1638" s="152" t="s">
        <v>5717</v>
      </c>
      <c r="C1638" s="208">
        <v>44630</v>
      </c>
      <c r="D1638" s="154">
        <v>10</v>
      </c>
      <c r="E1638" s="154">
        <v>6</v>
      </c>
      <c r="F1638" s="211">
        <f>IFERROR(Tableau6[[#This Row],[Score]]/Tableau6[[#This Row],[Nb]],0)</f>
        <v>0.6</v>
      </c>
    </row>
    <row r="1639" spans="1:6" ht="30" customHeight="1" x14ac:dyDescent="0.3">
      <c r="A1639" s="151" t="s">
        <v>5875</v>
      </c>
      <c r="B1639" s="152" t="s">
        <v>5876</v>
      </c>
      <c r="C1639" s="208">
        <v>44662</v>
      </c>
      <c r="D1639" s="154">
        <v>5</v>
      </c>
      <c r="E1639" s="154">
        <v>3</v>
      </c>
      <c r="F1639" s="211">
        <f>IFERROR(Tableau6[[#This Row],[Score]]/Tableau6[[#This Row],[Nb]],0)</f>
        <v>0.6</v>
      </c>
    </row>
    <row r="1640" spans="1:6" ht="30" customHeight="1" x14ac:dyDescent="0.3">
      <c r="A1640" s="151" t="s">
        <v>5904</v>
      </c>
      <c r="B1640" s="152" t="s">
        <v>5905</v>
      </c>
      <c r="C1640" s="208">
        <v>44673</v>
      </c>
      <c r="D1640" s="154">
        <v>5</v>
      </c>
      <c r="E1640" s="154">
        <v>3</v>
      </c>
      <c r="F1640" s="211">
        <f>IFERROR(Tableau6[[#This Row],[Score]]/Tableau6[[#This Row],[Nb]],0)</f>
        <v>0.6</v>
      </c>
    </row>
    <row r="1641" spans="1:6" ht="30" customHeight="1" x14ac:dyDescent="0.3">
      <c r="A1641" s="151" t="s">
        <v>6079</v>
      </c>
      <c r="B1641" s="152" t="s">
        <v>6078</v>
      </c>
      <c r="C1641" s="208">
        <v>44733</v>
      </c>
      <c r="D1641" s="154">
        <v>5</v>
      </c>
      <c r="E1641" s="154">
        <v>3</v>
      </c>
      <c r="F1641" s="211">
        <f>IFERROR(Tableau6[[#This Row],[Score]]/Tableau6[[#This Row],[Nb]],0)</f>
        <v>0.6</v>
      </c>
    </row>
    <row r="1642" spans="1:6" ht="30" customHeight="1" x14ac:dyDescent="0.3">
      <c r="A1642" s="151" t="s">
        <v>6153</v>
      </c>
      <c r="B1642" s="152" t="s">
        <v>6154</v>
      </c>
      <c r="C1642" s="208">
        <v>44793</v>
      </c>
      <c r="D1642" s="154">
        <v>5</v>
      </c>
      <c r="E1642" s="154">
        <v>3</v>
      </c>
      <c r="F1642" s="211">
        <f>IFERROR(Tableau6[[#This Row],[Score]]/Tableau6[[#This Row],[Nb]],0)</f>
        <v>0.6</v>
      </c>
    </row>
    <row r="1643" spans="1:6" ht="30" customHeight="1" x14ac:dyDescent="0.3">
      <c r="A1643" s="26" t="s">
        <v>1406</v>
      </c>
      <c r="B1643" s="143" t="s">
        <v>5125</v>
      </c>
      <c r="C1643" s="180">
        <v>43451</v>
      </c>
      <c r="D1643" s="28">
        <v>33</v>
      </c>
      <c r="E1643" s="49">
        <v>20</v>
      </c>
      <c r="F1643" s="211">
        <f>IFERROR(Tableau6[[#This Row],[Score]]/Tableau6[[#This Row],[Nb]],0)</f>
        <v>0.60606060606060608</v>
      </c>
    </row>
    <row r="1644" spans="1:6" ht="30" customHeight="1" x14ac:dyDescent="0.3">
      <c r="A1644" s="26" t="s">
        <v>3489</v>
      </c>
      <c r="B1644" s="27" t="s">
        <v>3488</v>
      </c>
      <c r="C1644" s="180">
        <v>44221</v>
      </c>
      <c r="D1644" s="28">
        <v>33</v>
      </c>
      <c r="E1644" s="49">
        <v>20</v>
      </c>
      <c r="F1644" s="211">
        <f>IFERROR(Tableau6[[#This Row],[Score]]/Tableau6[[#This Row],[Nb]],0)</f>
        <v>0.60606060606060608</v>
      </c>
    </row>
    <row r="1645" spans="1:6" ht="30" customHeight="1" x14ac:dyDescent="0.3">
      <c r="A1645" s="26" t="s">
        <v>1088</v>
      </c>
      <c r="B1645" s="27" t="s">
        <v>4245</v>
      </c>
      <c r="C1645" s="180">
        <v>41621</v>
      </c>
      <c r="D1645" s="28">
        <v>28</v>
      </c>
      <c r="E1645" s="49">
        <v>17</v>
      </c>
      <c r="F1645" s="211">
        <f>IFERROR(Tableau6[[#This Row],[Score]]/Tableau6[[#This Row],[Nb]],0)</f>
        <v>0.6071428571428571</v>
      </c>
    </row>
    <row r="1646" spans="1:6" ht="30" customHeight="1" x14ac:dyDescent="0.3">
      <c r="A1646" s="26" t="s">
        <v>4503</v>
      </c>
      <c r="B1646" s="27" t="s">
        <v>4504</v>
      </c>
      <c r="C1646" s="180">
        <v>41621</v>
      </c>
      <c r="D1646" s="28">
        <v>28</v>
      </c>
      <c r="E1646" s="49">
        <v>17</v>
      </c>
      <c r="F1646" s="211">
        <f>IFERROR(Tableau6[[#This Row],[Score]]/Tableau6[[#This Row],[Nb]],0)</f>
        <v>0.6071428571428571</v>
      </c>
    </row>
    <row r="1647" spans="1:6" ht="30" customHeight="1" x14ac:dyDescent="0.3">
      <c r="A1647" s="26" t="s">
        <v>1139</v>
      </c>
      <c r="B1647" s="27" t="s">
        <v>1326</v>
      </c>
      <c r="C1647" s="180">
        <v>41621</v>
      </c>
      <c r="D1647" s="28">
        <v>28</v>
      </c>
      <c r="E1647" s="49">
        <v>17</v>
      </c>
      <c r="F1647" s="211">
        <f>IFERROR(Tableau6[[#This Row],[Score]]/Tableau6[[#This Row],[Nb]],0)</f>
        <v>0.6071428571428571</v>
      </c>
    </row>
    <row r="1648" spans="1:6" ht="30" customHeight="1" x14ac:dyDescent="0.3">
      <c r="A1648" s="26" t="s">
        <v>1023</v>
      </c>
      <c r="B1648" s="27" t="s">
        <v>794</v>
      </c>
      <c r="C1648" s="180">
        <v>41621</v>
      </c>
      <c r="D1648" s="28">
        <v>28</v>
      </c>
      <c r="E1648" s="49">
        <v>17</v>
      </c>
      <c r="F1648" s="211">
        <f>IFERROR(Tableau6[[#This Row],[Score]]/Tableau6[[#This Row],[Nb]],0)</f>
        <v>0.6071428571428571</v>
      </c>
    </row>
    <row r="1649" spans="1:6" ht="30" customHeight="1" x14ac:dyDescent="0.3">
      <c r="A1649" s="26" t="s">
        <v>964</v>
      </c>
      <c r="B1649" s="27" t="s">
        <v>800</v>
      </c>
      <c r="C1649" s="180">
        <v>41621</v>
      </c>
      <c r="D1649" s="28">
        <v>28</v>
      </c>
      <c r="E1649" s="49">
        <v>17</v>
      </c>
      <c r="F1649" s="211">
        <f>IFERROR(Tableau6[[#This Row],[Score]]/Tableau6[[#This Row],[Nb]],0)</f>
        <v>0.6071428571428571</v>
      </c>
    </row>
    <row r="1650" spans="1:6" ht="30" customHeight="1" x14ac:dyDescent="0.3">
      <c r="A1650" s="26" t="s">
        <v>3766</v>
      </c>
      <c r="B1650" s="27" t="s">
        <v>3765</v>
      </c>
      <c r="C1650" s="180">
        <v>43325</v>
      </c>
      <c r="D1650" s="28">
        <v>28</v>
      </c>
      <c r="E1650" s="49">
        <v>17</v>
      </c>
      <c r="F1650" s="211">
        <f>IFERROR(Tableau6[[#This Row],[Score]]/Tableau6[[#This Row],[Nb]],0)</f>
        <v>0.6071428571428571</v>
      </c>
    </row>
    <row r="1651" spans="1:6" ht="30" customHeight="1" x14ac:dyDescent="0.3">
      <c r="A1651" s="26" t="s">
        <v>266</v>
      </c>
      <c r="B1651" s="27" t="s">
        <v>1546</v>
      </c>
      <c r="C1651" s="180">
        <v>43390</v>
      </c>
      <c r="D1651" s="28">
        <v>28</v>
      </c>
      <c r="E1651" s="49">
        <v>17</v>
      </c>
      <c r="F1651" s="211">
        <f>IFERROR(Tableau6[[#This Row],[Score]]/Tableau6[[#This Row],[Nb]],0)</f>
        <v>0.6071428571428571</v>
      </c>
    </row>
    <row r="1652" spans="1:6" ht="30" customHeight="1" x14ac:dyDescent="0.3">
      <c r="A1652" s="26" t="s">
        <v>1116</v>
      </c>
      <c r="B1652" s="27" t="s">
        <v>1117</v>
      </c>
      <c r="C1652" s="180">
        <v>43415</v>
      </c>
      <c r="D1652" s="28">
        <v>28</v>
      </c>
      <c r="E1652" s="49">
        <v>17</v>
      </c>
      <c r="F1652" s="211">
        <f>IFERROR(Tableau6[[#This Row],[Score]]/Tableau6[[#This Row],[Nb]],0)</f>
        <v>0.6071428571428571</v>
      </c>
    </row>
    <row r="1653" spans="1:6" ht="30" customHeight="1" x14ac:dyDescent="0.3">
      <c r="A1653" s="26" t="s">
        <v>2456</v>
      </c>
      <c r="B1653" s="27" t="s">
        <v>2457</v>
      </c>
      <c r="C1653" s="180">
        <v>43776</v>
      </c>
      <c r="D1653" s="28">
        <v>28</v>
      </c>
      <c r="E1653" s="49">
        <v>17</v>
      </c>
      <c r="F1653" s="211">
        <f>IFERROR(Tableau6[[#This Row],[Score]]/Tableau6[[#This Row],[Nb]],0)</f>
        <v>0.6071428571428571</v>
      </c>
    </row>
    <row r="1654" spans="1:6" ht="30" customHeight="1" x14ac:dyDescent="0.3">
      <c r="A1654" s="26" t="s">
        <v>4115</v>
      </c>
      <c r="B1654" s="27" t="s">
        <v>4116</v>
      </c>
      <c r="C1654" s="180">
        <v>44269</v>
      </c>
      <c r="D1654" s="28">
        <v>28</v>
      </c>
      <c r="E1654" s="49">
        <v>17</v>
      </c>
      <c r="F1654" s="211">
        <f>IFERROR(Tableau6[[#This Row],[Score]]/Tableau6[[#This Row],[Nb]],0)</f>
        <v>0.6071428571428571</v>
      </c>
    </row>
    <row r="1655" spans="1:6" ht="30" customHeight="1" x14ac:dyDescent="0.3">
      <c r="A1655" s="26" t="s">
        <v>797</v>
      </c>
      <c r="B1655" s="27" t="s">
        <v>816</v>
      </c>
      <c r="C1655" s="180">
        <v>41621</v>
      </c>
      <c r="D1655" s="28">
        <v>23</v>
      </c>
      <c r="E1655" s="49">
        <v>14</v>
      </c>
      <c r="F1655" s="211">
        <f>IFERROR(Tableau6[[#This Row],[Score]]/Tableau6[[#This Row],[Nb]],0)</f>
        <v>0.60869565217391308</v>
      </c>
    </row>
    <row r="1656" spans="1:6" ht="30" customHeight="1" x14ac:dyDescent="0.3">
      <c r="A1656" s="26" t="s">
        <v>4578</v>
      </c>
      <c r="B1656" s="27" t="s">
        <v>4579</v>
      </c>
      <c r="C1656" s="180">
        <v>41621</v>
      </c>
      <c r="D1656" s="28">
        <v>23</v>
      </c>
      <c r="E1656" s="49">
        <v>14</v>
      </c>
      <c r="F1656" s="211">
        <f>IFERROR(Tableau6[[#This Row],[Score]]/Tableau6[[#This Row],[Nb]],0)</f>
        <v>0.60869565217391308</v>
      </c>
    </row>
    <row r="1657" spans="1:6" ht="30" customHeight="1" x14ac:dyDescent="0.3">
      <c r="A1657" s="26" t="s">
        <v>4258</v>
      </c>
      <c r="B1657" s="27" t="s">
        <v>4259</v>
      </c>
      <c r="C1657" s="180">
        <v>41621</v>
      </c>
      <c r="D1657" s="28">
        <v>23</v>
      </c>
      <c r="E1657" s="49">
        <v>14</v>
      </c>
      <c r="F1657" s="211">
        <f>IFERROR(Tableau6[[#This Row],[Score]]/Tableau6[[#This Row],[Nb]],0)</f>
        <v>0.60869565217391308</v>
      </c>
    </row>
    <row r="1658" spans="1:6" ht="30" customHeight="1" x14ac:dyDescent="0.3">
      <c r="A1658" s="26" t="s">
        <v>3890</v>
      </c>
      <c r="B1658" s="27" t="s">
        <v>3891</v>
      </c>
      <c r="C1658" s="180">
        <v>41621</v>
      </c>
      <c r="D1658" s="28">
        <v>23</v>
      </c>
      <c r="E1658" s="49">
        <v>14</v>
      </c>
      <c r="F1658" s="211">
        <f>IFERROR(Tableau6[[#This Row],[Score]]/Tableau6[[#This Row],[Nb]],0)</f>
        <v>0.60869565217391308</v>
      </c>
    </row>
    <row r="1659" spans="1:6" ht="30" customHeight="1" x14ac:dyDescent="0.3">
      <c r="A1659" s="26" t="s">
        <v>682</v>
      </c>
      <c r="B1659" s="27" t="s">
        <v>3403</v>
      </c>
      <c r="C1659" s="180">
        <v>41621</v>
      </c>
      <c r="D1659" s="28">
        <v>23</v>
      </c>
      <c r="E1659" s="49">
        <v>14</v>
      </c>
      <c r="F1659" s="211">
        <f>IFERROR(Tableau6[[#This Row],[Score]]/Tableau6[[#This Row],[Nb]],0)</f>
        <v>0.60869565217391308</v>
      </c>
    </row>
    <row r="1660" spans="1:6" ht="30" customHeight="1" x14ac:dyDescent="0.3">
      <c r="A1660" s="151" t="s">
        <v>5168</v>
      </c>
      <c r="B1660" s="152" t="s">
        <v>5167</v>
      </c>
      <c r="C1660" s="180">
        <v>43237</v>
      </c>
      <c r="D1660" s="28">
        <v>23</v>
      </c>
      <c r="E1660" s="49">
        <v>14</v>
      </c>
      <c r="F1660" s="211">
        <f>IFERROR(Tableau6[[#This Row],[Score]]/Tableau6[[#This Row],[Nb]],0)</f>
        <v>0.60869565217391308</v>
      </c>
    </row>
    <row r="1661" spans="1:6" ht="30" customHeight="1" x14ac:dyDescent="0.3">
      <c r="A1661" s="26" t="s">
        <v>4329</v>
      </c>
      <c r="B1661" s="27" t="s">
        <v>4330</v>
      </c>
      <c r="C1661" s="180">
        <v>43237</v>
      </c>
      <c r="D1661" s="28">
        <v>23</v>
      </c>
      <c r="E1661" s="49">
        <v>14</v>
      </c>
      <c r="F1661" s="211">
        <f>IFERROR(Tableau6[[#This Row],[Score]]/Tableau6[[#This Row],[Nb]],0)</f>
        <v>0.60869565217391308</v>
      </c>
    </row>
    <row r="1662" spans="1:6" ht="30" customHeight="1" x14ac:dyDescent="0.3">
      <c r="A1662" s="26" t="s">
        <v>122</v>
      </c>
      <c r="B1662" s="27" t="s">
        <v>4966</v>
      </c>
      <c r="C1662" s="180">
        <v>43341</v>
      </c>
      <c r="D1662" s="28">
        <v>23</v>
      </c>
      <c r="E1662" s="49">
        <v>14</v>
      </c>
      <c r="F1662" s="211">
        <f>IFERROR(Tableau6[[#This Row],[Score]]/Tableau6[[#This Row],[Nb]],0)</f>
        <v>0.60869565217391308</v>
      </c>
    </row>
    <row r="1663" spans="1:6" ht="30" customHeight="1" x14ac:dyDescent="0.3">
      <c r="A1663" s="26" t="s">
        <v>594</v>
      </c>
      <c r="B1663" s="27" t="s">
        <v>4515</v>
      </c>
      <c r="C1663" s="180">
        <v>43404</v>
      </c>
      <c r="D1663" s="28">
        <v>23</v>
      </c>
      <c r="E1663" s="49">
        <v>14</v>
      </c>
      <c r="F1663" s="211">
        <f>IFERROR(Tableau6[[#This Row],[Score]]/Tableau6[[#This Row],[Nb]],0)</f>
        <v>0.60869565217391308</v>
      </c>
    </row>
    <row r="1664" spans="1:6" ht="30" customHeight="1" x14ac:dyDescent="0.3">
      <c r="A1664" s="26" t="s">
        <v>1528</v>
      </c>
      <c r="B1664" s="27" t="s">
        <v>1529</v>
      </c>
      <c r="C1664" s="180">
        <v>43472</v>
      </c>
      <c r="D1664" s="28">
        <v>23</v>
      </c>
      <c r="E1664" s="49">
        <v>14</v>
      </c>
      <c r="F1664" s="211">
        <f>IFERROR(Tableau6[[#This Row],[Score]]/Tableau6[[#This Row],[Nb]],0)</f>
        <v>0.60869565217391308</v>
      </c>
    </row>
    <row r="1665" spans="1:6" ht="30" customHeight="1" x14ac:dyDescent="0.3">
      <c r="A1665" s="26" t="s">
        <v>1581</v>
      </c>
      <c r="B1665" s="27" t="s">
        <v>1582</v>
      </c>
      <c r="C1665" s="180">
        <v>43493</v>
      </c>
      <c r="D1665" s="28">
        <v>23</v>
      </c>
      <c r="E1665" s="49">
        <v>14</v>
      </c>
      <c r="F1665" s="211">
        <f>IFERROR(Tableau6[[#This Row],[Score]]/Tableau6[[#This Row],[Nb]],0)</f>
        <v>0.60869565217391308</v>
      </c>
    </row>
    <row r="1666" spans="1:6" ht="30" customHeight="1" x14ac:dyDescent="0.3">
      <c r="A1666" s="26" t="s">
        <v>3777</v>
      </c>
      <c r="B1666" s="27" t="s">
        <v>2076</v>
      </c>
      <c r="C1666" s="180">
        <v>43673</v>
      </c>
      <c r="D1666" s="28">
        <v>23</v>
      </c>
      <c r="E1666" s="49">
        <v>14</v>
      </c>
      <c r="F1666" s="211">
        <f>IFERROR(Tableau6[[#This Row],[Score]]/Tableau6[[#This Row],[Nb]],0)</f>
        <v>0.60869565217391308</v>
      </c>
    </row>
    <row r="1667" spans="1:6" ht="30" customHeight="1" x14ac:dyDescent="0.3">
      <c r="A1667" s="26" t="s">
        <v>3161</v>
      </c>
      <c r="B1667" s="27" t="s">
        <v>3162</v>
      </c>
      <c r="C1667" s="180">
        <v>43673</v>
      </c>
      <c r="D1667" s="28">
        <v>23</v>
      </c>
      <c r="E1667" s="49">
        <v>14</v>
      </c>
      <c r="F1667" s="211">
        <f>IFERROR(Tableau6[[#This Row],[Score]]/Tableau6[[#This Row],[Nb]],0)</f>
        <v>0.60869565217391308</v>
      </c>
    </row>
    <row r="1668" spans="1:6" ht="30" customHeight="1" x14ac:dyDescent="0.3">
      <c r="A1668" s="26" t="s">
        <v>2454</v>
      </c>
      <c r="B1668" s="27" t="s">
        <v>2455</v>
      </c>
      <c r="C1668" s="180">
        <v>43776</v>
      </c>
      <c r="D1668" s="28">
        <v>23</v>
      </c>
      <c r="E1668" s="49">
        <v>14</v>
      </c>
      <c r="F1668" s="211">
        <f>IFERROR(Tableau6[[#This Row],[Score]]/Tableau6[[#This Row],[Nb]],0)</f>
        <v>0.60869565217391308</v>
      </c>
    </row>
    <row r="1669" spans="1:6" ht="30" customHeight="1" x14ac:dyDescent="0.3">
      <c r="A1669" s="151" t="s">
        <v>6148</v>
      </c>
      <c r="B1669" s="27" t="s">
        <v>2247</v>
      </c>
      <c r="C1669" s="180">
        <v>44221</v>
      </c>
      <c r="D1669" s="28">
        <v>23</v>
      </c>
      <c r="E1669" s="49">
        <v>14</v>
      </c>
      <c r="F1669" s="211">
        <f>IFERROR(Tableau6[[#This Row],[Score]]/Tableau6[[#This Row],[Nb]],0)</f>
        <v>0.60869565217391308</v>
      </c>
    </row>
    <row r="1670" spans="1:6" ht="30" customHeight="1" x14ac:dyDescent="0.3">
      <c r="A1670" s="491" t="s">
        <v>6565</v>
      </c>
      <c r="B1670" s="27" t="s">
        <v>3418</v>
      </c>
      <c r="C1670" s="180">
        <v>40611</v>
      </c>
      <c r="D1670" s="28">
        <v>18</v>
      </c>
      <c r="E1670" s="49">
        <v>11</v>
      </c>
      <c r="F1670" s="211">
        <f>IFERROR(Tableau6[[#This Row],[Score]]/Tableau6[[#This Row],[Nb]],0)</f>
        <v>0.61111111111111116</v>
      </c>
    </row>
    <row r="1671" spans="1:6" ht="30" customHeight="1" x14ac:dyDescent="0.3">
      <c r="A1671" s="26" t="s">
        <v>465</v>
      </c>
      <c r="B1671" s="27" t="s">
        <v>466</v>
      </c>
      <c r="C1671" s="180">
        <v>40611</v>
      </c>
      <c r="D1671" s="28">
        <v>18</v>
      </c>
      <c r="E1671" s="49">
        <v>11</v>
      </c>
      <c r="F1671" s="211">
        <f>IFERROR(Tableau6[[#This Row],[Score]]/Tableau6[[#This Row],[Nb]],0)</f>
        <v>0.61111111111111116</v>
      </c>
    </row>
    <row r="1672" spans="1:6" ht="30" customHeight="1" x14ac:dyDescent="0.3">
      <c r="A1672" s="26" t="s">
        <v>492</v>
      </c>
      <c r="B1672" s="27" t="s">
        <v>493</v>
      </c>
      <c r="C1672" s="180">
        <v>40611</v>
      </c>
      <c r="D1672" s="28">
        <v>18</v>
      </c>
      <c r="E1672" s="49">
        <v>11</v>
      </c>
      <c r="F1672" s="211">
        <f>IFERROR(Tableau6[[#This Row],[Score]]/Tableau6[[#This Row],[Nb]],0)</f>
        <v>0.61111111111111116</v>
      </c>
    </row>
    <row r="1673" spans="1:6" ht="30" customHeight="1" x14ac:dyDescent="0.3">
      <c r="A1673" s="26" t="s">
        <v>4170</v>
      </c>
      <c r="B1673" s="27" t="s">
        <v>4169</v>
      </c>
      <c r="C1673" s="180">
        <v>41621</v>
      </c>
      <c r="D1673" s="28">
        <v>18</v>
      </c>
      <c r="E1673" s="49">
        <v>11</v>
      </c>
      <c r="F1673" s="211">
        <f>IFERROR(Tableau6[[#This Row],[Score]]/Tableau6[[#This Row],[Nb]],0)</f>
        <v>0.61111111111111116</v>
      </c>
    </row>
    <row r="1674" spans="1:6" ht="30" customHeight="1" x14ac:dyDescent="0.3">
      <c r="A1674" s="26" t="s">
        <v>1550</v>
      </c>
      <c r="B1674" s="27" t="s">
        <v>4025</v>
      </c>
      <c r="C1674" s="180">
        <v>41621</v>
      </c>
      <c r="D1674" s="28">
        <v>18</v>
      </c>
      <c r="E1674" s="49">
        <v>11</v>
      </c>
      <c r="F1674" s="211">
        <f>IFERROR(Tableau6[[#This Row],[Score]]/Tableau6[[#This Row],[Nb]],0)</f>
        <v>0.61111111111111116</v>
      </c>
    </row>
    <row r="1675" spans="1:6" ht="30" customHeight="1" x14ac:dyDescent="0.3">
      <c r="A1675" s="26" t="s">
        <v>234</v>
      </c>
      <c r="B1675" s="27" t="s">
        <v>235</v>
      </c>
      <c r="C1675" s="180">
        <v>43398</v>
      </c>
      <c r="D1675" s="28">
        <v>18</v>
      </c>
      <c r="E1675" s="49">
        <v>11</v>
      </c>
      <c r="F1675" s="211">
        <f>IFERROR(Tableau6[[#This Row],[Score]]/Tableau6[[#This Row],[Nb]],0)</f>
        <v>0.61111111111111116</v>
      </c>
    </row>
    <row r="1676" spans="1:6" ht="30" customHeight="1" x14ac:dyDescent="0.3">
      <c r="A1676" s="26" t="s">
        <v>1521</v>
      </c>
      <c r="B1676" s="27" t="s">
        <v>4677</v>
      </c>
      <c r="C1676" s="180">
        <v>43472</v>
      </c>
      <c r="D1676" s="28">
        <v>18</v>
      </c>
      <c r="E1676" s="49">
        <v>11</v>
      </c>
      <c r="F1676" s="211">
        <f>IFERROR(Tableau6[[#This Row],[Score]]/Tableau6[[#This Row],[Nb]],0)</f>
        <v>0.61111111111111116</v>
      </c>
    </row>
    <row r="1677" spans="1:6" ht="30" customHeight="1" x14ac:dyDescent="0.3">
      <c r="A1677" s="26" t="s">
        <v>1983</v>
      </c>
      <c r="B1677" s="27" t="s">
        <v>1984</v>
      </c>
      <c r="C1677" s="180">
        <v>43605</v>
      </c>
      <c r="D1677" s="28">
        <v>18</v>
      </c>
      <c r="E1677" s="49">
        <v>11</v>
      </c>
      <c r="F1677" s="211">
        <f>IFERROR(Tableau6[[#This Row],[Score]]/Tableau6[[#This Row],[Nb]],0)</f>
        <v>0.61111111111111116</v>
      </c>
    </row>
    <row r="1678" spans="1:6" ht="30" customHeight="1" x14ac:dyDescent="0.3">
      <c r="A1678" s="26" t="s">
        <v>2137</v>
      </c>
      <c r="B1678" s="27" t="s">
        <v>2138</v>
      </c>
      <c r="C1678" s="180">
        <v>43682</v>
      </c>
      <c r="D1678" s="28">
        <v>18</v>
      </c>
      <c r="E1678" s="49">
        <v>11</v>
      </c>
      <c r="F1678" s="211">
        <f>IFERROR(Tableau6[[#This Row],[Score]]/Tableau6[[#This Row],[Nb]],0)</f>
        <v>0.61111111111111116</v>
      </c>
    </row>
    <row r="1679" spans="1:6" ht="30" customHeight="1" x14ac:dyDescent="0.3">
      <c r="A1679" s="26" t="s">
        <v>2656</v>
      </c>
      <c r="B1679" s="27" t="s">
        <v>2657</v>
      </c>
      <c r="C1679" s="180">
        <v>43872</v>
      </c>
      <c r="D1679" s="28">
        <v>18</v>
      </c>
      <c r="E1679" s="49">
        <v>11</v>
      </c>
      <c r="F1679" s="211">
        <f>IFERROR(Tableau6[[#This Row],[Score]]/Tableau6[[#This Row],[Nb]],0)</f>
        <v>0.61111111111111116</v>
      </c>
    </row>
    <row r="1680" spans="1:6" ht="30" customHeight="1" x14ac:dyDescent="0.3">
      <c r="A1680" s="26" t="s">
        <v>2660</v>
      </c>
      <c r="B1680" s="27" t="s">
        <v>2124</v>
      </c>
      <c r="C1680" s="180">
        <v>43872</v>
      </c>
      <c r="D1680" s="28">
        <v>18</v>
      </c>
      <c r="E1680" s="49">
        <v>11</v>
      </c>
      <c r="F1680" s="211">
        <f>IFERROR(Tableau6[[#This Row],[Score]]/Tableau6[[#This Row],[Nb]],0)</f>
        <v>0.61111111111111116</v>
      </c>
    </row>
    <row r="1681" spans="1:6" ht="30" customHeight="1" x14ac:dyDescent="0.3">
      <c r="A1681" s="26" t="s">
        <v>3052</v>
      </c>
      <c r="B1681" s="27" t="s">
        <v>3053</v>
      </c>
      <c r="C1681" s="180">
        <v>44004</v>
      </c>
      <c r="D1681" s="28">
        <v>18</v>
      </c>
      <c r="E1681" s="49">
        <v>11</v>
      </c>
      <c r="F1681" s="211">
        <f>IFERROR(Tableau6[[#This Row],[Score]]/Tableau6[[#This Row],[Nb]],0)</f>
        <v>0.61111111111111116</v>
      </c>
    </row>
    <row r="1682" spans="1:6" ht="30" customHeight="1" x14ac:dyDescent="0.3">
      <c r="A1682" s="26" t="s">
        <v>3142</v>
      </c>
      <c r="B1682" s="27" t="s">
        <v>3143</v>
      </c>
      <c r="C1682" s="180">
        <v>44014</v>
      </c>
      <c r="D1682" s="28">
        <v>18</v>
      </c>
      <c r="E1682" s="49">
        <v>11</v>
      </c>
      <c r="F1682" s="211">
        <f>IFERROR(Tableau6[[#This Row],[Score]]/Tableau6[[#This Row],[Nb]],0)</f>
        <v>0.61111111111111116</v>
      </c>
    </row>
    <row r="1683" spans="1:6" ht="30" customHeight="1" x14ac:dyDescent="0.3">
      <c r="A1683" s="26" t="s">
        <v>3555</v>
      </c>
      <c r="B1683" s="27" t="s">
        <v>3556</v>
      </c>
      <c r="C1683" s="180">
        <v>44235</v>
      </c>
      <c r="D1683" s="28">
        <v>18</v>
      </c>
      <c r="E1683" s="49">
        <v>11</v>
      </c>
      <c r="F1683" s="211">
        <f>IFERROR(Tableau6[[#This Row],[Score]]/Tableau6[[#This Row],[Nb]],0)</f>
        <v>0.61111111111111116</v>
      </c>
    </row>
    <row r="1684" spans="1:6" ht="30" customHeight="1" x14ac:dyDescent="0.3">
      <c r="A1684" s="26" t="s">
        <v>3962</v>
      </c>
      <c r="B1684" s="27" t="s">
        <v>3963</v>
      </c>
      <c r="C1684" s="180">
        <v>44262</v>
      </c>
      <c r="D1684" s="28">
        <v>18</v>
      </c>
      <c r="E1684" s="49">
        <v>11</v>
      </c>
      <c r="F1684" s="211">
        <f>IFERROR(Tableau6[[#This Row],[Score]]/Tableau6[[#This Row],[Nb]],0)</f>
        <v>0.61111111111111116</v>
      </c>
    </row>
    <row r="1685" spans="1:6" ht="30" customHeight="1" x14ac:dyDescent="0.3">
      <c r="A1685" s="26" t="s">
        <v>4197</v>
      </c>
      <c r="B1685" s="27" t="s">
        <v>4198</v>
      </c>
      <c r="C1685" s="180">
        <v>44276</v>
      </c>
      <c r="D1685" s="28">
        <v>18</v>
      </c>
      <c r="E1685" s="49">
        <v>11</v>
      </c>
      <c r="F1685" s="211">
        <f>IFERROR(Tableau6[[#This Row],[Score]]/Tableau6[[#This Row],[Nb]],0)</f>
        <v>0.61111111111111116</v>
      </c>
    </row>
    <row r="1686" spans="1:6" ht="30" customHeight="1" x14ac:dyDescent="0.3">
      <c r="A1686" s="26" t="s">
        <v>977</v>
      </c>
      <c r="B1686" s="27" t="s">
        <v>824</v>
      </c>
      <c r="C1686" s="180">
        <v>41621</v>
      </c>
      <c r="D1686" s="28">
        <v>31</v>
      </c>
      <c r="E1686" s="49">
        <v>19</v>
      </c>
      <c r="F1686" s="211">
        <f>IFERROR(Tableau6[[#This Row],[Score]]/Tableau6[[#This Row],[Nb]],0)</f>
        <v>0.61290322580645162</v>
      </c>
    </row>
    <row r="1687" spans="1:6" ht="30" customHeight="1" x14ac:dyDescent="0.3">
      <c r="A1687" s="26" t="s">
        <v>1438</v>
      </c>
      <c r="B1687" s="27" t="s">
        <v>1439</v>
      </c>
      <c r="C1687" s="180">
        <v>41621</v>
      </c>
      <c r="D1687" s="28">
        <v>31</v>
      </c>
      <c r="E1687" s="49">
        <v>19</v>
      </c>
      <c r="F1687" s="211">
        <f>IFERROR(Tableau6[[#This Row],[Score]]/Tableau6[[#This Row],[Nb]],0)</f>
        <v>0.61290322580645162</v>
      </c>
    </row>
    <row r="1688" spans="1:6" ht="30" customHeight="1" x14ac:dyDescent="0.3">
      <c r="A1688" s="26" t="s">
        <v>592</v>
      </c>
      <c r="B1688" s="27" t="s">
        <v>593</v>
      </c>
      <c r="C1688" s="180">
        <v>43404</v>
      </c>
      <c r="D1688" s="28">
        <v>31</v>
      </c>
      <c r="E1688" s="49">
        <v>19</v>
      </c>
      <c r="F1688" s="211">
        <f>IFERROR(Tableau6[[#This Row],[Score]]/Tableau6[[#This Row],[Nb]],0)</f>
        <v>0.61290322580645162</v>
      </c>
    </row>
    <row r="1689" spans="1:6" ht="30" customHeight="1" x14ac:dyDescent="0.3">
      <c r="A1689" s="26" t="s">
        <v>1403</v>
      </c>
      <c r="B1689" s="27" t="s">
        <v>1404</v>
      </c>
      <c r="C1689" s="180">
        <v>43450</v>
      </c>
      <c r="D1689" s="28">
        <v>31</v>
      </c>
      <c r="E1689" s="49">
        <v>19</v>
      </c>
      <c r="F1689" s="211">
        <f>IFERROR(Tableau6[[#This Row],[Score]]/Tableau6[[#This Row],[Nb]],0)</f>
        <v>0.61290322580645162</v>
      </c>
    </row>
    <row r="1690" spans="1:6" ht="30" customHeight="1" x14ac:dyDescent="0.3">
      <c r="A1690" s="26" t="s">
        <v>3013</v>
      </c>
      <c r="B1690" s="27" t="s">
        <v>3014</v>
      </c>
      <c r="C1690" s="180">
        <v>43548</v>
      </c>
      <c r="D1690" s="28">
        <v>31</v>
      </c>
      <c r="E1690" s="49">
        <v>19</v>
      </c>
      <c r="F1690" s="211">
        <f>IFERROR(Tableau6[[#This Row],[Score]]/Tableau6[[#This Row],[Nb]],0)</f>
        <v>0.61290322580645162</v>
      </c>
    </row>
    <row r="1691" spans="1:6" ht="30" customHeight="1" x14ac:dyDescent="0.3">
      <c r="A1691" s="26" t="s">
        <v>2105</v>
      </c>
      <c r="B1691" s="27" t="s">
        <v>4517</v>
      </c>
      <c r="C1691" s="180">
        <v>43673</v>
      </c>
      <c r="D1691" s="28">
        <v>31</v>
      </c>
      <c r="E1691" s="49">
        <v>19</v>
      </c>
      <c r="F1691" s="211">
        <f>IFERROR(Tableau6[[#This Row],[Score]]/Tableau6[[#This Row],[Nb]],0)</f>
        <v>0.61290322580645162</v>
      </c>
    </row>
    <row r="1692" spans="1:6" ht="30" customHeight="1" x14ac:dyDescent="0.3">
      <c r="A1692" s="26" t="s">
        <v>440</v>
      </c>
      <c r="B1692" s="27" t="s">
        <v>441</v>
      </c>
      <c r="C1692" s="180">
        <v>40611</v>
      </c>
      <c r="D1692" s="28">
        <v>26</v>
      </c>
      <c r="E1692" s="49">
        <v>16</v>
      </c>
      <c r="F1692" s="211">
        <f>IFERROR(Tableau6[[#This Row],[Score]]/Tableau6[[#This Row],[Nb]],0)</f>
        <v>0.61538461538461542</v>
      </c>
    </row>
    <row r="1693" spans="1:6" ht="30" customHeight="1" x14ac:dyDescent="0.3">
      <c r="A1693" s="26" t="s">
        <v>3152</v>
      </c>
      <c r="B1693" s="27" t="s">
        <v>3153</v>
      </c>
      <c r="C1693" s="180">
        <v>41522</v>
      </c>
      <c r="D1693" s="28">
        <v>26</v>
      </c>
      <c r="E1693" s="49">
        <v>16</v>
      </c>
      <c r="F1693" s="211">
        <f>IFERROR(Tableau6[[#This Row],[Score]]/Tableau6[[#This Row],[Nb]],0)</f>
        <v>0.61538461538461542</v>
      </c>
    </row>
    <row r="1694" spans="1:6" ht="30" customHeight="1" x14ac:dyDescent="0.3">
      <c r="A1694" s="26" t="s">
        <v>923</v>
      </c>
      <c r="B1694" s="27" t="s">
        <v>4773</v>
      </c>
      <c r="C1694" s="180">
        <v>41621</v>
      </c>
      <c r="D1694" s="28">
        <v>26</v>
      </c>
      <c r="E1694" s="49">
        <v>16</v>
      </c>
      <c r="F1694" s="211">
        <f>IFERROR(Tableau6[[#This Row],[Score]]/Tableau6[[#This Row],[Nb]],0)</f>
        <v>0.61538461538461542</v>
      </c>
    </row>
    <row r="1695" spans="1:6" ht="30" customHeight="1" x14ac:dyDescent="0.3">
      <c r="A1695" s="26" t="s">
        <v>711</v>
      </c>
      <c r="B1695" s="27" t="s">
        <v>806</v>
      </c>
      <c r="C1695" s="180">
        <v>41621</v>
      </c>
      <c r="D1695" s="28">
        <v>26</v>
      </c>
      <c r="E1695" s="49">
        <v>16</v>
      </c>
      <c r="F1695" s="211">
        <f>IFERROR(Tableau6[[#This Row],[Score]]/Tableau6[[#This Row],[Nb]],0)</f>
        <v>0.61538461538461542</v>
      </c>
    </row>
    <row r="1696" spans="1:6" ht="30" customHeight="1" x14ac:dyDescent="0.3">
      <c r="A1696" s="26" t="s">
        <v>4482</v>
      </c>
      <c r="B1696" s="27" t="s">
        <v>4483</v>
      </c>
      <c r="C1696" s="180">
        <v>41621</v>
      </c>
      <c r="D1696" s="28">
        <v>26</v>
      </c>
      <c r="E1696" s="49">
        <v>16</v>
      </c>
      <c r="F1696" s="211">
        <f>IFERROR(Tableau6[[#This Row],[Score]]/Tableau6[[#This Row],[Nb]],0)</f>
        <v>0.61538461538461542</v>
      </c>
    </row>
    <row r="1697" spans="1:6" ht="30" customHeight="1" x14ac:dyDescent="0.3">
      <c r="A1697" s="26" t="s">
        <v>4585</v>
      </c>
      <c r="B1697" s="27" t="s">
        <v>4586</v>
      </c>
      <c r="C1697" s="180">
        <v>41621</v>
      </c>
      <c r="D1697" s="28">
        <v>13</v>
      </c>
      <c r="E1697" s="49">
        <v>8</v>
      </c>
      <c r="F1697" s="211">
        <f>IFERROR(Tableau6[[#This Row],[Score]]/Tableau6[[#This Row],[Nb]],0)</f>
        <v>0.61538461538461542</v>
      </c>
    </row>
    <row r="1698" spans="1:6" ht="30" customHeight="1" x14ac:dyDescent="0.3">
      <c r="A1698" s="26" t="s">
        <v>935</v>
      </c>
      <c r="B1698" s="27" t="s">
        <v>4323</v>
      </c>
      <c r="C1698" s="180">
        <v>41621</v>
      </c>
      <c r="D1698" s="28">
        <v>26</v>
      </c>
      <c r="E1698" s="49">
        <v>16</v>
      </c>
      <c r="F1698" s="211">
        <f>IFERROR(Tableau6[[#This Row],[Score]]/Tableau6[[#This Row],[Nb]],0)</f>
        <v>0.61538461538461542</v>
      </c>
    </row>
    <row r="1699" spans="1:6" ht="30" customHeight="1" x14ac:dyDescent="0.3">
      <c r="A1699" s="26" t="s">
        <v>1007</v>
      </c>
      <c r="B1699" s="27" t="s">
        <v>728</v>
      </c>
      <c r="C1699" s="180">
        <v>41621</v>
      </c>
      <c r="D1699" s="28">
        <v>13</v>
      </c>
      <c r="E1699" s="49">
        <v>8</v>
      </c>
      <c r="F1699" s="211">
        <f>IFERROR(Tableau6[[#This Row],[Score]]/Tableau6[[#This Row],[Nb]],0)</f>
        <v>0.61538461538461542</v>
      </c>
    </row>
    <row r="1700" spans="1:6" ht="30" customHeight="1" x14ac:dyDescent="0.3">
      <c r="A1700" s="26" t="s">
        <v>1048</v>
      </c>
      <c r="B1700" s="27" t="s">
        <v>841</v>
      </c>
      <c r="C1700" s="180">
        <v>43237</v>
      </c>
      <c r="D1700" s="28">
        <v>26</v>
      </c>
      <c r="E1700" s="49">
        <v>16</v>
      </c>
      <c r="F1700" s="211">
        <f>IFERROR(Tableau6[[#This Row],[Score]]/Tableau6[[#This Row],[Nb]],0)</f>
        <v>0.61538461538461542</v>
      </c>
    </row>
    <row r="1701" spans="1:6" ht="30" customHeight="1" x14ac:dyDescent="0.3">
      <c r="A1701" s="26" t="s">
        <v>650</v>
      </c>
      <c r="B1701" s="27" t="s">
        <v>1063</v>
      </c>
      <c r="C1701" s="180">
        <v>43237</v>
      </c>
      <c r="D1701" s="28">
        <v>26</v>
      </c>
      <c r="E1701" s="49">
        <v>16</v>
      </c>
      <c r="F1701" s="211">
        <f>IFERROR(Tableau6[[#This Row],[Score]]/Tableau6[[#This Row],[Nb]],0)</f>
        <v>0.61538461538461542</v>
      </c>
    </row>
    <row r="1702" spans="1:6" ht="30" customHeight="1" x14ac:dyDescent="0.3">
      <c r="A1702" s="26" t="s">
        <v>109</v>
      </c>
      <c r="B1702" s="27" t="s">
        <v>110</v>
      </c>
      <c r="C1702" s="180">
        <v>43341</v>
      </c>
      <c r="D1702" s="28">
        <v>26</v>
      </c>
      <c r="E1702" s="49">
        <v>16</v>
      </c>
      <c r="F1702" s="211">
        <f>IFERROR(Tableau6[[#This Row],[Score]]/Tableau6[[#This Row],[Nb]],0)</f>
        <v>0.61538461538461542</v>
      </c>
    </row>
    <row r="1703" spans="1:6" ht="30" customHeight="1" x14ac:dyDescent="0.3">
      <c r="A1703" s="26" t="s">
        <v>1205</v>
      </c>
      <c r="B1703" s="27" t="s">
        <v>4063</v>
      </c>
      <c r="C1703" s="180">
        <v>43421</v>
      </c>
      <c r="D1703" s="28">
        <v>13</v>
      </c>
      <c r="E1703" s="49">
        <v>8</v>
      </c>
      <c r="F1703" s="211">
        <f>IFERROR(Tableau6[[#This Row],[Score]]/Tableau6[[#This Row],[Nb]],0)</f>
        <v>0.61538461538461542</v>
      </c>
    </row>
    <row r="1704" spans="1:6" ht="30" customHeight="1" x14ac:dyDescent="0.3">
      <c r="A1704" s="26" t="s">
        <v>2160</v>
      </c>
      <c r="B1704" s="27" t="s">
        <v>2161</v>
      </c>
      <c r="C1704" s="180">
        <v>43689</v>
      </c>
      <c r="D1704" s="28">
        <v>26</v>
      </c>
      <c r="E1704" s="49">
        <v>16</v>
      </c>
      <c r="F1704" s="211">
        <f>IFERROR(Tableau6[[#This Row],[Score]]/Tableau6[[#This Row],[Nb]],0)</f>
        <v>0.61538461538461542</v>
      </c>
    </row>
    <row r="1705" spans="1:6" ht="30" customHeight="1" x14ac:dyDescent="0.3">
      <c r="A1705" s="26" t="s">
        <v>2782</v>
      </c>
      <c r="B1705" s="27" t="s">
        <v>2783</v>
      </c>
      <c r="C1705" s="180">
        <v>43900</v>
      </c>
      <c r="D1705" s="28">
        <v>26</v>
      </c>
      <c r="E1705" s="49">
        <v>16</v>
      </c>
      <c r="F1705" s="211">
        <f>IFERROR(Tableau6[[#This Row],[Score]]/Tableau6[[#This Row],[Nb]],0)</f>
        <v>0.61538461538461542</v>
      </c>
    </row>
    <row r="1706" spans="1:6" ht="30" customHeight="1" x14ac:dyDescent="0.3">
      <c r="A1706" s="26" t="s">
        <v>2852</v>
      </c>
      <c r="B1706" s="27" t="s">
        <v>2853</v>
      </c>
      <c r="C1706" s="180">
        <v>43969</v>
      </c>
      <c r="D1706" s="28">
        <v>26</v>
      </c>
      <c r="E1706" s="49">
        <v>16</v>
      </c>
      <c r="F1706" s="211">
        <f>IFERROR(Tableau6[[#This Row],[Score]]/Tableau6[[#This Row],[Nb]],0)</f>
        <v>0.61538461538461542</v>
      </c>
    </row>
    <row r="1707" spans="1:6" ht="30" customHeight="1" x14ac:dyDescent="0.3">
      <c r="A1707" s="26" t="s">
        <v>2936</v>
      </c>
      <c r="B1707" s="27" t="s">
        <v>2937</v>
      </c>
      <c r="C1707" s="180">
        <v>44242</v>
      </c>
      <c r="D1707" s="28">
        <v>34</v>
      </c>
      <c r="E1707" s="49">
        <v>21</v>
      </c>
      <c r="F1707" s="211">
        <f>IFERROR(Tableau6[[#This Row],[Score]]/Tableau6[[#This Row],[Nb]],0)</f>
        <v>0.61764705882352944</v>
      </c>
    </row>
    <row r="1708" spans="1:6" ht="30" customHeight="1" x14ac:dyDescent="0.3">
      <c r="A1708" s="26" t="s">
        <v>4560</v>
      </c>
      <c r="B1708" s="27" t="s">
        <v>4559</v>
      </c>
      <c r="C1708" s="180">
        <v>41621</v>
      </c>
      <c r="D1708" s="28">
        <v>21</v>
      </c>
      <c r="E1708" s="49">
        <v>13</v>
      </c>
      <c r="F1708" s="211">
        <f>IFERROR(Tableau6[[#This Row],[Score]]/Tableau6[[#This Row],[Nb]],0)</f>
        <v>0.61904761904761907</v>
      </c>
    </row>
    <row r="1709" spans="1:6" ht="30" customHeight="1" x14ac:dyDescent="0.3">
      <c r="A1709" s="26" t="s">
        <v>1086</v>
      </c>
      <c r="B1709" s="27" t="s">
        <v>4502</v>
      </c>
      <c r="C1709" s="180">
        <v>41621</v>
      </c>
      <c r="D1709" s="28">
        <v>21</v>
      </c>
      <c r="E1709" s="49">
        <v>13</v>
      </c>
      <c r="F1709" s="211">
        <f>IFERROR(Tableau6[[#This Row],[Score]]/Tableau6[[#This Row],[Nb]],0)</f>
        <v>0.61904761904761907</v>
      </c>
    </row>
    <row r="1710" spans="1:6" ht="30" customHeight="1" x14ac:dyDescent="0.3">
      <c r="A1710" s="26" t="s">
        <v>3110</v>
      </c>
      <c r="B1710" s="27" t="s">
        <v>3111</v>
      </c>
      <c r="C1710" s="180">
        <v>41621</v>
      </c>
      <c r="D1710" s="28">
        <v>21</v>
      </c>
      <c r="E1710" s="49">
        <v>13</v>
      </c>
      <c r="F1710" s="211">
        <f>IFERROR(Tableau6[[#This Row],[Score]]/Tableau6[[#This Row],[Nb]],0)</f>
        <v>0.61904761904761907</v>
      </c>
    </row>
    <row r="1711" spans="1:6" ht="30" customHeight="1" x14ac:dyDescent="0.3">
      <c r="A1711" s="26" t="s">
        <v>4995</v>
      </c>
      <c r="B1711" s="27" t="s">
        <v>4996</v>
      </c>
      <c r="C1711" s="180">
        <v>41621</v>
      </c>
      <c r="D1711" s="28">
        <v>21</v>
      </c>
      <c r="E1711" s="49">
        <v>13</v>
      </c>
      <c r="F1711" s="211">
        <f>IFERROR(Tableau6[[#This Row],[Score]]/Tableau6[[#This Row],[Nb]],0)</f>
        <v>0.61904761904761907</v>
      </c>
    </row>
    <row r="1712" spans="1:6" ht="30" customHeight="1" x14ac:dyDescent="0.3">
      <c r="A1712" s="26" t="s">
        <v>184</v>
      </c>
      <c r="B1712" s="27" t="s">
        <v>185</v>
      </c>
      <c r="C1712" s="180">
        <v>43383</v>
      </c>
      <c r="D1712" s="28">
        <v>21</v>
      </c>
      <c r="E1712" s="49">
        <v>13</v>
      </c>
      <c r="F1712" s="211">
        <f>IFERROR(Tableau6[[#This Row],[Score]]/Tableau6[[#This Row],[Nb]],0)</f>
        <v>0.61904761904761907</v>
      </c>
    </row>
    <row r="1713" spans="1:6" ht="30" customHeight="1" x14ac:dyDescent="0.3">
      <c r="A1713" s="26" t="s">
        <v>206</v>
      </c>
      <c r="B1713" s="27" t="s">
        <v>4557</v>
      </c>
      <c r="C1713" s="180">
        <v>43401</v>
      </c>
      <c r="D1713" s="28">
        <v>21</v>
      </c>
      <c r="E1713" s="49">
        <v>13</v>
      </c>
      <c r="F1713" s="211">
        <f>IFERROR(Tableau6[[#This Row],[Score]]/Tableau6[[#This Row],[Nb]],0)</f>
        <v>0.61904761904761907</v>
      </c>
    </row>
    <row r="1714" spans="1:6" ht="30" customHeight="1" x14ac:dyDescent="0.3">
      <c r="A1714" s="26" t="s">
        <v>573</v>
      </c>
      <c r="B1714" s="27" t="s">
        <v>3543</v>
      </c>
      <c r="C1714" s="180">
        <v>43605</v>
      </c>
      <c r="D1714" s="28">
        <v>21</v>
      </c>
      <c r="E1714" s="49">
        <v>13</v>
      </c>
      <c r="F1714" s="211">
        <f>IFERROR(Tableau6[[#This Row],[Score]]/Tableau6[[#This Row],[Nb]],0)</f>
        <v>0.61904761904761907</v>
      </c>
    </row>
    <row r="1715" spans="1:6" ht="30" customHeight="1" x14ac:dyDescent="0.3">
      <c r="A1715" s="26" t="s">
        <v>2113</v>
      </c>
      <c r="B1715" s="27" t="s">
        <v>2114</v>
      </c>
      <c r="C1715" s="180">
        <v>43673</v>
      </c>
      <c r="D1715" s="28">
        <v>21</v>
      </c>
      <c r="E1715" s="49">
        <v>13</v>
      </c>
      <c r="F1715" s="211">
        <f>IFERROR(Tableau6[[#This Row],[Score]]/Tableau6[[#This Row],[Nb]],0)</f>
        <v>0.61904761904761907</v>
      </c>
    </row>
    <row r="1716" spans="1:6" ht="30" customHeight="1" x14ac:dyDescent="0.3">
      <c r="A1716" s="26" t="s">
        <v>2183</v>
      </c>
      <c r="B1716" s="27" t="s">
        <v>2184</v>
      </c>
      <c r="C1716" s="180">
        <v>43826</v>
      </c>
      <c r="D1716" s="28">
        <v>21</v>
      </c>
      <c r="E1716" s="49">
        <v>13</v>
      </c>
      <c r="F1716" s="211">
        <f>IFERROR(Tableau6[[#This Row],[Score]]/Tableau6[[#This Row],[Nb]],0)</f>
        <v>0.61904761904761907</v>
      </c>
    </row>
    <row r="1717" spans="1:6" ht="30" customHeight="1" x14ac:dyDescent="0.3">
      <c r="A1717" s="26" t="s">
        <v>3448</v>
      </c>
      <c r="B1717" s="27" t="s">
        <v>2828</v>
      </c>
      <c r="C1717" s="180">
        <v>43962</v>
      </c>
      <c r="D1717" s="28">
        <v>21</v>
      </c>
      <c r="E1717" s="49">
        <v>13</v>
      </c>
      <c r="F1717" s="211">
        <f>IFERROR(Tableau6[[#This Row],[Score]]/Tableau6[[#This Row],[Nb]],0)</f>
        <v>0.61904761904761907</v>
      </c>
    </row>
    <row r="1718" spans="1:6" ht="30" customHeight="1" x14ac:dyDescent="0.3">
      <c r="A1718" s="26" t="s">
        <v>3091</v>
      </c>
      <c r="B1718" s="27" t="s">
        <v>3092</v>
      </c>
      <c r="C1718" s="180">
        <v>44004</v>
      </c>
      <c r="D1718" s="28">
        <v>21</v>
      </c>
      <c r="E1718" s="49">
        <v>13</v>
      </c>
      <c r="F1718" s="211">
        <f>IFERROR(Tableau6[[#This Row],[Score]]/Tableau6[[#This Row],[Nb]],0)</f>
        <v>0.61904761904761907</v>
      </c>
    </row>
    <row r="1719" spans="1:6" ht="30" customHeight="1" x14ac:dyDescent="0.3">
      <c r="A1719" s="26" t="s">
        <v>3652</v>
      </c>
      <c r="B1719" s="27" t="s">
        <v>3653</v>
      </c>
      <c r="C1719" s="180">
        <v>44241</v>
      </c>
      <c r="D1719" s="28">
        <v>21</v>
      </c>
      <c r="E1719" s="49">
        <v>13</v>
      </c>
      <c r="F1719" s="211">
        <f>IFERROR(Tableau6[[#This Row],[Score]]/Tableau6[[#This Row],[Nb]],0)</f>
        <v>0.61904761904761907</v>
      </c>
    </row>
    <row r="1720" spans="1:6" ht="30" customHeight="1" x14ac:dyDescent="0.3">
      <c r="A1720" s="26" t="s">
        <v>3763</v>
      </c>
      <c r="B1720" s="27" t="s">
        <v>3764</v>
      </c>
      <c r="C1720" s="180">
        <v>44251</v>
      </c>
      <c r="D1720" s="28">
        <v>21</v>
      </c>
      <c r="E1720" s="49">
        <v>13</v>
      </c>
      <c r="F1720" s="211">
        <f>IFERROR(Tableau6[[#This Row],[Score]]/Tableau6[[#This Row],[Nb]],0)</f>
        <v>0.61904761904761907</v>
      </c>
    </row>
    <row r="1721" spans="1:6" ht="30" customHeight="1" x14ac:dyDescent="0.3">
      <c r="A1721" s="26" t="s">
        <v>3958</v>
      </c>
      <c r="B1721" s="27" t="s">
        <v>3959</v>
      </c>
      <c r="C1721" s="180">
        <v>44262</v>
      </c>
      <c r="D1721" s="28">
        <v>21</v>
      </c>
      <c r="E1721" s="49">
        <v>13</v>
      </c>
      <c r="F1721" s="211">
        <f>IFERROR(Tableau6[[#This Row],[Score]]/Tableau6[[#This Row],[Nb]],0)</f>
        <v>0.61904761904761907</v>
      </c>
    </row>
    <row r="1722" spans="1:6" ht="30" customHeight="1" x14ac:dyDescent="0.3">
      <c r="A1722" s="26" t="s">
        <v>3956</v>
      </c>
      <c r="B1722" s="27" t="s">
        <v>3957</v>
      </c>
      <c r="C1722" s="180">
        <v>44262</v>
      </c>
      <c r="D1722" s="28">
        <v>21</v>
      </c>
      <c r="E1722" s="49">
        <v>13</v>
      </c>
      <c r="F1722" s="211">
        <f>IFERROR(Tableau6[[#This Row],[Score]]/Tableau6[[#This Row],[Nb]],0)</f>
        <v>0.61904761904761907</v>
      </c>
    </row>
    <row r="1723" spans="1:6" ht="30" customHeight="1" x14ac:dyDescent="0.3">
      <c r="A1723" s="26" t="s">
        <v>4877</v>
      </c>
      <c r="B1723" s="27" t="s">
        <v>4878</v>
      </c>
      <c r="C1723" s="180">
        <v>44399</v>
      </c>
      <c r="D1723" s="28">
        <v>21</v>
      </c>
      <c r="E1723" s="49">
        <v>13</v>
      </c>
      <c r="F1723" s="211">
        <f>IFERROR(Tableau6[[#This Row],[Score]]/Tableau6[[#This Row],[Nb]],0)</f>
        <v>0.61904761904761907</v>
      </c>
    </row>
    <row r="1724" spans="1:6" ht="30" customHeight="1" x14ac:dyDescent="0.3">
      <c r="A1724" s="26" t="s">
        <v>915</v>
      </c>
      <c r="B1724" s="27" t="s">
        <v>916</v>
      </c>
      <c r="C1724" s="180">
        <v>41522</v>
      </c>
      <c r="D1724" s="28">
        <v>29</v>
      </c>
      <c r="E1724" s="49">
        <v>18</v>
      </c>
      <c r="F1724" s="211">
        <f>IFERROR(Tableau6[[#This Row],[Score]]/Tableau6[[#This Row],[Nb]],0)</f>
        <v>0.62068965517241381</v>
      </c>
    </row>
    <row r="1725" spans="1:6" ht="30" customHeight="1" x14ac:dyDescent="0.3">
      <c r="A1725" s="26" t="s">
        <v>273</v>
      </c>
      <c r="B1725" s="27" t="s">
        <v>274</v>
      </c>
      <c r="C1725" s="180">
        <v>41522</v>
      </c>
      <c r="D1725" s="28">
        <v>29</v>
      </c>
      <c r="E1725" s="49">
        <v>18</v>
      </c>
      <c r="F1725" s="211">
        <f>IFERROR(Tableau6[[#This Row],[Score]]/Tableau6[[#This Row],[Nb]],0)</f>
        <v>0.62068965517241381</v>
      </c>
    </row>
    <row r="1726" spans="1:6" ht="30" customHeight="1" x14ac:dyDescent="0.3">
      <c r="A1726" s="26" t="s">
        <v>733</v>
      </c>
      <c r="B1726" s="27" t="s">
        <v>4516</v>
      </c>
      <c r="C1726" s="180">
        <v>41621</v>
      </c>
      <c r="D1726" s="28">
        <v>29</v>
      </c>
      <c r="E1726" s="49">
        <v>18</v>
      </c>
      <c r="F1726" s="211">
        <f>IFERROR(Tableau6[[#This Row],[Score]]/Tableau6[[#This Row],[Nb]],0)</f>
        <v>0.62068965517241381</v>
      </c>
    </row>
    <row r="1727" spans="1:6" ht="30" customHeight="1" x14ac:dyDescent="0.3">
      <c r="A1727" s="26" t="s">
        <v>1211</v>
      </c>
      <c r="B1727" s="27" t="s">
        <v>4164</v>
      </c>
      <c r="C1727" s="180">
        <v>43418</v>
      </c>
      <c r="D1727" s="28">
        <v>29</v>
      </c>
      <c r="E1727" s="49">
        <v>18</v>
      </c>
      <c r="F1727" s="211">
        <f>IFERROR(Tableau6[[#This Row],[Score]]/Tableau6[[#This Row],[Nb]],0)</f>
        <v>0.62068965517241381</v>
      </c>
    </row>
    <row r="1728" spans="1:6" ht="30" customHeight="1" x14ac:dyDescent="0.3">
      <c r="A1728" s="377" t="s">
        <v>6503</v>
      </c>
      <c r="B1728" s="27" t="s">
        <v>4175</v>
      </c>
      <c r="C1728" s="180">
        <v>40611</v>
      </c>
      <c r="D1728" s="28">
        <v>16</v>
      </c>
      <c r="E1728" s="49">
        <v>10</v>
      </c>
      <c r="F1728" s="211">
        <f>IFERROR(Tableau6[[#This Row],[Score]]/Tableau6[[#This Row],[Nb]],0)</f>
        <v>0.625</v>
      </c>
    </row>
    <row r="1729" spans="1:6" ht="30" customHeight="1" x14ac:dyDescent="0.3">
      <c r="A1729" s="26" t="s">
        <v>436</v>
      </c>
      <c r="B1729" s="27" t="s">
        <v>437</v>
      </c>
      <c r="C1729" s="180">
        <v>40611</v>
      </c>
      <c r="D1729" s="28">
        <v>16</v>
      </c>
      <c r="E1729" s="49">
        <v>10</v>
      </c>
      <c r="F1729" s="211">
        <f>IFERROR(Tableau6[[#This Row],[Score]]/Tableau6[[#This Row],[Nb]],0)</f>
        <v>0.625</v>
      </c>
    </row>
    <row r="1730" spans="1:6" ht="30" customHeight="1" x14ac:dyDescent="0.3">
      <c r="A1730" s="26" t="s">
        <v>480</v>
      </c>
      <c r="B1730" s="27" t="s">
        <v>481</v>
      </c>
      <c r="C1730" s="180">
        <v>40611</v>
      </c>
      <c r="D1730" s="28">
        <v>16</v>
      </c>
      <c r="E1730" s="49">
        <v>10</v>
      </c>
      <c r="F1730" s="211">
        <f>IFERROR(Tableau6[[#This Row],[Score]]/Tableau6[[#This Row],[Nb]],0)</f>
        <v>0.625</v>
      </c>
    </row>
    <row r="1731" spans="1:6" ht="30" customHeight="1" x14ac:dyDescent="0.3">
      <c r="A1731" s="26" t="s">
        <v>1022</v>
      </c>
      <c r="B1731" s="27" t="s">
        <v>888</v>
      </c>
      <c r="C1731" s="180">
        <v>41621</v>
      </c>
      <c r="D1731" s="28">
        <v>24</v>
      </c>
      <c r="E1731" s="49">
        <v>15</v>
      </c>
      <c r="F1731" s="211">
        <f>IFERROR(Tableau6[[#This Row],[Score]]/Tableau6[[#This Row],[Nb]],0)</f>
        <v>0.625</v>
      </c>
    </row>
    <row r="1732" spans="1:6" ht="30" customHeight="1" x14ac:dyDescent="0.3">
      <c r="A1732" s="26" t="s">
        <v>2914</v>
      </c>
      <c r="B1732" s="27" t="s">
        <v>2915</v>
      </c>
      <c r="C1732" s="180">
        <v>41621</v>
      </c>
      <c r="D1732" s="28">
        <v>16</v>
      </c>
      <c r="E1732" s="49">
        <v>10</v>
      </c>
      <c r="F1732" s="211">
        <f>IFERROR(Tableau6[[#This Row],[Score]]/Tableau6[[#This Row],[Nb]],0)</f>
        <v>0.625</v>
      </c>
    </row>
    <row r="1733" spans="1:6" ht="30" customHeight="1" x14ac:dyDescent="0.3">
      <c r="A1733" s="26" t="s">
        <v>804</v>
      </c>
      <c r="B1733" s="27" t="s">
        <v>4698</v>
      </c>
      <c r="C1733" s="180">
        <v>41621</v>
      </c>
      <c r="D1733" s="28">
        <v>16</v>
      </c>
      <c r="E1733" s="49">
        <v>10</v>
      </c>
      <c r="F1733" s="211">
        <f>IFERROR(Tableau6[[#This Row],[Score]]/Tableau6[[#This Row],[Nb]],0)</f>
        <v>0.625</v>
      </c>
    </row>
    <row r="1734" spans="1:6" ht="30" customHeight="1" x14ac:dyDescent="0.3">
      <c r="A1734" s="26" t="s">
        <v>4028</v>
      </c>
      <c r="B1734" s="27" t="s">
        <v>4027</v>
      </c>
      <c r="C1734" s="180">
        <v>41621</v>
      </c>
      <c r="D1734" s="28">
        <v>24</v>
      </c>
      <c r="E1734" s="49">
        <v>15</v>
      </c>
      <c r="F1734" s="211">
        <f>IFERROR(Tableau6[[#This Row],[Score]]/Tableau6[[#This Row],[Nb]],0)</f>
        <v>0.625</v>
      </c>
    </row>
    <row r="1735" spans="1:6" ht="30" customHeight="1" x14ac:dyDescent="0.3">
      <c r="A1735" s="26" t="s">
        <v>3179</v>
      </c>
      <c r="B1735" s="27" t="s">
        <v>3180</v>
      </c>
      <c r="C1735" s="180">
        <v>43205</v>
      </c>
      <c r="D1735" s="28">
        <v>24</v>
      </c>
      <c r="E1735" s="49">
        <v>15</v>
      </c>
      <c r="F1735" s="211">
        <f>IFERROR(Tableau6[[#This Row],[Score]]/Tableau6[[#This Row],[Nb]],0)</f>
        <v>0.625</v>
      </c>
    </row>
    <row r="1736" spans="1:6" ht="30" customHeight="1" x14ac:dyDescent="0.3">
      <c r="A1736" s="26" t="s">
        <v>906</v>
      </c>
      <c r="B1736" s="27" t="s">
        <v>4804</v>
      </c>
      <c r="C1736" s="180">
        <v>43237</v>
      </c>
      <c r="D1736" s="28">
        <v>16</v>
      </c>
      <c r="E1736" s="49">
        <v>10</v>
      </c>
      <c r="F1736" s="211">
        <f>IFERROR(Tableau6[[#This Row],[Score]]/Tableau6[[#This Row],[Nb]],0)</f>
        <v>0.625</v>
      </c>
    </row>
    <row r="1737" spans="1:6" ht="30" customHeight="1" x14ac:dyDescent="0.3">
      <c r="A1737" s="26" t="s">
        <v>54</v>
      </c>
      <c r="B1737" s="27" t="s">
        <v>55</v>
      </c>
      <c r="C1737" s="180">
        <v>43298</v>
      </c>
      <c r="D1737" s="28">
        <v>24</v>
      </c>
      <c r="E1737" s="49">
        <v>15</v>
      </c>
      <c r="F1737" s="211">
        <f>IFERROR(Tableau6[[#This Row],[Score]]/Tableau6[[#This Row],[Nb]],0)</f>
        <v>0.625</v>
      </c>
    </row>
    <row r="1738" spans="1:6" ht="30" customHeight="1" x14ac:dyDescent="0.3">
      <c r="A1738" s="26" t="s">
        <v>222</v>
      </c>
      <c r="B1738" s="27" t="s">
        <v>223</v>
      </c>
      <c r="C1738" s="180">
        <v>43400</v>
      </c>
      <c r="D1738" s="28">
        <v>24</v>
      </c>
      <c r="E1738" s="49">
        <v>15</v>
      </c>
      <c r="F1738" s="211">
        <f>IFERROR(Tableau6[[#This Row],[Score]]/Tableau6[[#This Row],[Nb]],0)</f>
        <v>0.625</v>
      </c>
    </row>
    <row r="1739" spans="1:6" ht="30" customHeight="1" x14ac:dyDescent="0.3">
      <c r="A1739" s="26" t="s">
        <v>3601</v>
      </c>
      <c r="B1739" s="27" t="s">
        <v>570</v>
      </c>
      <c r="C1739" s="180">
        <v>43406</v>
      </c>
      <c r="D1739" s="28">
        <v>24</v>
      </c>
      <c r="E1739" s="49">
        <v>15</v>
      </c>
      <c r="F1739" s="211">
        <f>IFERROR(Tableau6[[#This Row],[Score]]/Tableau6[[#This Row],[Nb]],0)</f>
        <v>0.625</v>
      </c>
    </row>
    <row r="1740" spans="1:6" ht="30" customHeight="1" x14ac:dyDescent="0.3">
      <c r="A1740" s="26" t="s">
        <v>1203</v>
      </c>
      <c r="B1740" s="27" t="s">
        <v>3822</v>
      </c>
      <c r="C1740" s="180">
        <v>43422</v>
      </c>
      <c r="D1740" s="28">
        <v>24</v>
      </c>
      <c r="E1740" s="49">
        <v>15</v>
      </c>
      <c r="F1740" s="211">
        <f>IFERROR(Tableau6[[#This Row],[Score]]/Tableau6[[#This Row],[Nb]],0)</f>
        <v>0.625</v>
      </c>
    </row>
    <row r="1741" spans="1:6" ht="30" customHeight="1" x14ac:dyDescent="0.3">
      <c r="A1741" s="26" t="s">
        <v>2109</v>
      </c>
      <c r="B1741" s="27" t="s">
        <v>2110</v>
      </c>
      <c r="C1741" s="180">
        <v>43673</v>
      </c>
      <c r="D1741" s="28">
        <v>16</v>
      </c>
      <c r="E1741" s="49">
        <v>10</v>
      </c>
      <c r="F1741" s="211">
        <f>IFERROR(Tableau6[[#This Row],[Score]]/Tableau6[[#This Row],[Nb]],0)</f>
        <v>0.625</v>
      </c>
    </row>
    <row r="1742" spans="1:6" ht="30" customHeight="1" x14ac:dyDescent="0.3">
      <c r="A1742" s="26" t="s">
        <v>4605</v>
      </c>
      <c r="B1742" s="27" t="s">
        <v>2569</v>
      </c>
      <c r="C1742" s="180">
        <v>43826</v>
      </c>
      <c r="D1742" s="28">
        <v>16</v>
      </c>
      <c r="E1742" s="49">
        <v>10</v>
      </c>
      <c r="F1742" s="211">
        <f>IFERROR(Tableau6[[#This Row],[Score]]/Tableau6[[#This Row],[Nb]],0)</f>
        <v>0.625</v>
      </c>
    </row>
    <row r="1743" spans="1:6" ht="30" customHeight="1" x14ac:dyDescent="0.3">
      <c r="A1743" s="26" t="s">
        <v>2620</v>
      </c>
      <c r="B1743" s="27" t="s">
        <v>2621</v>
      </c>
      <c r="C1743" s="180">
        <v>43857</v>
      </c>
      <c r="D1743" s="28">
        <v>16</v>
      </c>
      <c r="E1743" s="49">
        <v>10</v>
      </c>
      <c r="F1743" s="211">
        <f>IFERROR(Tableau6[[#This Row],[Score]]/Tableau6[[#This Row],[Nb]],0)</f>
        <v>0.625</v>
      </c>
    </row>
    <row r="1744" spans="1:6" ht="30" customHeight="1" x14ac:dyDescent="0.3">
      <c r="A1744" s="26" t="s">
        <v>2623</v>
      </c>
      <c r="B1744" s="27" t="s">
        <v>2622</v>
      </c>
      <c r="C1744" s="180">
        <v>43857</v>
      </c>
      <c r="D1744" s="28">
        <v>16</v>
      </c>
      <c r="E1744" s="49">
        <v>10</v>
      </c>
      <c r="F1744" s="211">
        <f>IFERROR(Tableau6[[#This Row],[Score]]/Tableau6[[#This Row],[Nb]],0)</f>
        <v>0.625</v>
      </c>
    </row>
    <row r="1745" spans="1:6" ht="30" customHeight="1" x14ac:dyDescent="0.3">
      <c r="A1745" s="26" t="s">
        <v>2634</v>
      </c>
      <c r="B1745" s="27" t="s">
        <v>2635</v>
      </c>
      <c r="C1745" s="180">
        <v>43872</v>
      </c>
      <c r="D1745" s="28">
        <v>24</v>
      </c>
      <c r="E1745" s="49">
        <v>15</v>
      </c>
      <c r="F1745" s="211">
        <f>IFERROR(Tableau6[[#This Row],[Score]]/Tableau6[[#This Row],[Nb]],0)</f>
        <v>0.625</v>
      </c>
    </row>
    <row r="1746" spans="1:6" ht="30" customHeight="1" x14ac:dyDescent="0.3">
      <c r="A1746" s="26" t="s">
        <v>2766</v>
      </c>
      <c r="B1746" s="27" t="s">
        <v>2767</v>
      </c>
      <c r="C1746" s="180">
        <v>43900</v>
      </c>
      <c r="D1746" s="28">
        <v>32</v>
      </c>
      <c r="E1746" s="49">
        <v>20</v>
      </c>
      <c r="F1746" s="211">
        <f>IFERROR(Tableau6[[#This Row],[Score]]/Tableau6[[#This Row],[Nb]],0)</f>
        <v>0.625</v>
      </c>
    </row>
    <row r="1747" spans="1:6" ht="30" customHeight="1" x14ac:dyDescent="0.3">
      <c r="A1747" s="26" t="s">
        <v>3056</v>
      </c>
      <c r="B1747" s="27" t="s">
        <v>3057</v>
      </c>
      <c r="C1747" s="180">
        <v>44004</v>
      </c>
      <c r="D1747" s="28">
        <v>8</v>
      </c>
      <c r="E1747" s="49">
        <v>5</v>
      </c>
      <c r="F1747" s="211">
        <f>IFERROR(Tableau6[[#This Row],[Score]]/Tableau6[[#This Row],[Nb]],0)</f>
        <v>0.625</v>
      </c>
    </row>
    <row r="1748" spans="1:6" ht="30" customHeight="1" x14ac:dyDescent="0.3">
      <c r="A1748" s="151" t="s">
        <v>5170</v>
      </c>
      <c r="B1748" s="27" t="s">
        <v>3028</v>
      </c>
      <c r="C1748" s="180">
        <v>44004</v>
      </c>
      <c r="D1748" s="28">
        <v>16</v>
      </c>
      <c r="E1748" s="49">
        <v>10</v>
      </c>
      <c r="F1748" s="211">
        <f>IFERROR(Tableau6[[#This Row],[Score]]/Tableau6[[#This Row],[Nb]],0)</f>
        <v>0.625</v>
      </c>
    </row>
    <row r="1749" spans="1:6" ht="30" customHeight="1" x14ac:dyDescent="0.3">
      <c r="A1749" s="26" t="s">
        <v>3552</v>
      </c>
      <c r="B1749" s="27" t="s">
        <v>3553</v>
      </c>
      <c r="C1749" s="180">
        <v>44235</v>
      </c>
      <c r="D1749" s="28">
        <v>16</v>
      </c>
      <c r="E1749" s="49">
        <v>10</v>
      </c>
      <c r="F1749" s="211">
        <f>IFERROR(Tableau6[[#This Row],[Score]]/Tableau6[[#This Row],[Nb]],0)</f>
        <v>0.625</v>
      </c>
    </row>
    <row r="1750" spans="1:6" ht="30" customHeight="1" x14ac:dyDescent="0.3">
      <c r="A1750" s="26" t="s">
        <v>4002</v>
      </c>
      <c r="B1750" s="27" t="s">
        <v>4003</v>
      </c>
      <c r="C1750" s="180">
        <v>44262</v>
      </c>
      <c r="D1750" s="28">
        <v>16</v>
      </c>
      <c r="E1750" s="49">
        <v>10</v>
      </c>
      <c r="F1750" s="211">
        <f>IFERROR(Tableau6[[#This Row],[Score]]/Tableau6[[#This Row],[Nb]],0)</f>
        <v>0.625</v>
      </c>
    </row>
    <row r="1751" spans="1:6" ht="30" customHeight="1" x14ac:dyDescent="0.3">
      <c r="A1751" s="26" t="s">
        <v>4391</v>
      </c>
      <c r="B1751" s="27" t="s">
        <v>4392</v>
      </c>
      <c r="C1751" s="180">
        <v>44299</v>
      </c>
      <c r="D1751" s="28">
        <v>24</v>
      </c>
      <c r="E1751" s="49">
        <v>15</v>
      </c>
      <c r="F1751" s="211">
        <f>IFERROR(Tableau6[[#This Row],[Score]]/Tableau6[[#This Row],[Nb]],0)</f>
        <v>0.625</v>
      </c>
    </row>
    <row r="1752" spans="1:6" ht="30" customHeight="1" x14ac:dyDescent="0.3">
      <c r="A1752" s="26" t="s">
        <v>2311</v>
      </c>
      <c r="B1752" s="27" t="s">
        <v>2312</v>
      </c>
      <c r="C1752" s="180">
        <v>41522</v>
      </c>
      <c r="D1752" s="28">
        <v>35</v>
      </c>
      <c r="E1752" s="49">
        <v>22</v>
      </c>
      <c r="F1752" s="211">
        <f>IFERROR(Tableau6[[#This Row],[Score]]/Tableau6[[#This Row],[Nb]],0)</f>
        <v>0.62857142857142856</v>
      </c>
    </row>
    <row r="1753" spans="1:6" ht="30" customHeight="1" x14ac:dyDescent="0.3">
      <c r="A1753" s="26" t="s">
        <v>3453</v>
      </c>
      <c r="B1753" s="27" t="s">
        <v>1159</v>
      </c>
      <c r="C1753" s="180">
        <v>43422</v>
      </c>
      <c r="D1753" s="28">
        <v>35</v>
      </c>
      <c r="E1753" s="49">
        <v>22</v>
      </c>
      <c r="F1753" s="211">
        <f>IFERROR(Tableau6[[#This Row],[Score]]/Tableau6[[#This Row],[Nb]],0)</f>
        <v>0.62857142857142856</v>
      </c>
    </row>
    <row r="1754" spans="1:6" ht="30" customHeight="1" x14ac:dyDescent="0.3">
      <c r="A1754" s="26" t="s">
        <v>310</v>
      </c>
      <c r="B1754" s="27" t="s">
        <v>311</v>
      </c>
      <c r="C1754" s="180">
        <v>40611</v>
      </c>
      <c r="D1754" s="28">
        <v>27</v>
      </c>
      <c r="E1754" s="49">
        <v>17</v>
      </c>
      <c r="F1754" s="211">
        <f>IFERROR(Tableau6[[#This Row],[Score]]/Tableau6[[#This Row],[Nb]],0)</f>
        <v>0.62962962962962965</v>
      </c>
    </row>
    <row r="1755" spans="1:6" ht="30" customHeight="1" x14ac:dyDescent="0.3">
      <c r="A1755" s="26" t="s">
        <v>999</v>
      </c>
      <c r="B1755" s="27" t="s">
        <v>810</v>
      </c>
      <c r="C1755" s="180">
        <v>41621</v>
      </c>
      <c r="D1755" s="28">
        <v>27</v>
      </c>
      <c r="E1755" s="49">
        <v>17</v>
      </c>
      <c r="F1755" s="211">
        <f>IFERROR(Tableau6[[#This Row],[Score]]/Tableau6[[#This Row],[Nb]],0)</f>
        <v>0.62962962962962965</v>
      </c>
    </row>
    <row r="1756" spans="1:6" ht="30" customHeight="1" x14ac:dyDescent="0.3">
      <c r="A1756" s="26" t="s">
        <v>195</v>
      </c>
      <c r="B1756" s="27" t="s">
        <v>196</v>
      </c>
      <c r="C1756" s="180">
        <v>43401</v>
      </c>
      <c r="D1756" s="28">
        <v>27</v>
      </c>
      <c r="E1756" s="49">
        <v>17</v>
      </c>
      <c r="F1756" s="211">
        <f>IFERROR(Tableau6[[#This Row],[Score]]/Tableau6[[#This Row],[Nb]],0)</f>
        <v>0.62962962962962965</v>
      </c>
    </row>
    <row r="1757" spans="1:6" ht="30" customHeight="1" x14ac:dyDescent="0.3">
      <c r="A1757" s="26" t="s">
        <v>1607</v>
      </c>
      <c r="B1757" s="27" t="s">
        <v>3775</v>
      </c>
      <c r="C1757" s="180">
        <v>43540</v>
      </c>
      <c r="D1757" s="28">
        <v>27</v>
      </c>
      <c r="E1757" s="49">
        <v>17</v>
      </c>
      <c r="F1757" s="211">
        <f>IFERROR(Tableau6[[#This Row],[Score]]/Tableau6[[#This Row],[Nb]],0)</f>
        <v>0.62962962962962965</v>
      </c>
    </row>
    <row r="1758" spans="1:6" ht="30" customHeight="1" x14ac:dyDescent="0.3">
      <c r="A1758" s="26" t="s">
        <v>1502</v>
      </c>
      <c r="B1758" s="27" t="s">
        <v>1503</v>
      </c>
      <c r="C1758" s="180">
        <v>43761</v>
      </c>
      <c r="D1758" s="28">
        <v>27</v>
      </c>
      <c r="E1758" s="49">
        <v>17</v>
      </c>
      <c r="F1758" s="211">
        <f>IFERROR(Tableau6[[#This Row],[Score]]/Tableau6[[#This Row],[Nb]],0)</f>
        <v>0.62962962962962965</v>
      </c>
    </row>
    <row r="1759" spans="1:6" ht="30" customHeight="1" x14ac:dyDescent="0.3">
      <c r="A1759" s="26" t="s">
        <v>2368</v>
      </c>
      <c r="B1759" s="27" t="s">
        <v>2369</v>
      </c>
      <c r="C1759" s="180">
        <v>43771</v>
      </c>
      <c r="D1759" s="28">
        <v>27</v>
      </c>
      <c r="E1759" s="49">
        <v>17</v>
      </c>
      <c r="F1759" s="211">
        <f>IFERROR(Tableau6[[#This Row],[Score]]/Tableau6[[#This Row],[Nb]],0)</f>
        <v>0.62962962962962965</v>
      </c>
    </row>
    <row r="1760" spans="1:6" ht="30" customHeight="1" x14ac:dyDescent="0.3">
      <c r="A1760" s="26" t="s">
        <v>2366</v>
      </c>
      <c r="B1760" s="27" t="s">
        <v>2367</v>
      </c>
      <c r="C1760" s="180">
        <v>43771</v>
      </c>
      <c r="D1760" s="28">
        <v>27</v>
      </c>
      <c r="E1760" s="49">
        <v>17</v>
      </c>
      <c r="F1760" s="211">
        <f>IFERROR(Tableau6[[#This Row],[Score]]/Tableau6[[#This Row],[Nb]],0)</f>
        <v>0.62962962962962965</v>
      </c>
    </row>
    <row r="1761" spans="1:6" ht="30" customHeight="1" x14ac:dyDescent="0.3">
      <c r="A1761" s="26" t="s">
        <v>2551</v>
      </c>
      <c r="B1761" s="27" t="s">
        <v>2552</v>
      </c>
      <c r="C1761" s="180">
        <v>43826</v>
      </c>
      <c r="D1761" s="28">
        <v>27</v>
      </c>
      <c r="E1761" s="49">
        <v>17</v>
      </c>
      <c r="F1761" s="211">
        <f>IFERROR(Tableau6[[#This Row],[Score]]/Tableau6[[#This Row],[Nb]],0)</f>
        <v>0.62962962962962965</v>
      </c>
    </row>
    <row r="1762" spans="1:6" ht="30" customHeight="1" x14ac:dyDescent="0.3">
      <c r="A1762" s="26" t="s">
        <v>3073</v>
      </c>
      <c r="B1762" s="27" t="s">
        <v>3074</v>
      </c>
      <c r="C1762" s="180">
        <v>44004</v>
      </c>
      <c r="D1762" s="28">
        <v>27</v>
      </c>
      <c r="E1762" s="49">
        <v>17</v>
      </c>
      <c r="F1762" s="211">
        <f>IFERROR(Tableau6[[#This Row],[Score]]/Tableau6[[#This Row],[Nb]],0)</f>
        <v>0.62962962962962965</v>
      </c>
    </row>
    <row r="1763" spans="1:6" ht="30" customHeight="1" x14ac:dyDescent="0.3">
      <c r="A1763" s="26" t="s">
        <v>3560</v>
      </c>
      <c r="B1763" s="27" t="s">
        <v>3561</v>
      </c>
      <c r="C1763" s="180">
        <v>44235</v>
      </c>
      <c r="D1763" s="28">
        <v>27</v>
      </c>
      <c r="E1763" s="49">
        <v>17</v>
      </c>
      <c r="F1763" s="211">
        <f>IFERROR(Tableau6[[#This Row],[Score]]/Tableau6[[#This Row],[Nb]],0)</f>
        <v>0.62962962962962965</v>
      </c>
    </row>
    <row r="1764" spans="1:6" ht="30" customHeight="1" x14ac:dyDescent="0.3">
      <c r="A1764" s="26" t="s">
        <v>4107</v>
      </c>
      <c r="B1764" s="27" t="s">
        <v>4108</v>
      </c>
      <c r="C1764" s="180">
        <v>44269</v>
      </c>
      <c r="D1764" s="28">
        <v>27</v>
      </c>
      <c r="E1764" s="49">
        <v>17</v>
      </c>
      <c r="F1764" s="211">
        <f>IFERROR(Tableau6[[#This Row],[Score]]/Tableau6[[#This Row],[Nb]],0)</f>
        <v>0.62962962962962965</v>
      </c>
    </row>
    <row r="1765" spans="1:6" ht="30" customHeight="1" x14ac:dyDescent="0.3">
      <c r="A1765" s="26" t="s">
        <v>302</v>
      </c>
      <c r="B1765" s="27" t="s">
        <v>303</v>
      </c>
      <c r="C1765" s="180">
        <v>40611</v>
      </c>
      <c r="D1765" s="28">
        <v>19</v>
      </c>
      <c r="E1765" s="49">
        <v>12</v>
      </c>
      <c r="F1765" s="211">
        <f>IFERROR(Tableau6[[#This Row],[Score]]/Tableau6[[#This Row],[Nb]],0)</f>
        <v>0.63157894736842102</v>
      </c>
    </row>
    <row r="1766" spans="1:6" ht="30" customHeight="1" x14ac:dyDescent="0.3">
      <c r="A1766" s="26" t="s">
        <v>404</v>
      </c>
      <c r="B1766" s="27" t="s">
        <v>405</v>
      </c>
      <c r="C1766" s="180">
        <v>40611</v>
      </c>
      <c r="D1766" s="28">
        <v>19</v>
      </c>
      <c r="E1766" s="49">
        <v>12</v>
      </c>
      <c r="F1766" s="211">
        <f>IFERROR(Tableau6[[#This Row],[Score]]/Tableau6[[#This Row],[Nb]],0)</f>
        <v>0.63157894736842102</v>
      </c>
    </row>
    <row r="1767" spans="1:6" ht="30" customHeight="1" x14ac:dyDescent="0.3">
      <c r="A1767" s="26" t="s">
        <v>664</v>
      </c>
      <c r="B1767" s="27" t="s">
        <v>1075</v>
      </c>
      <c r="C1767" s="180">
        <v>43237</v>
      </c>
      <c r="D1767" s="28">
        <v>19</v>
      </c>
      <c r="E1767" s="49">
        <v>12</v>
      </c>
      <c r="F1767" s="211">
        <f>IFERROR(Tableau6[[#This Row],[Score]]/Tableau6[[#This Row],[Nb]],0)</f>
        <v>0.63157894736842102</v>
      </c>
    </row>
    <row r="1768" spans="1:6" ht="30" customHeight="1" x14ac:dyDescent="0.3">
      <c r="A1768" s="26" t="s">
        <v>3609</v>
      </c>
      <c r="B1768" s="27" t="s">
        <v>3370</v>
      </c>
      <c r="C1768" s="180">
        <v>43237</v>
      </c>
      <c r="D1768" s="28">
        <v>19</v>
      </c>
      <c r="E1768" s="49">
        <v>12</v>
      </c>
      <c r="F1768" s="211">
        <f>IFERROR(Tableau6[[#This Row],[Score]]/Tableau6[[#This Row],[Nb]],0)</f>
        <v>0.63157894736842102</v>
      </c>
    </row>
    <row r="1769" spans="1:6" ht="30" customHeight="1" x14ac:dyDescent="0.3">
      <c r="A1769" s="26" t="s">
        <v>128</v>
      </c>
      <c r="B1769" s="27" t="s">
        <v>3478</v>
      </c>
      <c r="C1769" s="180">
        <v>43290</v>
      </c>
      <c r="D1769" s="28">
        <v>19</v>
      </c>
      <c r="E1769" s="49">
        <v>12</v>
      </c>
      <c r="F1769" s="211">
        <f>IFERROR(Tableau6[[#This Row],[Score]]/Tableau6[[#This Row],[Nb]],0)</f>
        <v>0.63157894736842102</v>
      </c>
    </row>
    <row r="1770" spans="1:6" ht="30" customHeight="1" x14ac:dyDescent="0.3">
      <c r="A1770" s="26" t="s">
        <v>139</v>
      </c>
      <c r="B1770" s="152" t="s">
        <v>5200</v>
      </c>
      <c r="C1770" s="180">
        <v>43370</v>
      </c>
      <c r="D1770" s="28">
        <v>19</v>
      </c>
      <c r="E1770" s="49">
        <v>12</v>
      </c>
      <c r="F1770" s="211">
        <f>IFERROR(Tableau6[[#This Row],[Score]]/Tableau6[[#This Row],[Nb]],0)</f>
        <v>0.63157894736842102</v>
      </c>
    </row>
    <row r="1771" spans="1:6" ht="30" customHeight="1" x14ac:dyDescent="0.3">
      <c r="A1771" s="26" t="s">
        <v>175</v>
      </c>
      <c r="B1771" s="27" t="s">
        <v>176</v>
      </c>
      <c r="C1771" s="180">
        <v>43377</v>
      </c>
      <c r="D1771" s="28">
        <v>19</v>
      </c>
      <c r="E1771" s="49">
        <v>12</v>
      </c>
      <c r="F1771" s="211">
        <f>IFERROR(Tableau6[[#This Row],[Score]]/Tableau6[[#This Row],[Nb]],0)</f>
        <v>0.63157894736842102</v>
      </c>
    </row>
    <row r="1772" spans="1:6" ht="30" customHeight="1" x14ac:dyDescent="0.3">
      <c r="A1772" s="26" t="s">
        <v>1170</v>
      </c>
      <c r="B1772" s="27" t="s">
        <v>3420</v>
      </c>
      <c r="C1772" s="180">
        <v>43422</v>
      </c>
      <c r="D1772" s="28">
        <v>19</v>
      </c>
      <c r="E1772" s="49">
        <v>12</v>
      </c>
      <c r="F1772" s="211">
        <f>IFERROR(Tableau6[[#This Row],[Score]]/Tableau6[[#This Row],[Nb]],0)</f>
        <v>0.63157894736842102</v>
      </c>
    </row>
    <row r="1773" spans="1:6" ht="30" customHeight="1" x14ac:dyDescent="0.3">
      <c r="A1773" s="151" t="s">
        <v>5464</v>
      </c>
      <c r="B1773" s="152" t="s">
        <v>5465</v>
      </c>
      <c r="C1773" s="180">
        <v>43444</v>
      </c>
      <c r="D1773" s="28">
        <v>19</v>
      </c>
      <c r="E1773" s="49">
        <v>12</v>
      </c>
      <c r="F1773" s="211">
        <f>IFERROR(Tableau6[[#This Row],[Score]]/Tableau6[[#This Row],[Nb]],0)</f>
        <v>0.63157894736842102</v>
      </c>
    </row>
    <row r="1774" spans="1:6" ht="30" customHeight="1" x14ac:dyDescent="0.3">
      <c r="A1774" s="26" t="s">
        <v>1588</v>
      </c>
      <c r="B1774" s="27" t="s">
        <v>4468</v>
      </c>
      <c r="C1774" s="180">
        <v>43493</v>
      </c>
      <c r="D1774" s="28">
        <v>19</v>
      </c>
      <c r="E1774" s="49">
        <v>12</v>
      </c>
      <c r="F1774" s="211">
        <f>IFERROR(Tableau6[[#This Row],[Score]]/Tableau6[[#This Row],[Nb]],0)</f>
        <v>0.63157894736842102</v>
      </c>
    </row>
    <row r="1775" spans="1:6" ht="30" customHeight="1" x14ac:dyDescent="0.3">
      <c r="A1775" s="26" t="s">
        <v>2083</v>
      </c>
      <c r="B1775" s="27" t="s">
        <v>2084</v>
      </c>
      <c r="C1775" s="180">
        <v>43673</v>
      </c>
      <c r="D1775" s="28">
        <v>19</v>
      </c>
      <c r="E1775" s="49">
        <v>12</v>
      </c>
      <c r="F1775" s="211">
        <f>IFERROR(Tableau6[[#This Row],[Score]]/Tableau6[[#This Row],[Nb]],0)</f>
        <v>0.63157894736842102</v>
      </c>
    </row>
    <row r="1776" spans="1:6" ht="30" customHeight="1" x14ac:dyDescent="0.3">
      <c r="A1776" s="26" t="s">
        <v>2389</v>
      </c>
      <c r="B1776" s="27" t="s">
        <v>2390</v>
      </c>
      <c r="C1776" s="180">
        <v>43775</v>
      </c>
      <c r="D1776" s="28">
        <v>19</v>
      </c>
      <c r="E1776" s="49">
        <v>12</v>
      </c>
      <c r="F1776" s="211">
        <f>IFERROR(Tableau6[[#This Row],[Score]]/Tableau6[[#This Row],[Nb]],0)</f>
        <v>0.63157894736842102</v>
      </c>
    </row>
    <row r="1777" spans="1:6" ht="30" customHeight="1" x14ac:dyDescent="0.3">
      <c r="A1777" s="26" t="s">
        <v>2475</v>
      </c>
      <c r="B1777" s="27" t="s">
        <v>2476</v>
      </c>
      <c r="C1777" s="180">
        <v>43787</v>
      </c>
      <c r="D1777" s="28">
        <v>19</v>
      </c>
      <c r="E1777" s="49">
        <v>12</v>
      </c>
      <c r="F1777" s="211">
        <f>IFERROR(Tableau6[[#This Row],[Score]]/Tableau6[[#This Row],[Nb]],0)</f>
        <v>0.63157894736842102</v>
      </c>
    </row>
    <row r="1778" spans="1:6" ht="30" customHeight="1" x14ac:dyDescent="0.3">
      <c r="A1778" s="26" t="s">
        <v>1030</v>
      </c>
      <c r="B1778" s="27" t="s">
        <v>294</v>
      </c>
      <c r="C1778" s="180">
        <v>43900</v>
      </c>
      <c r="D1778" s="28">
        <v>19</v>
      </c>
      <c r="E1778" s="49">
        <v>12</v>
      </c>
      <c r="F1778" s="211">
        <f>IFERROR(Tableau6[[#This Row],[Score]]/Tableau6[[#This Row],[Nb]],0)</f>
        <v>0.63157894736842102</v>
      </c>
    </row>
    <row r="1779" spans="1:6" ht="30" customHeight="1" x14ac:dyDescent="0.3">
      <c r="A1779" s="26" t="s">
        <v>1357</v>
      </c>
      <c r="B1779" s="27" t="s">
        <v>1358</v>
      </c>
      <c r="C1779" s="180">
        <v>44004</v>
      </c>
      <c r="D1779" s="28">
        <v>19</v>
      </c>
      <c r="E1779" s="49">
        <v>12</v>
      </c>
      <c r="F1779" s="211">
        <f>IFERROR(Tableau6[[#This Row],[Score]]/Tableau6[[#This Row],[Nb]],0)</f>
        <v>0.63157894736842102</v>
      </c>
    </row>
    <row r="1780" spans="1:6" ht="30" customHeight="1" x14ac:dyDescent="0.3">
      <c r="A1780" s="26" t="s">
        <v>3186</v>
      </c>
      <c r="B1780" s="27" t="s">
        <v>3185</v>
      </c>
      <c r="C1780" s="180">
        <v>44026</v>
      </c>
      <c r="D1780" s="28">
        <v>19</v>
      </c>
      <c r="E1780" s="49">
        <v>12</v>
      </c>
      <c r="F1780" s="211">
        <f>IFERROR(Tableau6[[#This Row],[Score]]/Tableau6[[#This Row],[Nb]],0)</f>
        <v>0.63157894736842102</v>
      </c>
    </row>
    <row r="1781" spans="1:6" ht="30" customHeight="1" x14ac:dyDescent="0.3">
      <c r="A1781" s="26" t="s">
        <v>3254</v>
      </c>
      <c r="B1781" s="27" t="s">
        <v>3253</v>
      </c>
      <c r="C1781" s="180">
        <v>44026</v>
      </c>
      <c r="D1781" s="28">
        <v>19</v>
      </c>
      <c r="E1781" s="49">
        <v>12</v>
      </c>
      <c r="F1781" s="211">
        <f>IFERROR(Tableau6[[#This Row],[Score]]/Tableau6[[#This Row],[Nb]],0)</f>
        <v>0.63157894736842102</v>
      </c>
    </row>
    <row r="1782" spans="1:6" ht="30" customHeight="1" x14ac:dyDescent="0.3">
      <c r="A1782" s="26" t="s">
        <v>617</v>
      </c>
      <c r="B1782" s="27" t="s">
        <v>1057</v>
      </c>
      <c r="C1782" s="180">
        <v>41522</v>
      </c>
      <c r="D1782" s="28">
        <v>30</v>
      </c>
      <c r="E1782" s="49">
        <v>19</v>
      </c>
      <c r="F1782" s="211">
        <f>IFERROR(Tableau6[[#This Row],[Score]]/Tableau6[[#This Row],[Nb]],0)</f>
        <v>0.6333333333333333</v>
      </c>
    </row>
    <row r="1783" spans="1:6" ht="30" customHeight="1" x14ac:dyDescent="0.3">
      <c r="A1783" s="26" t="s">
        <v>1218</v>
      </c>
      <c r="B1783" s="27" t="s">
        <v>1219</v>
      </c>
      <c r="C1783" s="180">
        <v>43430</v>
      </c>
      <c r="D1783" s="28">
        <v>30</v>
      </c>
      <c r="E1783" s="49">
        <v>19</v>
      </c>
      <c r="F1783" s="211">
        <f>IFERROR(Tableau6[[#This Row],[Score]]/Tableau6[[#This Row],[Nb]],0)</f>
        <v>0.6333333333333333</v>
      </c>
    </row>
    <row r="1784" spans="1:6" ht="30" customHeight="1" x14ac:dyDescent="0.3">
      <c r="A1784" s="26" t="s">
        <v>3316</v>
      </c>
      <c r="B1784" s="27" t="s">
        <v>3315</v>
      </c>
      <c r="C1784" s="180">
        <v>44042</v>
      </c>
      <c r="D1784" s="28">
        <v>30</v>
      </c>
      <c r="E1784" s="49">
        <v>19</v>
      </c>
      <c r="F1784" s="211">
        <f>IFERROR(Tableau6[[#This Row],[Score]]/Tableau6[[#This Row],[Nb]],0)</f>
        <v>0.6333333333333333</v>
      </c>
    </row>
    <row r="1785" spans="1:6" ht="30" customHeight="1" x14ac:dyDescent="0.3">
      <c r="A1785" s="26" t="s">
        <v>365</v>
      </c>
      <c r="B1785" s="27" t="s">
        <v>366</v>
      </c>
      <c r="C1785" s="180">
        <v>40611</v>
      </c>
      <c r="D1785" s="28">
        <v>33</v>
      </c>
      <c r="E1785" s="49">
        <v>21</v>
      </c>
      <c r="F1785" s="211">
        <f>IFERROR(Tableau6[[#This Row],[Score]]/Tableau6[[#This Row],[Nb]],0)</f>
        <v>0.63636363636363635</v>
      </c>
    </row>
    <row r="1786" spans="1:6" ht="30" customHeight="1" x14ac:dyDescent="0.3">
      <c r="A1786" s="26" t="s">
        <v>335</v>
      </c>
      <c r="B1786" s="27" t="s">
        <v>336</v>
      </c>
      <c r="C1786" s="180">
        <v>40611</v>
      </c>
      <c r="D1786" s="28">
        <v>11</v>
      </c>
      <c r="E1786" s="49">
        <v>7</v>
      </c>
      <c r="F1786" s="211">
        <f>IFERROR(Tableau6[[#This Row],[Score]]/Tableau6[[#This Row],[Nb]],0)</f>
        <v>0.63636363636363635</v>
      </c>
    </row>
    <row r="1787" spans="1:6" ht="30" customHeight="1" x14ac:dyDescent="0.3">
      <c r="A1787" s="151" t="s">
        <v>6390</v>
      </c>
      <c r="B1787" s="27" t="s">
        <v>633</v>
      </c>
      <c r="C1787" s="180">
        <v>41621</v>
      </c>
      <c r="D1787" s="28">
        <v>22</v>
      </c>
      <c r="E1787" s="49">
        <v>14</v>
      </c>
      <c r="F1787" s="211">
        <f>IFERROR(Tableau6[[#This Row],[Score]]/Tableau6[[#This Row],[Nb]],0)</f>
        <v>0.63636363636363635</v>
      </c>
    </row>
    <row r="1788" spans="1:6" ht="30" customHeight="1" x14ac:dyDescent="0.3">
      <c r="A1788" s="26" t="s">
        <v>4568</v>
      </c>
      <c r="B1788" s="27" t="s">
        <v>417</v>
      </c>
      <c r="C1788" s="180">
        <v>41621</v>
      </c>
      <c r="D1788" s="28">
        <v>22</v>
      </c>
      <c r="E1788" s="49">
        <v>14</v>
      </c>
      <c r="F1788" s="211">
        <f>IFERROR(Tableau6[[#This Row],[Score]]/Tableau6[[#This Row],[Nb]],0)</f>
        <v>0.63636363636363635</v>
      </c>
    </row>
    <row r="1789" spans="1:6" ht="30" customHeight="1" x14ac:dyDescent="0.3">
      <c r="A1789" s="26" t="s">
        <v>995</v>
      </c>
      <c r="B1789" s="27" t="s">
        <v>688</v>
      </c>
      <c r="C1789" s="180">
        <v>41621</v>
      </c>
      <c r="D1789" s="28">
        <v>22</v>
      </c>
      <c r="E1789" s="49">
        <v>14</v>
      </c>
      <c r="F1789" s="211">
        <f>IFERROR(Tableau6[[#This Row],[Score]]/Tableau6[[#This Row],[Nb]],0)</f>
        <v>0.63636363636363635</v>
      </c>
    </row>
    <row r="1790" spans="1:6" ht="30" customHeight="1" x14ac:dyDescent="0.3">
      <c r="A1790" s="26" t="s">
        <v>3117</v>
      </c>
      <c r="B1790" s="27" t="s">
        <v>3118</v>
      </c>
      <c r="C1790" s="180">
        <v>41621</v>
      </c>
      <c r="D1790" s="28">
        <v>22</v>
      </c>
      <c r="E1790" s="49">
        <v>14</v>
      </c>
      <c r="F1790" s="211">
        <f>IFERROR(Tableau6[[#This Row],[Score]]/Tableau6[[#This Row],[Nb]],0)</f>
        <v>0.63636363636363635</v>
      </c>
    </row>
    <row r="1791" spans="1:6" ht="30" customHeight="1" x14ac:dyDescent="0.3">
      <c r="A1791" s="26" t="s">
        <v>3363</v>
      </c>
      <c r="B1791" s="27" t="s">
        <v>3364</v>
      </c>
      <c r="C1791" s="180">
        <v>41621</v>
      </c>
      <c r="D1791" s="28">
        <v>22</v>
      </c>
      <c r="E1791" s="49">
        <v>14</v>
      </c>
      <c r="F1791" s="211">
        <f>IFERROR(Tableau6[[#This Row],[Score]]/Tableau6[[#This Row],[Nb]],0)</f>
        <v>0.63636363636363635</v>
      </c>
    </row>
    <row r="1792" spans="1:6" ht="30" customHeight="1" x14ac:dyDescent="0.3">
      <c r="A1792" s="26" t="s">
        <v>930</v>
      </c>
      <c r="B1792" s="27" t="s">
        <v>1092</v>
      </c>
      <c r="C1792" s="180">
        <v>41621</v>
      </c>
      <c r="D1792" s="28">
        <v>22</v>
      </c>
      <c r="E1792" s="49">
        <v>14</v>
      </c>
      <c r="F1792" s="211">
        <f>IFERROR(Tableau6[[#This Row],[Score]]/Tableau6[[#This Row],[Nb]],0)</f>
        <v>0.63636363636363635</v>
      </c>
    </row>
    <row r="1793" spans="1:6" ht="30" customHeight="1" x14ac:dyDescent="0.3">
      <c r="A1793" s="26" t="s">
        <v>2680</v>
      </c>
      <c r="B1793" s="27" t="s">
        <v>4569</v>
      </c>
      <c r="C1793" s="180">
        <v>43237</v>
      </c>
      <c r="D1793" s="28">
        <v>22</v>
      </c>
      <c r="E1793" s="49">
        <v>14</v>
      </c>
      <c r="F1793" s="211">
        <f>IFERROR(Tableau6[[#This Row],[Score]]/Tableau6[[#This Row],[Nb]],0)</f>
        <v>0.63636363636363635</v>
      </c>
    </row>
    <row r="1794" spans="1:6" ht="30" customHeight="1" x14ac:dyDescent="0.3">
      <c r="A1794" s="26" t="s">
        <v>670</v>
      </c>
      <c r="B1794" s="27" t="s">
        <v>1079</v>
      </c>
      <c r="C1794" s="180">
        <v>43237</v>
      </c>
      <c r="D1794" s="28">
        <v>22</v>
      </c>
      <c r="E1794" s="49">
        <v>14</v>
      </c>
      <c r="F1794" s="211">
        <f>IFERROR(Tableau6[[#This Row],[Score]]/Tableau6[[#This Row],[Nb]],0)</f>
        <v>0.63636363636363635</v>
      </c>
    </row>
    <row r="1795" spans="1:6" ht="30" customHeight="1" x14ac:dyDescent="0.3">
      <c r="A1795" s="26" t="s">
        <v>107</v>
      </c>
      <c r="B1795" s="27" t="s">
        <v>3837</v>
      </c>
      <c r="C1795" s="180">
        <v>43341</v>
      </c>
      <c r="D1795" s="28">
        <v>22</v>
      </c>
      <c r="E1795" s="49">
        <v>14</v>
      </c>
      <c r="F1795" s="211">
        <f>IFERROR(Tableau6[[#This Row],[Score]]/Tableau6[[#This Row],[Nb]],0)</f>
        <v>0.63636363636363635</v>
      </c>
    </row>
    <row r="1796" spans="1:6" ht="30" customHeight="1" x14ac:dyDescent="0.3">
      <c r="A1796" s="26" t="s">
        <v>4092</v>
      </c>
      <c r="B1796" s="27" t="s">
        <v>4091</v>
      </c>
      <c r="C1796" s="180">
        <v>43341</v>
      </c>
      <c r="D1796" s="28">
        <v>22</v>
      </c>
      <c r="E1796" s="49">
        <v>14</v>
      </c>
      <c r="F1796" s="211">
        <f>IFERROR(Tableau6[[#This Row],[Score]]/Tableau6[[#This Row],[Nb]],0)</f>
        <v>0.63636363636363635</v>
      </c>
    </row>
    <row r="1797" spans="1:6" ht="30" customHeight="1" x14ac:dyDescent="0.3">
      <c r="A1797" s="26" t="s">
        <v>146</v>
      </c>
      <c r="B1797" s="27" t="s">
        <v>3829</v>
      </c>
      <c r="C1797" s="180">
        <v>43370</v>
      </c>
      <c r="D1797" s="28">
        <v>22</v>
      </c>
      <c r="E1797" s="49">
        <v>14</v>
      </c>
      <c r="F1797" s="211">
        <f>IFERROR(Tableau6[[#This Row],[Score]]/Tableau6[[#This Row],[Nb]],0)</f>
        <v>0.63636363636363635</v>
      </c>
    </row>
    <row r="1798" spans="1:6" ht="30" customHeight="1" x14ac:dyDescent="0.3">
      <c r="A1798" s="26" t="s">
        <v>553</v>
      </c>
      <c r="B1798" s="27" t="s">
        <v>554</v>
      </c>
      <c r="C1798" s="180">
        <v>43406</v>
      </c>
      <c r="D1798" s="28">
        <v>22</v>
      </c>
      <c r="E1798" s="49">
        <v>14</v>
      </c>
      <c r="F1798" s="211">
        <f>IFERROR(Tableau6[[#This Row],[Score]]/Tableau6[[#This Row],[Nb]],0)</f>
        <v>0.63636363636363635</v>
      </c>
    </row>
    <row r="1799" spans="1:6" ht="30" customHeight="1" x14ac:dyDescent="0.3">
      <c r="A1799" s="26" t="s">
        <v>4924</v>
      </c>
      <c r="B1799" s="152" t="s">
        <v>6330</v>
      </c>
      <c r="C1799" s="180">
        <v>43408</v>
      </c>
      <c r="D1799" s="28">
        <v>22</v>
      </c>
      <c r="E1799" s="49">
        <v>14</v>
      </c>
      <c r="F1799" s="211">
        <f>IFERROR(Tableau6[[#This Row],[Score]]/Tableau6[[#This Row],[Nb]],0)</f>
        <v>0.63636363636363635</v>
      </c>
    </row>
    <row r="1800" spans="1:6" ht="30" customHeight="1" x14ac:dyDescent="0.3">
      <c r="A1800" s="26" t="s">
        <v>1114</v>
      </c>
      <c r="B1800" s="27" t="s">
        <v>1115</v>
      </c>
      <c r="C1800" s="180">
        <v>43415</v>
      </c>
      <c r="D1800" s="28">
        <v>22</v>
      </c>
      <c r="E1800" s="49">
        <v>14</v>
      </c>
      <c r="F1800" s="211">
        <f>IFERROR(Tableau6[[#This Row],[Score]]/Tableau6[[#This Row],[Nb]],0)</f>
        <v>0.63636363636363635</v>
      </c>
    </row>
    <row r="1801" spans="1:6" ht="30" customHeight="1" x14ac:dyDescent="0.3">
      <c r="A1801" s="26" t="s">
        <v>2041</v>
      </c>
      <c r="B1801" s="27" t="s">
        <v>2042</v>
      </c>
      <c r="C1801" s="180">
        <v>43605</v>
      </c>
      <c r="D1801" s="28">
        <v>22</v>
      </c>
      <c r="E1801" s="49">
        <v>14</v>
      </c>
      <c r="F1801" s="211">
        <f>IFERROR(Tableau6[[#This Row],[Score]]/Tableau6[[#This Row],[Nb]],0)</f>
        <v>0.63636363636363635</v>
      </c>
    </row>
    <row r="1802" spans="1:6" ht="30" customHeight="1" x14ac:dyDescent="0.3">
      <c r="A1802" s="26" t="s">
        <v>4340</v>
      </c>
      <c r="B1802" s="27" t="s">
        <v>2290</v>
      </c>
      <c r="C1802" s="180">
        <v>43767</v>
      </c>
      <c r="D1802" s="28">
        <v>22</v>
      </c>
      <c r="E1802" s="49">
        <v>14</v>
      </c>
      <c r="F1802" s="211">
        <f>IFERROR(Tableau6[[#This Row],[Score]]/Tableau6[[#This Row],[Nb]],0)</f>
        <v>0.63636363636363635</v>
      </c>
    </row>
    <row r="1803" spans="1:6" ht="30" customHeight="1" x14ac:dyDescent="0.3">
      <c r="A1803" s="26" t="s">
        <v>2337</v>
      </c>
      <c r="B1803" s="27" t="s">
        <v>2338</v>
      </c>
      <c r="C1803" s="180">
        <v>43771</v>
      </c>
      <c r="D1803" s="28">
        <v>22</v>
      </c>
      <c r="E1803" s="49">
        <v>14</v>
      </c>
      <c r="F1803" s="211">
        <f>IFERROR(Tableau6[[#This Row],[Score]]/Tableau6[[#This Row],[Nb]],0)</f>
        <v>0.63636363636363635</v>
      </c>
    </row>
    <row r="1804" spans="1:6" ht="30" customHeight="1" x14ac:dyDescent="0.3">
      <c r="A1804" s="26" t="s">
        <v>2394</v>
      </c>
      <c r="B1804" s="27" t="s">
        <v>2393</v>
      </c>
      <c r="C1804" s="180">
        <v>43775</v>
      </c>
      <c r="D1804" s="28">
        <v>22</v>
      </c>
      <c r="E1804" s="49">
        <v>14</v>
      </c>
      <c r="F1804" s="211">
        <f>IFERROR(Tableau6[[#This Row],[Score]]/Tableau6[[#This Row],[Nb]],0)</f>
        <v>0.63636363636363635</v>
      </c>
    </row>
    <row r="1805" spans="1:6" ht="30" customHeight="1" x14ac:dyDescent="0.3">
      <c r="A1805" s="26" t="s">
        <v>942</v>
      </c>
      <c r="B1805" s="27" t="s">
        <v>2831</v>
      </c>
      <c r="C1805" s="180">
        <v>43962</v>
      </c>
      <c r="D1805" s="28">
        <v>22</v>
      </c>
      <c r="E1805" s="49">
        <v>14</v>
      </c>
      <c r="F1805" s="211">
        <f>IFERROR(Tableau6[[#This Row],[Score]]/Tableau6[[#This Row],[Nb]],0)</f>
        <v>0.63636363636363635</v>
      </c>
    </row>
    <row r="1806" spans="1:6" ht="30" customHeight="1" x14ac:dyDescent="0.3">
      <c r="A1806" s="26" t="s">
        <v>3647</v>
      </c>
      <c r="B1806" s="27" t="s">
        <v>2823</v>
      </c>
      <c r="C1806" s="180">
        <v>43962</v>
      </c>
      <c r="D1806" s="28">
        <v>22</v>
      </c>
      <c r="E1806" s="49">
        <v>14</v>
      </c>
      <c r="F1806" s="211">
        <f>IFERROR(Tableau6[[#This Row],[Score]]/Tableau6[[#This Row],[Nb]],0)</f>
        <v>0.63636363636363635</v>
      </c>
    </row>
    <row r="1807" spans="1:6" ht="30" customHeight="1" x14ac:dyDescent="0.3">
      <c r="A1807" s="26" t="s">
        <v>2836</v>
      </c>
      <c r="B1807" s="27" t="s">
        <v>2837</v>
      </c>
      <c r="C1807" s="180">
        <v>43962</v>
      </c>
      <c r="D1807" s="28">
        <v>22</v>
      </c>
      <c r="E1807" s="49">
        <v>14</v>
      </c>
      <c r="F1807" s="211">
        <f>IFERROR(Tableau6[[#This Row],[Score]]/Tableau6[[#This Row],[Nb]],0)</f>
        <v>0.63636363636363635</v>
      </c>
    </row>
    <row r="1808" spans="1:6" ht="30" customHeight="1" x14ac:dyDescent="0.3">
      <c r="A1808" s="26" t="s">
        <v>2980</v>
      </c>
      <c r="B1808" s="27" t="s">
        <v>2981</v>
      </c>
      <c r="C1808" s="180">
        <v>43984</v>
      </c>
      <c r="D1808" s="28">
        <v>11</v>
      </c>
      <c r="E1808" s="49">
        <v>7</v>
      </c>
      <c r="F1808" s="211">
        <f>IFERROR(Tableau6[[#This Row],[Score]]/Tableau6[[#This Row],[Nb]],0)</f>
        <v>0.63636363636363635</v>
      </c>
    </row>
    <row r="1809" spans="1:6" ht="30" customHeight="1" x14ac:dyDescent="0.3">
      <c r="A1809" s="26" t="s">
        <v>3081</v>
      </c>
      <c r="B1809" s="27" t="s">
        <v>3082</v>
      </c>
      <c r="C1809" s="180">
        <v>44004</v>
      </c>
      <c r="D1809" s="28">
        <v>22</v>
      </c>
      <c r="E1809" s="49">
        <v>14</v>
      </c>
      <c r="F1809" s="211">
        <f>IFERROR(Tableau6[[#This Row],[Score]]/Tableau6[[#This Row],[Nb]],0)</f>
        <v>0.63636363636363635</v>
      </c>
    </row>
    <row r="1810" spans="1:6" ht="30" customHeight="1" x14ac:dyDescent="0.3">
      <c r="A1810" s="26" t="s">
        <v>3635</v>
      </c>
      <c r="B1810" s="27" t="s">
        <v>3636</v>
      </c>
      <c r="C1810" s="180">
        <v>44241</v>
      </c>
      <c r="D1810" s="28">
        <v>11</v>
      </c>
      <c r="E1810" s="49">
        <v>7</v>
      </c>
      <c r="F1810" s="211">
        <f>IFERROR(Tableau6[[#This Row],[Score]]/Tableau6[[#This Row],[Nb]],0)</f>
        <v>0.63636363636363635</v>
      </c>
    </row>
    <row r="1811" spans="1:6" ht="30" customHeight="1" x14ac:dyDescent="0.3">
      <c r="A1811" s="26" t="s">
        <v>3759</v>
      </c>
      <c r="B1811" s="152" t="s">
        <v>5951</v>
      </c>
      <c r="C1811" s="180">
        <v>44251</v>
      </c>
      <c r="D1811" s="28">
        <v>22</v>
      </c>
      <c r="E1811" s="49">
        <v>14</v>
      </c>
      <c r="F1811" s="211">
        <f>IFERROR(Tableau6[[#This Row],[Score]]/Tableau6[[#This Row],[Nb]],0)</f>
        <v>0.63636363636363635</v>
      </c>
    </row>
    <row r="1812" spans="1:6" ht="30" customHeight="1" x14ac:dyDescent="0.3">
      <c r="A1812" s="26" t="s">
        <v>4837</v>
      </c>
      <c r="B1812" s="27" t="s">
        <v>4838</v>
      </c>
      <c r="C1812" s="180">
        <v>44395</v>
      </c>
      <c r="D1812" s="28">
        <v>22</v>
      </c>
      <c r="E1812" s="49">
        <v>14</v>
      </c>
      <c r="F1812" s="211">
        <f>IFERROR(Tableau6[[#This Row],[Score]]/Tableau6[[#This Row],[Nb]],0)</f>
        <v>0.63636363636363635</v>
      </c>
    </row>
    <row r="1813" spans="1:6" ht="30" customHeight="1" x14ac:dyDescent="0.3">
      <c r="A1813" s="26" t="s">
        <v>4839</v>
      </c>
      <c r="B1813" s="27" t="s">
        <v>4840</v>
      </c>
      <c r="C1813" s="180">
        <v>44395</v>
      </c>
      <c r="D1813" s="28">
        <v>11</v>
      </c>
      <c r="E1813" s="49">
        <v>7</v>
      </c>
      <c r="F1813" s="211">
        <f>IFERROR(Tableau6[[#This Row],[Score]]/Tableau6[[#This Row],[Nb]],0)</f>
        <v>0.63636363636363635</v>
      </c>
    </row>
    <row r="1814" spans="1:6" ht="30" customHeight="1" x14ac:dyDescent="0.3">
      <c r="A1814" s="26" t="s">
        <v>328</v>
      </c>
      <c r="B1814" s="27" t="s">
        <v>329</v>
      </c>
      <c r="C1814" s="180">
        <v>40611</v>
      </c>
      <c r="D1814" s="28">
        <v>25</v>
      </c>
      <c r="E1814" s="49">
        <v>16</v>
      </c>
      <c r="F1814" s="211">
        <f>IFERROR(Tableau6[[#This Row],[Score]]/Tableau6[[#This Row],[Nb]],0)</f>
        <v>0.64</v>
      </c>
    </row>
    <row r="1815" spans="1:6" ht="30" customHeight="1" x14ac:dyDescent="0.3">
      <c r="A1815" s="26" t="s">
        <v>383</v>
      </c>
      <c r="B1815" s="27" t="s">
        <v>384</v>
      </c>
      <c r="C1815" s="180">
        <v>40611</v>
      </c>
      <c r="D1815" s="28">
        <v>25</v>
      </c>
      <c r="E1815" s="49">
        <v>16</v>
      </c>
      <c r="F1815" s="211">
        <f>IFERROR(Tableau6[[#This Row],[Score]]/Tableau6[[#This Row],[Nb]],0)</f>
        <v>0.64</v>
      </c>
    </row>
    <row r="1816" spans="1:6" ht="30" customHeight="1" x14ac:dyDescent="0.3">
      <c r="A1816" s="26" t="s">
        <v>1601</v>
      </c>
      <c r="B1816" s="27" t="s">
        <v>3892</v>
      </c>
      <c r="C1816" s="180">
        <v>41522</v>
      </c>
      <c r="D1816" s="28">
        <v>25</v>
      </c>
      <c r="E1816" s="49">
        <v>16</v>
      </c>
      <c r="F1816" s="211">
        <f>IFERROR(Tableau6[[#This Row],[Score]]/Tableau6[[#This Row],[Nb]],0)</f>
        <v>0.64</v>
      </c>
    </row>
    <row r="1817" spans="1:6" ht="30" customHeight="1" x14ac:dyDescent="0.3">
      <c r="A1817" s="26" t="s">
        <v>1335</v>
      </c>
      <c r="B1817" s="27" t="s">
        <v>3874</v>
      </c>
      <c r="C1817" s="180">
        <v>41621</v>
      </c>
      <c r="D1817" s="28">
        <v>25</v>
      </c>
      <c r="E1817" s="49">
        <v>16</v>
      </c>
      <c r="F1817" s="211">
        <f>IFERROR(Tableau6[[#This Row],[Score]]/Tableau6[[#This Row],[Nb]],0)</f>
        <v>0.64</v>
      </c>
    </row>
    <row r="1818" spans="1:6" ht="30" customHeight="1" x14ac:dyDescent="0.3">
      <c r="A1818" s="151" t="s">
        <v>5872</v>
      </c>
      <c r="B1818" s="27" t="s">
        <v>805</v>
      </c>
      <c r="C1818" s="180">
        <v>41621</v>
      </c>
      <c r="D1818" s="28">
        <v>25</v>
      </c>
      <c r="E1818" s="49">
        <v>16</v>
      </c>
      <c r="F1818" s="211">
        <f>IFERROR(Tableau6[[#This Row],[Score]]/Tableau6[[#This Row],[Nb]],0)</f>
        <v>0.64</v>
      </c>
    </row>
    <row r="1819" spans="1:6" ht="30" customHeight="1" x14ac:dyDescent="0.3">
      <c r="A1819" s="26" t="s">
        <v>3812</v>
      </c>
      <c r="B1819" s="152" t="s">
        <v>5225</v>
      </c>
      <c r="C1819" s="180">
        <v>43237</v>
      </c>
      <c r="D1819" s="28">
        <v>25</v>
      </c>
      <c r="E1819" s="49">
        <v>16</v>
      </c>
      <c r="F1819" s="211">
        <f>IFERROR(Tableau6[[#This Row],[Score]]/Tableau6[[#This Row],[Nb]],0)</f>
        <v>0.64</v>
      </c>
    </row>
    <row r="1820" spans="1:6" ht="30" customHeight="1" x14ac:dyDescent="0.3">
      <c r="A1820" s="26" t="s">
        <v>166</v>
      </c>
      <c r="B1820" s="27" t="s">
        <v>4332</v>
      </c>
      <c r="C1820" s="180">
        <v>43378</v>
      </c>
      <c r="D1820" s="28">
        <v>25</v>
      </c>
      <c r="E1820" s="49">
        <v>16</v>
      </c>
      <c r="F1820" s="211">
        <f>IFERROR(Tableau6[[#This Row],[Score]]/Tableau6[[#This Row],[Nb]],0)</f>
        <v>0.64</v>
      </c>
    </row>
    <row r="1821" spans="1:6" ht="30" customHeight="1" x14ac:dyDescent="0.3">
      <c r="A1821" s="26" t="s">
        <v>1269</v>
      </c>
      <c r="B1821" s="27" t="s">
        <v>1270</v>
      </c>
      <c r="C1821" s="180">
        <v>43425</v>
      </c>
      <c r="D1821" s="28">
        <v>25</v>
      </c>
      <c r="E1821" s="49">
        <v>16</v>
      </c>
      <c r="F1821" s="211">
        <f>IFERROR(Tableau6[[#This Row],[Score]]/Tableau6[[#This Row],[Nb]],0)</f>
        <v>0.64</v>
      </c>
    </row>
    <row r="1822" spans="1:6" ht="30" customHeight="1" x14ac:dyDescent="0.3">
      <c r="A1822" s="26" t="s">
        <v>1451</v>
      </c>
      <c r="B1822" s="27" t="s">
        <v>1452</v>
      </c>
      <c r="C1822" s="180">
        <v>43451</v>
      </c>
      <c r="D1822" s="28">
        <v>25</v>
      </c>
      <c r="E1822" s="49">
        <v>16</v>
      </c>
      <c r="F1822" s="211">
        <f>IFERROR(Tableau6[[#This Row],[Score]]/Tableau6[[#This Row],[Nb]],0)</f>
        <v>0.64</v>
      </c>
    </row>
    <row r="1823" spans="1:6" ht="30" customHeight="1" x14ac:dyDescent="0.3">
      <c r="A1823" s="26" t="s">
        <v>2542</v>
      </c>
      <c r="B1823" s="27" t="s">
        <v>1976</v>
      </c>
      <c r="C1823" s="180">
        <v>43605</v>
      </c>
      <c r="D1823" s="28">
        <v>25</v>
      </c>
      <c r="E1823" s="49">
        <v>16</v>
      </c>
      <c r="F1823" s="211">
        <f>IFERROR(Tableau6[[#This Row],[Score]]/Tableau6[[#This Row],[Nb]],0)</f>
        <v>0.64</v>
      </c>
    </row>
    <row r="1824" spans="1:6" ht="30" customHeight="1" x14ac:dyDescent="0.3">
      <c r="A1824" s="26" t="s">
        <v>2085</v>
      </c>
      <c r="B1824" s="27" t="s">
        <v>2086</v>
      </c>
      <c r="C1824" s="180">
        <v>43673</v>
      </c>
      <c r="D1824" s="28">
        <v>25</v>
      </c>
      <c r="E1824" s="49">
        <v>16</v>
      </c>
      <c r="F1824" s="211">
        <f>IFERROR(Tableau6[[#This Row],[Score]]/Tableau6[[#This Row],[Nb]],0)</f>
        <v>0.64</v>
      </c>
    </row>
    <row r="1825" spans="1:6" ht="30" customHeight="1" x14ac:dyDescent="0.3">
      <c r="A1825" s="151" t="s">
        <v>6205</v>
      </c>
      <c r="B1825" s="152" t="s">
        <v>6206</v>
      </c>
      <c r="C1825" s="180">
        <v>44004</v>
      </c>
      <c r="D1825" s="28">
        <v>25</v>
      </c>
      <c r="E1825" s="49">
        <v>16</v>
      </c>
      <c r="F1825" s="211">
        <f>IFERROR(Tableau6[[#This Row],[Score]]/Tableau6[[#This Row],[Nb]],0)</f>
        <v>0.64</v>
      </c>
    </row>
    <row r="1826" spans="1:6" ht="30" customHeight="1" x14ac:dyDescent="0.3">
      <c r="A1826" s="26" t="s">
        <v>4292</v>
      </c>
      <c r="B1826" s="27" t="s">
        <v>4293</v>
      </c>
      <c r="C1826" s="180">
        <v>44283</v>
      </c>
      <c r="D1826" s="28">
        <v>25</v>
      </c>
      <c r="E1826" s="49">
        <v>16</v>
      </c>
      <c r="F1826" s="211">
        <f>IFERROR(Tableau6[[#This Row],[Score]]/Tableau6[[#This Row],[Nb]],0)</f>
        <v>0.64</v>
      </c>
    </row>
    <row r="1827" spans="1:6" ht="30" customHeight="1" x14ac:dyDescent="0.3">
      <c r="A1827" s="26" t="s">
        <v>917</v>
      </c>
      <c r="B1827" s="27" t="s">
        <v>722</v>
      </c>
      <c r="C1827" s="180">
        <v>41522</v>
      </c>
      <c r="D1827" s="28">
        <v>28</v>
      </c>
      <c r="E1827" s="49">
        <v>18</v>
      </c>
      <c r="F1827" s="211">
        <f>IFERROR(Tableau6[[#This Row],[Score]]/Tableau6[[#This Row],[Nb]],0)</f>
        <v>0.6428571428571429</v>
      </c>
    </row>
    <row r="1828" spans="1:6" ht="30" customHeight="1" x14ac:dyDescent="0.3">
      <c r="A1828" s="26" t="s">
        <v>2726</v>
      </c>
      <c r="B1828" s="27" t="s">
        <v>2727</v>
      </c>
      <c r="C1828" s="180">
        <v>41621</v>
      </c>
      <c r="D1828" s="28">
        <v>14</v>
      </c>
      <c r="E1828" s="49">
        <v>9</v>
      </c>
      <c r="F1828" s="211">
        <f>IFERROR(Tableau6[[#This Row],[Score]]/Tableau6[[#This Row],[Nb]],0)</f>
        <v>0.6428571428571429</v>
      </c>
    </row>
    <row r="1829" spans="1:6" ht="30" customHeight="1" x14ac:dyDescent="0.3">
      <c r="A1829" s="26" t="s">
        <v>2</v>
      </c>
      <c r="B1829" s="27" t="s">
        <v>1379</v>
      </c>
      <c r="C1829" s="180">
        <v>43444</v>
      </c>
      <c r="D1829" s="28">
        <v>28</v>
      </c>
      <c r="E1829" s="49">
        <v>18</v>
      </c>
      <c r="F1829" s="211">
        <f>IFERROR(Tableau6[[#This Row],[Score]]/Tableau6[[#This Row],[Nb]],0)</f>
        <v>0.6428571428571429</v>
      </c>
    </row>
    <row r="1830" spans="1:6" ht="30" customHeight="1" x14ac:dyDescent="0.3">
      <c r="A1830" s="26" t="s">
        <v>2466</v>
      </c>
      <c r="B1830" s="27" t="s">
        <v>2467</v>
      </c>
      <c r="C1830" s="180">
        <v>43787</v>
      </c>
      <c r="D1830" s="28">
        <v>28</v>
      </c>
      <c r="E1830" s="49">
        <v>18</v>
      </c>
      <c r="F1830" s="211">
        <f>IFERROR(Tableau6[[#This Row],[Score]]/Tableau6[[#This Row],[Nb]],0)</f>
        <v>0.6428571428571429</v>
      </c>
    </row>
    <row r="1831" spans="1:6" ht="30" customHeight="1" x14ac:dyDescent="0.3">
      <c r="A1831" s="26" t="s">
        <v>2816</v>
      </c>
      <c r="B1831" s="27" t="s">
        <v>2817</v>
      </c>
      <c r="C1831" s="180">
        <v>43962</v>
      </c>
      <c r="D1831" s="28">
        <v>28</v>
      </c>
      <c r="E1831" s="49">
        <v>18</v>
      </c>
      <c r="F1831" s="211">
        <f>IFERROR(Tableau6[[#This Row],[Score]]/Tableau6[[#This Row],[Nb]],0)</f>
        <v>0.6428571428571429</v>
      </c>
    </row>
    <row r="1832" spans="1:6" ht="30" customHeight="1" x14ac:dyDescent="0.3">
      <c r="A1832" s="26" t="s">
        <v>2902</v>
      </c>
      <c r="B1832" s="27" t="s">
        <v>2903</v>
      </c>
      <c r="C1832" s="180">
        <v>43969</v>
      </c>
      <c r="D1832" s="28">
        <v>14</v>
      </c>
      <c r="E1832" s="49">
        <v>9</v>
      </c>
      <c r="F1832" s="211">
        <f>IFERROR(Tableau6[[#This Row],[Score]]/Tableau6[[#This Row],[Nb]],0)</f>
        <v>0.6428571428571429</v>
      </c>
    </row>
    <row r="1833" spans="1:6" ht="30" customHeight="1" x14ac:dyDescent="0.3">
      <c r="A1833" s="26" t="s">
        <v>3197</v>
      </c>
      <c r="B1833" s="27" t="s">
        <v>3198</v>
      </c>
      <c r="C1833" s="180">
        <v>44026</v>
      </c>
      <c r="D1833" s="28">
        <v>14</v>
      </c>
      <c r="E1833" s="49">
        <v>9</v>
      </c>
      <c r="F1833" s="211">
        <f>IFERROR(Tableau6[[#This Row],[Score]]/Tableau6[[#This Row],[Nb]],0)</f>
        <v>0.6428571428571429</v>
      </c>
    </row>
    <row r="1834" spans="1:6" ht="30" customHeight="1" x14ac:dyDescent="0.3">
      <c r="A1834" s="26" t="s">
        <v>308</v>
      </c>
      <c r="B1834" s="27" t="s">
        <v>309</v>
      </c>
      <c r="C1834" s="180">
        <v>40611</v>
      </c>
      <c r="D1834" s="28">
        <v>31</v>
      </c>
      <c r="E1834" s="49">
        <v>20</v>
      </c>
      <c r="F1834" s="211">
        <f>IFERROR(Tableau6[[#This Row],[Score]]/Tableau6[[#This Row],[Nb]],0)</f>
        <v>0.64516129032258063</v>
      </c>
    </row>
    <row r="1835" spans="1:6" ht="30" customHeight="1" x14ac:dyDescent="0.3">
      <c r="A1835" s="26" t="s">
        <v>152</v>
      </c>
      <c r="B1835" s="27" t="s">
        <v>4771</v>
      </c>
      <c r="C1835" s="180">
        <v>43368</v>
      </c>
      <c r="D1835" s="28">
        <v>31</v>
      </c>
      <c r="E1835" s="49">
        <v>20</v>
      </c>
      <c r="F1835" s="211">
        <f>IFERROR(Tableau6[[#This Row],[Score]]/Tableau6[[#This Row],[Nb]],0)</f>
        <v>0.64516129032258063</v>
      </c>
    </row>
    <row r="1836" spans="1:6" ht="30" customHeight="1" x14ac:dyDescent="0.3">
      <c r="A1836" s="26" t="s">
        <v>433</v>
      </c>
      <c r="B1836" s="27" t="s">
        <v>2125</v>
      </c>
      <c r="C1836" s="180">
        <v>43673</v>
      </c>
      <c r="D1836" s="28">
        <v>31</v>
      </c>
      <c r="E1836" s="49">
        <v>20</v>
      </c>
      <c r="F1836" s="211">
        <f>IFERROR(Tableau6[[#This Row],[Score]]/Tableau6[[#This Row],[Nb]],0)</f>
        <v>0.64516129032258063</v>
      </c>
    </row>
    <row r="1837" spans="1:6" ht="30" customHeight="1" x14ac:dyDescent="0.3">
      <c r="A1837" s="26" t="s">
        <v>2618</v>
      </c>
      <c r="B1837" s="27" t="s">
        <v>2619</v>
      </c>
      <c r="C1837" s="180">
        <v>43857</v>
      </c>
      <c r="D1837" s="28">
        <v>31</v>
      </c>
      <c r="E1837" s="49">
        <v>20</v>
      </c>
      <c r="F1837" s="211">
        <f>IFERROR(Tableau6[[#This Row],[Score]]/Tableau6[[#This Row],[Nb]],0)</f>
        <v>0.64516129032258063</v>
      </c>
    </row>
    <row r="1838" spans="1:6" ht="30" customHeight="1" x14ac:dyDescent="0.3">
      <c r="A1838" s="26" t="s">
        <v>392</v>
      </c>
      <c r="B1838" s="27" t="s">
        <v>393</v>
      </c>
      <c r="C1838" s="180">
        <v>40611</v>
      </c>
      <c r="D1838" s="28">
        <v>17</v>
      </c>
      <c r="E1838" s="49">
        <v>11</v>
      </c>
      <c r="F1838" s="211">
        <f>IFERROR(Tableau6[[#This Row],[Score]]/Tableau6[[#This Row],[Nb]],0)</f>
        <v>0.6470588235294118</v>
      </c>
    </row>
    <row r="1839" spans="1:6" ht="30" customHeight="1" x14ac:dyDescent="0.3">
      <c r="A1839" s="26" t="s">
        <v>482</v>
      </c>
      <c r="B1839" s="27" t="s">
        <v>3813</v>
      </c>
      <c r="C1839" s="180">
        <v>40611</v>
      </c>
      <c r="D1839" s="28">
        <v>17</v>
      </c>
      <c r="E1839" s="49">
        <v>11</v>
      </c>
      <c r="F1839" s="211">
        <f>IFERROR(Tableau6[[#This Row],[Score]]/Tableau6[[#This Row],[Nb]],0)</f>
        <v>0.6470588235294118</v>
      </c>
    </row>
    <row r="1840" spans="1:6" ht="30" customHeight="1" x14ac:dyDescent="0.3">
      <c r="A1840" s="26" t="s">
        <v>4461</v>
      </c>
      <c r="B1840" s="27" t="s">
        <v>4462</v>
      </c>
      <c r="C1840" s="180">
        <v>40611</v>
      </c>
      <c r="D1840" s="28">
        <v>17</v>
      </c>
      <c r="E1840" s="49">
        <v>11</v>
      </c>
      <c r="F1840" s="211">
        <f>IFERROR(Tableau6[[#This Row],[Score]]/Tableau6[[#This Row],[Nb]],0)</f>
        <v>0.6470588235294118</v>
      </c>
    </row>
    <row r="1841" spans="1:6" ht="30" customHeight="1" x14ac:dyDescent="0.3">
      <c r="A1841" s="26" t="s">
        <v>3355</v>
      </c>
      <c r="B1841" s="27" t="s">
        <v>3356</v>
      </c>
      <c r="C1841" s="180">
        <v>41522</v>
      </c>
      <c r="D1841" s="28">
        <v>17</v>
      </c>
      <c r="E1841" s="49">
        <v>11</v>
      </c>
      <c r="F1841" s="211">
        <f>IFERROR(Tableau6[[#This Row],[Score]]/Tableau6[[#This Row],[Nb]],0)</f>
        <v>0.6470588235294118</v>
      </c>
    </row>
    <row r="1842" spans="1:6" ht="30" customHeight="1" x14ac:dyDescent="0.3">
      <c r="A1842" s="26" t="s">
        <v>815</v>
      </c>
      <c r="B1842" s="27" t="s">
        <v>729</v>
      </c>
      <c r="C1842" s="180">
        <v>41621</v>
      </c>
      <c r="D1842" s="28">
        <v>17</v>
      </c>
      <c r="E1842" s="49">
        <v>11</v>
      </c>
      <c r="F1842" s="211">
        <f>IFERROR(Tableau6[[#This Row],[Score]]/Tableau6[[#This Row],[Nb]],0)</f>
        <v>0.6470588235294118</v>
      </c>
    </row>
    <row r="1843" spans="1:6" ht="30" customHeight="1" x14ac:dyDescent="0.3">
      <c r="A1843" s="26" t="s">
        <v>943</v>
      </c>
      <c r="B1843" s="27" t="s">
        <v>707</v>
      </c>
      <c r="C1843" s="180">
        <v>41621</v>
      </c>
      <c r="D1843" s="28">
        <v>34</v>
      </c>
      <c r="E1843" s="49">
        <v>22</v>
      </c>
      <c r="F1843" s="211">
        <f>IFERROR(Tableau6[[#This Row],[Score]]/Tableau6[[#This Row],[Nb]],0)</f>
        <v>0.6470588235294118</v>
      </c>
    </row>
    <row r="1844" spans="1:6" ht="30" customHeight="1" x14ac:dyDescent="0.3">
      <c r="A1844" s="26" t="s">
        <v>4125</v>
      </c>
      <c r="B1844" s="27" t="s">
        <v>4126</v>
      </c>
      <c r="C1844" s="180">
        <v>41621</v>
      </c>
      <c r="D1844" s="28">
        <v>17</v>
      </c>
      <c r="E1844" s="49">
        <v>11</v>
      </c>
      <c r="F1844" s="211">
        <f>IFERROR(Tableau6[[#This Row],[Score]]/Tableau6[[#This Row],[Nb]],0)</f>
        <v>0.6470588235294118</v>
      </c>
    </row>
    <row r="1845" spans="1:6" ht="30" customHeight="1" x14ac:dyDescent="0.3">
      <c r="A1845" s="26" t="s">
        <v>4018</v>
      </c>
      <c r="B1845" s="152" t="s">
        <v>6203</v>
      </c>
      <c r="C1845" s="180">
        <v>41621</v>
      </c>
      <c r="D1845" s="28">
        <v>17</v>
      </c>
      <c r="E1845" s="49">
        <v>11</v>
      </c>
      <c r="F1845" s="211">
        <f>IFERROR(Tableau6[[#This Row],[Score]]/Tableau6[[#This Row],[Nb]],0)</f>
        <v>0.6470588235294118</v>
      </c>
    </row>
    <row r="1846" spans="1:6" ht="30" customHeight="1" x14ac:dyDescent="0.3">
      <c r="A1846" s="26" t="s">
        <v>1030</v>
      </c>
      <c r="B1846" s="27" t="s">
        <v>902</v>
      </c>
      <c r="C1846" s="180">
        <v>43205</v>
      </c>
      <c r="D1846" s="28">
        <v>17</v>
      </c>
      <c r="E1846" s="49">
        <v>11</v>
      </c>
      <c r="F1846" s="211">
        <f>IFERROR(Tableau6[[#This Row],[Score]]/Tableau6[[#This Row],[Nb]],0)</f>
        <v>0.6470588235294118</v>
      </c>
    </row>
    <row r="1847" spans="1:6" ht="30" customHeight="1" x14ac:dyDescent="0.3">
      <c r="A1847" s="26" t="s">
        <v>4069</v>
      </c>
      <c r="B1847" s="27" t="s">
        <v>4070</v>
      </c>
      <c r="C1847" s="180">
        <v>43298</v>
      </c>
      <c r="D1847" s="28">
        <v>17</v>
      </c>
      <c r="E1847" s="49">
        <v>11</v>
      </c>
      <c r="F1847" s="211">
        <f>IFERROR(Tableau6[[#This Row],[Score]]/Tableau6[[#This Row],[Nb]],0)</f>
        <v>0.6470588235294118</v>
      </c>
    </row>
    <row r="1848" spans="1:6" ht="30" customHeight="1" x14ac:dyDescent="0.3">
      <c r="A1848" s="26" t="s">
        <v>65</v>
      </c>
      <c r="B1848" s="27" t="s">
        <v>66</v>
      </c>
      <c r="C1848" s="180">
        <v>43311</v>
      </c>
      <c r="D1848" s="28">
        <v>34</v>
      </c>
      <c r="E1848" s="49">
        <v>22</v>
      </c>
      <c r="F1848" s="211">
        <f>IFERROR(Tableau6[[#This Row],[Score]]/Tableau6[[#This Row],[Nb]],0)</f>
        <v>0.6470588235294118</v>
      </c>
    </row>
    <row r="1849" spans="1:6" ht="30" customHeight="1" x14ac:dyDescent="0.3">
      <c r="A1849" s="26" t="s">
        <v>103</v>
      </c>
      <c r="B1849" s="27" t="s">
        <v>104</v>
      </c>
      <c r="C1849" s="180">
        <v>43341</v>
      </c>
      <c r="D1849" s="28">
        <v>17</v>
      </c>
      <c r="E1849" s="49">
        <v>11</v>
      </c>
      <c r="F1849" s="211">
        <f>IFERROR(Tableau6[[#This Row],[Score]]/Tableau6[[#This Row],[Nb]],0)</f>
        <v>0.6470588235294118</v>
      </c>
    </row>
    <row r="1850" spans="1:6" ht="30" customHeight="1" x14ac:dyDescent="0.3">
      <c r="A1850" s="26" t="s">
        <v>3158</v>
      </c>
      <c r="B1850" s="27" t="s">
        <v>3157</v>
      </c>
      <c r="C1850" s="180">
        <v>43390</v>
      </c>
      <c r="D1850" s="28">
        <v>17</v>
      </c>
      <c r="E1850" s="49">
        <v>11</v>
      </c>
      <c r="F1850" s="211">
        <f>IFERROR(Tableau6[[#This Row],[Score]]/Tableau6[[#This Row],[Nb]],0)</f>
        <v>0.6470588235294118</v>
      </c>
    </row>
    <row r="1851" spans="1:6" ht="30" customHeight="1" x14ac:dyDescent="0.3">
      <c r="A1851" s="26" t="s">
        <v>564</v>
      </c>
      <c r="B1851" s="27" t="s">
        <v>565</v>
      </c>
      <c r="C1851" s="180">
        <v>43406</v>
      </c>
      <c r="D1851" s="28">
        <v>17</v>
      </c>
      <c r="E1851" s="49">
        <v>11</v>
      </c>
      <c r="F1851" s="211">
        <f>IFERROR(Tableau6[[#This Row],[Score]]/Tableau6[[#This Row],[Nb]],0)</f>
        <v>0.6470588235294118</v>
      </c>
    </row>
    <row r="1852" spans="1:6" ht="30" customHeight="1" x14ac:dyDescent="0.3">
      <c r="A1852" s="26" t="s">
        <v>1280</v>
      </c>
      <c r="B1852" s="27" t="s">
        <v>4477</v>
      </c>
      <c r="C1852" s="180">
        <v>43423</v>
      </c>
      <c r="D1852" s="28">
        <v>17</v>
      </c>
      <c r="E1852" s="49">
        <v>11</v>
      </c>
      <c r="F1852" s="211">
        <f>IFERROR(Tableau6[[#This Row],[Score]]/Tableau6[[#This Row],[Nb]],0)</f>
        <v>0.6470588235294118</v>
      </c>
    </row>
    <row r="1853" spans="1:6" ht="30" customHeight="1" x14ac:dyDescent="0.3">
      <c r="A1853" s="26" t="s">
        <v>1260</v>
      </c>
      <c r="B1853" s="27" t="s">
        <v>4549</v>
      </c>
      <c r="C1853" s="180">
        <v>43427</v>
      </c>
      <c r="D1853" s="28">
        <v>17</v>
      </c>
      <c r="E1853" s="49">
        <v>11</v>
      </c>
      <c r="F1853" s="211">
        <f>IFERROR(Tableau6[[#This Row],[Score]]/Tableau6[[#This Row],[Nb]],0)</f>
        <v>0.6470588235294118</v>
      </c>
    </row>
    <row r="1854" spans="1:6" ht="30" customHeight="1" x14ac:dyDescent="0.3">
      <c r="A1854" s="26" t="s">
        <v>1220</v>
      </c>
      <c r="B1854" s="27" t="s">
        <v>4535</v>
      </c>
      <c r="C1854" s="180">
        <v>43430</v>
      </c>
      <c r="D1854" s="28">
        <v>17</v>
      </c>
      <c r="E1854" s="49">
        <v>11</v>
      </c>
      <c r="F1854" s="211">
        <f>IFERROR(Tableau6[[#This Row],[Score]]/Tableau6[[#This Row],[Nb]],0)</f>
        <v>0.6470588235294118</v>
      </c>
    </row>
    <row r="1855" spans="1:6" ht="30" customHeight="1" x14ac:dyDescent="0.3">
      <c r="A1855" s="26" t="s">
        <v>4724</v>
      </c>
      <c r="B1855" s="27" t="s">
        <v>1343</v>
      </c>
      <c r="C1855" s="180">
        <v>43444</v>
      </c>
      <c r="D1855" s="28">
        <v>17</v>
      </c>
      <c r="E1855" s="49">
        <v>11</v>
      </c>
      <c r="F1855" s="211">
        <f>IFERROR(Tableau6[[#This Row],[Score]]/Tableau6[[#This Row],[Nb]],0)</f>
        <v>0.6470588235294118</v>
      </c>
    </row>
    <row r="1856" spans="1:6" ht="30" customHeight="1" x14ac:dyDescent="0.3">
      <c r="A1856" s="26" t="s">
        <v>4040</v>
      </c>
      <c r="B1856" s="27" t="s">
        <v>1336</v>
      </c>
      <c r="C1856" s="180">
        <v>43444</v>
      </c>
      <c r="D1856" s="28">
        <v>17</v>
      </c>
      <c r="E1856" s="49">
        <v>11</v>
      </c>
      <c r="F1856" s="211">
        <f>IFERROR(Tableau6[[#This Row],[Score]]/Tableau6[[#This Row],[Nb]],0)</f>
        <v>0.6470588235294118</v>
      </c>
    </row>
    <row r="1857" spans="1:6" ht="30" customHeight="1" x14ac:dyDescent="0.3">
      <c r="A1857" s="26" t="s">
        <v>2037</v>
      </c>
      <c r="B1857" s="27" t="s">
        <v>2038</v>
      </c>
      <c r="C1857" s="180">
        <v>43605</v>
      </c>
      <c r="D1857" s="28">
        <v>17</v>
      </c>
      <c r="E1857" s="49">
        <v>11</v>
      </c>
      <c r="F1857" s="211">
        <f>IFERROR(Tableau6[[#This Row],[Score]]/Tableau6[[#This Row],[Nb]],0)</f>
        <v>0.6470588235294118</v>
      </c>
    </row>
    <row r="1858" spans="1:6" ht="30" customHeight="1" x14ac:dyDescent="0.3">
      <c r="A1858" s="26" t="s">
        <v>2271</v>
      </c>
      <c r="B1858" s="27" t="s">
        <v>2272</v>
      </c>
      <c r="C1858" s="180">
        <v>43761</v>
      </c>
      <c r="D1858" s="28">
        <v>17</v>
      </c>
      <c r="E1858" s="49">
        <v>11</v>
      </c>
      <c r="F1858" s="211">
        <f>IFERROR(Tableau6[[#This Row],[Score]]/Tableau6[[#This Row],[Nb]],0)</f>
        <v>0.6470588235294118</v>
      </c>
    </row>
    <row r="1859" spans="1:6" ht="30" customHeight="1" x14ac:dyDescent="0.3">
      <c r="A1859" s="26" t="s">
        <v>4048</v>
      </c>
      <c r="B1859" s="27" t="s">
        <v>4049</v>
      </c>
      <c r="C1859" s="180">
        <v>43802</v>
      </c>
      <c r="D1859" s="28">
        <v>17</v>
      </c>
      <c r="E1859" s="49">
        <v>11</v>
      </c>
      <c r="F1859" s="211">
        <f>IFERROR(Tableau6[[#This Row],[Score]]/Tableau6[[#This Row],[Nb]],0)</f>
        <v>0.6470588235294118</v>
      </c>
    </row>
    <row r="1860" spans="1:6" ht="30" customHeight="1" x14ac:dyDescent="0.3">
      <c r="A1860" s="26" t="s">
        <v>2637</v>
      </c>
      <c r="B1860" s="27" t="s">
        <v>2638</v>
      </c>
      <c r="C1860" s="180">
        <v>43872</v>
      </c>
      <c r="D1860" s="28">
        <v>17</v>
      </c>
      <c r="E1860" s="49">
        <v>11</v>
      </c>
      <c r="F1860" s="211">
        <f>IFERROR(Tableau6[[#This Row],[Score]]/Tableau6[[#This Row],[Nb]],0)</f>
        <v>0.6470588235294118</v>
      </c>
    </row>
    <row r="1861" spans="1:6" ht="30" customHeight="1" x14ac:dyDescent="0.3">
      <c r="A1861" s="26" t="s">
        <v>3393</v>
      </c>
      <c r="B1861" s="152" t="s">
        <v>6002</v>
      </c>
      <c r="C1861" s="180">
        <v>44046</v>
      </c>
      <c r="D1861" s="28">
        <v>17</v>
      </c>
      <c r="E1861" s="49">
        <v>11</v>
      </c>
      <c r="F1861" s="211">
        <f>IFERROR(Tableau6[[#This Row],[Score]]/Tableau6[[#This Row],[Nb]],0)</f>
        <v>0.6470588235294118</v>
      </c>
    </row>
    <row r="1862" spans="1:6" ht="30" customHeight="1" x14ac:dyDescent="0.3">
      <c r="A1862" s="26" t="s">
        <v>3781</v>
      </c>
      <c r="B1862" s="27" t="s">
        <v>3782</v>
      </c>
      <c r="C1862" s="180">
        <v>44252</v>
      </c>
      <c r="D1862" s="28">
        <v>17</v>
      </c>
      <c r="E1862" s="49">
        <v>11</v>
      </c>
      <c r="F1862" s="211">
        <f>IFERROR(Tableau6[[#This Row],[Score]]/Tableau6[[#This Row],[Nb]],0)</f>
        <v>0.6470588235294118</v>
      </c>
    </row>
    <row r="1863" spans="1:6" ht="30" customHeight="1" x14ac:dyDescent="0.3">
      <c r="A1863" s="26" t="s">
        <v>4272</v>
      </c>
      <c r="B1863" s="27" t="s">
        <v>4273</v>
      </c>
      <c r="C1863" s="180">
        <v>44283</v>
      </c>
      <c r="D1863" s="28">
        <v>17</v>
      </c>
      <c r="E1863" s="49">
        <v>11</v>
      </c>
      <c r="F1863" s="211">
        <f>IFERROR(Tableau6[[#This Row],[Score]]/Tableau6[[#This Row],[Nb]],0)</f>
        <v>0.6470588235294118</v>
      </c>
    </row>
    <row r="1864" spans="1:6" ht="30" customHeight="1" x14ac:dyDescent="0.3">
      <c r="A1864" s="151" t="s">
        <v>5337</v>
      </c>
      <c r="B1864" s="147" t="s">
        <v>5127</v>
      </c>
      <c r="C1864" s="207">
        <v>44471</v>
      </c>
      <c r="D1864" s="148">
        <v>17</v>
      </c>
      <c r="E1864" s="148">
        <v>11</v>
      </c>
      <c r="F1864" s="211">
        <f>IFERROR(Tableau6[[#This Row],[Score]]/Tableau6[[#This Row],[Nb]],0)</f>
        <v>0.6470588235294118</v>
      </c>
    </row>
    <row r="1865" spans="1:6" ht="30" customHeight="1" x14ac:dyDescent="0.3">
      <c r="A1865" s="26" t="s">
        <v>420</v>
      </c>
      <c r="B1865" s="27" t="s">
        <v>421</v>
      </c>
      <c r="C1865" s="180">
        <v>40611</v>
      </c>
      <c r="D1865" s="28">
        <v>20</v>
      </c>
      <c r="E1865" s="49">
        <v>13</v>
      </c>
      <c r="F1865" s="211">
        <f>IFERROR(Tableau6[[#This Row],[Score]]/Tableau6[[#This Row],[Nb]],0)</f>
        <v>0.65</v>
      </c>
    </row>
    <row r="1866" spans="1:6" ht="30" customHeight="1" x14ac:dyDescent="0.3">
      <c r="A1866" s="26" t="s">
        <v>4521</v>
      </c>
      <c r="B1866" s="27" t="s">
        <v>715</v>
      </c>
      <c r="C1866" s="180">
        <v>41621</v>
      </c>
      <c r="D1866" s="28">
        <v>20</v>
      </c>
      <c r="E1866" s="49">
        <v>13</v>
      </c>
      <c r="F1866" s="211">
        <f>IFERROR(Tableau6[[#This Row],[Score]]/Tableau6[[#This Row],[Nb]],0)</f>
        <v>0.65</v>
      </c>
    </row>
    <row r="1867" spans="1:6" ht="30" customHeight="1" x14ac:dyDescent="0.3">
      <c r="A1867" s="26" t="s">
        <v>1033</v>
      </c>
      <c r="B1867" s="27" t="s">
        <v>716</v>
      </c>
      <c r="C1867" s="180">
        <v>43205</v>
      </c>
      <c r="D1867" s="28">
        <v>20</v>
      </c>
      <c r="E1867" s="49">
        <v>13</v>
      </c>
      <c r="F1867" s="211">
        <f>IFERROR(Tableau6[[#This Row],[Score]]/Tableau6[[#This Row],[Nb]],0)</f>
        <v>0.65</v>
      </c>
    </row>
    <row r="1868" spans="1:6" ht="30" customHeight="1" x14ac:dyDescent="0.3">
      <c r="A1868" s="26" t="s">
        <v>3705</v>
      </c>
      <c r="B1868" s="27" t="s">
        <v>3706</v>
      </c>
      <c r="C1868" s="180">
        <v>43237</v>
      </c>
      <c r="D1868" s="28">
        <v>20</v>
      </c>
      <c r="E1868" s="49">
        <v>13</v>
      </c>
      <c r="F1868" s="211">
        <f>IFERROR(Tableau6[[#This Row],[Score]]/Tableau6[[#This Row],[Nb]],0)</f>
        <v>0.65</v>
      </c>
    </row>
    <row r="1869" spans="1:6" ht="30" customHeight="1" x14ac:dyDescent="0.3">
      <c r="A1869" s="26" t="s">
        <v>4313</v>
      </c>
      <c r="B1869" s="27" t="s">
        <v>4314</v>
      </c>
      <c r="C1869" s="180">
        <v>43341</v>
      </c>
      <c r="D1869" s="28">
        <v>20</v>
      </c>
      <c r="E1869" s="49">
        <v>13</v>
      </c>
      <c r="F1869" s="211">
        <f>IFERROR(Tableau6[[#This Row],[Score]]/Tableau6[[#This Row],[Nb]],0)</f>
        <v>0.65</v>
      </c>
    </row>
    <row r="1870" spans="1:6" ht="30" customHeight="1" x14ac:dyDescent="0.3">
      <c r="A1870" s="26" t="s">
        <v>1207</v>
      </c>
      <c r="B1870" s="27" t="s">
        <v>3493</v>
      </c>
      <c r="C1870" s="180">
        <v>43418</v>
      </c>
      <c r="D1870" s="28">
        <v>20</v>
      </c>
      <c r="E1870" s="49">
        <v>13</v>
      </c>
      <c r="F1870" s="211">
        <f>IFERROR(Tableau6[[#This Row],[Score]]/Tableau6[[#This Row],[Nb]],0)</f>
        <v>0.65</v>
      </c>
    </row>
    <row r="1871" spans="1:6" ht="30" customHeight="1" x14ac:dyDescent="0.3">
      <c r="A1871" s="26" t="s">
        <v>1158</v>
      </c>
      <c r="B1871" s="27" t="s">
        <v>3931</v>
      </c>
      <c r="C1871" s="180">
        <v>43422</v>
      </c>
      <c r="D1871" s="28">
        <v>20</v>
      </c>
      <c r="E1871" s="49">
        <v>13</v>
      </c>
      <c r="F1871" s="211">
        <f>IFERROR(Tableau6[[#This Row],[Score]]/Tableau6[[#This Row],[Nb]],0)</f>
        <v>0.65</v>
      </c>
    </row>
    <row r="1872" spans="1:6" ht="30" customHeight="1" x14ac:dyDescent="0.3">
      <c r="A1872" s="26" t="s">
        <v>2051</v>
      </c>
      <c r="B1872" s="27" t="s">
        <v>2052</v>
      </c>
      <c r="C1872" s="180">
        <v>43633</v>
      </c>
      <c r="D1872" s="28">
        <v>20</v>
      </c>
      <c r="E1872" s="49">
        <v>13</v>
      </c>
      <c r="F1872" s="211">
        <f>IFERROR(Tableau6[[#This Row],[Score]]/Tableau6[[#This Row],[Nb]],0)</f>
        <v>0.65</v>
      </c>
    </row>
    <row r="1873" spans="1:6" ht="30" customHeight="1" x14ac:dyDescent="0.3">
      <c r="A1873" s="151" t="s">
        <v>6234</v>
      </c>
      <c r="B1873" s="27" t="s">
        <v>4673</v>
      </c>
      <c r="C1873" s="180">
        <v>43661</v>
      </c>
      <c r="D1873" s="28">
        <v>20</v>
      </c>
      <c r="E1873" s="49">
        <v>13</v>
      </c>
      <c r="F1873" s="211">
        <f>IFERROR(Tableau6[[#This Row],[Score]]/Tableau6[[#This Row],[Nb]],0)</f>
        <v>0.65</v>
      </c>
    </row>
    <row r="1874" spans="1:6" ht="30" customHeight="1" x14ac:dyDescent="0.3">
      <c r="A1874" s="26" t="s">
        <v>2091</v>
      </c>
      <c r="B1874" s="27" t="s">
        <v>2092</v>
      </c>
      <c r="C1874" s="180">
        <v>43673</v>
      </c>
      <c r="D1874" s="28">
        <v>20</v>
      </c>
      <c r="E1874" s="49">
        <v>13</v>
      </c>
      <c r="F1874" s="211">
        <f>IFERROR(Tableau6[[#This Row],[Score]]/Tableau6[[#This Row],[Nb]],0)</f>
        <v>0.65</v>
      </c>
    </row>
    <row r="1875" spans="1:6" ht="30" customHeight="1" x14ac:dyDescent="0.3">
      <c r="A1875" s="26" t="s">
        <v>4650</v>
      </c>
      <c r="B1875" s="27" t="s">
        <v>4649</v>
      </c>
      <c r="C1875" s="180">
        <v>43689</v>
      </c>
      <c r="D1875" s="28">
        <v>20</v>
      </c>
      <c r="E1875" s="49">
        <v>13</v>
      </c>
      <c r="F1875" s="211">
        <f>IFERROR(Tableau6[[#This Row],[Score]]/Tableau6[[#This Row],[Nb]],0)</f>
        <v>0.65</v>
      </c>
    </row>
    <row r="1876" spans="1:6" ht="30" customHeight="1" x14ac:dyDescent="0.3">
      <c r="A1876" s="26" t="s">
        <v>3301</v>
      </c>
      <c r="B1876" s="27" t="s">
        <v>3302</v>
      </c>
      <c r="C1876" s="180">
        <v>43771</v>
      </c>
      <c r="D1876" s="28">
        <v>20</v>
      </c>
      <c r="E1876" s="49">
        <v>13</v>
      </c>
      <c r="F1876" s="211">
        <f>IFERROR(Tableau6[[#This Row],[Score]]/Tableau6[[#This Row],[Nb]],0)</f>
        <v>0.65</v>
      </c>
    </row>
    <row r="1877" spans="1:6" ht="30" customHeight="1" x14ac:dyDescent="0.3">
      <c r="A1877" s="26" t="s">
        <v>2876</v>
      </c>
      <c r="B1877" s="27" t="s">
        <v>2877</v>
      </c>
      <c r="C1877" s="180">
        <v>43969</v>
      </c>
      <c r="D1877" s="28">
        <v>20</v>
      </c>
      <c r="E1877" s="49">
        <v>13</v>
      </c>
      <c r="F1877" s="211">
        <f>IFERROR(Tableau6[[#This Row],[Score]]/Tableau6[[#This Row],[Nb]],0)</f>
        <v>0.65</v>
      </c>
    </row>
    <row r="1878" spans="1:6" ht="30" customHeight="1" x14ac:dyDescent="0.3">
      <c r="A1878" s="26" t="s">
        <v>3181</v>
      </c>
      <c r="B1878" s="27" t="s">
        <v>3182</v>
      </c>
      <c r="C1878" s="180">
        <v>44026</v>
      </c>
      <c r="D1878" s="28">
        <v>20</v>
      </c>
      <c r="E1878" s="49">
        <v>13</v>
      </c>
      <c r="F1878" s="211">
        <f>IFERROR(Tableau6[[#This Row],[Score]]/Tableau6[[#This Row],[Nb]],0)</f>
        <v>0.65</v>
      </c>
    </row>
    <row r="1879" spans="1:6" ht="30" customHeight="1" x14ac:dyDescent="0.3">
      <c r="A1879" s="26" t="s">
        <v>4427</v>
      </c>
      <c r="B1879" s="27" t="s">
        <v>4428</v>
      </c>
      <c r="C1879" s="180">
        <v>44299</v>
      </c>
      <c r="D1879" s="28">
        <v>20</v>
      </c>
      <c r="E1879" s="49">
        <v>13</v>
      </c>
      <c r="F1879" s="211">
        <f>IFERROR(Tableau6[[#This Row],[Score]]/Tableau6[[#This Row],[Nb]],0)</f>
        <v>0.65</v>
      </c>
    </row>
    <row r="1880" spans="1:6" ht="30" customHeight="1" x14ac:dyDescent="0.3">
      <c r="A1880" s="26" t="s">
        <v>998</v>
      </c>
      <c r="B1880" s="27" t="s">
        <v>3887</v>
      </c>
      <c r="C1880" s="180">
        <v>41621</v>
      </c>
      <c r="D1880" s="28">
        <v>23</v>
      </c>
      <c r="E1880" s="49">
        <v>15</v>
      </c>
      <c r="F1880" s="211">
        <f>IFERROR(Tableau6[[#This Row],[Score]]/Tableau6[[#This Row],[Nb]],0)</f>
        <v>0.65217391304347827</v>
      </c>
    </row>
    <row r="1881" spans="1:6" ht="30" customHeight="1" x14ac:dyDescent="0.3">
      <c r="A1881" s="26" t="s">
        <v>4510</v>
      </c>
      <c r="B1881" s="27" t="s">
        <v>4511</v>
      </c>
      <c r="C1881" s="180">
        <v>41621</v>
      </c>
      <c r="D1881" s="28">
        <v>23</v>
      </c>
      <c r="E1881" s="49">
        <v>15</v>
      </c>
      <c r="F1881" s="211">
        <f>IFERROR(Tableau6[[#This Row],[Score]]/Tableau6[[#This Row],[Nb]],0)</f>
        <v>0.65217391304347827</v>
      </c>
    </row>
    <row r="1882" spans="1:6" ht="30" customHeight="1" x14ac:dyDescent="0.3">
      <c r="A1882" s="26" t="s">
        <v>1466</v>
      </c>
      <c r="B1882" s="27" t="s">
        <v>3836</v>
      </c>
      <c r="C1882" s="180">
        <v>41621</v>
      </c>
      <c r="D1882" s="28">
        <v>23</v>
      </c>
      <c r="E1882" s="49">
        <v>15</v>
      </c>
      <c r="F1882" s="211">
        <f>IFERROR(Tableau6[[#This Row],[Score]]/Tableau6[[#This Row],[Nb]],0)</f>
        <v>0.65217391304347827</v>
      </c>
    </row>
    <row r="1883" spans="1:6" ht="30" customHeight="1" x14ac:dyDescent="0.3">
      <c r="A1883" s="528" t="s">
        <v>6594</v>
      </c>
      <c r="B1883" s="27" t="s">
        <v>3104</v>
      </c>
      <c r="C1883" s="180">
        <v>41621</v>
      </c>
      <c r="D1883" s="28">
        <v>23</v>
      </c>
      <c r="E1883" s="49">
        <v>15</v>
      </c>
      <c r="F1883" s="211">
        <f>IFERROR(Tableau6[[#This Row],[Score]]/Tableau6[[#This Row],[Nb]],0)</f>
        <v>0.65217391304347827</v>
      </c>
    </row>
    <row r="1884" spans="1:6" ht="30" customHeight="1" x14ac:dyDescent="0.3">
      <c r="A1884" s="26" t="s">
        <v>85</v>
      </c>
      <c r="B1884" s="27" t="s">
        <v>4711</v>
      </c>
      <c r="C1884" s="180">
        <v>43341</v>
      </c>
      <c r="D1884" s="28">
        <v>23</v>
      </c>
      <c r="E1884" s="49">
        <v>15</v>
      </c>
      <c r="F1884" s="211">
        <f>IFERROR(Tableau6[[#This Row],[Score]]/Tableau6[[#This Row],[Nb]],0)</f>
        <v>0.65217391304347827</v>
      </c>
    </row>
    <row r="1885" spans="1:6" ht="30" customHeight="1" x14ac:dyDescent="0.3">
      <c r="A1885" s="26" t="s">
        <v>1300</v>
      </c>
      <c r="B1885" s="27" t="s">
        <v>1301</v>
      </c>
      <c r="C1885" s="180">
        <v>43438</v>
      </c>
      <c r="D1885" s="28">
        <v>23</v>
      </c>
      <c r="E1885" s="49">
        <v>15</v>
      </c>
      <c r="F1885" s="211">
        <f>IFERROR(Tableau6[[#This Row],[Score]]/Tableau6[[#This Row],[Nb]],0)</f>
        <v>0.65217391304347827</v>
      </c>
    </row>
    <row r="1886" spans="1:6" ht="30" customHeight="1" x14ac:dyDescent="0.3">
      <c r="A1886" s="26" t="s">
        <v>1492</v>
      </c>
      <c r="B1886" s="27" t="s">
        <v>1493</v>
      </c>
      <c r="C1886" s="180">
        <v>43472</v>
      </c>
      <c r="D1886" s="28">
        <v>23</v>
      </c>
      <c r="E1886" s="49">
        <v>15</v>
      </c>
      <c r="F1886" s="211">
        <f>IFERROR(Tableau6[[#This Row],[Score]]/Tableau6[[#This Row],[Nb]],0)</f>
        <v>0.65217391304347827</v>
      </c>
    </row>
    <row r="1887" spans="1:6" ht="30" customHeight="1" x14ac:dyDescent="0.3">
      <c r="A1887" s="26" t="s">
        <v>1490</v>
      </c>
      <c r="B1887" s="27" t="s">
        <v>1491</v>
      </c>
      <c r="C1887" s="180">
        <v>43472</v>
      </c>
      <c r="D1887" s="28">
        <v>23</v>
      </c>
      <c r="E1887" s="49">
        <v>15</v>
      </c>
      <c r="F1887" s="211">
        <f>IFERROR(Tableau6[[#This Row],[Score]]/Tableau6[[#This Row],[Nb]],0)</f>
        <v>0.65217391304347827</v>
      </c>
    </row>
    <row r="1888" spans="1:6" ht="30" customHeight="1" x14ac:dyDescent="0.3">
      <c r="A1888" s="26" t="s">
        <v>1675</v>
      </c>
      <c r="B1888" s="27" t="s">
        <v>1673</v>
      </c>
      <c r="C1888" s="180">
        <v>43548</v>
      </c>
      <c r="D1888" s="28">
        <v>23</v>
      </c>
      <c r="E1888" s="49">
        <v>15</v>
      </c>
      <c r="F1888" s="211">
        <f>IFERROR(Tableau6[[#This Row],[Score]]/Tableau6[[#This Row],[Nb]],0)</f>
        <v>0.65217391304347827</v>
      </c>
    </row>
    <row r="1889" spans="1:6" ht="30" customHeight="1" x14ac:dyDescent="0.3">
      <c r="A1889" s="26" t="s">
        <v>1954</v>
      </c>
      <c r="B1889" s="27" t="s">
        <v>1955</v>
      </c>
      <c r="C1889" s="180">
        <v>43603</v>
      </c>
      <c r="D1889" s="28">
        <v>23</v>
      </c>
      <c r="E1889" s="49">
        <v>15</v>
      </c>
      <c r="F1889" s="211">
        <f>IFERROR(Tableau6[[#This Row],[Score]]/Tableau6[[#This Row],[Nb]],0)</f>
        <v>0.65217391304347827</v>
      </c>
    </row>
    <row r="1890" spans="1:6" ht="30" customHeight="1" x14ac:dyDescent="0.3">
      <c r="A1890" s="26" t="s">
        <v>2002</v>
      </c>
      <c r="B1890" s="27" t="s">
        <v>4265</v>
      </c>
      <c r="C1890" s="180">
        <v>43605</v>
      </c>
      <c r="D1890" s="28">
        <v>23</v>
      </c>
      <c r="E1890" s="49">
        <v>15</v>
      </c>
      <c r="F1890" s="211">
        <f>IFERROR(Tableau6[[#This Row],[Score]]/Tableau6[[#This Row],[Nb]],0)</f>
        <v>0.65217391304347827</v>
      </c>
    </row>
    <row r="1891" spans="1:6" ht="30" customHeight="1" x14ac:dyDescent="0.3">
      <c r="A1891" s="26" t="s">
        <v>2024</v>
      </c>
      <c r="B1891" s="27" t="s">
        <v>2025</v>
      </c>
      <c r="C1891" s="180">
        <v>43605</v>
      </c>
      <c r="D1891" s="28">
        <v>23</v>
      </c>
      <c r="E1891" s="49">
        <v>15</v>
      </c>
      <c r="F1891" s="211">
        <f>IFERROR(Tableau6[[#This Row],[Score]]/Tableau6[[#This Row],[Nb]],0)</f>
        <v>0.65217391304347827</v>
      </c>
    </row>
    <row r="1892" spans="1:6" ht="30" customHeight="1" x14ac:dyDescent="0.3">
      <c r="A1892" s="151" t="s">
        <v>6194</v>
      </c>
      <c r="B1892" s="27" t="s">
        <v>2021</v>
      </c>
      <c r="C1892" s="180">
        <v>43605</v>
      </c>
      <c r="D1892" s="28">
        <v>23</v>
      </c>
      <c r="E1892" s="49">
        <v>15</v>
      </c>
      <c r="F1892" s="211">
        <f>IFERROR(Tableau6[[#This Row],[Score]]/Tableau6[[#This Row],[Nb]],0)</f>
        <v>0.65217391304347827</v>
      </c>
    </row>
    <row r="1893" spans="1:6" ht="30" customHeight="1" x14ac:dyDescent="0.3">
      <c r="A1893" s="26" t="s">
        <v>2460</v>
      </c>
      <c r="B1893" s="27" t="s">
        <v>2461</v>
      </c>
      <c r="C1893" s="180">
        <v>43776</v>
      </c>
      <c r="D1893" s="28">
        <v>23</v>
      </c>
      <c r="E1893" s="49">
        <v>15</v>
      </c>
      <c r="F1893" s="211">
        <f>IFERROR(Tableau6[[#This Row],[Score]]/Tableau6[[#This Row],[Nb]],0)</f>
        <v>0.65217391304347827</v>
      </c>
    </row>
    <row r="1894" spans="1:6" ht="30" customHeight="1" x14ac:dyDescent="0.3">
      <c r="A1894" s="26" t="s">
        <v>2562</v>
      </c>
      <c r="B1894" s="27" t="s">
        <v>2563</v>
      </c>
      <c r="C1894" s="180">
        <v>43826</v>
      </c>
      <c r="D1894" s="28">
        <v>23</v>
      </c>
      <c r="E1894" s="49">
        <v>15</v>
      </c>
      <c r="F1894" s="211">
        <f>IFERROR(Tableau6[[#This Row],[Score]]/Tableau6[[#This Row],[Nb]],0)</f>
        <v>0.65217391304347827</v>
      </c>
    </row>
    <row r="1895" spans="1:6" ht="30" customHeight="1" x14ac:dyDescent="0.3">
      <c r="A1895" s="26" t="s">
        <v>4835</v>
      </c>
      <c r="B1895" s="27" t="s">
        <v>4836</v>
      </c>
      <c r="C1895" s="180">
        <v>44395</v>
      </c>
      <c r="D1895" s="28">
        <v>23</v>
      </c>
      <c r="E1895" s="49">
        <v>15</v>
      </c>
      <c r="F1895" s="211">
        <f>IFERROR(Tableau6[[#This Row],[Score]]/Tableau6[[#This Row],[Nb]],0)</f>
        <v>0.65217391304347827</v>
      </c>
    </row>
    <row r="1896" spans="1:6" ht="30" customHeight="1" x14ac:dyDescent="0.3">
      <c r="A1896" s="26" t="s">
        <v>638</v>
      </c>
      <c r="B1896" s="27" t="s">
        <v>639</v>
      </c>
      <c r="C1896" s="180">
        <v>41621</v>
      </c>
      <c r="D1896" s="28">
        <v>26</v>
      </c>
      <c r="E1896" s="49">
        <v>17</v>
      </c>
      <c r="F1896" s="211">
        <f>IFERROR(Tableau6[[#This Row],[Score]]/Tableau6[[#This Row],[Nb]],0)</f>
        <v>0.65384615384615385</v>
      </c>
    </row>
    <row r="1897" spans="1:6" ht="30" customHeight="1" x14ac:dyDescent="0.3">
      <c r="A1897" s="26" t="s">
        <v>4249</v>
      </c>
      <c r="B1897" s="27" t="s">
        <v>4554</v>
      </c>
      <c r="C1897" s="180">
        <v>41621</v>
      </c>
      <c r="D1897" s="28">
        <v>26</v>
      </c>
      <c r="E1897" s="49">
        <v>17</v>
      </c>
      <c r="F1897" s="211">
        <f>IFERROR(Tableau6[[#This Row],[Score]]/Tableau6[[#This Row],[Nb]],0)</f>
        <v>0.65384615384615385</v>
      </c>
    </row>
    <row r="1898" spans="1:6" ht="30" customHeight="1" x14ac:dyDescent="0.3">
      <c r="A1898" s="26" t="s">
        <v>2409</v>
      </c>
      <c r="B1898" s="27" t="s">
        <v>2410</v>
      </c>
      <c r="C1898" s="180">
        <v>41621</v>
      </c>
      <c r="D1898" s="28">
        <v>26</v>
      </c>
      <c r="E1898" s="49">
        <v>17</v>
      </c>
      <c r="F1898" s="211">
        <f>IFERROR(Tableau6[[#This Row],[Score]]/Tableau6[[#This Row],[Nb]],0)</f>
        <v>0.65384615384615385</v>
      </c>
    </row>
    <row r="1899" spans="1:6" ht="30" customHeight="1" x14ac:dyDescent="0.3">
      <c r="A1899" s="26" t="s">
        <v>2709</v>
      </c>
      <c r="B1899" s="27" t="s">
        <v>4360</v>
      </c>
      <c r="C1899" s="180">
        <v>41621</v>
      </c>
      <c r="D1899" s="28">
        <v>26</v>
      </c>
      <c r="E1899" s="49">
        <v>17</v>
      </c>
      <c r="F1899" s="211">
        <f>IFERROR(Tableau6[[#This Row],[Score]]/Tableau6[[#This Row],[Nb]],0)</f>
        <v>0.65384615384615385</v>
      </c>
    </row>
    <row r="1900" spans="1:6" ht="30" customHeight="1" x14ac:dyDescent="0.3">
      <c r="A1900" s="26" t="s">
        <v>3904</v>
      </c>
      <c r="B1900" s="27" t="s">
        <v>3905</v>
      </c>
      <c r="C1900" s="180">
        <v>43237</v>
      </c>
      <c r="D1900" s="28">
        <v>26</v>
      </c>
      <c r="E1900" s="49">
        <v>17</v>
      </c>
      <c r="F1900" s="211">
        <f>IFERROR(Tableau6[[#This Row],[Score]]/Tableau6[[#This Row],[Nb]],0)</f>
        <v>0.65384615384615385</v>
      </c>
    </row>
    <row r="1901" spans="1:6" ht="30" customHeight="1" x14ac:dyDescent="0.3">
      <c r="A1901" s="26" t="s">
        <v>56</v>
      </c>
      <c r="B1901" s="27" t="s">
        <v>57</v>
      </c>
      <c r="C1901" s="180">
        <v>43298</v>
      </c>
      <c r="D1901" s="28">
        <v>26</v>
      </c>
      <c r="E1901" s="49">
        <v>17</v>
      </c>
      <c r="F1901" s="211">
        <f>IFERROR(Tableau6[[#This Row],[Score]]/Tableau6[[#This Row],[Nb]],0)</f>
        <v>0.65384615384615385</v>
      </c>
    </row>
    <row r="1902" spans="1:6" ht="30" customHeight="1" x14ac:dyDescent="0.3">
      <c r="A1902" s="26" t="s">
        <v>1271</v>
      </c>
      <c r="B1902" s="27" t="s">
        <v>1272</v>
      </c>
      <c r="C1902" s="180">
        <v>43425</v>
      </c>
      <c r="D1902" s="28">
        <v>26</v>
      </c>
      <c r="E1902" s="49">
        <v>17</v>
      </c>
      <c r="F1902" s="211">
        <f>IFERROR(Tableau6[[#This Row],[Score]]/Tableau6[[#This Row],[Nb]],0)</f>
        <v>0.65384615384615385</v>
      </c>
    </row>
    <row r="1903" spans="1:6" ht="30" customHeight="1" x14ac:dyDescent="0.3">
      <c r="A1903" s="26" t="s">
        <v>2089</v>
      </c>
      <c r="B1903" s="27" t="s">
        <v>2090</v>
      </c>
      <c r="C1903" s="180">
        <v>43673</v>
      </c>
      <c r="D1903" s="28">
        <v>26</v>
      </c>
      <c r="E1903" s="49">
        <v>17</v>
      </c>
      <c r="F1903" s="211">
        <f>IFERROR(Tableau6[[#This Row],[Score]]/Tableau6[[#This Row],[Nb]],0)</f>
        <v>0.65384615384615385</v>
      </c>
    </row>
    <row r="1904" spans="1:6" ht="30" customHeight="1" x14ac:dyDescent="0.3">
      <c r="A1904" s="26" t="s">
        <v>2248</v>
      </c>
      <c r="B1904" s="27" t="s">
        <v>2249</v>
      </c>
      <c r="C1904" s="180">
        <v>43756</v>
      </c>
      <c r="D1904" s="28">
        <v>26</v>
      </c>
      <c r="E1904" s="49">
        <v>17</v>
      </c>
      <c r="F1904" s="211">
        <f>IFERROR(Tableau6[[#This Row],[Score]]/Tableau6[[#This Row],[Nb]],0)</f>
        <v>0.65384615384615385</v>
      </c>
    </row>
    <row r="1905" spans="1:6" ht="30" customHeight="1" x14ac:dyDescent="0.3">
      <c r="A1905" s="26" t="s">
        <v>2960</v>
      </c>
      <c r="B1905" s="27" t="s">
        <v>2961</v>
      </c>
      <c r="C1905" s="180">
        <v>43984</v>
      </c>
      <c r="D1905" s="28">
        <v>26</v>
      </c>
      <c r="E1905" s="49">
        <v>17</v>
      </c>
      <c r="F1905" s="211">
        <f>IFERROR(Tableau6[[#This Row],[Score]]/Tableau6[[#This Row],[Nb]],0)</f>
        <v>0.65384615384615385</v>
      </c>
    </row>
    <row r="1906" spans="1:6" ht="30" customHeight="1" x14ac:dyDescent="0.3">
      <c r="A1906" s="26" t="s">
        <v>3950</v>
      </c>
      <c r="B1906" s="27" t="s">
        <v>3951</v>
      </c>
      <c r="C1906" s="180">
        <v>44262</v>
      </c>
      <c r="D1906" s="28">
        <v>26</v>
      </c>
      <c r="E1906" s="49">
        <v>17</v>
      </c>
      <c r="F1906" s="211">
        <f>IFERROR(Tableau6[[#This Row],[Score]]/Tableau6[[#This Row],[Nb]],0)</f>
        <v>0.65384615384615385</v>
      </c>
    </row>
    <row r="1907" spans="1:6" ht="30" customHeight="1" x14ac:dyDescent="0.3">
      <c r="A1907" s="26" t="s">
        <v>641</v>
      </c>
      <c r="B1907" s="27" t="s">
        <v>901</v>
      </c>
      <c r="C1907" s="180">
        <v>41621</v>
      </c>
      <c r="D1907" s="28">
        <v>29</v>
      </c>
      <c r="E1907" s="49">
        <v>19</v>
      </c>
      <c r="F1907" s="211">
        <f>IFERROR(Tableau6[[#This Row],[Score]]/Tableau6[[#This Row],[Nb]],0)</f>
        <v>0.65517241379310343</v>
      </c>
    </row>
    <row r="1908" spans="1:6" ht="30" customHeight="1" x14ac:dyDescent="0.3">
      <c r="A1908" s="26" t="s">
        <v>262</v>
      </c>
      <c r="B1908" s="27" t="s">
        <v>263</v>
      </c>
      <c r="C1908" s="180">
        <v>43390</v>
      </c>
      <c r="D1908" s="28">
        <v>29</v>
      </c>
      <c r="E1908" s="49">
        <v>19</v>
      </c>
      <c r="F1908" s="211">
        <f>IFERROR(Tableau6[[#This Row],[Score]]/Tableau6[[#This Row],[Nb]],0)</f>
        <v>0.65517241379310343</v>
      </c>
    </row>
    <row r="1909" spans="1:6" ht="30" customHeight="1" x14ac:dyDescent="0.3">
      <c r="A1909" s="26" t="s">
        <v>1201</v>
      </c>
      <c r="B1909" s="27" t="s">
        <v>1202</v>
      </c>
      <c r="C1909" s="180">
        <v>43422</v>
      </c>
      <c r="D1909" s="28">
        <v>29</v>
      </c>
      <c r="E1909" s="49">
        <v>19</v>
      </c>
      <c r="F1909" s="211">
        <f>IFERROR(Tableau6[[#This Row],[Score]]/Tableau6[[#This Row],[Nb]],0)</f>
        <v>0.65517241379310343</v>
      </c>
    </row>
    <row r="1910" spans="1:6" ht="30" customHeight="1" x14ac:dyDescent="0.3">
      <c r="A1910" s="26" t="s">
        <v>1250</v>
      </c>
      <c r="B1910" s="27" t="s">
        <v>1251</v>
      </c>
      <c r="C1910" s="180">
        <v>43428</v>
      </c>
      <c r="D1910" s="28">
        <v>29</v>
      </c>
      <c r="E1910" s="49">
        <v>19</v>
      </c>
      <c r="F1910" s="211">
        <f>IFERROR(Tableau6[[#This Row],[Score]]/Tableau6[[#This Row],[Nb]],0)</f>
        <v>0.65517241379310343</v>
      </c>
    </row>
    <row r="1911" spans="1:6" ht="30" customHeight="1" x14ac:dyDescent="0.3">
      <c r="A1911" s="26" t="s">
        <v>1411</v>
      </c>
      <c r="B1911" s="27" t="s">
        <v>1412</v>
      </c>
      <c r="C1911" s="180">
        <v>43451</v>
      </c>
      <c r="D1911" s="28">
        <v>29</v>
      </c>
      <c r="E1911" s="49">
        <v>19</v>
      </c>
      <c r="F1911" s="211">
        <f>IFERROR(Tableau6[[#This Row],[Score]]/Tableau6[[#This Row],[Nb]],0)</f>
        <v>0.65517241379310343</v>
      </c>
    </row>
    <row r="1912" spans="1:6" ht="30" customHeight="1" x14ac:dyDescent="0.3">
      <c r="A1912" s="26" t="s">
        <v>1481</v>
      </c>
      <c r="B1912" s="27" t="s">
        <v>1482</v>
      </c>
      <c r="C1912" s="180">
        <v>43472</v>
      </c>
      <c r="D1912" s="28">
        <v>29</v>
      </c>
      <c r="E1912" s="49">
        <v>19</v>
      </c>
      <c r="F1912" s="211">
        <f>IFERROR(Tableau6[[#This Row],[Score]]/Tableau6[[#This Row],[Nb]],0)</f>
        <v>0.65517241379310343</v>
      </c>
    </row>
    <row r="1913" spans="1:6" ht="30" customHeight="1" x14ac:dyDescent="0.3">
      <c r="A1913" s="26" t="s">
        <v>3311</v>
      </c>
      <c r="B1913" s="27" t="s">
        <v>3312</v>
      </c>
      <c r="C1913" s="180">
        <v>44042</v>
      </c>
      <c r="D1913" s="28">
        <v>29</v>
      </c>
      <c r="E1913" s="49">
        <v>19</v>
      </c>
      <c r="F1913" s="211">
        <f>IFERROR(Tableau6[[#This Row],[Score]]/Tableau6[[#This Row],[Nb]],0)</f>
        <v>0.65517241379310343</v>
      </c>
    </row>
    <row r="1914" spans="1:6" ht="30" customHeight="1" x14ac:dyDescent="0.3">
      <c r="A1914" s="26" t="s">
        <v>4324</v>
      </c>
      <c r="B1914" s="27" t="s">
        <v>4325</v>
      </c>
      <c r="C1914" s="180">
        <v>41621</v>
      </c>
      <c r="D1914" s="28">
        <v>32</v>
      </c>
      <c r="E1914" s="49">
        <v>21</v>
      </c>
      <c r="F1914" s="211">
        <f>IFERROR(Tableau6[[#This Row],[Score]]/Tableau6[[#This Row],[Nb]],0)</f>
        <v>0.65625</v>
      </c>
    </row>
    <row r="1915" spans="1:6" ht="30" customHeight="1" x14ac:dyDescent="0.3">
      <c r="A1915" s="26" t="s">
        <v>4936</v>
      </c>
      <c r="B1915" s="55" t="s">
        <v>5059</v>
      </c>
      <c r="C1915" s="180">
        <v>41621</v>
      </c>
      <c r="D1915" s="28">
        <v>32</v>
      </c>
      <c r="E1915" s="49">
        <v>21</v>
      </c>
      <c r="F1915" s="211">
        <f>IFERROR(Tableau6[[#This Row],[Score]]/Tableau6[[#This Row],[Nb]],0)</f>
        <v>0.65625</v>
      </c>
    </row>
    <row r="1916" spans="1:6" ht="30" customHeight="1" x14ac:dyDescent="0.3">
      <c r="A1916" s="491" t="s">
        <v>6563</v>
      </c>
      <c r="B1916" s="492" t="s">
        <v>6564</v>
      </c>
      <c r="C1916" s="180">
        <v>43548</v>
      </c>
      <c r="D1916" s="28">
        <v>32</v>
      </c>
      <c r="E1916" s="49">
        <v>21</v>
      </c>
      <c r="F1916" s="211">
        <f>IFERROR(Tableau6[[#This Row],[Score]]/Tableau6[[#This Row],[Nb]],0)</f>
        <v>0.65625</v>
      </c>
    </row>
    <row r="1917" spans="1:6" ht="30" customHeight="1" x14ac:dyDescent="0.3">
      <c r="A1917" s="26" t="s">
        <v>2906</v>
      </c>
      <c r="B1917" s="27" t="s">
        <v>2907</v>
      </c>
      <c r="C1917" s="180">
        <v>43969</v>
      </c>
      <c r="D1917" s="28">
        <v>35</v>
      </c>
      <c r="E1917" s="49">
        <v>23</v>
      </c>
      <c r="F1917" s="211">
        <f>IFERROR(Tableau6[[#This Row],[Score]]/Tableau6[[#This Row],[Nb]],0)</f>
        <v>0.65714285714285714</v>
      </c>
    </row>
    <row r="1918" spans="1:6" ht="30" customHeight="1" x14ac:dyDescent="0.3">
      <c r="A1918" s="26" t="s">
        <v>400</v>
      </c>
      <c r="B1918" s="27" t="s">
        <v>401</v>
      </c>
      <c r="C1918" s="180">
        <v>40611</v>
      </c>
      <c r="D1918" s="28">
        <v>24</v>
      </c>
      <c r="E1918" s="49">
        <v>16</v>
      </c>
      <c r="F1918" s="211">
        <f>IFERROR(Tableau6[[#This Row],[Score]]/Tableau6[[#This Row],[Nb]],0)</f>
        <v>0.66666666666666663</v>
      </c>
    </row>
    <row r="1919" spans="1:6" ht="30" customHeight="1" x14ac:dyDescent="0.3">
      <c r="A1919" s="26" t="s">
        <v>277</v>
      </c>
      <c r="B1919" s="27" t="s">
        <v>278</v>
      </c>
      <c r="C1919" s="180">
        <v>40611</v>
      </c>
      <c r="D1919" s="28">
        <v>21</v>
      </c>
      <c r="E1919" s="49">
        <v>14</v>
      </c>
      <c r="F1919" s="211">
        <f>IFERROR(Tableau6[[#This Row],[Score]]/Tableau6[[#This Row],[Nb]],0)</f>
        <v>0.66666666666666663</v>
      </c>
    </row>
    <row r="1920" spans="1:6" ht="30" customHeight="1" x14ac:dyDescent="0.3">
      <c r="A1920" s="26" t="s">
        <v>455</v>
      </c>
      <c r="B1920" s="27" t="s">
        <v>4218</v>
      </c>
      <c r="C1920" s="180">
        <v>40611</v>
      </c>
      <c r="D1920" s="28">
        <v>30</v>
      </c>
      <c r="E1920" s="49">
        <v>20</v>
      </c>
      <c r="F1920" s="211">
        <f>IFERROR(Tableau6[[#This Row],[Score]]/Tableau6[[#This Row],[Nb]],0)</f>
        <v>0.66666666666666663</v>
      </c>
    </row>
    <row r="1921" spans="1:6" ht="30" customHeight="1" x14ac:dyDescent="0.3">
      <c r="A1921" s="26" t="s">
        <v>4523</v>
      </c>
      <c r="B1921" s="27" t="s">
        <v>3505</v>
      </c>
      <c r="C1921" s="180">
        <v>41522</v>
      </c>
      <c r="D1921" s="28">
        <v>27</v>
      </c>
      <c r="E1921" s="49">
        <v>18</v>
      </c>
      <c r="F1921" s="211">
        <f>IFERROR(Tableau6[[#This Row],[Score]]/Tableau6[[#This Row],[Nb]],0)</f>
        <v>0.66666666666666663</v>
      </c>
    </row>
    <row r="1922" spans="1:6" ht="30" customHeight="1" x14ac:dyDescent="0.3">
      <c r="A1922" s="26" t="s">
        <v>958</v>
      </c>
      <c r="B1922" s="27" t="s">
        <v>687</v>
      </c>
      <c r="C1922" s="180">
        <v>41621</v>
      </c>
      <c r="D1922" s="28">
        <v>24</v>
      </c>
      <c r="E1922" s="49">
        <v>16</v>
      </c>
      <c r="F1922" s="211">
        <f>IFERROR(Tableau6[[#This Row],[Score]]/Tableau6[[#This Row],[Nb]],0)</f>
        <v>0.66666666666666663</v>
      </c>
    </row>
    <row r="1923" spans="1:6" ht="30" customHeight="1" x14ac:dyDescent="0.3">
      <c r="A1923" s="26" t="s">
        <v>4778</v>
      </c>
      <c r="B1923" s="27" t="s">
        <v>4777</v>
      </c>
      <c r="C1923" s="180">
        <v>41621</v>
      </c>
      <c r="D1923" s="28">
        <v>18</v>
      </c>
      <c r="E1923" s="49">
        <v>12</v>
      </c>
      <c r="F1923" s="211">
        <f>IFERROR(Tableau6[[#This Row],[Score]]/Tableau6[[#This Row],[Nb]],0)</f>
        <v>0.66666666666666663</v>
      </c>
    </row>
    <row r="1924" spans="1:6" ht="30" customHeight="1" x14ac:dyDescent="0.3">
      <c r="A1924" s="26" t="s">
        <v>3519</v>
      </c>
      <c r="B1924" s="27" t="s">
        <v>3520</v>
      </c>
      <c r="C1924" s="180">
        <v>41621</v>
      </c>
      <c r="D1924" s="28">
        <v>21</v>
      </c>
      <c r="E1924" s="49">
        <v>14</v>
      </c>
      <c r="F1924" s="211">
        <f>IFERROR(Tableau6[[#This Row],[Score]]/Tableau6[[#This Row],[Nb]],0)</f>
        <v>0.66666666666666663</v>
      </c>
    </row>
    <row r="1925" spans="1:6" ht="30" customHeight="1" x14ac:dyDescent="0.3">
      <c r="A1925" s="26" t="s">
        <v>3510</v>
      </c>
      <c r="B1925" s="27" t="s">
        <v>3511</v>
      </c>
      <c r="C1925" s="180">
        <v>41621</v>
      </c>
      <c r="D1925" s="28">
        <v>21</v>
      </c>
      <c r="E1925" s="49">
        <v>14</v>
      </c>
      <c r="F1925" s="211">
        <f>IFERROR(Tableau6[[#This Row],[Score]]/Tableau6[[#This Row],[Nb]],0)</f>
        <v>0.66666666666666663</v>
      </c>
    </row>
    <row r="1926" spans="1:6" ht="30" customHeight="1" x14ac:dyDescent="0.3">
      <c r="A1926" s="26" t="s">
        <v>771</v>
      </c>
      <c r="B1926" s="27" t="s">
        <v>4665</v>
      </c>
      <c r="C1926" s="180">
        <v>41621</v>
      </c>
      <c r="D1926" s="28">
        <v>21</v>
      </c>
      <c r="E1926" s="49">
        <v>14</v>
      </c>
      <c r="F1926" s="211">
        <f>IFERROR(Tableau6[[#This Row],[Score]]/Tableau6[[#This Row],[Nb]],0)</f>
        <v>0.66666666666666663</v>
      </c>
    </row>
    <row r="1927" spans="1:6" ht="30" customHeight="1" x14ac:dyDescent="0.3">
      <c r="A1927" s="26" t="s">
        <v>2534</v>
      </c>
      <c r="B1927" s="27" t="s">
        <v>2535</v>
      </c>
      <c r="C1927" s="180">
        <v>41621</v>
      </c>
      <c r="D1927" s="28">
        <v>21</v>
      </c>
      <c r="E1927" s="49">
        <v>14</v>
      </c>
      <c r="F1927" s="211">
        <f>IFERROR(Tableau6[[#This Row],[Score]]/Tableau6[[#This Row],[Nb]],0)</f>
        <v>0.66666666666666663</v>
      </c>
    </row>
    <row r="1928" spans="1:6" ht="30" customHeight="1" x14ac:dyDescent="0.3">
      <c r="A1928" s="26" t="s">
        <v>693</v>
      </c>
      <c r="B1928" s="27" t="s">
        <v>899</v>
      </c>
      <c r="C1928" s="180">
        <v>41621</v>
      </c>
      <c r="D1928" s="28">
        <v>21</v>
      </c>
      <c r="E1928" s="49">
        <v>14</v>
      </c>
      <c r="F1928" s="211">
        <f>IFERROR(Tableau6[[#This Row],[Score]]/Tableau6[[#This Row],[Nb]],0)</f>
        <v>0.66666666666666663</v>
      </c>
    </row>
    <row r="1929" spans="1:6" ht="30" customHeight="1" x14ac:dyDescent="0.3">
      <c r="A1929" s="26" t="s">
        <v>976</v>
      </c>
      <c r="B1929" s="152" t="s">
        <v>5165</v>
      </c>
      <c r="C1929" s="180">
        <v>41621</v>
      </c>
      <c r="D1929" s="28">
        <v>24</v>
      </c>
      <c r="E1929" s="49">
        <v>16</v>
      </c>
      <c r="F1929" s="211">
        <f>IFERROR(Tableau6[[#This Row],[Score]]/Tableau6[[#This Row],[Nb]],0)</f>
        <v>0.66666666666666663</v>
      </c>
    </row>
    <row r="1930" spans="1:6" ht="30" customHeight="1" x14ac:dyDescent="0.3">
      <c r="A1930" s="26" t="s">
        <v>3407</v>
      </c>
      <c r="B1930" s="27" t="s">
        <v>3408</v>
      </c>
      <c r="C1930" s="180">
        <v>41621</v>
      </c>
      <c r="D1930" s="28">
        <v>21</v>
      </c>
      <c r="E1930" s="49">
        <v>14</v>
      </c>
      <c r="F1930" s="211">
        <f>IFERROR(Tableau6[[#This Row],[Score]]/Tableau6[[#This Row],[Nb]],0)</f>
        <v>0.66666666666666663</v>
      </c>
    </row>
    <row r="1931" spans="1:6" ht="30" customHeight="1" x14ac:dyDescent="0.3">
      <c r="A1931" s="26" t="s">
        <v>189</v>
      </c>
      <c r="B1931" s="27" t="s">
        <v>4039</v>
      </c>
      <c r="C1931" s="180">
        <v>41621</v>
      </c>
      <c r="D1931" s="28">
        <v>18</v>
      </c>
      <c r="E1931" s="49">
        <v>12</v>
      </c>
      <c r="F1931" s="211">
        <f>IFERROR(Tableau6[[#This Row],[Score]]/Tableau6[[#This Row],[Nb]],0)</f>
        <v>0.66666666666666663</v>
      </c>
    </row>
    <row r="1932" spans="1:6" ht="30" customHeight="1" x14ac:dyDescent="0.3">
      <c r="A1932" s="26" t="s">
        <v>3906</v>
      </c>
      <c r="B1932" s="27" t="s">
        <v>3907</v>
      </c>
      <c r="C1932" s="180">
        <v>41621</v>
      </c>
      <c r="D1932" s="28">
        <v>27</v>
      </c>
      <c r="E1932" s="49">
        <v>18</v>
      </c>
      <c r="F1932" s="211">
        <f>IFERROR(Tableau6[[#This Row],[Score]]/Tableau6[[#This Row],[Nb]],0)</f>
        <v>0.66666666666666663</v>
      </c>
    </row>
    <row r="1933" spans="1:6" ht="30" customHeight="1" x14ac:dyDescent="0.3">
      <c r="A1933" s="26" t="s">
        <v>4246</v>
      </c>
      <c r="B1933" s="27" t="s">
        <v>4247</v>
      </c>
      <c r="C1933" s="180">
        <v>41621</v>
      </c>
      <c r="D1933" s="28">
        <v>24</v>
      </c>
      <c r="E1933" s="49">
        <v>16</v>
      </c>
      <c r="F1933" s="211">
        <f>IFERROR(Tableau6[[#This Row],[Score]]/Tableau6[[#This Row],[Nb]],0)</f>
        <v>0.66666666666666663</v>
      </c>
    </row>
    <row r="1934" spans="1:6" ht="30" customHeight="1" x14ac:dyDescent="0.3">
      <c r="A1934" s="26" t="s">
        <v>690</v>
      </c>
      <c r="B1934" s="27" t="s">
        <v>4448</v>
      </c>
      <c r="C1934" s="180">
        <v>41621</v>
      </c>
      <c r="D1934" s="28">
        <v>24</v>
      </c>
      <c r="E1934" s="49">
        <v>16</v>
      </c>
      <c r="F1934" s="211">
        <f>IFERROR(Tableau6[[#This Row],[Score]]/Tableau6[[#This Row],[Nb]],0)</f>
        <v>0.66666666666666663</v>
      </c>
    </row>
    <row r="1935" spans="1:6" ht="30" customHeight="1" x14ac:dyDescent="0.3">
      <c r="A1935" s="26" t="s">
        <v>778</v>
      </c>
      <c r="B1935" s="27" t="s">
        <v>4630</v>
      </c>
      <c r="C1935" s="180">
        <v>43205</v>
      </c>
      <c r="D1935" s="28">
        <v>15</v>
      </c>
      <c r="E1935" s="49">
        <v>10</v>
      </c>
      <c r="F1935" s="211">
        <f>IFERROR(Tableau6[[#This Row],[Score]]/Tableau6[[#This Row],[Nb]],0)</f>
        <v>0.66666666666666663</v>
      </c>
    </row>
    <row r="1936" spans="1:6" ht="30" customHeight="1" x14ac:dyDescent="0.3">
      <c r="A1936" s="26" t="s">
        <v>129</v>
      </c>
      <c r="B1936" s="27" t="s">
        <v>3386</v>
      </c>
      <c r="C1936" s="180">
        <v>43205</v>
      </c>
      <c r="D1936" s="28">
        <v>21</v>
      </c>
      <c r="E1936" s="49">
        <v>14</v>
      </c>
      <c r="F1936" s="211">
        <f>IFERROR(Tableau6[[#This Row],[Score]]/Tableau6[[#This Row],[Nb]],0)</f>
        <v>0.66666666666666663</v>
      </c>
    </row>
    <row r="1937" spans="1:6" ht="30" customHeight="1" x14ac:dyDescent="0.3">
      <c r="A1937" s="26" t="s">
        <v>1055</v>
      </c>
      <c r="B1937" s="27" t="s">
        <v>701</v>
      </c>
      <c r="C1937" s="180">
        <v>43237</v>
      </c>
      <c r="D1937" s="28">
        <v>24</v>
      </c>
      <c r="E1937" s="49">
        <v>16</v>
      </c>
      <c r="F1937" s="211">
        <f>IFERROR(Tableau6[[#This Row],[Score]]/Tableau6[[#This Row],[Nb]],0)</f>
        <v>0.66666666666666663</v>
      </c>
    </row>
    <row r="1938" spans="1:6" ht="30" customHeight="1" x14ac:dyDescent="0.3">
      <c r="A1938" s="26" t="s">
        <v>3868</v>
      </c>
      <c r="B1938" s="27" t="s">
        <v>3869</v>
      </c>
      <c r="C1938" s="180">
        <v>43247</v>
      </c>
      <c r="D1938" s="28">
        <v>24</v>
      </c>
      <c r="E1938" s="49">
        <v>16</v>
      </c>
      <c r="F1938" s="211">
        <f>IFERROR(Tableau6[[#This Row],[Score]]/Tableau6[[#This Row],[Nb]],0)</f>
        <v>0.66666666666666663</v>
      </c>
    </row>
    <row r="1939" spans="1:6" ht="30" customHeight="1" x14ac:dyDescent="0.3">
      <c r="A1939" s="26" t="s">
        <v>179</v>
      </c>
      <c r="B1939" s="27" t="s">
        <v>95</v>
      </c>
      <c r="C1939" s="180">
        <v>43341</v>
      </c>
      <c r="D1939" s="28">
        <v>21</v>
      </c>
      <c r="E1939" s="49">
        <v>14</v>
      </c>
      <c r="F1939" s="211">
        <f>IFERROR(Tableau6[[#This Row],[Score]]/Tableau6[[#This Row],[Nb]],0)</f>
        <v>0.66666666666666663</v>
      </c>
    </row>
    <row r="1940" spans="1:6" ht="30" customHeight="1" x14ac:dyDescent="0.3">
      <c r="A1940" s="26" t="s">
        <v>1540</v>
      </c>
      <c r="B1940" s="27" t="s">
        <v>1541</v>
      </c>
      <c r="C1940" s="180">
        <v>43341</v>
      </c>
      <c r="D1940" s="28">
        <v>18</v>
      </c>
      <c r="E1940" s="49">
        <v>12</v>
      </c>
      <c r="F1940" s="211">
        <f>IFERROR(Tableau6[[#This Row],[Score]]/Tableau6[[#This Row],[Nb]],0)</f>
        <v>0.66666666666666663</v>
      </c>
    </row>
    <row r="1941" spans="1:6" ht="30" customHeight="1" x14ac:dyDescent="0.3">
      <c r="A1941" s="26" t="s">
        <v>124</v>
      </c>
      <c r="B1941" s="27" t="s">
        <v>4672</v>
      </c>
      <c r="C1941" s="180">
        <v>43341</v>
      </c>
      <c r="D1941" s="28">
        <v>18</v>
      </c>
      <c r="E1941" s="49">
        <v>12</v>
      </c>
      <c r="F1941" s="211">
        <f>IFERROR(Tableau6[[#This Row],[Score]]/Tableau6[[#This Row],[Nb]],0)</f>
        <v>0.66666666666666663</v>
      </c>
    </row>
    <row r="1942" spans="1:6" ht="30" customHeight="1" x14ac:dyDescent="0.3">
      <c r="A1942" s="26" t="s">
        <v>96</v>
      </c>
      <c r="B1942" s="27" t="s">
        <v>97</v>
      </c>
      <c r="C1942" s="180">
        <v>43341</v>
      </c>
      <c r="D1942" s="28">
        <v>36</v>
      </c>
      <c r="E1942" s="49">
        <v>24</v>
      </c>
      <c r="F1942" s="211">
        <f>IFERROR(Tableau6[[#This Row],[Score]]/Tableau6[[#This Row],[Nb]],0)</f>
        <v>0.66666666666666663</v>
      </c>
    </row>
    <row r="1943" spans="1:6" ht="30" customHeight="1" x14ac:dyDescent="0.3">
      <c r="A1943" s="26" t="s">
        <v>157</v>
      </c>
      <c r="B1943" s="27" t="s">
        <v>158</v>
      </c>
      <c r="C1943" s="180">
        <v>43355</v>
      </c>
      <c r="D1943" s="28">
        <v>15</v>
      </c>
      <c r="E1943" s="49">
        <v>10</v>
      </c>
      <c r="F1943" s="211">
        <f>IFERROR(Tableau6[[#This Row],[Score]]/Tableau6[[#This Row],[Nb]],0)</f>
        <v>0.66666666666666663</v>
      </c>
    </row>
    <row r="1944" spans="1:6" ht="30" customHeight="1" x14ac:dyDescent="0.3">
      <c r="A1944" s="26" t="s">
        <v>216</v>
      </c>
      <c r="B1944" s="27" t="s">
        <v>1563</v>
      </c>
      <c r="C1944" s="180">
        <v>43400</v>
      </c>
      <c r="D1944" s="28">
        <v>15</v>
      </c>
      <c r="E1944" s="49">
        <v>10</v>
      </c>
      <c r="F1944" s="211">
        <f>IFERROR(Tableau6[[#This Row],[Score]]/Tableau6[[#This Row],[Nb]],0)</f>
        <v>0.66666666666666663</v>
      </c>
    </row>
    <row r="1945" spans="1:6" ht="30" customHeight="1" x14ac:dyDescent="0.3">
      <c r="A1945" s="26" t="s">
        <v>197</v>
      </c>
      <c r="B1945" s="27" t="s">
        <v>2412</v>
      </c>
      <c r="C1945" s="180">
        <v>43401</v>
      </c>
      <c r="D1945" s="28">
        <v>15</v>
      </c>
      <c r="E1945" s="49">
        <v>10</v>
      </c>
      <c r="F1945" s="211">
        <f>IFERROR(Tableau6[[#This Row],[Score]]/Tableau6[[#This Row],[Nb]],0)</f>
        <v>0.66666666666666663</v>
      </c>
    </row>
    <row r="1946" spans="1:6" ht="30" customHeight="1" x14ac:dyDescent="0.3">
      <c r="A1946" s="26" t="s">
        <v>3602</v>
      </c>
      <c r="B1946" s="27" t="s">
        <v>568</v>
      </c>
      <c r="C1946" s="180">
        <v>43406</v>
      </c>
      <c r="D1946" s="28">
        <v>21</v>
      </c>
      <c r="E1946" s="49">
        <v>14</v>
      </c>
      <c r="F1946" s="211">
        <f>IFERROR(Tableau6[[#This Row],[Score]]/Tableau6[[#This Row],[Nb]],0)</f>
        <v>0.66666666666666663</v>
      </c>
    </row>
    <row r="1947" spans="1:6" ht="30" customHeight="1" x14ac:dyDescent="0.3">
      <c r="A1947" s="26" t="s">
        <v>3432</v>
      </c>
      <c r="B1947" s="27" t="s">
        <v>542</v>
      </c>
      <c r="C1947" s="180">
        <v>43408</v>
      </c>
      <c r="D1947" s="28">
        <v>24</v>
      </c>
      <c r="E1947" s="49">
        <v>16</v>
      </c>
      <c r="F1947" s="211">
        <f>IFERROR(Tableau6[[#This Row],[Score]]/Tableau6[[#This Row],[Nb]],0)</f>
        <v>0.66666666666666663</v>
      </c>
    </row>
    <row r="1948" spans="1:6" ht="30" customHeight="1" x14ac:dyDescent="0.3">
      <c r="A1948" s="26" t="s">
        <v>1193</v>
      </c>
      <c r="B1948" s="27" t="s">
        <v>1194</v>
      </c>
      <c r="C1948" s="180">
        <v>43422</v>
      </c>
      <c r="D1948" s="28">
        <v>15</v>
      </c>
      <c r="E1948" s="49">
        <v>10</v>
      </c>
      <c r="F1948" s="211">
        <f>IFERROR(Tableau6[[#This Row],[Score]]/Tableau6[[#This Row],[Nb]],0)</f>
        <v>0.66666666666666663</v>
      </c>
    </row>
    <row r="1949" spans="1:6" ht="30" customHeight="1" x14ac:dyDescent="0.3">
      <c r="A1949" s="26" t="s">
        <v>1189</v>
      </c>
      <c r="B1949" s="27" t="s">
        <v>1190</v>
      </c>
      <c r="C1949" s="180">
        <v>43422</v>
      </c>
      <c r="D1949" s="28">
        <v>18</v>
      </c>
      <c r="E1949" s="49">
        <v>12</v>
      </c>
      <c r="F1949" s="211">
        <f>IFERROR(Tableau6[[#This Row],[Score]]/Tableau6[[#This Row],[Nb]],0)</f>
        <v>0.66666666666666663</v>
      </c>
    </row>
    <row r="1950" spans="1:6" ht="30" customHeight="1" x14ac:dyDescent="0.3">
      <c r="A1950" s="26" t="s">
        <v>1267</v>
      </c>
      <c r="B1950" s="27" t="s">
        <v>1268</v>
      </c>
      <c r="C1950" s="180">
        <v>43425</v>
      </c>
      <c r="D1950" s="28">
        <v>24</v>
      </c>
      <c r="E1950" s="49">
        <v>16</v>
      </c>
      <c r="F1950" s="211">
        <f>IFERROR(Tableau6[[#This Row],[Score]]/Tableau6[[#This Row],[Nb]],0)</f>
        <v>0.66666666666666663</v>
      </c>
    </row>
    <row r="1951" spans="1:6" ht="30" customHeight="1" x14ac:dyDescent="0.3">
      <c r="A1951" s="26" t="s">
        <v>1274</v>
      </c>
      <c r="B1951" s="27" t="s">
        <v>4542</v>
      </c>
      <c r="C1951" s="180">
        <v>43425</v>
      </c>
      <c r="D1951" s="28">
        <v>21</v>
      </c>
      <c r="E1951" s="49">
        <v>14</v>
      </c>
      <c r="F1951" s="211">
        <f>IFERROR(Tableau6[[#This Row],[Score]]/Tableau6[[#This Row],[Nb]],0)</f>
        <v>0.66666666666666663</v>
      </c>
    </row>
    <row r="1952" spans="1:6" ht="30" customHeight="1" x14ac:dyDescent="0.3">
      <c r="A1952" s="26" t="s">
        <v>1281</v>
      </c>
      <c r="B1952" s="27" t="s">
        <v>1282</v>
      </c>
      <c r="C1952" s="180">
        <v>43438</v>
      </c>
      <c r="D1952" s="28">
        <v>24</v>
      </c>
      <c r="E1952" s="49">
        <v>16</v>
      </c>
      <c r="F1952" s="211">
        <f>IFERROR(Tableau6[[#This Row],[Score]]/Tableau6[[#This Row],[Nb]],0)</f>
        <v>0.66666666666666663</v>
      </c>
    </row>
    <row r="1953" spans="1:6" ht="30" customHeight="1" x14ac:dyDescent="0.3">
      <c r="A1953" s="26" t="s">
        <v>4814</v>
      </c>
      <c r="B1953" s="152" t="s">
        <v>5534</v>
      </c>
      <c r="C1953" s="180">
        <v>43444</v>
      </c>
      <c r="D1953" s="28">
        <v>30</v>
      </c>
      <c r="E1953" s="49">
        <v>20</v>
      </c>
      <c r="F1953" s="211">
        <f>IFERROR(Tableau6[[#This Row],[Score]]/Tableau6[[#This Row],[Nb]],0)</f>
        <v>0.66666666666666663</v>
      </c>
    </row>
    <row r="1954" spans="1:6" ht="30" customHeight="1" x14ac:dyDescent="0.3">
      <c r="A1954" s="26" t="s">
        <v>1380</v>
      </c>
      <c r="B1954" s="27" t="s">
        <v>1381</v>
      </c>
      <c r="C1954" s="180">
        <v>43444</v>
      </c>
      <c r="D1954" s="28">
        <v>27</v>
      </c>
      <c r="E1954" s="49">
        <v>18</v>
      </c>
      <c r="F1954" s="211">
        <f>IFERROR(Tableau6[[#This Row],[Score]]/Tableau6[[#This Row],[Nb]],0)</f>
        <v>0.66666666666666663</v>
      </c>
    </row>
    <row r="1955" spans="1:6" ht="30" customHeight="1" x14ac:dyDescent="0.3">
      <c r="A1955" s="26" t="s">
        <v>1357</v>
      </c>
      <c r="B1955" s="27" t="s">
        <v>1358</v>
      </c>
      <c r="C1955" s="180">
        <v>43444</v>
      </c>
      <c r="D1955" s="28">
        <v>27</v>
      </c>
      <c r="E1955" s="49">
        <v>18</v>
      </c>
      <c r="F1955" s="211">
        <f>IFERROR(Tableau6[[#This Row],[Score]]/Tableau6[[#This Row],[Nb]],0)</f>
        <v>0.66666666666666663</v>
      </c>
    </row>
    <row r="1956" spans="1:6" ht="30" customHeight="1" x14ac:dyDescent="0.3">
      <c r="A1956" s="26" t="s">
        <v>1390</v>
      </c>
      <c r="B1956" s="27" t="s">
        <v>1391</v>
      </c>
      <c r="C1956" s="180">
        <v>43444</v>
      </c>
      <c r="D1956" s="28">
        <v>24</v>
      </c>
      <c r="E1956" s="49">
        <v>16</v>
      </c>
      <c r="F1956" s="211">
        <f>IFERROR(Tableau6[[#This Row],[Score]]/Tableau6[[#This Row],[Nb]],0)</f>
        <v>0.66666666666666663</v>
      </c>
    </row>
    <row r="1957" spans="1:6" ht="30" customHeight="1" x14ac:dyDescent="0.3">
      <c r="A1957" s="26" t="s">
        <v>3826</v>
      </c>
      <c r="B1957" s="27" t="s">
        <v>3827</v>
      </c>
      <c r="C1957" s="180">
        <v>43472</v>
      </c>
      <c r="D1957" s="28">
        <v>30</v>
      </c>
      <c r="E1957" s="49">
        <v>20</v>
      </c>
      <c r="F1957" s="211">
        <f>IFERROR(Tableau6[[#This Row],[Score]]/Tableau6[[#This Row],[Nb]],0)</f>
        <v>0.66666666666666663</v>
      </c>
    </row>
    <row r="1958" spans="1:6" ht="30" customHeight="1" x14ac:dyDescent="0.3">
      <c r="A1958" s="26" t="s">
        <v>1519</v>
      </c>
      <c r="B1958" s="27" t="s">
        <v>1520</v>
      </c>
      <c r="C1958" s="180">
        <v>43472</v>
      </c>
      <c r="D1958" s="28">
        <v>24</v>
      </c>
      <c r="E1958" s="49">
        <v>16</v>
      </c>
      <c r="F1958" s="211">
        <f>IFERROR(Tableau6[[#This Row],[Score]]/Tableau6[[#This Row],[Nb]],0)</f>
        <v>0.66666666666666663</v>
      </c>
    </row>
    <row r="1959" spans="1:6" ht="30" customHeight="1" x14ac:dyDescent="0.3">
      <c r="A1959" s="26" t="s">
        <v>1979</v>
      </c>
      <c r="B1959" s="27" t="s">
        <v>1980</v>
      </c>
      <c r="C1959" s="180">
        <v>43605</v>
      </c>
      <c r="D1959" s="28">
        <v>27</v>
      </c>
      <c r="E1959" s="49">
        <v>18</v>
      </c>
      <c r="F1959" s="211">
        <f>IFERROR(Tableau6[[#This Row],[Score]]/Tableau6[[#This Row],[Nb]],0)</f>
        <v>0.66666666666666663</v>
      </c>
    </row>
    <row r="1960" spans="1:6" ht="30" customHeight="1" x14ac:dyDescent="0.3">
      <c r="A1960" s="26" t="s">
        <v>2129</v>
      </c>
      <c r="B1960" s="27" t="s">
        <v>2130</v>
      </c>
      <c r="C1960" s="180">
        <v>43682</v>
      </c>
      <c r="D1960" s="28">
        <v>12</v>
      </c>
      <c r="E1960" s="49">
        <v>8</v>
      </c>
      <c r="F1960" s="211">
        <f>IFERROR(Tableau6[[#This Row],[Score]]/Tableau6[[#This Row],[Nb]],0)</f>
        <v>0.66666666666666663</v>
      </c>
    </row>
    <row r="1961" spans="1:6" ht="30" customHeight="1" x14ac:dyDescent="0.3">
      <c r="A1961" s="26" t="s">
        <v>2225</v>
      </c>
      <c r="B1961" s="27" t="s">
        <v>5029</v>
      </c>
      <c r="C1961" s="180">
        <v>43752</v>
      </c>
      <c r="D1961" s="28">
        <v>24</v>
      </c>
      <c r="E1961" s="49">
        <v>16</v>
      </c>
      <c r="F1961" s="211">
        <f>IFERROR(Tableau6[[#This Row],[Score]]/Tableau6[[#This Row],[Nb]],0)</f>
        <v>0.66666666666666663</v>
      </c>
    </row>
    <row r="1962" spans="1:6" ht="30" customHeight="1" x14ac:dyDescent="0.3">
      <c r="A1962" s="26" t="s">
        <v>2306</v>
      </c>
      <c r="B1962" s="27" t="s">
        <v>4651</v>
      </c>
      <c r="C1962" s="180">
        <v>43767</v>
      </c>
      <c r="D1962" s="28">
        <v>15</v>
      </c>
      <c r="E1962" s="49">
        <v>10</v>
      </c>
      <c r="F1962" s="211">
        <f>IFERROR(Tableau6[[#This Row],[Score]]/Tableau6[[#This Row],[Nb]],0)</f>
        <v>0.66666666666666663</v>
      </c>
    </row>
    <row r="1963" spans="1:6" ht="30" customHeight="1" x14ac:dyDescent="0.3">
      <c r="A1963" s="26" t="s">
        <v>2294</v>
      </c>
      <c r="B1963" s="27" t="s">
        <v>2295</v>
      </c>
      <c r="C1963" s="180">
        <v>43767</v>
      </c>
      <c r="D1963" s="28">
        <v>21</v>
      </c>
      <c r="E1963" s="49">
        <v>14</v>
      </c>
      <c r="F1963" s="211">
        <f>IFERROR(Tableau6[[#This Row],[Score]]/Tableau6[[#This Row],[Nb]],0)</f>
        <v>0.66666666666666663</v>
      </c>
    </row>
    <row r="1964" spans="1:6" ht="30" customHeight="1" x14ac:dyDescent="0.3">
      <c r="A1964" s="26" t="s">
        <v>2423</v>
      </c>
      <c r="B1964" s="27" t="s">
        <v>2424</v>
      </c>
      <c r="C1964" s="180">
        <v>43776</v>
      </c>
      <c r="D1964" s="28">
        <v>21</v>
      </c>
      <c r="E1964" s="49">
        <v>14</v>
      </c>
      <c r="F1964" s="211">
        <f>IFERROR(Tableau6[[#This Row],[Score]]/Tableau6[[#This Row],[Nb]],0)</f>
        <v>0.66666666666666663</v>
      </c>
    </row>
    <row r="1965" spans="1:6" ht="30" customHeight="1" x14ac:dyDescent="0.3">
      <c r="A1965" s="26" t="s">
        <v>2431</v>
      </c>
      <c r="B1965" s="27" t="s">
        <v>2432</v>
      </c>
      <c r="C1965" s="180">
        <v>43776</v>
      </c>
      <c r="D1965" s="28">
        <v>21</v>
      </c>
      <c r="E1965" s="49">
        <v>14</v>
      </c>
      <c r="F1965" s="211">
        <f>IFERROR(Tableau6[[#This Row],[Score]]/Tableau6[[#This Row],[Nb]],0)</f>
        <v>0.66666666666666663</v>
      </c>
    </row>
    <row r="1966" spans="1:6" ht="30" customHeight="1" x14ac:dyDescent="0.3">
      <c r="A1966" s="26" t="s">
        <v>2514</v>
      </c>
      <c r="B1966" s="27" t="s">
        <v>2515</v>
      </c>
      <c r="C1966" s="180">
        <v>43815</v>
      </c>
      <c r="D1966" s="28">
        <v>27</v>
      </c>
      <c r="E1966" s="49">
        <v>18</v>
      </c>
      <c r="F1966" s="211">
        <f>IFERROR(Tableau6[[#This Row],[Score]]/Tableau6[[#This Row],[Nb]],0)</f>
        <v>0.66666666666666663</v>
      </c>
    </row>
    <row r="1967" spans="1:6" ht="30" customHeight="1" x14ac:dyDescent="0.3">
      <c r="A1967" s="26" t="s">
        <v>3798</v>
      </c>
      <c r="B1967" s="27" t="s">
        <v>4900</v>
      </c>
      <c r="C1967" s="180">
        <v>43872</v>
      </c>
      <c r="D1967" s="28">
        <v>27</v>
      </c>
      <c r="E1967" s="49">
        <v>18</v>
      </c>
      <c r="F1967" s="211">
        <f>IFERROR(Tableau6[[#This Row],[Score]]/Tableau6[[#This Row],[Nb]],0)</f>
        <v>0.66666666666666663</v>
      </c>
    </row>
    <row r="1968" spans="1:6" ht="30" customHeight="1" x14ac:dyDescent="0.3">
      <c r="A1968" s="26" t="s">
        <v>2642</v>
      </c>
      <c r="B1968" s="27" t="s">
        <v>2643</v>
      </c>
      <c r="C1968" s="180">
        <v>43872</v>
      </c>
      <c r="D1968" s="28">
        <v>18</v>
      </c>
      <c r="E1968" s="49">
        <v>12</v>
      </c>
      <c r="F1968" s="211">
        <f>IFERROR(Tableau6[[#This Row],[Score]]/Tableau6[[#This Row],[Nb]],0)</f>
        <v>0.66666666666666663</v>
      </c>
    </row>
    <row r="1969" spans="1:6" ht="30" customHeight="1" x14ac:dyDescent="0.3">
      <c r="A1969" s="26" t="s">
        <v>2780</v>
      </c>
      <c r="B1969" s="27" t="s">
        <v>2781</v>
      </c>
      <c r="C1969" s="180">
        <v>43900</v>
      </c>
      <c r="D1969" s="28">
        <v>24</v>
      </c>
      <c r="E1969" s="49">
        <v>16</v>
      </c>
      <c r="F1969" s="211">
        <f>IFERROR(Tableau6[[#This Row],[Score]]/Tableau6[[#This Row],[Nb]],0)</f>
        <v>0.66666666666666663</v>
      </c>
    </row>
    <row r="1970" spans="1:6" ht="30" customHeight="1" x14ac:dyDescent="0.3">
      <c r="A1970" s="26" t="s">
        <v>3050</v>
      </c>
      <c r="B1970" s="27" t="s">
        <v>3051</v>
      </c>
      <c r="C1970" s="180">
        <v>44004</v>
      </c>
      <c r="D1970" s="28">
        <v>27</v>
      </c>
      <c r="E1970" s="49">
        <v>18</v>
      </c>
      <c r="F1970" s="211">
        <f>IFERROR(Tableau6[[#This Row],[Score]]/Tableau6[[#This Row],[Nb]],0)</f>
        <v>0.66666666666666663</v>
      </c>
    </row>
    <row r="1971" spans="1:6" ht="30" customHeight="1" x14ac:dyDescent="0.3">
      <c r="A1971" s="26" t="s">
        <v>3233</v>
      </c>
      <c r="B1971" s="27" t="s">
        <v>1397</v>
      </c>
      <c r="C1971" s="180">
        <v>44026</v>
      </c>
      <c r="D1971" s="28">
        <v>18</v>
      </c>
      <c r="E1971" s="49">
        <v>12</v>
      </c>
      <c r="F1971" s="211">
        <f>IFERROR(Tableau6[[#This Row],[Score]]/Tableau6[[#This Row],[Nb]],0)</f>
        <v>0.66666666666666663</v>
      </c>
    </row>
    <row r="1972" spans="1:6" ht="30" customHeight="1" x14ac:dyDescent="0.3">
      <c r="A1972" s="26" t="s">
        <v>3292</v>
      </c>
      <c r="B1972" s="27" t="s">
        <v>4552</v>
      </c>
      <c r="C1972" s="180">
        <v>44033</v>
      </c>
      <c r="D1972" s="28">
        <v>21</v>
      </c>
      <c r="E1972" s="49">
        <v>14</v>
      </c>
      <c r="F1972" s="211">
        <f>IFERROR(Tableau6[[#This Row],[Score]]/Tableau6[[#This Row],[Nb]],0)</f>
        <v>0.66666666666666663</v>
      </c>
    </row>
    <row r="1973" spans="1:6" ht="30" customHeight="1" x14ac:dyDescent="0.3">
      <c r="A1973" s="26" t="s">
        <v>4209</v>
      </c>
      <c r="B1973" s="27" t="s">
        <v>515</v>
      </c>
      <c r="C1973" s="180">
        <v>44276</v>
      </c>
      <c r="D1973" s="28">
        <v>24</v>
      </c>
      <c r="E1973" s="49">
        <v>16</v>
      </c>
      <c r="F1973" s="211">
        <f>IFERROR(Tableau6[[#This Row],[Score]]/Tableau6[[#This Row],[Nb]],0)</f>
        <v>0.66666666666666663</v>
      </c>
    </row>
    <row r="1974" spans="1:6" ht="30" customHeight="1" x14ac:dyDescent="0.3">
      <c r="A1974" s="26" t="s">
        <v>4301</v>
      </c>
      <c r="B1974" s="27" t="s">
        <v>4302</v>
      </c>
      <c r="C1974" s="180">
        <v>44283</v>
      </c>
      <c r="D1974" s="28">
        <v>21</v>
      </c>
      <c r="E1974" s="49">
        <v>14</v>
      </c>
      <c r="F1974" s="211">
        <f>IFERROR(Tableau6[[#This Row],[Score]]/Tableau6[[#This Row],[Nb]],0)</f>
        <v>0.66666666666666663</v>
      </c>
    </row>
    <row r="1975" spans="1:6" ht="30" customHeight="1" x14ac:dyDescent="0.3">
      <c r="A1975" s="26" t="s">
        <v>4380</v>
      </c>
      <c r="B1975" s="27" t="s">
        <v>4381</v>
      </c>
      <c r="C1975" s="180">
        <v>44299</v>
      </c>
      <c r="D1975" s="28">
        <v>18</v>
      </c>
      <c r="E1975" s="49">
        <v>12</v>
      </c>
      <c r="F1975" s="211">
        <f>IFERROR(Tableau6[[#This Row],[Score]]/Tableau6[[#This Row],[Nb]],0)</f>
        <v>0.66666666666666663</v>
      </c>
    </row>
    <row r="1976" spans="1:6" ht="30" customHeight="1" x14ac:dyDescent="0.3">
      <c r="A1976" s="26" t="s">
        <v>4601</v>
      </c>
      <c r="B1976" s="27" t="s">
        <v>4602</v>
      </c>
      <c r="C1976" s="180">
        <v>44334</v>
      </c>
      <c r="D1976" s="28">
        <v>15</v>
      </c>
      <c r="E1976" s="49">
        <v>10</v>
      </c>
      <c r="F1976" s="211">
        <f>IFERROR(Tableau6[[#This Row],[Score]]/Tableau6[[#This Row],[Nb]],0)</f>
        <v>0.66666666666666663</v>
      </c>
    </row>
    <row r="1977" spans="1:6" ht="30" customHeight="1" x14ac:dyDescent="0.3">
      <c r="A1977" s="26" t="s">
        <v>4881</v>
      </c>
      <c r="B1977" s="27" t="s">
        <v>4882</v>
      </c>
      <c r="C1977" s="180">
        <v>44399</v>
      </c>
      <c r="D1977" s="28">
        <v>15</v>
      </c>
      <c r="E1977" s="49">
        <v>10</v>
      </c>
      <c r="F1977" s="211">
        <f>IFERROR(Tableau6[[#This Row],[Score]]/Tableau6[[#This Row],[Nb]],0)</f>
        <v>0.66666666666666663</v>
      </c>
    </row>
    <row r="1978" spans="1:6" ht="30" customHeight="1" x14ac:dyDescent="0.3">
      <c r="A1978" s="76" t="s">
        <v>5075</v>
      </c>
      <c r="B1978" s="77" t="s">
        <v>5076</v>
      </c>
      <c r="C1978" s="190">
        <v>44457</v>
      </c>
      <c r="D1978" s="78">
        <v>12</v>
      </c>
      <c r="E1978" s="78">
        <v>8</v>
      </c>
      <c r="F1978" s="211">
        <f>IFERROR(Tableau6[[#This Row],[Score]]/Tableau6[[#This Row],[Nb]],0)</f>
        <v>0.66666666666666663</v>
      </c>
    </row>
    <row r="1979" spans="1:6" ht="30" customHeight="1" x14ac:dyDescent="0.3">
      <c r="A1979" s="151" t="s">
        <v>5135</v>
      </c>
      <c r="B1979" s="152" t="s">
        <v>5136</v>
      </c>
      <c r="C1979" s="208">
        <v>44472</v>
      </c>
      <c r="D1979" s="154">
        <v>12</v>
      </c>
      <c r="E1979" s="154">
        <v>8</v>
      </c>
      <c r="F1979" s="211">
        <f>IFERROR(Tableau6[[#This Row],[Score]]/Tableau6[[#This Row],[Nb]],0)</f>
        <v>0.66666666666666663</v>
      </c>
    </row>
    <row r="1980" spans="1:6" ht="30" customHeight="1" x14ac:dyDescent="0.3">
      <c r="A1980" s="151" t="s">
        <v>5244</v>
      </c>
      <c r="B1980" s="152" t="s">
        <v>5245</v>
      </c>
      <c r="C1980" s="208">
        <v>44521</v>
      </c>
      <c r="D1980" s="154">
        <v>18</v>
      </c>
      <c r="E1980" s="154">
        <v>12</v>
      </c>
      <c r="F1980" s="211">
        <f>IFERROR(Tableau6[[#This Row],[Score]]/Tableau6[[#This Row],[Nb]],0)</f>
        <v>0.66666666666666663</v>
      </c>
    </row>
    <row r="1981" spans="1:6" ht="30" customHeight="1" x14ac:dyDescent="0.3">
      <c r="A1981" s="151" t="s">
        <v>5261</v>
      </c>
      <c r="B1981" s="152" t="s">
        <v>5262</v>
      </c>
      <c r="C1981" s="208">
        <v>44524</v>
      </c>
      <c r="D1981" s="154">
        <v>12</v>
      </c>
      <c r="E1981" s="154">
        <v>8</v>
      </c>
      <c r="F1981" s="211">
        <f>IFERROR(Tableau6[[#This Row],[Score]]/Tableau6[[#This Row],[Nb]],0)</f>
        <v>0.66666666666666663</v>
      </c>
    </row>
    <row r="1982" spans="1:6" ht="30" customHeight="1" x14ac:dyDescent="0.3">
      <c r="A1982" s="151" t="s">
        <v>5386</v>
      </c>
      <c r="B1982" s="152" t="s">
        <v>5387</v>
      </c>
      <c r="C1982" s="208">
        <v>44560</v>
      </c>
      <c r="D1982" s="154">
        <v>6</v>
      </c>
      <c r="E1982" s="154">
        <v>4</v>
      </c>
      <c r="F1982" s="211">
        <f>IFERROR(Tableau6[[#This Row],[Score]]/Tableau6[[#This Row],[Nb]],0)</f>
        <v>0.66666666666666663</v>
      </c>
    </row>
    <row r="1983" spans="1:6" ht="30" customHeight="1" x14ac:dyDescent="0.3">
      <c r="A1983" s="151" t="s">
        <v>5410</v>
      </c>
      <c r="B1983" s="152" t="s">
        <v>5411</v>
      </c>
      <c r="C1983" s="208">
        <v>44564</v>
      </c>
      <c r="D1983" s="154">
        <v>6</v>
      </c>
      <c r="E1983" s="154">
        <v>4</v>
      </c>
      <c r="F1983" s="211">
        <f>IFERROR(Tableau6[[#This Row],[Score]]/Tableau6[[#This Row],[Nb]],0)</f>
        <v>0.66666666666666663</v>
      </c>
    </row>
    <row r="1984" spans="1:6" ht="30" customHeight="1" x14ac:dyDescent="0.3">
      <c r="A1984" s="151" t="s">
        <v>5426</v>
      </c>
      <c r="B1984" s="152" t="s">
        <v>5427</v>
      </c>
      <c r="C1984" s="208">
        <v>44564</v>
      </c>
      <c r="D1984" s="154">
        <v>6</v>
      </c>
      <c r="E1984" s="154">
        <v>4</v>
      </c>
      <c r="F1984" s="211">
        <f>IFERROR(Tableau6[[#This Row],[Score]]/Tableau6[[#This Row],[Nb]],0)</f>
        <v>0.66666666666666663</v>
      </c>
    </row>
    <row r="1985" spans="1:6" ht="30" customHeight="1" x14ac:dyDescent="0.3">
      <c r="A1985" s="151" t="s">
        <v>5994</v>
      </c>
      <c r="B1985" s="152" t="s">
        <v>5995</v>
      </c>
      <c r="C1985" s="208">
        <v>44584</v>
      </c>
      <c r="D1985" s="154">
        <v>12</v>
      </c>
      <c r="E1985" s="154">
        <v>8</v>
      </c>
      <c r="F1985" s="211">
        <f>IFERROR(Tableau6[[#This Row],[Score]]/Tableau6[[#This Row],[Nb]],0)</f>
        <v>0.66666666666666663</v>
      </c>
    </row>
    <row r="1986" spans="1:6" ht="30" customHeight="1" x14ac:dyDescent="0.3">
      <c r="A1986" s="151" t="s">
        <v>5746</v>
      </c>
      <c r="B1986" s="152" t="s">
        <v>5747</v>
      </c>
      <c r="C1986" s="208">
        <v>44594</v>
      </c>
      <c r="D1986" s="154">
        <v>12</v>
      </c>
      <c r="E1986" s="154">
        <v>8</v>
      </c>
      <c r="F1986" s="211">
        <f>IFERROR(Tableau6[[#This Row],[Score]]/Tableau6[[#This Row],[Nb]],0)</f>
        <v>0.66666666666666663</v>
      </c>
    </row>
    <row r="1987" spans="1:6" ht="30" customHeight="1" x14ac:dyDescent="0.3">
      <c r="A1987" s="151" t="s">
        <v>5580</v>
      </c>
      <c r="B1987" s="152" t="s">
        <v>5581</v>
      </c>
      <c r="C1987" s="208">
        <v>44595</v>
      </c>
      <c r="D1987" s="154">
        <v>12</v>
      </c>
      <c r="E1987" s="154">
        <v>8</v>
      </c>
      <c r="F1987" s="211">
        <f>IFERROR(Tableau6[[#This Row],[Score]]/Tableau6[[#This Row],[Nb]],0)</f>
        <v>0.66666666666666663</v>
      </c>
    </row>
    <row r="1988" spans="1:6" ht="30" customHeight="1" x14ac:dyDescent="0.3">
      <c r="A1988" s="151" t="s">
        <v>5657</v>
      </c>
      <c r="B1988" s="152" t="s">
        <v>5658</v>
      </c>
      <c r="C1988" s="208">
        <v>44614</v>
      </c>
      <c r="D1988" s="154">
        <v>6</v>
      </c>
      <c r="E1988" s="154">
        <v>4</v>
      </c>
      <c r="F1988" s="211">
        <f>IFERROR(Tableau6[[#This Row],[Score]]/Tableau6[[#This Row],[Nb]],0)</f>
        <v>0.66666666666666663</v>
      </c>
    </row>
    <row r="1989" spans="1:6" ht="30" customHeight="1" x14ac:dyDescent="0.3">
      <c r="A1989" s="151" t="s">
        <v>3882</v>
      </c>
      <c r="B1989" s="152" t="s">
        <v>2842</v>
      </c>
      <c r="C1989" s="208">
        <v>44642</v>
      </c>
      <c r="D1989" s="154">
        <v>12</v>
      </c>
      <c r="E1989" s="154">
        <v>8</v>
      </c>
      <c r="F1989" s="211">
        <f>IFERROR(Tableau6[[#This Row],[Score]]/Tableau6[[#This Row],[Nb]],0)</f>
        <v>0.66666666666666663</v>
      </c>
    </row>
    <row r="1990" spans="1:6" ht="30" customHeight="1" x14ac:dyDescent="0.3">
      <c r="A1990" s="151" t="s">
        <v>6048</v>
      </c>
      <c r="B1990" s="152" t="s">
        <v>6049</v>
      </c>
      <c r="C1990" s="208">
        <v>44724</v>
      </c>
      <c r="D1990" s="154">
        <v>6</v>
      </c>
      <c r="E1990" s="154">
        <v>4</v>
      </c>
      <c r="F1990" s="211">
        <f>IFERROR(Tableau6[[#This Row],[Score]]/Tableau6[[#This Row],[Nb]],0)</f>
        <v>0.66666666666666663</v>
      </c>
    </row>
    <row r="1991" spans="1:6" ht="30" customHeight="1" x14ac:dyDescent="0.3">
      <c r="A1991" s="151" t="s">
        <v>6261</v>
      </c>
      <c r="B1991" s="152" t="s">
        <v>6262</v>
      </c>
      <c r="C1991" s="208">
        <v>44862</v>
      </c>
      <c r="D1991" s="154">
        <v>6</v>
      </c>
      <c r="E1991" s="154">
        <v>4</v>
      </c>
      <c r="F1991" s="211">
        <f>IFERROR(Tableau6[[#This Row],[Score]]/Tableau6[[#This Row],[Nb]],0)</f>
        <v>0.66666666666666663</v>
      </c>
    </row>
    <row r="1992" spans="1:6" ht="30" customHeight="1" x14ac:dyDescent="0.3">
      <c r="A1992" s="26" t="s">
        <v>2916</v>
      </c>
      <c r="B1992" s="27" t="s">
        <v>367</v>
      </c>
      <c r="C1992" s="180">
        <v>40611</v>
      </c>
      <c r="D1992" s="28">
        <v>34</v>
      </c>
      <c r="E1992" s="49">
        <v>23</v>
      </c>
      <c r="F1992" s="211">
        <f>IFERROR(Tableau6[[#This Row],[Score]]/Tableau6[[#This Row],[Nb]],0)</f>
        <v>0.67647058823529416</v>
      </c>
    </row>
    <row r="1993" spans="1:6" ht="30" customHeight="1" x14ac:dyDescent="0.3">
      <c r="A1993" s="26" t="s">
        <v>159</v>
      </c>
      <c r="B1993" s="27" t="s">
        <v>2319</v>
      </c>
      <c r="C1993" s="180">
        <v>43355</v>
      </c>
      <c r="D1993" s="28">
        <v>34</v>
      </c>
      <c r="E1993" s="49">
        <v>23</v>
      </c>
      <c r="F1993" s="211">
        <f>IFERROR(Tableau6[[#This Row],[Score]]/Tableau6[[#This Row],[Nb]],0)</f>
        <v>0.67647058823529416</v>
      </c>
    </row>
    <row r="1994" spans="1:6" ht="30" customHeight="1" x14ac:dyDescent="0.3">
      <c r="A1994" s="26" t="s">
        <v>1515</v>
      </c>
      <c r="B1994" s="27" t="s">
        <v>4618</v>
      </c>
      <c r="C1994" s="180">
        <v>43472</v>
      </c>
      <c r="D1994" s="28">
        <v>34</v>
      </c>
      <c r="E1994" s="49">
        <v>23</v>
      </c>
      <c r="F1994" s="211">
        <f>IFERROR(Tableau6[[#This Row],[Score]]/Tableau6[[#This Row],[Nb]],0)</f>
        <v>0.67647058823529416</v>
      </c>
    </row>
    <row r="1995" spans="1:6" ht="30" customHeight="1" x14ac:dyDescent="0.3">
      <c r="A1995" s="26" t="s">
        <v>3770</v>
      </c>
      <c r="B1995" s="27" t="s">
        <v>127</v>
      </c>
      <c r="C1995" s="180">
        <v>43341</v>
      </c>
      <c r="D1995" s="28">
        <v>31</v>
      </c>
      <c r="E1995" s="49">
        <v>21</v>
      </c>
      <c r="F1995" s="211">
        <f>IFERROR(Tableau6[[#This Row],[Score]]/Tableau6[[#This Row],[Nb]],0)</f>
        <v>0.67741935483870963</v>
      </c>
    </row>
    <row r="1996" spans="1:6" ht="30" customHeight="1" x14ac:dyDescent="0.3">
      <c r="A1996" s="26" t="s">
        <v>2930</v>
      </c>
      <c r="B1996" s="27" t="s">
        <v>2931</v>
      </c>
      <c r="C1996" s="180">
        <v>43977</v>
      </c>
      <c r="D1996" s="28">
        <v>31</v>
      </c>
      <c r="E1996" s="49">
        <v>21</v>
      </c>
      <c r="F1996" s="211">
        <f>IFERROR(Tableau6[[#This Row],[Score]]/Tableau6[[#This Row],[Nb]],0)</f>
        <v>0.67741935483870963</v>
      </c>
    </row>
    <row r="1997" spans="1:6" ht="30" customHeight="1" x14ac:dyDescent="0.3">
      <c r="A1997" s="26" t="s">
        <v>984</v>
      </c>
      <c r="B1997" s="27" t="s">
        <v>878</v>
      </c>
      <c r="C1997" s="180">
        <v>41621</v>
      </c>
      <c r="D1997" s="28">
        <v>28</v>
      </c>
      <c r="E1997" s="49">
        <v>19</v>
      </c>
      <c r="F1997" s="211">
        <f>IFERROR(Tableau6[[#This Row],[Score]]/Tableau6[[#This Row],[Nb]],0)</f>
        <v>0.6785714285714286</v>
      </c>
    </row>
    <row r="1998" spans="1:6" ht="30" customHeight="1" x14ac:dyDescent="0.3">
      <c r="A1998" s="26" t="s">
        <v>198</v>
      </c>
      <c r="B1998" s="27" t="s">
        <v>199</v>
      </c>
      <c r="C1998" s="180">
        <v>43401</v>
      </c>
      <c r="D1998" s="28">
        <v>28</v>
      </c>
      <c r="E1998" s="49">
        <v>19</v>
      </c>
      <c r="F1998" s="211">
        <f>IFERROR(Tableau6[[#This Row],[Score]]/Tableau6[[#This Row],[Nb]],0)</f>
        <v>0.6785714285714286</v>
      </c>
    </row>
    <row r="1999" spans="1:6" ht="30" customHeight="1" x14ac:dyDescent="0.3">
      <c r="A1999" s="26" t="s">
        <v>583</v>
      </c>
      <c r="B1999" s="27" t="s">
        <v>584</v>
      </c>
      <c r="C1999" s="180">
        <v>43405</v>
      </c>
      <c r="D1999" s="28">
        <v>28</v>
      </c>
      <c r="E1999" s="49">
        <v>19</v>
      </c>
      <c r="F1999" s="211">
        <f>IFERROR(Tableau6[[#This Row],[Score]]/Tableau6[[#This Row],[Nb]],0)</f>
        <v>0.6785714285714286</v>
      </c>
    </row>
    <row r="2000" spans="1:6" ht="30" customHeight="1" x14ac:dyDescent="0.3">
      <c r="A2000" s="26" t="s">
        <v>1592</v>
      </c>
      <c r="B2000" s="27" t="s">
        <v>1593</v>
      </c>
      <c r="C2000" s="180">
        <v>43501</v>
      </c>
      <c r="D2000" s="28">
        <v>28</v>
      </c>
      <c r="E2000" s="49">
        <v>19</v>
      </c>
      <c r="F2000" s="211">
        <f>IFERROR(Tableau6[[#This Row],[Score]]/Tableau6[[#This Row],[Nb]],0)</f>
        <v>0.6785714285714286</v>
      </c>
    </row>
    <row r="2001" spans="1:6" ht="30" customHeight="1" x14ac:dyDescent="0.3">
      <c r="A2001" s="26" t="s">
        <v>4036</v>
      </c>
      <c r="B2001" s="27" t="s">
        <v>4037</v>
      </c>
      <c r="C2001" s="180">
        <v>43605</v>
      </c>
      <c r="D2001" s="28">
        <v>28</v>
      </c>
      <c r="E2001" s="49">
        <v>19</v>
      </c>
      <c r="F2001" s="211">
        <f>IFERROR(Tableau6[[#This Row],[Score]]/Tableau6[[#This Row],[Nb]],0)</f>
        <v>0.6785714285714286</v>
      </c>
    </row>
    <row r="2002" spans="1:6" ht="30" customHeight="1" x14ac:dyDescent="0.3">
      <c r="A2002" s="26" t="s">
        <v>2370</v>
      </c>
      <c r="B2002" s="27" t="s">
        <v>2371</v>
      </c>
      <c r="C2002" s="180">
        <v>43771</v>
      </c>
      <c r="D2002" s="28">
        <v>28</v>
      </c>
      <c r="E2002" s="49">
        <v>19</v>
      </c>
      <c r="F2002" s="211">
        <f>IFERROR(Tableau6[[#This Row],[Score]]/Tableau6[[#This Row],[Nb]],0)</f>
        <v>0.6785714285714286</v>
      </c>
    </row>
    <row r="2003" spans="1:6" ht="30" customHeight="1" x14ac:dyDescent="0.3">
      <c r="A2003" s="26" t="s">
        <v>2341</v>
      </c>
      <c r="B2003" s="27" t="s">
        <v>2342</v>
      </c>
      <c r="C2003" s="180">
        <v>43771</v>
      </c>
      <c r="D2003" s="28">
        <v>28</v>
      </c>
      <c r="E2003" s="49">
        <v>19</v>
      </c>
      <c r="F2003" s="211">
        <f>IFERROR(Tableau6[[#This Row],[Score]]/Tableau6[[#This Row],[Nb]],0)</f>
        <v>0.6785714285714286</v>
      </c>
    </row>
    <row r="2004" spans="1:6" ht="30" customHeight="1" x14ac:dyDescent="0.3">
      <c r="A2004" s="26" t="s">
        <v>2509</v>
      </c>
      <c r="B2004" s="27" t="s">
        <v>4641</v>
      </c>
      <c r="C2004" s="180">
        <v>43802</v>
      </c>
      <c r="D2004" s="28">
        <v>28</v>
      </c>
      <c r="E2004" s="49">
        <v>19</v>
      </c>
      <c r="F2004" s="211">
        <f>IFERROR(Tableau6[[#This Row],[Score]]/Tableau6[[#This Row],[Nb]],0)</f>
        <v>0.6785714285714286</v>
      </c>
    </row>
    <row r="2005" spans="1:6" ht="30" customHeight="1" x14ac:dyDescent="0.3">
      <c r="A2005" s="26" t="s">
        <v>4145</v>
      </c>
      <c r="B2005" s="27" t="s">
        <v>4146</v>
      </c>
      <c r="C2005" s="180">
        <v>44271</v>
      </c>
      <c r="D2005" s="28">
        <v>28</v>
      </c>
      <c r="E2005" s="49">
        <v>19</v>
      </c>
      <c r="F2005" s="211">
        <f>IFERROR(Tableau6[[#This Row],[Score]]/Tableau6[[#This Row],[Nb]],0)</f>
        <v>0.6785714285714286</v>
      </c>
    </row>
    <row r="2006" spans="1:6" ht="30" customHeight="1" x14ac:dyDescent="0.3">
      <c r="A2006" s="26" t="s">
        <v>698</v>
      </c>
      <c r="B2006" s="27" t="s">
        <v>4895</v>
      </c>
      <c r="C2006" s="180">
        <v>41621</v>
      </c>
      <c r="D2006" s="28">
        <v>25</v>
      </c>
      <c r="E2006" s="49">
        <v>17</v>
      </c>
      <c r="F2006" s="211">
        <f>IFERROR(Tableau6[[#This Row],[Score]]/Tableau6[[#This Row],[Nb]],0)</f>
        <v>0.68</v>
      </c>
    </row>
    <row r="2007" spans="1:6" ht="30" customHeight="1" x14ac:dyDescent="0.3">
      <c r="A2007" s="26" t="s">
        <v>3903</v>
      </c>
      <c r="B2007" s="152" t="s">
        <v>5199</v>
      </c>
      <c r="C2007" s="180">
        <v>41621</v>
      </c>
      <c r="D2007" s="28">
        <v>25</v>
      </c>
      <c r="E2007" s="49">
        <v>17</v>
      </c>
      <c r="F2007" s="211">
        <f>IFERROR(Tableau6[[#This Row],[Score]]/Tableau6[[#This Row],[Nb]],0)</f>
        <v>0.68</v>
      </c>
    </row>
    <row r="2008" spans="1:6" ht="30" customHeight="1" x14ac:dyDescent="0.3">
      <c r="A2008" s="151" t="s">
        <v>6051</v>
      </c>
      <c r="B2008" s="27" t="s">
        <v>785</v>
      </c>
      <c r="C2008" s="180">
        <v>41621</v>
      </c>
      <c r="D2008" s="28">
        <v>25</v>
      </c>
      <c r="E2008" s="49">
        <v>17</v>
      </c>
      <c r="F2008" s="211">
        <f>IFERROR(Tableau6[[#This Row],[Score]]/Tableau6[[#This Row],[Nb]],0)</f>
        <v>0.68</v>
      </c>
    </row>
    <row r="2009" spans="1:6" ht="30" customHeight="1" x14ac:dyDescent="0.3">
      <c r="A2009" s="26" t="s">
        <v>3861</v>
      </c>
      <c r="B2009" s="27" t="s">
        <v>4968</v>
      </c>
      <c r="C2009" s="180">
        <v>43237</v>
      </c>
      <c r="D2009" s="28">
        <v>25</v>
      </c>
      <c r="E2009" s="49">
        <v>17</v>
      </c>
      <c r="F2009" s="211">
        <f>IFERROR(Tableau6[[#This Row],[Score]]/Tableau6[[#This Row],[Nb]],0)</f>
        <v>0.68</v>
      </c>
    </row>
    <row r="2010" spans="1:6" ht="30" customHeight="1" x14ac:dyDescent="0.3">
      <c r="A2010" s="26" t="s">
        <v>24</v>
      </c>
      <c r="B2010" s="27" t="s">
        <v>25</v>
      </c>
      <c r="C2010" s="180">
        <v>43247</v>
      </c>
      <c r="D2010" s="28">
        <v>25</v>
      </c>
      <c r="E2010" s="49">
        <v>17</v>
      </c>
      <c r="F2010" s="211">
        <f>IFERROR(Tableau6[[#This Row],[Score]]/Tableau6[[#This Row],[Nb]],0)</f>
        <v>0.68</v>
      </c>
    </row>
    <row r="2011" spans="1:6" ht="30" customHeight="1" x14ac:dyDescent="0.3">
      <c r="A2011" s="151" t="s">
        <v>6180</v>
      </c>
      <c r="B2011" s="152" t="s">
        <v>6181</v>
      </c>
      <c r="C2011" s="180">
        <v>43331</v>
      </c>
      <c r="D2011" s="28">
        <v>25</v>
      </c>
      <c r="E2011" s="49">
        <v>17</v>
      </c>
      <c r="F2011" s="211">
        <f>IFERROR(Tableau6[[#This Row],[Score]]/Tableau6[[#This Row],[Nb]],0)</f>
        <v>0.68</v>
      </c>
    </row>
    <row r="2012" spans="1:6" ht="30" customHeight="1" x14ac:dyDescent="0.3">
      <c r="A2012" s="26" t="s">
        <v>549</v>
      </c>
      <c r="B2012" s="27" t="s">
        <v>4171</v>
      </c>
      <c r="C2012" s="180">
        <v>43406</v>
      </c>
      <c r="D2012" s="28">
        <v>25</v>
      </c>
      <c r="E2012" s="49">
        <v>17</v>
      </c>
      <c r="F2012" s="211">
        <f>IFERROR(Tableau6[[#This Row],[Score]]/Tableau6[[#This Row],[Nb]],0)</f>
        <v>0.68</v>
      </c>
    </row>
    <row r="2013" spans="1:6" ht="30" customHeight="1" x14ac:dyDescent="0.3">
      <c r="A2013" s="26" t="s">
        <v>2144</v>
      </c>
      <c r="B2013" s="27" t="s">
        <v>2145</v>
      </c>
      <c r="C2013" s="180">
        <v>43682</v>
      </c>
      <c r="D2013" s="28">
        <v>25</v>
      </c>
      <c r="E2013" s="49">
        <v>17</v>
      </c>
      <c r="F2013" s="211">
        <f>IFERROR(Tableau6[[#This Row],[Score]]/Tableau6[[#This Row],[Nb]],0)</f>
        <v>0.68</v>
      </c>
    </row>
    <row r="2014" spans="1:6" ht="30" customHeight="1" x14ac:dyDescent="0.3">
      <c r="A2014" s="26" t="s">
        <v>2166</v>
      </c>
      <c r="B2014" s="27" t="s">
        <v>2167</v>
      </c>
      <c r="C2014" s="180">
        <v>43689</v>
      </c>
      <c r="D2014" s="28">
        <v>25</v>
      </c>
      <c r="E2014" s="49">
        <v>17</v>
      </c>
      <c r="F2014" s="211">
        <f>IFERROR(Tableau6[[#This Row],[Score]]/Tableau6[[#This Row],[Nb]],0)</f>
        <v>0.68</v>
      </c>
    </row>
    <row r="2015" spans="1:6" ht="30" customHeight="1" x14ac:dyDescent="0.3">
      <c r="A2015" s="26" t="s">
        <v>3664</v>
      </c>
      <c r="B2015" s="27" t="s">
        <v>3665</v>
      </c>
      <c r="C2015" s="180">
        <v>44242</v>
      </c>
      <c r="D2015" s="28">
        <v>25</v>
      </c>
      <c r="E2015" s="49">
        <v>17</v>
      </c>
      <c r="F2015" s="211">
        <f>IFERROR(Tableau6[[#This Row],[Score]]/Tableau6[[#This Row],[Nb]],0)</f>
        <v>0.68</v>
      </c>
    </row>
    <row r="2016" spans="1:6" ht="30" customHeight="1" x14ac:dyDescent="0.3">
      <c r="A2016" s="26" t="s">
        <v>500</v>
      </c>
      <c r="B2016" s="27" t="s">
        <v>501</v>
      </c>
      <c r="C2016" s="180">
        <v>40611</v>
      </c>
      <c r="D2016" s="28">
        <v>22</v>
      </c>
      <c r="E2016" s="49">
        <v>15</v>
      </c>
      <c r="F2016" s="211">
        <f>IFERROR(Tableau6[[#This Row],[Score]]/Tableau6[[#This Row],[Nb]],0)</f>
        <v>0.68181818181818177</v>
      </c>
    </row>
    <row r="2017" spans="1:6" ht="30" customHeight="1" x14ac:dyDescent="0.3">
      <c r="A2017" s="26" t="s">
        <v>3470</v>
      </c>
      <c r="B2017" s="27" t="s">
        <v>3471</v>
      </c>
      <c r="C2017" s="180">
        <v>41621</v>
      </c>
      <c r="D2017" s="28">
        <v>22</v>
      </c>
      <c r="E2017" s="49">
        <v>15</v>
      </c>
      <c r="F2017" s="211">
        <f>IFERROR(Tableau6[[#This Row],[Score]]/Tableau6[[#This Row],[Nb]],0)</f>
        <v>0.68181818181818177</v>
      </c>
    </row>
    <row r="2018" spans="1:6" ht="30" customHeight="1" x14ac:dyDescent="0.3">
      <c r="A2018" s="26" t="s">
        <v>762</v>
      </c>
      <c r="B2018" s="27" t="s">
        <v>4163</v>
      </c>
      <c r="C2018" s="180">
        <v>41621</v>
      </c>
      <c r="D2018" s="28">
        <v>22</v>
      </c>
      <c r="E2018" s="49">
        <v>15</v>
      </c>
      <c r="F2018" s="211">
        <f>IFERROR(Tableau6[[#This Row],[Score]]/Tableau6[[#This Row],[Nb]],0)</f>
        <v>0.68181818181818177</v>
      </c>
    </row>
    <row r="2019" spans="1:6" ht="30" customHeight="1" x14ac:dyDescent="0.3">
      <c r="A2019" s="26" t="s">
        <v>191</v>
      </c>
      <c r="B2019" s="152" t="s">
        <v>5602</v>
      </c>
      <c r="C2019" s="180">
        <v>41621</v>
      </c>
      <c r="D2019" s="28">
        <v>22</v>
      </c>
      <c r="E2019" s="49">
        <v>15</v>
      </c>
      <c r="F2019" s="211">
        <f>IFERROR(Tableau6[[#This Row],[Score]]/Tableau6[[#This Row],[Nb]],0)</f>
        <v>0.68181818181818177</v>
      </c>
    </row>
    <row r="2020" spans="1:6" ht="30" customHeight="1" x14ac:dyDescent="0.3">
      <c r="A2020" s="26" t="s">
        <v>3299</v>
      </c>
      <c r="B2020" s="27" t="s">
        <v>3300</v>
      </c>
      <c r="C2020" s="180">
        <v>43311</v>
      </c>
      <c r="D2020" s="28">
        <v>22</v>
      </c>
      <c r="E2020" s="49">
        <v>15</v>
      </c>
      <c r="F2020" s="211">
        <f>IFERROR(Tableau6[[#This Row],[Score]]/Tableau6[[#This Row],[Nb]],0)</f>
        <v>0.68181818181818177</v>
      </c>
    </row>
    <row r="2021" spans="1:6" ht="30" customHeight="1" x14ac:dyDescent="0.3">
      <c r="A2021" s="26" t="s">
        <v>220</v>
      </c>
      <c r="B2021" s="27" t="s">
        <v>221</v>
      </c>
      <c r="C2021" s="180">
        <v>43400</v>
      </c>
      <c r="D2021" s="28">
        <v>22</v>
      </c>
      <c r="E2021" s="49">
        <v>15</v>
      </c>
      <c r="F2021" s="211">
        <f>IFERROR(Tableau6[[#This Row],[Score]]/Tableau6[[#This Row],[Nb]],0)</f>
        <v>0.68181818181818177</v>
      </c>
    </row>
    <row r="2022" spans="1:6" ht="30" customHeight="1" x14ac:dyDescent="0.3">
      <c r="A2022" s="26" t="s">
        <v>1261</v>
      </c>
      <c r="B2022" s="27" t="s">
        <v>1262</v>
      </c>
      <c r="C2022" s="180">
        <v>43427</v>
      </c>
      <c r="D2022" s="28">
        <v>22</v>
      </c>
      <c r="E2022" s="49">
        <v>15</v>
      </c>
      <c r="F2022" s="211">
        <f>IFERROR(Tableau6[[#This Row],[Score]]/Tableau6[[#This Row],[Nb]],0)</f>
        <v>0.68181818181818177</v>
      </c>
    </row>
    <row r="2023" spans="1:6" ht="30" customHeight="1" x14ac:dyDescent="0.3">
      <c r="A2023" s="26" t="s">
        <v>1691</v>
      </c>
      <c r="B2023" s="27" t="s">
        <v>1692</v>
      </c>
      <c r="C2023" s="180">
        <v>43548</v>
      </c>
      <c r="D2023" s="28">
        <v>22</v>
      </c>
      <c r="E2023" s="49">
        <v>15</v>
      </c>
      <c r="F2023" s="211">
        <f>IFERROR(Tableau6[[#This Row],[Score]]/Tableau6[[#This Row],[Nb]],0)</f>
        <v>0.68181818181818177</v>
      </c>
    </row>
    <row r="2024" spans="1:6" ht="30" customHeight="1" x14ac:dyDescent="0.3">
      <c r="A2024" s="26" t="s">
        <v>2011</v>
      </c>
      <c r="B2024" s="27" t="s">
        <v>2012</v>
      </c>
      <c r="C2024" s="180">
        <v>43605</v>
      </c>
      <c r="D2024" s="28">
        <v>22</v>
      </c>
      <c r="E2024" s="49">
        <v>15</v>
      </c>
      <c r="F2024" s="211">
        <f>IFERROR(Tableau6[[#This Row],[Score]]/Tableau6[[#This Row],[Nb]],0)</f>
        <v>0.68181818181818177</v>
      </c>
    </row>
    <row r="2025" spans="1:6" ht="30" customHeight="1" x14ac:dyDescent="0.3">
      <c r="A2025" s="26" t="s">
        <v>2233</v>
      </c>
      <c r="B2025" s="27" t="s">
        <v>2234</v>
      </c>
      <c r="C2025" s="180">
        <v>43752</v>
      </c>
      <c r="D2025" s="28">
        <v>22</v>
      </c>
      <c r="E2025" s="49">
        <v>15</v>
      </c>
      <c r="F2025" s="211">
        <f>IFERROR(Tableau6[[#This Row],[Score]]/Tableau6[[#This Row],[Nb]],0)</f>
        <v>0.68181818181818177</v>
      </c>
    </row>
    <row r="2026" spans="1:6" ht="30" customHeight="1" x14ac:dyDescent="0.3">
      <c r="A2026" s="26" t="s">
        <v>2283</v>
      </c>
      <c r="B2026" s="27" t="s">
        <v>2284</v>
      </c>
      <c r="C2026" s="180">
        <v>43767</v>
      </c>
      <c r="D2026" s="28">
        <v>22</v>
      </c>
      <c r="E2026" s="49">
        <v>15</v>
      </c>
      <c r="F2026" s="211">
        <f>IFERROR(Tableau6[[#This Row],[Score]]/Tableau6[[#This Row],[Nb]],0)</f>
        <v>0.68181818181818177</v>
      </c>
    </row>
    <row r="2027" spans="1:6" ht="30" customHeight="1" x14ac:dyDescent="0.3">
      <c r="A2027" s="26" t="s">
        <v>2361</v>
      </c>
      <c r="B2027" s="27" t="s">
        <v>2142</v>
      </c>
      <c r="C2027" s="180">
        <v>43771</v>
      </c>
      <c r="D2027" s="28">
        <v>22</v>
      </c>
      <c r="E2027" s="49">
        <v>15</v>
      </c>
      <c r="F2027" s="211">
        <f>IFERROR(Tableau6[[#This Row],[Score]]/Tableau6[[#This Row],[Nb]],0)</f>
        <v>0.68181818181818177</v>
      </c>
    </row>
    <row r="2028" spans="1:6" ht="30" customHeight="1" x14ac:dyDescent="0.3">
      <c r="A2028" s="26" t="s">
        <v>2362</v>
      </c>
      <c r="B2028" s="27" t="s">
        <v>2363</v>
      </c>
      <c r="C2028" s="180">
        <v>43771</v>
      </c>
      <c r="D2028" s="28">
        <v>22</v>
      </c>
      <c r="E2028" s="49">
        <v>15</v>
      </c>
      <c r="F2028" s="211">
        <f>IFERROR(Tableau6[[#This Row],[Score]]/Tableau6[[#This Row],[Nb]],0)</f>
        <v>0.68181818181818177</v>
      </c>
    </row>
    <row r="2029" spans="1:6" ht="30" customHeight="1" x14ac:dyDescent="0.3">
      <c r="A2029" s="26" t="s">
        <v>2401</v>
      </c>
      <c r="B2029" s="27" t="s">
        <v>52</v>
      </c>
      <c r="C2029" s="180">
        <v>43775</v>
      </c>
      <c r="D2029" s="28">
        <v>22</v>
      </c>
      <c r="E2029" s="49">
        <v>15</v>
      </c>
      <c r="F2029" s="211">
        <f>IFERROR(Tableau6[[#This Row],[Score]]/Tableau6[[#This Row],[Nb]],0)</f>
        <v>0.68181818181818177</v>
      </c>
    </row>
    <row r="2030" spans="1:6" ht="30" customHeight="1" x14ac:dyDescent="0.3">
      <c r="A2030" s="287" t="s">
        <v>6454</v>
      </c>
      <c r="B2030" s="288" t="s">
        <v>6455</v>
      </c>
      <c r="C2030" s="180">
        <v>43776</v>
      </c>
      <c r="D2030" s="28">
        <v>22</v>
      </c>
      <c r="E2030" s="49">
        <v>15</v>
      </c>
      <c r="F2030" s="211">
        <f>IFERROR(Tableau6[[#This Row],[Score]]/Tableau6[[#This Row],[Nb]],0)</f>
        <v>0.68181818181818177</v>
      </c>
    </row>
    <row r="2031" spans="1:6" ht="30" customHeight="1" x14ac:dyDescent="0.3">
      <c r="A2031" s="26" t="s">
        <v>3387</v>
      </c>
      <c r="B2031" s="27" t="s">
        <v>2675</v>
      </c>
      <c r="C2031" s="180">
        <v>43887</v>
      </c>
      <c r="D2031" s="28">
        <v>22</v>
      </c>
      <c r="E2031" s="49">
        <v>15</v>
      </c>
      <c r="F2031" s="211">
        <f>IFERROR(Tableau6[[#This Row],[Score]]/Tableau6[[#This Row],[Nb]],0)</f>
        <v>0.68181818181818177</v>
      </c>
    </row>
    <row r="2032" spans="1:6" ht="30" customHeight="1" x14ac:dyDescent="0.3">
      <c r="A2032" s="483" t="s">
        <v>6559</v>
      </c>
      <c r="B2032" s="27" t="s">
        <v>2790</v>
      </c>
      <c r="C2032" s="180">
        <v>43934</v>
      </c>
      <c r="D2032" s="28">
        <v>22</v>
      </c>
      <c r="E2032" s="49">
        <v>15</v>
      </c>
      <c r="F2032" s="211">
        <f>IFERROR(Tableau6[[#This Row],[Score]]/Tableau6[[#This Row],[Nb]],0)</f>
        <v>0.68181818181818177</v>
      </c>
    </row>
    <row r="2033" spans="1:6" ht="30" customHeight="1" x14ac:dyDescent="0.3">
      <c r="A2033" s="26" t="s">
        <v>2871</v>
      </c>
      <c r="B2033" s="27" t="s">
        <v>2870</v>
      </c>
      <c r="C2033" s="180">
        <v>43969</v>
      </c>
      <c r="D2033" s="28">
        <v>22</v>
      </c>
      <c r="E2033" s="49">
        <v>15</v>
      </c>
      <c r="F2033" s="211">
        <f>IFERROR(Tableau6[[#This Row],[Score]]/Tableau6[[#This Row],[Nb]],0)</f>
        <v>0.68181818181818177</v>
      </c>
    </row>
    <row r="2034" spans="1:6" ht="30" customHeight="1" x14ac:dyDescent="0.3">
      <c r="A2034" s="26" t="s">
        <v>3260</v>
      </c>
      <c r="B2034" s="27" t="s">
        <v>3261</v>
      </c>
      <c r="C2034" s="180">
        <v>44026</v>
      </c>
      <c r="D2034" s="28">
        <v>22</v>
      </c>
      <c r="E2034" s="49">
        <v>15</v>
      </c>
      <c r="F2034" s="211">
        <f>IFERROR(Tableau6[[#This Row],[Score]]/Tableau6[[#This Row],[Nb]],0)</f>
        <v>0.68181818181818177</v>
      </c>
    </row>
    <row r="2035" spans="1:6" ht="30" customHeight="1" x14ac:dyDescent="0.3">
      <c r="A2035" s="26" t="s">
        <v>3490</v>
      </c>
      <c r="B2035" s="27" t="s">
        <v>3491</v>
      </c>
      <c r="C2035" s="180">
        <v>44221</v>
      </c>
      <c r="D2035" s="28">
        <v>22</v>
      </c>
      <c r="E2035" s="49">
        <v>15</v>
      </c>
      <c r="F2035" s="211">
        <f>IFERROR(Tableau6[[#This Row],[Score]]/Tableau6[[#This Row],[Nb]],0)</f>
        <v>0.68181818181818177</v>
      </c>
    </row>
    <row r="2036" spans="1:6" ht="30" customHeight="1" x14ac:dyDescent="0.3">
      <c r="A2036" s="26" t="s">
        <v>3678</v>
      </c>
      <c r="B2036" s="27" t="s">
        <v>3679</v>
      </c>
      <c r="C2036" s="180">
        <v>44242</v>
      </c>
      <c r="D2036" s="28">
        <v>22</v>
      </c>
      <c r="E2036" s="49">
        <v>15</v>
      </c>
      <c r="F2036" s="211">
        <f>IFERROR(Tableau6[[#This Row],[Score]]/Tableau6[[#This Row],[Nb]],0)</f>
        <v>0.68181818181818177</v>
      </c>
    </row>
    <row r="2037" spans="1:6" ht="30" customHeight="1" x14ac:dyDescent="0.3">
      <c r="A2037" s="26" t="s">
        <v>3977</v>
      </c>
      <c r="B2037" s="27" t="s">
        <v>3978</v>
      </c>
      <c r="C2037" s="180">
        <v>44262</v>
      </c>
      <c r="D2037" s="28">
        <v>22</v>
      </c>
      <c r="E2037" s="49">
        <v>15</v>
      </c>
      <c r="F2037" s="211">
        <f>IFERROR(Tableau6[[#This Row],[Score]]/Tableau6[[#This Row],[Nb]],0)</f>
        <v>0.68181818181818177</v>
      </c>
    </row>
    <row r="2038" spans="1:6" ht="30" customHeight="1" x14ac:dyDescent="0.3">
      <c r="A2038" s="26" t="s">
        <v>4095</v>
      </c>
      <c r="B2038" s="27" t="s">
        <v>4096</v>
      </c>
      <c r="C2038" s="180">
        <v>44269</v>
      </c>
      <c r="D2038" s="28">
        <v>22</v>
      </c>
      <c r="E2038" s="49">
        <v>15</v>
      </c>
      <c r="F2038" s="211">
        <f>IFERROR(Tableau6[[#This Row],[Score]]/Tableau6[[#This Row],[Nb]],0)</f>
        <v>0.68181818181818177</v>
      </c>
    </row>
    <row r="2039" spans="1:6" ht="30" customHeight="1" x14ac:dyDescent="0.3">
      <c r="A2039" s="26" t="s">
        <v>4404</v>
      </c>
      <c r="B2039" s="27" t="s">
        <v>4405</v>
      </c>
      <c r="C2039" s="180">
        <v>44299</v>
      </c>
      <c r="D2039" s="28">
        <v>22</v>
      </c>
      <c r="E2039" s="49">
        <v>15</v>
      </c>
      <c r="F2039" s="211">
        <f>IFERROR(Tableau6[[#This Row],[Score]]/Tableau6[[#This Row],[Nb]],0)</f>
        <v>0.68181818181818177</v>
      </c>
    </row>
    <row r="2040" spans="1:6" ht="30" customHeight="1" x14ac:dyDescent="0.3">
      <c r="A2040" s="26" t="s">
        <v>920</v>
      </c>
      <c r="B2040" s="27" t="s">
        <v>780</v>
      </c>
      <c r="C2040" s="180">
        <v>41522</v>
      </c>
      <c r="D2040" s="28">
        <v>19</v>
      </c>
      <c r="E2040" s="49">
        <v>13</v>
      </c>
      <c r="F2040" s="211">
        <f>IFERROR(Tableau6[[#This Row],[Score]]/Tableau6[[#This Row],[Nb]],0)</f>
        <v>0.68421052631578949</v>
      </c>
    </row>
    <row r="2041" spans="1:6" ht="30" customHeight="1" x14ac:dyDescent="0.3">
      <c r="A2041" s="26" t="s">
        <v>4082</v>
      </c>
      <c r="B2041" s="27" t="s">
        <v>4534</v>
      </c>
      <c r="C2041" s="180">
        <v>41621</v>
      </c>
      <c r="D2041" s="28">
        <v>19</v>
      </c>
      <c r="E2041" s="49">
        <v>13</v>
      </c>
      <c r="F2041" s="211">
        <f>IFERROR(Tableau6[[#This Row],[Score]]/Tableau6[[#This Row],[Nb]],0)</f>
        <v>0.68421052631578949</v>
      </c>
    </row>
    <row r="2042" spans="1:6" ht="30" customHeight="1" x14ac:dyDescent="0.3">
      <c r="A2042" s="26" t="s">
        <v>696</v>
      </c>
      <c r="B2042" s="152" t="s">
        <v>5354</v>
      </c>
      <c r="C2042" s="180">
        <v>41621</v>
      </c>
      <c r="D2042" s="28">
        <v>19</v>
      </c>
      <c r="E2042" s="49">
        <v>13</v>
      </c>
      <c r="F2042" s="211">
        <f>IFERROR(Tableau6[[#This Row],[Score]]/Tableau6[[#This Row],[Nb]],0)</f>
        <v>0.68421052631578949</v>
      </c>
    </row>
    <row r="2043" spans="1:6" ht="30" customHeight="1" x14ac:dyDescent="0.3">
      <c r="A2043" s="26" t="s">
        <v>1020</v>
      </c>
      <c r="B2043" s="27" t="s">
        <v>631</v>
      </c>
      <c r="C2043" s="180">
        <v>41621</v>
      </c>
      <c r="D2043" s="28">
        <v>19</v>
      </c>
      <c r="E2043" s="49">
        <v>13</v>
      </c>
      <c r="F2043" s="211">
        <f>IFERROR(Tableau6[[#This Row],[Score]]/Tableau6[[#This Row],[Nb]],0)</f>
        <v>0.68421052631578949</v>
      </c>
    </row>
    <row r="2044" spans="1:6" ht="30" customHeight="1" x14ac:dyDescent="0.3">
      <c r="A2044" s="26" t="s">
        <v>813</v>
      </c>
      <c r="B2044" s="27" t="s">
        <v>4628</v>
      </c>
      <c r="C2044" s="180">
        <v>41621</v>
      </c>
      <c r="D2044" s="28">
        <v>19</v>
      </c>
      <c r="E2044" s="49">
        <v>13</v>
      </c>
      <c r="F2044" s="211">
        <f>IFERROR(Tableau6[[#This Row],[Score]]/Tableau6[[#This Row],[Nb]],0)</f>
        <v>0.68421052631578949</v>
      </c>
    </row>
    <row r="2045" spans="1:6" ht="30" customHeight="1" x14ac:dyDescent="0.3">
      <c r="A2045" s="26" t="s">
        <v>1600</v>
      </c>
      <c r="B2045" s="27" t="s">
        <v>2515</v>
      </c>
      <c r="C2045" s="180">
        <v>41621</v>
      </c>
      <c r="D2045" s="28">
        <v>19</v>
      </c>
      <c r="E2045" s="49">
        <v>13</v>
      </c>
      <c r="F2045" s="211">
        <f>IFERROR(Tableau6[[#This Row],[Score]]/Tableau6[[#This Row],[Nb]],0)</f>
        <v>0.68421052631578949</v>
      </c>
    </row>
    <row r="2046" spans="1:6" ht="30" customHeight="1" x14ac:dyDescent="0.3">
      <c r="A2046" s="26" t="s">
        <v>4365</v>
      </c>
      <c r="B2046" s="27" t="s">
        <v>4366</v>
      </c>
      <c r="C2046" s="180">
        <v>41621</v>
      </c>
      <c r="D2046" s="28">
        <v>19</v>
      </c>
      <c r="E2046" s="49">
        <v>13</v>
      </c>
      <c r="F2046" s="211">
        <f>IFERROR(Tableau6[[#This Row],[Score]]/Tableau6[[#This Row],[Nb]],0)</f>
        <v>0.68421052631578949</v>
      </c>
    </row>
    <row r="2047" spans="1:6" ht="30" customHeight="1" x14ac:dyDescent="0.3">
      <c r="A2047" s="26" t="s">
        <v>3506</v>
      </c>
      <c r="B2047" s="27" t="s">
        <v>3507</v>
      </c>
      <c r="C2047" s="180">
        <v>41621</v>
      </c>
      <c r="D2047" s="28">
        <v>19</v>
      </c>
      <c r="E2047" s="49">
        <v>13</v>
      </c>
      <c r="F2047" s="211">
        <f>IFERROR(Tableau6[[#This Row],[Score]]/Tableau6[[#This Row],[Nb]],0)</f>
        <v>0.68421052631578949</v>
      </c>
    </row>
    <row r="2048" spans="1:6" ht="30" customHeight="1" x14ac:dyDescent="0.3">
      <c r="A2048" s="26" t="s">
        <v>3878</v>
      </c>
      <c r="B2048" s="27" t="s">
        <v>3565</v>
      </c>
      <c r="C2048" s="180">
        <v>41621</v>
      </c>
      <c r="D2048" s="28">
        <v>19</v>
      </c>
      <c r="E2048" s="49">
        <v>13</v>
      </c>
      <c r="F2048" s="211">
        <f>IFERROR(Tableau6[[#This Row],[Score]]/Tableau6[[#This Row],[Nb]],0)</f>
        <v>0.68421052631578949</v>
      </c>
    </row>
    <row r="2049" spans="1:6" ht="30" customHeight="1" x14ac:dyDescent="0.3">
      <c r="A2049" s="26" t="s">
        <v>1035</v>
      </c>
      <c r="B2049" s="27" t="s">
        <v>430</v>
      </c>
      <c r="C2049" s="180">
        <v>43205</v>
      </c>
      <c r="D2049" s="28">
        <v>19</v>
      </c>
      <c r="E2049" s="49">
        <v>13</v>
      </c>
      <c r="F2049" s="211">
        <f>IFERROR(Tableau6[[#This Row],[Score]]/Tableau6[[#This Row],[Nb]],0)</f>
        <v>0.68421052631578949</v>
      </c>
    </row>
    <row r="2050" spans="1:6" ht="30" customHeight="1" x14ac:dyDescent="0.3">
      <c r="A2050" s="26" t="s">
        <v>614</v>
      </c>
      <c r="B2050" s="27" t="s">
        <v>4712</v>
      </c>
      <c r="C2050" s="180">
        <v>43298</v>
      </c>
      <c r="D2050" s="28">
        <v>19</v>
      </c>
      <c r="E2050" s="49">
        <v>13</v>
      </c>
      <c r="F2050" s="211">
        <f>IFERROR(Tableau6[[#This Row],[Score]]/Tableau6[[#This Row],[Nb]],0)</f>
        <v>0.68421052631578949</v>
      </c>
    </row>
    <row r="2051" spans="1:6" ht="30" customHeight="1" x14ac:dyDescent="0.3">
      <c r="A2051" s="26" t="s">
        <v>1212</v>
      </c>
      <c r="B2051" s="27" t="s">
        <v>4077</v>
      </c>
      <c r="C2051" s="180">
        <v>43418</v>
      </c>
      <c r="D2051" s="28">
        <v>19</v>
      </c>
      <c r="E2051" s="49">
        <v>13</v>
      </c>
      <c r="F2051" s="211">
        <f>IFERROR(Tableau6[[#This Row],[Score]]/Tableau6[[#This Row],[Nb]],0)</f>
        <v>0.68421052631578949</v>
      </c>
    </row>
    <row r="2052" spans="1:6" ht="30" customHeight="1" x14ac:dyDescent="0.3">
      <c r="A2052" s="26" t="s">
        <v>1610</v>
      </c>
      <c r="B2052" s="27" t="s">
        <v>1611</v>
      </c>
      <c r="C2052" s="180">
        <v>43548</v>
      </c>
      <c r="D2052" s="28">
        <v>19</v>
      </c>
      <c r="E2052" s="49">
        <v>13</v>
      </c>
      <c r="F2052" s="211">
        <f>IFERROR(Tableau6[[#This Row],[Score]]/Tableau6[[#This Row],[Nb]],0)</f>
        <v>0.68421052631578949</v>
      </c>
    </row>
    <row r="2053" spans="1:6" ht="30" customHeight="1" x14ac:dyDescent="0.3">
      <c r="A2053" s="26" t="s">
        <v>2054</v>
      </c>
      <c r="B2053" s="27" t="s">
        <v>2055</v>
      </c>
      <c r="C2053" s="180">
        <v>43661</v>
      </c>
      <c r="D2053" s="28">
        <v>19</v>
      </c>
      <c r="E2053" s="49">
        <v>13</v>
      </c>
      <c r="F2053" s="211">
        <f>IFERROR(Tableau6[[#This Row],[Score]]/Tableau6[[#This Row],[Nb]],0)</f>
        <v>0.68421052631578949</v>
      </c>
    </row>
    <row r="2054" spans="1:6" ht="30" customHeight="1" x14ac:dyDescent="0.3">
      <c r="A2054" s="26" t="s">
        <v>2079</v>
      </c>
      <c r="B2054" s="27" t="s">
        <v>2080</v>
      </c>
      <c r="C2054" s="180">
        <v>43673</v>
      </c>
      <c r="D2054" s="28">
        <v>19</v>
      </c>
      <c r="E2054" s="49">
        <v>13</v>
      </c>
      <c r="F2054" s="211">
        <f>IFERROR(Tableau6[[#This Row],[Score]]/Tableau6[[#This Row],[Nb]],0)</f>
        <v>0.68421052631578949</v>
      </c>
    </row>
    <row r="2055" spans="1:6" ht="30" customHeight="1" x14ac:dyDescent="0.3">
      <c r="A2055" s="26" t="s">
        <v>3183</v>
      </c>
      <c r="B2055" s="27" t="s">
        <v>3184</v>
      </c>
      <c r="C2055" s="180">
        <v>44026</v>
      </c>
      <c r="D2055" s="28">
        <v>19</v>
      </c>
      <c r="E2055" s="49">
        <v>13</v>
      </c>
      <c r="F2055" s="211">
        <f>IFERROR(Tableau6[[#This Row],[Score]]/Tableau6[[#This Row],[Nb]],0)</f>
        <v>0.68421052631578949</v>
      </c>
    </row>
    <row r="2056" spans="1:6" ht="30" customHeight="1" x14ac:dyDescent="0.3">
      <c r="A2056" s="26" t="s">
        <v>3487</v>
      </c>
      <c r="B2056" s="73" t="s">
        <v>5073</v>
      </c>
      <c r="C2056" s="180">
        <v>44221</v>
      </c>
      <c r="D2056" s="28">
        <v>19</v>
      </c>
      <c r="E2056" s="49">
        <v>13</v>
      </c>
      <c r="F2056" s="211">
        <f>IFERROR(Tableau6[[#This Row],[Score]]/Tableau6[[#This Row],[Nb]],0)</f>
        <v>0.68421052631578949</v>
      </c>
    </row>
    <row r="2057" spans="1:6" ht="30" customHeight="1" x14ac:dyDescent="0.3">
      <c r="A2057" s="26" t="s">
        <v>4606</v>
      </c>
      <c r="B2057" s="27" t="s">
        <v>4607</v>
      </c>
      <c r="C2057" s="180">
        <v>44334</v>
      </c>
      <c r="D2057" s="28">
        <v>19</v>
      </c>
      <c r="E2057" s="49">
        <v>13</v>
      </c>
      <c r="F2057" s="211">
        <f>IFERROR(Tableau6[[#This Row],[Score]]/Tableau6[[#This Row],[Nb]],0)</f>
        <v>0.68421052631578949</v>
      </c>
    </row>
    <row r="2058" spans="1:6" ht="30" customHeight="1" x14ac:dyDescent="0.3">
      <c r="A2058" s="26" t="s">
        <v>4865</v>
      </c>
      <c r="B2058" s="27" t="s">
        <v>4866</v>
      </c>
      <c r="C2058" s="180">
        <v>44395</v>
      </c>
      <c r="D2058" s="28">
        <v>19</v>
      </c>
      <c r="E2058" s="49">
        <v>13</v>
      </c>
      <c r="F2058" s="211">
        <f>IFERROR(Tableau6[[#This Row],[Score]]/Tableau6[[#This Row],[Nb]],0)</f>
        <v>0.68421052631578949</v>
      </c>
    </row>
    <row r="2059" spans="1:6" ht="30" customHeight="1" x14ac:dyDescent="0.3">
      <c r="A2059" s="151" t="s">
        <v>5432</v>
      </c>
      <c r="B2059" s="152" t="s">
        <v>5433</v>
      </c>
      <c r="C2059" s="208">
        <v>44568</v>
      </c>
      <c r="D2059" s="154">
        <v>19</v>
      </c>
      <c r="E2059" s="154">
        <v>13</v>
      </c>
      <c r="F2059" s="211">
        <f>IFERROR(Tableau6[[#This Row],[Score]]/Tableau6[[#This Row],[Nb]],0)</f>
        <v>0.68421052631578949</v>
      </c>
    </row>
    <row r="2060" spans="1:6" ht="30" customHeight="1" x14ac:dyDescent="0.3">
      <c r="A2060" s="26" t="s">
        <v>2596</v>
      </c>
      <c r="B2060" s="27" t="s">
        <v>2597</v>
      </c>
      <c r="C2060" s="180">
        <v>43848</v>
      </c>
      <c r="D2060" s="28">
        <v>35</v>
      </c>
      <c r="E2060" s="49">
        <v>24</v>
      </c>
      <c r="F2060" s="211">
        <f>IFERROR(Tableau6[[#This Row],[Score]]/Tableau6[[#This Row],[Nb]],0)</f>
        <v>0.68571428571428572</v>
      </c>
    </row>
    <row r="2061" spans="1:6" ht="30" customHeight="1" x14ac:dyDescent="0.3">
      <c r="A2061" s="26" t="s">
        <v>357</v>
      </c>
      <c r="B2061" s="27" t="s">
        <v>358</v>
      </c>
      <c r="C2061" s="180">
        <v>40611</v>
      </c>
      <c r="D2061" s="28">
        <v>16</v>
      </c>
      <c r="E2061" s="49">
        <v>11</v>
      </c>
      <c r="F2061" s="211">
        <f>IFERROR(Tableau6[[#This Row],[Score]]/Tableau6[[#This Row],[Nb]],0)</f>
        <v>0.6875</v>
      </c>
    </row>
    <row r="2062" spans="1:6" ht="30" customHeight="1" x14ac:dyDescent="0.3">
      <c r="A2062" s="26" t="s">
        <v>1060</v>
      </c>
      <c r="B2062" s="27" t="s">
        <v>767</v>
      </c>
      <c r="C2062" s="180">
        <v>41621</v>
      </c>
      <c r="D2062" s="28">
        <v>16</v>
      </c>
      <c r="E2062" s="49">
        <v>11</v>
      </c>
      <c r="F2062" s="211">
        <f>IFERROR(Tableau6[[#This Row],[Score]]/Tableau6[[#This Row],[Nb]],0)</f>
        <v>0.6875</v>
      </c>
    </row>
    <row r="2063" spans="1:6" ht="30" customHeight="1" x14ac:dyDescent="0.3">
      <c r="A2063" s="26" t="s">
        <v>3450</v>
      </c>
      <c r="B2063" s="27" t="s">
        <v>3451</v>
      </c>
      <c r="C2063" s="180">
        <v>41621</v>
      </c>
      <c r="D2063" s="28">
        <v>16</v>
      </c>
      <c r="E2063" s="49">
        <v>11</v>
      </c>
      <c r="F2063" s="211">
        <f>IFERROR(Tableau6[[#This Row],[Score]]/Tableau6[[#This Row],[Nb]],0)</f>
        <v>0.6875</v>
      </c>
    </row>
    <row r="2064" spans="1:6" ht="30" customHeight="1" x14ac:dyDescent="0.3">
      <c r="A2064" s="26" t="s">
        <v>671</v>
      </c>
      <c r="B2064" s="27" t="s">
        <v>1080</v>
      </c>
      <c r="C2064" s="180">
        <v>43237</v>
      </c>
      <c r="D2064" s="28">
        <v>16</v>
      </c>
      <c r="E2064" s="49">
        <v>11</v>
      </c>
      <c r="F2064" s="211">
        <f>IFERROR(Tableau6[[#This Row],[Score]]/Tableau6[[#This Row],[Nb]],0)</f>
        <v>0.6875</v>
      </c>
    </row>
    <row r="2065" spans="1:6" ht="30" customHeight="1" x14ac:dyDescent="0.3">
      <c r="A2065" s="26" t="s">
        <v>82</v>
      </c>
      <c r="B2065" s="27" t="s">
        <v>83</v>
      </c>
      <c r="C2065" s="180">
        <v>43341</v>
      </c>
      <c r="D2065" s="28">
        <v>16</v>
      </c>
      <c r="E2065" s="49">
        <v>11</v>
      </c>
      <c r="F2065" s="211">
        <f>IFERROR(Tableau6[[#This Row],[Score]]/Tableau6[[#This Row],[Nb]],0)</f>
        <v>0.6875</v>
      </c>
    </row>
    <row r="2066" spans="1:6" ht="30" customHeight="1" x14ac:dyDescent="0.3">
      <c r="A2066" s="26" t="s">
        <v>1366</v>
      </c>
      <c r="B2066" s="27" t="s">
        <v>1367</v>
      </c>
      <c r="C2066" s="180">
        <v>43444</v>
      </c>
      <c r="D2066" s="28">
        <v>16</v>
      </c>
      <c r="E2066" s="49">
        <v>11</v>
      </c>
      <c r="F2066" s="211">
        <f>IFERROR(Tableau6[[#This Row],[Score]]/Tableau6[[#This Row],[Nb]],0)</f>
        <v>0.6875</v>
      </c>
    </row>
    <row r="2067" spans="1:6" ht="30" customHeight="1" x14ac:dyDescent="0.3">
      <c r="A2067" s="26" t="s">
        <v>1517</v>
      </c>
      <c r="B2067" s="27" t="s">
        <v>1518</v>
      </c>
      <c r="C2067" s="180">
        <v>43472</v>
      </c>
      <c r="D2067" s="28">
        <v>16</v>
      </c>
      <c r="E2067" s="49">
        <v>11</v>
      </c>
      <c r="F2067" s="211">
        <f>IFERROR(Tableau6[[#This Row],[Score]]/Tableau6[[#This Row],[Nb]],0)</f>
        <v>0.6875</v>
      </c>
    </row>
    <row r="2068" spans="1:6" ht="30" customHeight="1" x14ac:dyDescent="0.3">
      <c r="A2068" s="26" t="s">
        <v>1583</v>
      </c>
      <c r="B2068" s="27" t="s">
        <v>1584</v>
      </c>
      <c r="C2068" s="180">
        <v>43493</v>
      </c>
      <c r="D2068" s="28">
        <v>32</v>
      </c>
      <c r="E2068" s="49">
        <v>22</v>
      </c>
      <c r="F2068" s="211">
        <f>IFERROR(Tableau6[[#This Row],[Score]]/Tableau6[[#This Row],[Nb]],0)</f>
        <v>0.6875</v>
      </c>
    </row>
    <row r="2069" spans="1:6" ht="30" customHeight="1" x14ac:dyDescent="0.3">
      <c r="A2069" s="26" t="s">
        <v>186</v>
      </c>
      <c r="B2069" s="27" t="s">
        <v>187</v>
      </c>
      <c r="C2069" s="180">
        <v>43689</v>
      </c>
      <c r="D2069" s="28">
        <v>16</v>
      </c>
      <c r="E2069" s="49">
        <v>11</v>
      </c>
      <c r="F2069" s="211">
        <f>IFERROR(Tableau6[[#This Row],[Score]]/Tableau6[[#This Row],[Nb]],0)</f>
        <v>0.6875</v>
      </c>
    </row>
    <row r="2070" spans="1:6" ht="30" customHeight="1" x14ac:dyDescent="0.3">
      <c r="A2070" s="26" t="s">
        <v>2493</v>
      </c>
      <c r="B2070" s="27" t="s">
        <v>2494</v>
      </c>
      <c r="C2070" s="180">
        <v>43802</v>
      </c>
      <c r="D2070" s="28">
        <v>16</v>
      </c>
      <c r="E2070" s="49">
        <v>11</v>
      </c>
      <c r="F2070" s="211">
        <f>IFERROR(Tableau6[[#This Row],[Score]]/Tableau6[[#This Row],[Nb]],0)</f>
        <v>0.6875</v>
      </c>
    </row>
    <row r="2071" spans="1:6" ht="30" customHeight="1" x14ac:dyDescent="0.3">
      <c r="A2071" s="26" t="s">
        <v>2560</v>
      </c>
      <c r="B2071" s="27" t="s">
        <v>2561</v>
      </c>
      <c r="C2071" s="180">
        <v>43826</v>
      </c>
      <c r="D2071" s="28">
        <v>16</v>
      </c>
      <c r="E2071" s="49">
        <v>11</v>
      </c>
      <c r="F2071" s="211">
        <f>IFERROR(Tableau6[[#This Row],[Score]]/Tableau6[[#This Row],[Nb]],0)</f>
        <v>0.6875</v>
      </c>
    </row>
    <row r="2072" spans="1:6" ht="30" customHeight="1" x14ac:dyDescent="0.3">
      <c r="A2072" s="26" t="s">
        <v>359</v>
      </c>
      <c r="B2072" s="27" t="s">
        <v>4024</v>
      </c>
      <c r="C2072" s="180">
        <v>40611</v>
      </c>
      <c r="D2072" s="28">
        <v>29</v>
      </c>
      <c r="E2072" s="49">
        <v>20</v>
      </c>
      <c r="F2072" s="211">
        <f>IFERROR(Tableau6[[#This Row],[Score]]/Tableau6[[#This Row],[Nb]],0)</f>
        <v>0.68965517241379315</v>
      </c>
    </row>
    <row r="2073" spans="1:6" ht="30" customHeight="1" x14ac:dyDescent="0.3">
      <c r="A2073" s="26" t="s">
        <v>217</v>
      </c>
      <c r="B2073" s="27" t="s">
        <v>218</v>
      </c>
      <c r="C2073" s="180">
        <v>43400</v>
      </c>
      <c r="D2073" s="28">
        <v>29</v>
      </c>
      <c r="E2073" s="49">
        <v>20</v>
      </c>
      <c r="F2073" s="211">
        <f>IFERROR(Tableau6[[#This Row],[Score]]/Tableau6[[#This Row],[Nb]],0)</f>
        <v>0.68965517241379315</v>
      </c>
    </row>
    <row r="2074" spans="1:6" ht="30" customHeight="1" x14ac:dyDescent="0.3">
      <c r="A2074" s="26" t="s">
        <v>1305</v>
      </c>
      <c r="B2074" s="27" t="s">
        <v>1306</v>
      </c>
      <c r="C2074" s="180">
        <v>43438</v>
      </c>
      <c r="D2074" s="28">
        <v>29</v>
      </c>
      <c r="E2074" s="49">
        <v>20</v>
      </c>
      <c r="F2074" s="211">
        <f>IFERROR(Tableau6[[#This Row],[Score]]/Tableau6[[#This Row],[Nb]],0)</f>
        <v>0.68965517241379315</v>
      </c>
    </row>
    <row r="2075" spans="1:6" ht="30" customHeight="1" x14ac:dyDescent="0.3">
      <c r="A2075" s="437" t="s">
        <v>6537</v>
      </c>
      <c r="B2075" s="27" t="s">
        <v>2676</v>
      </c>
      <c r="C2075" s="180">
        <v>43887</v>
      </c>
      <c r="D2075" s="28">
        <v>29</v>
      </c>
      <c r="E2075" s="49">
        <v>20</v>
      </c>
      <c r="F2075" s="211">
        <f>IFERROR(Tableau6[[#This Row],[Score]]/Tableau6[[#This Row],[Nb]],0)</f>
        <v>0.68965517241379315</v>
      </c>
    </row>
    <row r="2076" spans="1:6" ht="30" customHeight="1" x14ac:dyDescent="0.3">
      <c r="A2076" s="26" t="s">
        <v>3724</v>
      </c>
      <c r="B2076" s="27" t="s">
        <v>3725</v>
      </c>
      <c r="C2076" s="180">
        <v>44249</v>
      </c>
      <c r="D2076" s="28">
        <v>29</v>
      </c>
      <c r="E2076" s="49">
        <v>20</v>
      </c>
      <c r="F2076" s="211">
        <f>IFERROR(Tableau6[[#This Row],[Score]]/Tableau6[[#This Row],[Nb]],0)</f>
        <v>0.68965517241379315</v>
      </c>
    </row>
    <row r="2077" spans="1:6" ht="30" customHeight="1" x14ac:dyDescent="0.3">
      <c r="A2077" s="26" t="s">
        <v>4004</v>
      </c>
      <c r="B2077" s="27" t="s">
        <v>4005</v>
      </c>
      <c r="C2077" s="180">
        <v>44262</v>
      </c>
      <c r="D2077" s="28">
        <v>29</v>
      </c>
      <c r="E2077" s="49">
        <v>20</v>
      </c>
      <c r="F2077" s="211">
        <f>IFERROR(Tableau6[[#This Row],[Score]]/Tableau6[[#This Row],[Nb]],0)</f>
        <v>0.68965517241379315</v>
      </c>
    </row>
    <row r="2078" spans="1:6" ht="30" customHeight="1" x14ac:dyDescent="0.3">
      <c r="A2078" s="26" t="s">
        <v>3269</v>
      </c>
      <c r="B2078" s="27" t="s">
        <v>3270</v>
      </c>
      <c r="C2078" s="180">
        <v>40611</v>
      </c>
      <c r="D2078" s="28">
        <v>13</v>
      </c>
      <c r="E2078" s="49">
        <v>9</v>
      </c>
      <c r="F2078" s="211">
        <f>IFERROR(Tableau6[[#This Row],[Score]]/Tableau6[[#This Row],[Nb]],0)</f>
        <v>0.69230769230769229</v>
      </c>
    </row>
    <row r="2079" spans="1:6" ht="30" customHeight="1" x14ac:dyDescent="0.3">
      <c r="A2079" s="26" t="s">
        <v>3618</v>
      </c>
      <c r="B2079" s="27" t="s">
        <v>3619</v>
      </c>
      <c r="C2079" s="180">
        <v>41522</v>
      </c>
      <c r="D2079" s="28">
        <v>26</v>
      </c>
      <c r="E2079" s="49">
        <v>18</v>
      </c>
      <c r="F2079" s="211">
        <f>IFERROR(Tableau6[[#This Row],[Score]]/Tableau6[[#This Row],[Nb]],0)</f>
        <v>0.69230769230769229</v>
      </c>
    </row>
    <row r="2080" spans="1:6" ht="30" customHeight="1" x14ac:dyDescent="0.3">
      <c r="A2080" s="26" t="s">
        <v>4457</v>
      </c>
      <c r="B2080" s="27" t="s">
        <v>4458</v>
      </c>
      <c r="C2080" s="180">
        <v>41621</v>
      </c>
      <c r="D2080" s="28">
        <v>13</v>
      </c>
      <c r="E2080" s="49">
        <v>9</v>
      </c>
      <c r="F2080" s="211">
        <f>IFERROR(Tableau6[[#This Row],[Score]]/Tableau6[[#This Row],[Nb]],0)</f>
        <v>0.69230769230769229</v>
      </c>
    </row>
    <row r="2081" spans="1:6" ht="30" customHeight="1" x14ac:dyDescent="0.3">
      <c r="A2081" s="26" t="s">
        <v>4663</v>
      </c>
      <c r="B2081" s="27" t="s">
        <v>4664</v>
      </c>
      <c r="C2081" s="180">
        <v>41621</v>
      </c>
      <c r="D2081" s="28">
        <v>26</v>
      </c>
      <c r="E2081" s="49">
        <v>18</v>
      </c>
      <c r="F2081" s="211">
        <f>IFERROR(Tableau6[[#This Row],[Score]]/Tableau6[[#This Row],[Nb]],0)</f>
        <v>0.69230769230769229</v>
      </c>
    </row>
    <row r="2082" spans="1:6" ht="30" customHeight="1" x14ac:dyDescent="0.3">
      <c r="A2082" s="26" t="s">
        <v>2315</v>
      </c>
      <c r="B2082" s="27" t="s">
        <v>2316</v>
      </c>
      <c r="C2082" s="180">
        <v>41621</v>
      </c>
      <c r="D2082" s="28">
        <v>26</v>
      </c>
      <c r="E2082" s="49">
        <v>18</v>
      </c>
      <c r="F2082" s="211">
        <f>IFERROR(Tableau6[[#This Row],[Score]]/Tableau6[[#This Row],[Nb]],0)</f>
        <v>0.69230769230769229</v>
      </c>
    </row>
    <row r="2083" spans="1:6" ht="30" customHeight="1" x14ac:dyDescent="0.3">
      <c r="A2083" s="26" t="s">
        <v>4481</v>
      </c>
      <c r="B2083" s="27" t="s">
        <v>4061</v>
      </c>
      <c r="C2083" s="180">
        <v>43247</v>
      </c>
      <c r="D2083" s="28">
        <v>26</v>
      </c>
      <c r="E2083" s="49">
        <v>18</v>
      </c>
      <c r="F2083" s="211">
        <f>IFERROR(Tableau6[[#This Row],[Score]]/Tableau6[[#This Row],[Nb]],0)</f>
        <v>0.69230769230769229</v>
      </c>
    </row>
    <row r="2084" spans="1:6" ht="30" customHeight="1" x14ac:dyDescent="0.3">
      <c r="A2084" s="26" t="s">
        <v>1415</v>
      </c>
      <c r="B2084" s="27" t="s">
        <v>1416</v>
      </c>
      <c r="C2084" s="180">
        <v>43451</v>
      </c>
      <c r="D2084" s="28">
        <v>26</v>
      </c>
      <c r="E2084" s="49">
        <v>18</v>
      </c>
      <c r="F2084" s="211">
        <f>IFERROR(Tableau6[[#This Row],[Score]]/Tableau6[[#This Row],[Nb]],0)</f>
        <v>0.69230769230769229</v>
      </c>
    </row>
    <row r="2085" spans="1:6" ht="30" customHeight="1" x14ac:dyDescent="0.3">
      <c r="A2085" s="26" t="s">
        <v>2064</v>
      </c>
      <c r="B2085" s="27" t="s">
        <v>2065</v>
      </c>
      <c r="C2085" s="180">
        <v>43661</v>
      </c>
      <c r="D2085" s="28">
        <v>13</v>
      </c>
      <c r="E2085" s="49">
        <v>9</v>
      </c>
      <c r="F2085" s="211">
        <f>IFERROR(Tableau6[[#This Row],[Score]]/Tableau6[[#This Row],[Nb]],0)</f>
        <v>0.69230769230769229</v>
      </c>
    </row>
    <row r="2086" spans="1:6" ht="30" customHeight="1" x14ac:dyDescent="0.3">
      <c r="A2086" s="26" t="s">
        <v>2058</v>
      </c>
      <c r="B2086" s="27" t="s">
        <v>2059</v>
      </c>
      <c r="C2086" s="180">
        <v>43661</v>
      </c>
      <c r="D2086" s="28">
        <v>13</v>
      </c>
      <c r="E2086" s="49">
        <v>9</v>
      </c>
      <c r="F2086" s="211">
        <f>IFERROR(Tableau6[[#This Row],[Score]]/Tableau6[[#This Row],[Nb]],0)</f>
        <v>0.69230769230769229</v>
      </c>
    </row>
    <row r="2087" spans="1:6" ht="30" customHeight="1" x14ac:dyDescent="0.3">
      <c r="A2087" s="26" t="s">
        <v>1423</v>
      </c>
      <c r="B2087" s="27" t="s">
        <v>1424</v>
      </c>
      <c r="C2087" s="180">
        <v>43661</v>
      </c>
      <c r="D2087" s="28">
        <v>26</v>
      </c>
      <c r="E2087" s="49">
        <v>18</v>
      </c>
      <c r="F2087" s="211">
        <f>IFERROR(Tableau6[[#This Row],[Score]]/Tableau6[[#This Row],[Nb]],0)</f>
        <v>0.69230769230769229</v>
      </c>
    </row>
    <row r="2088" spans="1:6" ht="30" customHeight="1" x14ac:dyDescent="0.3">
      <c r="A2088" s="151" t="s">
        <v>5920</v>
      </c>
      <c r="B2088" s="152" t="s">
        <v>5919</v>
      </c>
      <c r="C2088" s="180">
        <v>43673</v>
      </c>
      <c r="D2088" s="28">
        <v>26</v>
      </c>
      <c r="E2088" s="49">
        <v>18</v>
      </c>
      <c r="F2088" s="211">
        <f>IFERROR(Tableau6[[#This Row],[Score]]/Tableau6[[#This Row],[Nb]],0)</f>
        <v>0.69230769230769229</v>
      </c>
    </row>
    <row r="2089" spans="1:6" ht="30" customHeight="1" x14ac:dyDescent="0.3">
      <c r="A2089" s="26" t="s">
        <v>2491</v>
      </c>
      <c r="B2089" s="27" t="s">
        <v>2492</v>
      </c>
      <c r="C2089" s="180">
        <v>43787</v>
      </c>
      <c r="D2089" s="28">
        <v>13</v>
      </c>
      <c r="E2089" s="49">
        <v>9</v>
      </c>
      <c r="F2089" s="211">
        <f>IFERROR(Tableau6[[#This Row],[Score]]/Tableau6[[#This Row],[Nb]],0)</f>
        <v>0.69230769230769229</v>
      </c>
    </row>
    <row r="2090" spans="1:6" ht="30" customHeight="1" x14ac:dyDescent="0.3">
      <c r="A2090" s="26" t="s">
        <v>2900</v>
      </c>
      <c r="B2090" s="27" t="s">
        <v>2901</v>
      </c>
      <c r="C2090" s="180">
        <v>43969</v>
      </c>
      <c r="D2090" s="28">
        <v>26</v>
      </c>
      <c r="E2090" s="49">
        <v>18</v>
      </c>
      <c r="F2090" s="211">
        <f>IFERROR(Tableau6[[#This Row],[Score]]/Tableau6[[#This Row],[Nb]],0)</f>
        <v>0.69230769230769229</v>
      </c>
    </row>
    <row r="2091" spans="1:6" ht="30" customHeight="1" x14ac:dyDescent="0.3">
      <c r="A2091" s="26" t="s">
        <v>3558</v>
      </c>
      <c r="B2091" s="27" t="s">
        <v>3559</v>
      </c>
      <c r="C2091" s="180">
        <v>44235</v>
      </c>
      <c r="D2091" s="28">
        <v>26</v>
      </c>
      <c r="E2091" s="49">
        <v>18</v>
      </c>
      <c r="F2091" s="211">
        <f>IFERROR(Tableau6[[#This Row],[Score]]/Tableau6[[#This Row],[Nb]],0)</f>
        <v>0.69230769230769229</v>
      </c>
    </row>
    <row r="2092" spans="1:6" ht="30" customHeight="1" x14ac:dyDescent="0.3">
      <c r="A2092" s="26" t="s">
        <v>3550</v>
      </c>
      <c r="B2092" s="27" t="s">
        <v>3551</v>
      </c>
      <c r="C2092" s="180">
        <v>44235</v>
      </c>
      <c r="D2092" s="28">
        <v>26</v>
      </c>
      <c r="E2092" s="49">
        <v>18</v>
      </c>
      <c r="F2092" s="211">
        <f>IFERROR(Tableau6[[#This Row],[Score]]/Tableau6[[#This Row],[Nb]],0)</f>
        <v>0.69230769230769229</v>
      </c>
    </row>
    <row r="2093" spans="1:6" ht="30" customHeight="1" x14ac:dyDescent="0.3">
      <c r="A2093" s="26" t="s">
        <v>4279</v>
      </c>
      <c r="B2093" s="27" t="s">
        <v>4280</v>
      </c>
      <c r="C2093" s="180">
        <v>44283</v>
      </c>
      <c r="D2093" s="28">
        <v>26</v>
      </c>
      <c r="E2093" s="49">
        <v>18</v>
      </c>
      <c r="F2093" s="211">
        <f>IFERROR(Tableau6[[#This Row],[Score]]/Tableau6[[#This Row],[Nb]],0)</f>
        <v>0.69230769230769229</v>
      </c>
    </row>
    <row r="2094" spans="1:6" ht="30" customHeight="1" x14ac:dyDescent="0.3">
      <c r="A2094" s="26" t="s">
        <v>4687</v>
      </c>
      <c r="B2094" s="27" t="s">
        <v>83</v>
      </c>
      <c r="C2094" s="180">
        <v>44357</v>
      </c>
      <c r="D2094" s="28">
        <v>13</v>
      </c>
      <c r="E2094" s="49">
        <v>9</v>
      </c>
      <c r="F2094" s="211">
        <f>IFERROR(Tableau6[[#This Row],[Score]]/Tableau6[[#This Row],[Nb]],0)</f>
        <v>0.69230769230769229</v>
      </c>
    </row>
    <row r="2095" spans="1:6" ht="30" customHeight="1" x14ac:dyDescent="0.3">
      <c r="A2095" s="68" t="s">
        <v>5065</v>
      </c>
      <c r="B2095" s="69" t="s">
        <v>5066</v>
      </c>
      <c r="C2095" s="188">
        <v>44456</v>
      </c>
      <c r="D2095" s="70">
        <v>13</v>
      </c>
      <c r="E2095" s="70">
        <v>9</v>
      </c>
      <c r="F2095" s="211">
        <f>IFERROR(Tableau6[[#This Row],[Score]]/Tableau6[[#This Row],[Nb]],0)</f>
        <v>0.69230769230769229</v>
      </c>
    </row>
    <row r="2096" spans="1:6" ht="30" customHeight="1" x14ac:dyDescent="0.3">
      <c r="A2096" s="151" t="s">
        <v>5214</v>
      </c>
      <c r="B2096" s="152" t="s">
        <v>5436</v>
      </c>
      <c r="C2096" s="208">
        <v>44515</v>
      </c>
      <c r="D2096" s="154">
        <v>13</v>
      </c>
      <c r="E2096" s="154">
        <v>9</v>
      </c>
      <c r="F2096" s="211">
        <f>IFERROR(Tableau6[[#This Row],[Score]]/Tableau6[[#This Row],[Nb]],0)</f>
        <v>0.69230769230769229</v>
      </c>
    </row>
    <row r="2097" spans="1:6" ht="30" customHeight="1" x14ac:dyDescent="0.3">
      <c r="A2097" s="151" t="s">
        <v>5251</v>
      </c>
      <c r="B2097" s="152" t="s">
        <v>3547</v>
      </c>
      <c r="C2097" s="208">
        <v>44522</v>
      </c>
      <c r="D2097" s="154">
        <v>13</v>
      </c>
      <c r="E2097" s="154">
        <v>9</v>
      </c>
      <c r="F2097" s="211">
        <f>IFERROR(Tableau6[[#This Row],[Score]]/Tableau6[[#This Row],[Nb]],0)</f>
        <v>0.69230769230769229</v>
      </c>
    </row>
    <row r="2098" spans="1:6" ht="30" customHeight="1" x14ac:dyDescent="0.3">
      <c r="A2098" s="151" t="s">
        <v>5478</v>
      </c>
      <c r="B2098" s="152" t="s">
        <v>5477</v>
      </c>
      <c r="C2098" s="208">
        <v>44580</v>
      </c>
      <c r="D2098" s="154">
        <v>13</v>
      </c>
      <c r="E2098" s="154">
        <v>9</v>
      </c>
      <c r="F2098" s="211">
        <f>IFERROR(Tableau6[[#This Row],[Score]]/Tableau6[[#This Row],[Nb]],0)</f>
        <v>0.69230769230769229</v>
      </c>
    </row>
    <row r="2099" spans="1:6" ht="30" customHeight="1" x14ac:dyDescent="0.3">
      <c r="A2099" s="151" t="s">
        <v>5635</v>
      </c>
      <c r="B2099" s="152" t="s">
        <v>5634</v>
      </c>
      <c r="C2099" s="208">
        <v>44593</v>
      </c>
      <c r="D2099" s="154">
        <v>13</v>
      </c>
      <c r="E2099" s="154">
        <v>9</v>
      </c>
      <c r="F2099" s="211">
        <f>IFERROR(Tableau6[[#This Row],[Score]]/Tableau6[[#This Row],[Nb]],0)</f>
        <v>0.69230769230769229</v>
      </c>
    </row>
    <row r="2100" spans="1:6" ht="30" customHeight="1" x14ac:dyDescent="0.3">
      <c r="A2100" s="151" t="s">
        <v>6170</v>
      </c>
      <c r="B2100" s="152" t="s">
        <v>6171</v>
      </c>
      <c r="C2100" s="208">
        <v>44805</v>
      </c>
      <c r="D2100" s="154">
        <v>13</v>
      </c>
      <c r="E2100" s="154">
        <v>9</v>
      </c>
      <c r="F2100" s="211">
        <f>IFERROR(Tableau6[[#This Row],[Score]]/Tableau6[[#This Row],[Nb]],0)</f>
        <v>0.69230769230769229</v>
      </c>
    </row>
    <row r="2101" spans="1:6" ht="30" customHeight="1" x14ac:dyDescent="0.3">
      <c r="A2101" s="26" t="s">
        <v>431</v>
      </c>
      <c r="B2101" s="27" t="s">
        <v>432</v>
      </c>
      <c r="C2101" s="180">
        <v>40611</v>
      </c>
      <c r="D2101" s="28">
        <v>23</v>
      </c>
      <c r="E2101" s="49">
        <v>16</v>
      </c>
      <c r="F2101" s="211">
        <f>IFERROR(Tableau6[[#This Row],[Score]]/Tableau6[[#This Row],[Nb]],0)</f>
        <v>0.69565217391304346</v>
      </c>
    </row>
    <row r="2102" spans="1:6" ht="30" customHeight="1" x14ac:dyDescent="0.3">
      <c r="A2102" s="26" t="s">
        <v>3641</v>
      </c>
      <c r="B2102" s="27" t="s">
        <v>4700</v>
      </c>
      <c r="C2102" s="180">
        <v>41621</v>
      </c>
      <c r="D2102" s="28">
        <v>23</v>
      </c>
      <c r="E2102" s="49">
        <v>16</v>
      </c>
      <c r="F2102" s="211">
        <f>IFERROR(Tableau6[[#This Row],[Score]]/Tableau6[[#This Row],[Nb]],0)</f>
        <v>0.69565217391304346</v>
      </c>
    </row>
    <row r="2103" spans="1:6" ht="30" customHeight="1" x14ac:dyDescent="0.3">
      <c r="A2103" s="26" t="s">
        <v>948</v>
      </c>
      <c r="B2103" s="27" t="s">
        <v>2310</v>
      </c>
      <c r="C2103" s="180">
        <v>41621</v>
      </c>
      <c r="D2103" s="28">
        <v>23</v>
      </c>
      <c r="E2103" s="49">
        <v>16</v>
      </c>
      <c r="F2103" s="211">
        <f>IFERROR(Tableau6[[#This Row],[Score]]/Tableau6[[#This Row],[Nb]],0)</f>
        <v>0.69565217391304346</v>
      </c>
    </row>
    <row r="2104" spans="1:6" ht="30" customHeight="1" x14ac:dyDescent="0.3">
      <c r="A2104" s="26" t="s">
        <v>1131</v>
      </c>
      <c r="B2104" s="152" t="s">
        <v>5667</v>
      </c>
      <c r="C2104" s="180">
        <v>41621</v>
      </c>
      <c r="D2104" s="28">
        <v>23</v>
      </c>
      <c r="E2104" s="49">
        <v>16</v>
      </c>
      <c r="F2104" s="211">
        <f>IFERROR(Tableau6[[#This Row],[Score]]/Tableau6[[#This Row],[Nb]],0)</f>
        <v>0.69565217391304346</v>
      </c>
    </row>
    <row r="2105" spans="1:6" ht="30" customHeight="1" x14ac:dyDescent="0.3">
      <c r="A2105" s="26" t="s">
        <v>56</v>
      </c>
      <c r="B2105" s="27" t="s">
        <v>120</v>
      </c>
      <c r="C2105" s="180">
        <v>43341</v>
      </c>
      <c r="D2105" s="28">
        <v>23</v>
      </c>
      <c r="E2105" s="49">
        <v>16</v>
      </c>
      <c r="F2105" s="211">
        <f>IFERROR(Tableau6[[#This Row],[Score]]/Tableau6[[#This Row],[Nb]],0)</f>
        <v>0.69565217391304346</v>
      </c>
    </row>
    <row r="2106" spans="1:6" ht="30" customHeight="1" x14ac:dyDescent="0.3">
      <c r="A2106" s="26" t="s">
        <v>2397</v>
      </c>
      <c r="B2106" s="27" t="s">
        <v>2867</v>
      </c>
      <c r="C2106" s="180">
        <v>43383</v>
      </c>
      <c r="D2106" s="28">
        <v>23</v>
      </c>
      <c r="E2106" s="49">
        <v>16</v>
      </c>
      <c r="F2106" s="211">
        <f>IFERROR(Tableau6[[#This Row],[Score]]/Tableau6[[#This Row],[Nb]],0)</f>
        <v>0.69565217391304346</v>
      </c>
    </row>
    <row r="2107" spans="1:6" ht="30" customHeight="1" x14ac:dyDescent="0.3">
      <c r="A2107" s="26" t="s">
        <v>207</v>
      </c>
      <c r="B2107" s="27" t="s">
        <v>208</v>
      </c>
      <c r="C2107" s="180">
        <v>43401</v>
      </c>
      <c r="D2107" s="28">
        <v>23</v>
      </c>
      <c r="E2107" s="49">
        <v>16</v>
      </c>
      <c r="F2107" s="211">
        <f>IFERROR(Tableau6[[#This Row],[Score]]/Tableau6[[#This Row],[Nb]],0)</f>
        <v>0.69565217391304346</v>
      </c>
    </row>
    <row r="2108" spans="1:6" ht="30" customHeight="1" x14ac:dyDescent="0.3">
      <c r="A2108" s="26" t="s">
        <v>538</v>
      </c>
      <c r="B2108" s="27" t="s">
        <v>539</v>
      </c>
      <c r="C2108" s="180">
        <v>43408</v>
      </c>
      <c r="D2108" s="28">
        <v>23</v>
      </c>
      <c r="E2108" s="49">
        <v>16</v>
      </c>
      <c r="F2108" s="211">
        <f>IFERROR(Tableau6[[#This Row],[Score]]/Tableau6[[#This Row],[Nb]],0)</f>
        <v>0.69565217391304346</v>
      </c>
    </row>
    <row r="2109" spans="1:6" ht="30" customHeight="1" x14ac:dyDescent="0.3">
      <c r="A2109" s="26" t="s">
        <v>1100</v>
      </c>
      <c r="B2109" s="27" t="s">
        <v>1101</v>
      </c>
      <c r="C2109" s="180">
        <v>43415</v>
      </c>
      <c r="D2109" s="28">
        <v>23</v>
      </c>
      <c r="E2109" s="49">
        <v>16</v>
      </c>
      <c r="F2109" s="211">
        <f>IFERROR(Tableau6[[#This Row],[Score]]/Tableau6[[#This Row],[Nb]],0)</f>
        <v>0.69565217391304346</v>
      </c>
    </row>
    <row r="2110" spans="1:6" ht="30" customHeight="1" x14ac:dyDescent="0.3">
      <c r="A2110" s="26" t="s">
        <v>1273</v>
      </c>
      <c r="B2110" s="27" t="s">
        <v>4032</v>
      </c>
      <c r="C2110" s="180">
        <v>43425</v>
      </c>
      <c r="D2110" s="28">
        <v>23</v>
      </c>
      <c r="E2110" s="49">
        <v>16</v>
      </c>
      <c r="F2110" s="211">
        <f>IFERROR(Tableau6[[#This Row],[Score]]/Tableau6[[#This Row],[Nb]],0)</f>
        <v>0.69565217391304346</v>
      </c>
    </row>
    <row r="2111" spans="1:6" ht="30" customHeight="1" x14ac:dyDescent="0.3">
      <c r="A2111" s="151" t="s">
        <v>6406</v>
      </c>
      <c r="B2111" s="27" t="s">
        <v>1516</v>
      </c>
      <c r="C2111" s="180">
        <v>43472</v>
      </c>
      <c r="D2111" s="28">
        <v>23</v>
      </c>
      <c r="E2111" s="49">
        <v>16</v>
      </c>
      <c r="F2111" s="211">
        <f>IFERROR(Tableau6[[#This Row],[Score]]/Tableau6[[#This Row],[Nb]],0)</f>
        <v>0.69565217391304346</v>
      </c>
    </row>
    <row r="2112" spans="1:6" ht="30" customHeight="1" x14ac:dyDescent="0.3">
      <c r="A2112" s="26" t="s">
        <v>2026</v>
      </c>
      <c r="B2112" s="27" t="s">
        <v>2027</v>
      </c>
      <c r="C2112" s="180">
        <v>43605</v>
      </c>
      <c r="D2112" s="28">
        <v>23</v>
      </c>
      <c r="E2112" s="49">
        <v>16</v>
      </c>
      <c r="F2112" s="211">
        <f>IFERROR(Tableau6[[#This Row],[Score]]/Tableau6[[#This Row],[Nb]],0)</f>
        <v>0.69565217391304346</v>
      </c>
    </row>
    <row r="2113" spans="1:6" ht="30" customHeight="1" x14ac:dyDescent="0.3">
      <c r="A2113" s="26" t="s">
        <v>2813</v>
      </c>
      <c r="B2113" s="73" t="s">
        <v>5074</v>
      </c>
      <c r="C2113" s="180">
        <v>43771</v>
      </c>
      <c r="D2113" s="28">
        <v>23</v>
      </c>
      <c r="E2113" s="49">
        <v>16</v>
      </c>
      <c r="F2113" s="211">
        <f>IFERROR(Tableau6[[#This Row],[Score]]/Tableau6[[#This Row],[Nb]],0)</f>
        <v>0.69565217391304346</v>
      </c>
    </row>
    <row r="2114" spans="1:6" ht="30" customHeight="1" x14ac:dyDescent="0.3">
      <c r="A2114" s="26" t="s">
        <v>2899</v>
      </c>
      <c r="B2114" s="27" t="s">
        <v>2898</v>
      </c>
      <c r="C2114" s="180">
        <v>43969</v>
      </c>
      <c r="D2114" s="28">
        <v>23</v>
      </c>
      <c r="E2114" s="49">
        <v>16</v>
      </c>
      <c r="F2114" s="211">
        <f>IFERROR(Tableau6[[#This Row],[Score]]/Tableau6[[#This Row],[Nb]],0)</f>
        <v>0.69565217391304346</v>
      </c>
    </row>
    <row r="2115" spans="1:6" ht="30" customHeight="1" x14ac:dyDescent="0.3">
      <c r="A2115" s="26" t="s">
        <v>2932</v>
      </c>
      <c r="B2115" s="27" t="s">
        <v>2933</v>
      </c>
      <c r="C2115" s="180">
        <v>43977</v>
      </c>
      <c r="D2115" s="28">
        <v>23</v>
      </c>
      <c r="E2115" s="49">
        <v>16</v>
      </c>
      <c r="F2115" s="211">
        <f>IFERROR(Tableau6[[#This Row],[Score]]/Tableau6[[#This Row],[Nb]],0)</f>
        <v>0.69565217391304346</v>
      </c>
    </row>
    <row r="2116" spans="1:6" ht="30" customHeight="1" x14ac:dyDescent="0.3">
      <c r="A2116" s="26" t="s">
        <v>3100</v>
      </c>
      <c r="B2116" s="27" t="s">
        <v>3101</v>
      </c>
      <c r="C2116" s="180">
        <v>44004</v>
      </c>
      <c r="D2116" s="28">
        <v>23</v>
      </c>
      <c r="E2116" s="49">
        <v>16</v>
      </c>
      <c r="F2116" s="211">
        <f>IFERROR(Tableau6[[#This Row],[Score]]/Tableau6[[#This Row],[Nb]],0)</f>
        <v>0.69565217391304346</v>
      </c>
    </row>
    <row r="2117" spans="1:6" ht="30" customHeight="1" x14ac:dyDescent="0.3">
      <c r="A2117" s="26" t="s">
        <v>3031</v>
      </c>
      <c r="B2117" s="27" t="s">
        <v>3032</v>
      </c>
      <c r="C2117" s="180">
        <v>44004</v>
      </c>
      <c r="D2117" s="28">
        <v>23</v>
      </c>
      <c r="E2117" s="49">
        <v>16</v>
      </c>
      <c r="F2117" s="211">
        <f>IFERROR(Tableau6[[#This Row],[Score]]/Tableau6[[#This Row],[Nb]],0)</f>
        <v>0.69565217391304346</v>
      </c>
    </row>
    <row r="2118" spans="1:6" ht="30" customHeight="1" x14ac:dyDescent="0.3">
      <c r="A2118" s="26" t="s">
        <v>3129</v>
      </c>
      <c r="B2118" s="152" t="s">
        <v>5824</v>
      </c>
      <c r="C2118" s="180">
        <v>44014</v>
      </c>
      <c r="D2118" s="28">
        <v>23</v>
      </c>
      <c r="E2118" s="49">
        <v>16</v>
      </c>
      <c r="F2118" s="211">
        <f>IFERROR(Tableau6[[#This Row],[Score]]/Tableau6[[#This Row],[Nb]],0)</f>
        <v>0.69565217391304346</v>
      </c>
    </row>
    <row r="2119" spans="1:6" ht="30" customHeight="1" x14ac:dyDescent="0.3">
      <c r="A2119" s="26" t="s">
        <v>3244</v>
      </c>
      <c r="B2119" s="27" t="s">
        <v>3243</v>
      </c>
      <c r="C2119" s="180">
        <v>44026</v>
      </c>
      <c r="D2119" s="28">
        <v>23</v>
      </c>
      <c r="E2119" s="49">
        <v>16</v>
      </c>
      <c r="F2119" s="211">
        <f>IFERROR(Tableau6[[#This Row],[Score]]/Tableau6[[#This Row],[Nb]],0)</f>
        <v>0.69565217391304346</v>
      </c>
    </row>
    <row r="2120" spans="1:6" ht="30" customHeight="1" x14ac:dyDescent="0.3">
      <c r="A2120" s="26" t="s">
        <v>3546</v>
      </c>
      <c r="B2120" s="27" t="s">
        <v>3547</v>
      </c>
      <c r="C2120" s="180">
        <v>44235</v>
      </c>
      <c r="D2120" s="28">
        <v>23</v>
      </c>
      <c r="E2120" s="49">
        <v>16</v>
      </c>
      <c r="F2120" s="211">
        <f>IFERROR(Tableau6[[#This Row],[Score]]/Tableau6[[#This Row],[Nb]],0)</f>
        <v>0.69565217391304346</v>
      </c>
    </row>
    <row r="2121" spans="1:6" ht="30" customHeight="1" x14ac:dyDescent="0.3">
      <c r="A2121" s="26" t="s">
        <v>4645</v>
      </c>
      <c r="B2121" s="27" t="s">
        <v>3745</v>
      </c>
      <c r="C2121" s="180">
        <v>44249</v>
      </c>
      <c r="D2121" s="28">
        <v>23</v>
      </c>
      <c r="E2121" s="49">
        <v>16</v>
      </c>
      <c r="F2121" s="211">
        <f>IFERROR(Tableau6[[#This Row],[Score]]/Tableau6[[#This Row],[Nb]],0)</f>
        <v>0.69565217391304346</v>
      </c>
    </row>
    <row r="2122" spans="1:6" ht="30" customHeight="1" x14ac:dyDescent="0.3">
      <c r="A2122" s="26" t="s">
        <v>3739</v>
      </c>
      <c r="B2122" s="27" t="s">
        <v>3740</v>
      </c>
      <c r="C2122" s="180">
        <v>44249</v>
      </c>
      <c r="D2122" s="28">
        <v>23</v>
      </c>
      <c r="E2122" s="49">
        <v>16</v>
      </c>
      <c r="F2122" s="211">
        <f>IFERROR(Tableau6[[#This Row],[Score]]/Tableau6[[#This Row],[Nb]],0)</f>
        <v>0.69565217391304346</v>
      </c>
    </row>
    <row r="2123" spans="1:6" ht="30" customHeight="1" x14ac:dyDescent="0.3">
      <c r="A2123" s="26" t="s">
        <v>3865</v>
      </c>
      <c r="B2123" s="27" t="s">
        <v>3866</v>
      </c>
      <c r="C2123" s="180">
        <v>44257</v>
      </c>
      <c r="D2123" s="28">
        <v>23</v>
      </c>
      <c r="E2123" s="49">
        <v>16</v>
      </c>
      <c r="F2123" s="211">
        <f>IFERROR(Tableau6[[#This Row],[Score]]/Tableau6[[#This Row],[Nb]],0)</f>
        <v>0.69565217391304346</v>
      </c>
    </row>
    <row r="2124" spans="1:6" ht="30" customHeight="1" x14ac:dyDescent="0.3">
      <c r="A2124" s="26" t="s">
        <v>3975</v>
      </c>
      <c r="B2124" s="27" t="s">
        <v>3976</v>
      </c>
      <c r="C2124" s="180">
        <v>44262</v>
      </c>
      <c r="D2124" s="28">
        <v>23</v>
      </c>
      <c r="E2124" s="49">
        <v>16</v>
      </c>
      <c r="F2124" s="211">
        <f>IFERROR(Tableau6[[#This Row],[Score]]/Tableau6[[#This Row],[Nb]],0)</f>
        <v>0.69565217391304346</v>
      </c>
    </row>
    <row r="2125" spans="1:6" ht="30" customHeight="1" x14ac:dyDescent="0.3">
      <c r="A2125" s="26" t="s">
        <v>4408</v>
      </c>
      <c r="B2125" s="27" t="s">
        <v>4409</v>
      </c>
      <c r="C2125" s="180">
        <v>44299</v>
      </c>
      <c r="D2125" s="28">
        <v>23</v>
      </c>
      <c r="E2125" s="49">
        <v>16</v>
      </c>
      <c r="F2125" s="211">
        <f>IFERROR(Tableau6[[#This Row],[Score]]/Tableau6[[#This Row],[Nb]],0)</f>
        <v>0.69565217391304346</v>
      </c>
    </row>
    <row r="2126" spans="1:6" ht="30" customHeight="1" x14ac:dyDescent="0.3">
      <c r="A2126" s="26" t="s">
        <v>3112</v>
      </c>
      <c r="B2126" s="27" t="s">
        <v>3113</v>
      </c>
      <c r="C2126" s="180">
        <v>41522</v>
      </c>
      <c r="D2126" s="28">
        <v>30</v>
      </c>
      <c r="E2126" s="49">
        <v>21</v>
      </c>
      <c r="F2126" s="211">
        <f>IFERROR(Tableau6[[#This Row],[Score]]/Tableau6[[#This Row],[Nb]],0)</f>
        <v>0.7</v>
      </c>
    </row>
    <row r="2127" spans="1:6" ht="30" customHeight="1" x14ac:dyDescent="0.3">
      <c r="A2127" s="26" t="s">
        <v>3413</v>
      </c>
      <c r="B2127" s="27" t="s">
        <v>3414</v>
      </c>
      <c r="C2127" s="180">
        <v>41621</v>
      </c>
      <c r="D2127" s="28">
        <v>20</v>
      </c>
      <c r="E2127" s="49">
        <v>14</v>
      </c>
      <c r="F2127" s="211">
        <f>IFERROR(Tableau6[[#This Row],[Score]]/Tableau6[[#This Row],[Nb]],0)</f>
        <v>0.7</v>
      </c>
    </row>
    <row r="2128" spans="1:6" ht="30" customHeight="1" x14ac:dyDescent="0.3">
      <c r="A2128" s="26" t="s">
        <v>889</v>
      </c>
      <c r="B2128" s="27" t="s">
        <v>784</v>
      </c>
      <c r="C2128" s="180">
        <v>41621</v>
      </c>
      <c r="D2128" s="28">
        <v>20</v>
      </c>
      <c r="E2128" s="49">
        <v>14</v>
      </c>
      <c r="F2128" s="211">
        <f>IFERROR(Tableau6[[#This Row],[Score]]/Tableau6[[#This Row],[Nb]],0)</f>
        <v>0.7</v>
      </c>
    </row>
    <row r="2129" spans="1:6" ht="30" customHeight="1" x14ac:dyDescent="0.3">
      <c r="A2129" s="26" t="s">
        <v>4444</v>
      </c>
      <c r="B2129" s="27" t="s">
        <v>4445</v>
      </c>
      <c r="C2129" s="180">
        <v>41621</v>
      </c>
      <c r="D2129" s="28">
        <v>20</v>
      </c>
      <c r="E2129" s="49">
        <v>14</v>
      </c>
      <c r="F2129" s="211">
        <f>IFERROR(Tableau6[[#This Row],[Score]]/Tableau6[[#This Row],[Nb]],0)</f>
        <v>0.7</v>
      </c>
    </row>
    <row r="2130" spans="1:6" ht="30" customHeight="1" x14ac:dyDescent="0.3">
      <c r="A2130" s="26" t="s">
        <v>3508</v>
      </c>
      <c r="B2130" s="27" t="s">
        <v>3509</v>
      </c>
      <c r="C2130" s="180">
        <v>41621</v>
      </c>
      <c r="D2130" s="28">
        <v>20</v>
      </c>
      <c r="E2130" s="49">
        <v>14</v>
      </c>
      <c r="F2130" s="211">
        <f>IFERROR(Tableau6[[#This Row],[Score]]/Tableau6[[#This Row],[Nb]],0)</f>
        <v>0.7</v>
      </c>
    </row>
    <row r="2131" spans="1:6" ht="30" customHeight="1" x14ac:dyDescent="0.3">
      <c r="A2131" s="26" t="s">
        <v>3805</v>
      </c>
      <c r="B2131" s="27" t="s">
        <v>3806</v>
      </c>
      <c r="C2131" s="180">
        <v>43237</v>
      </c>
      <c r="D2131" s="28">
        <v>20</v>
      </c>
      <c r="E2131" s="49">
        <v>14</v>
      </c>
      <c r="F2131" s="211">
        <f>IFERROR(Tableau6[[#This Row],[Score]]/Tableau6[[#This Row],[Nb]],0)</f>
        <v>0.7</v>
      </c>
    </row>
    <row r="2132" spans="1:6" ht="30" customHeight="1" x14ac:dyDescent="0.3">
      <c r="A2132" s="26" t="s">
        <v>14</v>
      </c>
      <c r="B2132" s="27" t="s">
        <v>15</v>
      </c>
      <c r="C2132" s="180">
        <v>43247</v>
      </c>
      <c r="D2132" s="28">
        <v>20</v>
      </c>
      <c r="E2132" s="49">
        <v>14</v>
      </c>
      <c r="F2132" s="211">
        <f>IFERROR(Tableau6[[#This Row],[Score]]/Tableau6[[#This Row],[Nb]],0)</f>
        <v>0.7</v>
      </c>
    </row>
    <row r="2133" spans="1:6" ht="30" customHeight="1" x14ac:dyDescent="0.3">
      <c r="A2133" s="26" t="s">
        <v>33</v>
      </c>
      <c r="B2133" s="27" t="s">
        <v>34</v>
      </c>
      <c r="C2133" s="180">
        <v>43290</v>
      </c>
      <c r="D2133" s="28">
        <v>20</v>
      </c>
      <c r="E2133" s="49">
        <v>14</v>
      </c>
      <c r="F2133" s="211">
        <f>IFERROR(Tableau6[[#This Row],[Score]]/Tableau6[[#This Row],[Nb]],0)</f>
        <v>0.7</v>
      </c>
    </row>
    <row r="2134" spans="1:6" ht="30" customHeight="1" x14ac:dyDescent="0.3">
      <c r="A2134" s="26" t="s">
        <v>74</v>
      </c>
      <c r="B2134" s="27" t="s">
        <v>75</v>
      </c>
      <c r="C2134" s="180">
        <v>43329</v>
      </c>
      <c r="D2134" s="28">
        <v>20</v>
      </c>
      <c r="E2134" s="49">
        <v>14</v>
      </c>
      <c r="F2134" s="211">
        <f>IFERROR(Tableau6[[#This Row],[Score]]/Tableau6[[#This Row],[Nb]],0)</f>
        <v>0.7</v>
      </c>
    </row>
    <row r="2135" spans="1:6" ht="30" customHeight="1" x14ac:dyDescent="0.3">
      <c r="A2135" s="26" t="s">
        <v>1509</v>
      </c>
      <c r="B2135" s="27" t="s">
        <v>1510</v>
      </c>
      <c r="C2135" s="180">
        <v>43472</v>
      </c>
      <c r="D2135" s="28">
        <v>20</v>
      </c>
      <c r="E2135" s="49">
        <v>14</v>
      </c>
      <c r="F2135" s="211">
        <f>IFERROR(Tableau6[[#This Row],[Score]]/Tableau6[[#This Row],[Nb]],0)</f>
        <v>0.7</v>
      </c>
    </row>
    <row r="2136" spans="1:6" ht="30" customHeight="1" x14ac:dyDescent="0.3">
      <c r="A2136" s="26" t="s">
        <v>1585</v>
      </c>
      <c r="B2136" s="27" t="s">
        <v>1586</v>
      </c>
      <c r="C2136" s="180">
        <v>43493</v>
      </c>
      <c r="D2136" s="28">
        <v>20</v>
      </c>
      <c r="E2136" s="49">
        <v>14</v>
      </c>
      <c r="F2136" s="211">
        <f>IFERROR(Tableau6[[#This Row],[Score]]/Tableau6[[#This Row],[Nb]],0)</f>
        <v>0.7</v>
      </c>
    </row>
    <row r="2137" spans="1:6" ht="30" customHeight="1" x14ac:dyDescent="0.3">
      <c r="A2137" s="26" t="s">
        <v>1694</v>
      </c>
      <c r="B2137" s="27" t="s">
        <v>1686</v>
      </c>
      <c r="C2137" s="180">
        <v>43548</v>
      </c>
      <c r="D2137" s="28">
        <v>30</v>
      </c>
      <c r="E2137" s="49">
        <v>21</v>
      </c>
      <c r="F2137" s="211">
        <f>IFERROR(Tableau6[[#This Row],[Score]]/Tableau6[[#This Row],[Nb]],0)</f>
        <v>0.7</v>
      </c>
    </row>
    <row r="2138" spans="1:6" ht="30" customHeight="1" x14ac:dyDescent="0.3">
      <c r="A2138" s="26" t="s">
        <v>1989</v>
      </c>
      <c r="B2138" s="27" t="s">
        <v>1990</v>
      </c>
      <c r="C2138" s="180">
        <v>43605</v>
      </c>
      <c r="D2138" s="28">
        <v>20</v>
      </c>
      <c r="E2138" s="49">
        <v>14</v>
      </c>
      <c r="F2138" s="211">
        <f>IFERROR(Tableau6[[#This Row],[Score]]/Tableau6[[#This Row],[Nb]],0)</f>
        <v>0.7</v>
      </c>
    </row>
    <row r="2139" spans="1:6" ht="30" customHeight="1" x14ac:dyDescent="0.3">
      <c r="A2139" s="26" t="s">
        <v>2215</v>
      </c>
      <c r="B2139" s="27" t="s">
        <v>2216</v>
      </c>
      <c r="C2139" s="180">
        <v>43752</v>
      </c>
      <c r="D2139" s="28">
        <v>20</v>
      </c>
      <c r="E2139" s="49">
        <v>14</v>
      </c>
      <c r="F2139" s="211">
        <f>IFERROR(Tableau6[[#This Row],[Score]]/Tableau6[[#This Row],[Nb]],0)</f>
        <v>0.7</v>
      </c>
    </row>
    <row r="2140" spans="1:6" ht="30" customHeight="1" x14ac:dyDescent="0.3">
      <c r="A2140" s="26" t="s">
        <v>2321</v>
      </c>
      <c r="B2140" s="27" t="s">
        <v>2322</v>
      </c>
      <c r="C2140" s="180">
        <v>43770</v>
      </c>
      <c r="D2140" s="28">
        <v>20</v>
      </c>
      <c r="E2140" s="49">
        <v>14</v>
      </c>
      <c r="F2140" s="211">
        <f>IFERROR(Tableau6[[#This Row],[Score]]/Tableau6[[#This Row],[Nb]],0)</f>
        <v>0.7</v>
      </c>
    </row>
    <row r="2141" spans="1:6" ht="30" customHeight="1" x14ac:dyDescent="0.3">
      <c r="A2141" s="26" t="s">
        <v>3851</v>
      </c>
      <c r="B2141" s="27" t="s">
        <v>2520</v>
      </c>
      <c r="C2141" s="180">
        <v>43815</v>
      </c>
      <c r="D2141" s="28">
        <v>20</v>
      </c>
      <c r="E2141" s="49">
        <v>14</v>
      </c>
      <c r="F2141" s="211">
        <f>IFERROR(Tableau6[[#This Row],[Score]]/Tableau6[[#This Row],[Nb]],0)</f>
        <v>0.7</v>
      </c>
    </row>
    <row r="2142" spans="1:6" ht="30" customHeight="1" x14ac:dyDescent="0.3">
      <c r="A2142" s="26" t="s">
        <v>2772</v>
      </c>
      <c r="B2142" s="27" t="s">
        <v>2773</v>
      </c>
      <c r="C2142" s="180">
        <v>43900</v>
      </c>
      <c r="D2142" s="28">
        <v>20</v>
      </c>
      <c r="E2142" s="49">
        <v>14</v>
      </c>
      <c r="F2142" s="211">
        <f>IFERROR(Tableau6[[#This Row],[Score]]/Tableau6[[#This Row],[Nb]],0)</f>
        <v>0.7</v>
      </c>
    </row>
    <row r="2143" spans="1:6" ht="30" customHeight="1" x14ac:dyDescent="0.3">
      <c r="A2143" s="26" t="s">
        <v>2938</v>
      </c>
      <c r="B2143" s="27" t="s">
        <v>4012</v>
      </c>
      <c r="C2143" s="180">
        <v>43984</v>
      </c>
      <c r="D2143" s="28">
        <v>20</v>
      </c>
      <c r="E2143" s="49">
        <v>14</v>
      </c>
      <c r="F2143" s="211">
        <f>IFERROR(Tableau6[[#This Row],[Score]]/Tableau6[[#This Row],[Nb]],0)</f>
        <v>0.7</v>
      </c>
    </row>
    <row r="2144" spans="1:6" ht="30" customHeight="1" x14ac:dyDescent="0.3">
      <c r="A2144" s="26" t="s">
        <v>3540</v>
      </c>
      <c r="B2144" s="27" t="s">
        <v>3541</v>
      </c>
      <c r="C2144" s="180">
        <v>44232</v>
      </c>
      <c r="D2144" s="28">
        <v>20</v>
      </c>
      <c r="E2144" s="49">
        <v>14</v>
      </c>
      <c r="F2144" s="211">
        <f>IFERROR(Tableau6[[#This Row],[Score]]/Tableau6[[#This Row],[Nb]],0)</f>
        <v>0.7</v>
      </c>
    </row>
    <row r="2145" spans="1:6" ht="30" customHeight="1" x14ac:dyDescent="0.3">
      <c r="A2145" s="26" t="s">
        <v>4111</v>
      </c>
      <c r="B2145" s="27" t="s">
        <v>4112</v>
      </c>
      <c r="C2145" s="180">
        <v>44269</v>
      </c>
      <c r="D2145" s="28">
        <v>20</v>
      </c>
      <c r="E2145" s="49">
        <v>14</v>
      </c>
      <c r="F2145" s="211">
        <f>IFERROR(Tableau6[[#This Row],[Score]]/Tableau6[[#This Row],[Nb]],0)</f>
        <v>0.7</v>
      </c>
    </row>
    <row r="2146" spans="1:6" ht="30" customHeight="1" x14ac:dyDescent="0.3">
      <c r="A2146" s="26" t="s">
        <v>4187</v>
      </c>
      <c r="B2146" s="27" t="s">
        <v>4188</v>
      </c>
      <c r="C2146" s="180">
        <v>44276</v>
      </c>
      <c r="D2146" s="28">
        <v>20</v>
      </c>
      <c r="E2146" s="49">
        <v>14</v>
      </c>
      <c r="F2146" s="211">
        <f>IFERROR(Tableau6[[#This Row],[Score]]/Tableau6[[#This Row],[Nb]],0)</f>
        <v>0.7</v>
      </c>
    </row>
    <row r="2147" spans="1:6" ht="30" customHeight="1" x14ac:dyDescent="0.3">
      <c r="A2147" s="26" t="s">
        <v>4297</v>
      </c>
      <c r="B2147" s="27" t="s">
        <v>4298</v>
      </c>
      <c r="C2147" s="180">
        <v>44283</v>
      </c>
      <c r="D2147" s="28">
        <v>20</v>
      </c>
      <c r="E2147" s="49">
        <v>14</v>
      </c>
      <c r="F2147" s="211">
        <f>IFERROR(Tableau6[[#This Row],[Score]]/Tableau6[[#This Row],[Nb]],0)</f>
        <v>0.7</v>
      </c>
    </row>
    <row r="2148" spans="1:6" ht="30" customHeight="1" x14ac:dyDescent="0.3">
      <c r="A2148" s="26" t="s">
        <v>4796</v>
      </c>
      <c r="B2148" s="27" t="s">
        <v>4797</v>
      </c>
      <c r="C2148" s="180">
        <v>44382</v>
      </c>
      <c r="D2148" s="28">
        <v>20</v>
      </c>
      <c r="E2148" s="49">
        <v>14</v>
      </c>
      <c r="F2148" s="211">
        <f>IFERROR(Tableau6[[#This Row],[Score]]/Tableau6[[#This Row],[Nb]],0)</f>
        <v>0.7</v>
      </c>
    </row>
    <row r="2149" spans="1:6" ht="30" customHeight="1" x14ac:dyDescent="0.3">
      <c r="A2149" s="26" t="s">
        <v>4988</v>
      </c>
      <c r="B2149" s="27" t="s">
        <v>4989</v>
      </c>
      <c r="C2149" s="180">
        <v>44434</v>
      </c>
      <c r="D2149" s="28">
        <v>20</v>
      </c>
      <c r="E2149" s="49">
        <v>14</v>
      </c>
      <c r="F2149" s="211">
        <f>IFERROR(Tableau6[[#This Row],[Score]]/Tableau6[[#This Row],[Nb]],0)</f>
        <v>0.7</v>
      </c>
    </row>
    <row r="2150" spans="1:6" ht="30" customHeight="1" x14ac:dyDescent="0.3">
      <c r="A2150" s="26" t="s">
        <v>444</v>
      </c>
      <c r="B2150" s="27" t="s">
        <v>445</v>
      </c>
      <c r="C2150" s="180">
        <v>40611</v>
      </c>
      <c r="D2150" s="28">
        <v>27</v>
      </c>
      <c r="E2150" s="49">
        <v>19</v>
      </c>
      <c r="F2150" s="211">
        <f>IFERROR(Tableau6[[#This Row],[Score]]/Tableau6[[#This Row],[Nb]],0)</f>
        <v>0.70370370370370372</v>
      </c>
    </row>
    <row r="2151" spans="1:6" ht="30" customHeight="1" x14ac:dyDescent="0.3">
      <c r="A2151" s="26" t="s">
        <v>911</v>
      </c>
      <c r="B2151" s="27" t="s">
        <v>820</v>
      </c>
      <c r="C2151" s="180">
        <v>41522</v>
      </c>
      <c r="D2151" s="28">
        <v>27</v>
      </c>
      <c r="E2151" s="49">
        <v>19</v>
      </c>
      <c r="F2151" s="211">
        <f>IFERROR(Tableau6[[#This Row],[Score]]/Tableau6[[#This Row],[Nb]],0)</f>
        <v>0.70370370370370372</v>
      </c>
    </row>
    <row r="2152" spans="1:6" ht="30" customHeight="1" x14ac:dyDescent="0.3">
      <c r="A2152" s="26" t="s">
        <v>4014</v>
      </c>
      <c r="B2152" s="27" t="s">
        <v>4015</v>
      </c>
      <c r="C2152" s="180">
        <v>41621</v>
      </c>
      <c r="D2152" s="28">
        <v>27</v>
      </c>
      <c r="E2152" s="49">
        <v>19</v>
      </c>
      <c r="F2152" s="211">
        <f>IFERROR(Tableau6[[#This Row],[Score]]/Tableau6[[#This Row],[Nb]],0)</f>
        <v>0.70370370370370372</v>
      </c>
    </row>
    <row r="2153" spans="1:6" ht="30" customHeight="1" x14ac:dyDescent="0.3">
      <c r="A2153" s="26" t="s">
        <v>1025</v>
      </c>
      <c r="B2153" s="27" t="s">
        <v>632</v>
      </c>
      <c r="C2153" s="180">
        <v>41621</v>
      </c>
      <c r="D2153" s="28">
        <v>27</v>
      </c>
      <c r="E2153" s="49">
        <v>19</v>
      </c>
      <c r="F2153" s="211">
        <f>IFERROR(Tableau6[[#This Row],[Score]]/Tableau6[[#This Row],[Nb]],0)</f>
        <v>0.70370370370370372</v>
      </c>
    </row>
    <row r="2154" spans="1:6" ht="30" customHeight="1" x14ac:dyDescent="0.3">
      <c r="A2154" s="26" t="s">
        <v>3277</v>
      </c>
      <c r="B2154" s="27" t="s">
        <v>3278</v>
      </c>
      <c r="C2154" s="180">
        <v>41621</v>
      </c>
      <c r="D2154" s="28">
        <v>27</v>
      </c>
      <c r="E2154" s="49">
        <v>19</v>
      </c>
      <c r="F2154" s="211">
        <f>IFERROR(Tableau6[[#This Row],[Score]]/Tableau6[[#This Row],[Nb]],0)</f>
        <v>0.70370370370370372</v>
      </c>
    </row>
    <row r="2155" spans="1:6" ht="30" customHeight="1" x14ac:dyDescent="0.3">
      <c r="A2155" s="26" t="s">
        <v>3588</v>
      </c>
      <c r="B2155" s="152" t="s">
        <v>5137</v>
      </c>
      <c r="C2155" s="180">
        <v>41621</v>
      </c>
      <c r="D2155" s="28">
        <v>27</v>
      </c>
      <c r="E2155" s="49">
        <v>19</v>
      </c>
      <c r="F2155" s="211">
        <f>IFERROR(Tableau6[[#This Row],[Score]]/Tableau6[[#This Row],[Nb]],0)</f>
        <v>0.70370370370370372</v>
      </c>
    </row>
    <row r="2156" spans="1:6" ht="30" customHeight="1" x14ac:dyDescent="0.3">
      <c r="A2156" s="26" t="s">
        <v>4210</v>
      </c>
      <c r="B2156" s="27" t="s">
        <v>3410</v>
      </c>
      <c r="C2156" s="180">
        <v>43237</v>
      </c>
      <c r="D2156" s="28">
        <v>27</v>
      </c>
      <c r="E2156" s="49">
        <v>19</v>
      </c>
      <c r="F2156" s="211">
        <f>IFERROR(Tableau6[[#This Row],[Score]]/Tableau6[[#This Row],[Nb]],0)</f>
        <v>0.70370370370370372</v>
      </c>
    </row>
    <row r="2157" spans="1:6" ht="30" customHeight="1" x14ac:dyDescent="0.3">
      <c r="A2157" s="26" t="s">
        <v>99</v>
      </c>
      <c r="B2157" s="27" t="s">
        <v>100</v>
      </c>
      <c r="C2157" s="180">
        <v>43341</v>
      </c>
      <c r="D2157" s="28">
        <v>27</v>
      </c>
      <c r="E2157" s="49">
        <v>19</v>
      </c>
      <c r="F2157" s="211">
        <f>IFERROR(Tableau6[[#This Row],[Score]]/Tableau6[[#This Row],[Nb]],0)</f>
        <v>0.70370370370370372</v>
      </c>
    </row>
    <row r="2158" spans="1:6" ht="30" customHeight="1" x14ac:dyDescent="0.3">
      <c r="A2158" s="26" t="s">
        <v>608</v>
      </c>
      <c r="B2158" s="27" t="s">
        <v>2074</v>
      </c>
      <c r="C2158" s="180">
        <v>43403</v>
      </c>
      <c r="D2158" s="28">
        <v>27</v>
      </c>
      <c r="E2158" s="49">
        <v>19</v>
      </c>
      <c r="F2158" s="211">
        <f>IFERROR(Tableau6[[#This Row],[Score]]/Tableau6[[#This Row],[Nb]],0)</f>
        <v>0.70370370370370372</v>
      </c>
    </row>
    <row r="2159" spans="1:6" ht="30" customHeight="1" x14ac:dyDescent="0.3">
      <c r="A2159" s="26" t="s">
        <v>1525</v>
      </c>
      <c r="B2159" s="27" t="s">
        <v>1524</v>
      </c>
      <c r="C2159" s="180">
        <v>43472</v>
      </c>
      <c r="D2159" s="28">
        <v>27</v>
      </c>
      <c r="E2159" s="49">
        <v>19</v>
      </c>
      <c r="F2159" s="211">
        <f>IFERROR(Tableau6[[#This Row],[Score]]/Tableau6[[#This Row],[Nb]],0)</f>
        <v>0.70370370370370372</v>
      </c>
    </row>
    <row r="2160" spans="1:6" ht="30" customHeight="1" x14ac:dyDescent="0.3">
      <c r="A2160" s="26" t="s">
        <v>2934</v>
      </c>
      <c r="B2160" s="27" t="s">
        <v>2935</v>
      </c>
      <c r="C2160" s="180">
        <v>43984</v>
      </c>
      <c r="D2160" s="28">
        <v>27</v>
      </c>
      <c r="E2160" s="49">
        <v>19</v>
      </c>
      <c r="F2160" s="211">
        <f>IFERROR(Tableau6[[#This Row],[Score]]/Tableau6[[#This Row],[Nb]],0)</f>
        <v>0.70370370370370372</v>
      </c>
    </row>
    <row r="2161" spans="1:6" ht="30" customHeight="1" x14ac:dyDescent="0.3">
      <c r="A2161" s="26" t="s">
        <v>3224</v>
      </c>
      <c r="B2161" s="27" t="s">
        <v>3225</v>
      </c>
      <c r="C2161" s="180">
        <v>44026</v>
      </c>
      <c r="D2161" s="28">
        <v>27</v>
      </c>
      <c r="E2161" s="49">
        <v>19</v>
      </c>
      <c r="F2161" s="211">
        <f>IFERROR(Tableau6[[#This Row],[Score]]/Tableau6[[#This Row],[Nb]],0)</f>
        <v>0.70370370370370372</v>
      </c>
    </row>
    <row r="2162" spans="1:6" ht="30" customHeight="1" x14ac:dyDescent="0.3">
      <c r="A2162" s="26" t="s">
        <v>485</v>
      </c>
      <c r="B2162" s="27" t="s">
        <v>486</v>
      </c>
      <c r="C2162" s="180">
        <v>40611</v>
      </c>
      <c r="D2162" s="28">
        <v>17</v>
      </c>
      <c r="E2162" s="49">
        <v>12</v>
      </c>
      <c r="F2162" s="211">
        <f>IFERROR(Tableau6[[#This Row],[Score]]/Tableau6[[#This Row],[Nb]],0)</f>
        <v>0.70588235294117652</v>
      </c>
    </row>
    <row r="2163" spans="1:6" ht="30" customHeight="1" x14ac:dyDescent="0.3">
      <c r="A2163" s="26" t="s">
        <v>283</v>
      </c>
      <c r="B2163" s="27" t="s">
        <v>3295</v>
      </c>
      <c r="C2163" s="180">
        <v>40611</v>
      </c>
      <c r="D2163" s="28">
        <v>17</v>
      </c>
      <c r="E2163" s="49">
        <v>12</v>
      </c>
      <c r="F2163" s="211">
        <f>IFERROR(Tableau6[[#This Row],[Score]]/Tableau6[[#This Row],[Nb]],0)</f>
        <v>0.70588235294117652</v>
      </c>
    </row>
    <row r="2164" spans="1:6" ht="30" customHeight="1" x14ac:dyDescent="0.3">
      <c r="A2164" s="26" t="s">
        <v>491</v>
      </c>
      <c r="B2164" s="27" t="s">
        <v>4889</v>
      </c>
      <c r="C2164" s="180">
        <v>40611</v>
      </c>
      <c r="D2164" s="28">
        <v>34</v>
      </c>
      <c r="E2164" s="49">
        <v>24</v>
      </c>
      <c r="F2164" s="211">
        <f>IFERROR(Tableau6[[#This Row],[Score]]/Tableau6[[#This Row],[Nb]],0)</f>
        <v>0.70588235294117652</v>
      </c>
    </row>
    <row r="2165" spans="1:6" ht="30" customHeight="1" x14ac:dyDescent="0.3">
      <c r="A2165" s="26" t="s">
        <v>3816</v>
      </c>
      <c r="B2165" s="27" t="s">
        <v>3817</v>
      </c>
      <c r="C2165" s="180">
        <v>41621</v>
      </c>
      <c r="D2165" s="28">
        <v>17</v>
      </c>
      <c r="E2165" s="49">
        <v>12</v>
      </c>
      <c r="F2165" s="211">
        <f>IFERROR(Tableau6[[#This Row],[Score]]/Tableau6[[#This Row],[Nb]],0)</f>
        <v>0.70588235294117652</v>
      </c>
    </row>
    <row r="2166" spans="1:6" ht="30" customHeight="1" x14ac:dyDescent="0.3">
      <c r="A2166" s="26" t="s">
        <v>190</v>
      </c>
      <c r="B2166" s="152" t="s">
        <v>5169</v>
      </c>
      <c r="C2166" s="180">
        <v>41621</v>
      </c>
      <c r="D2166" s="28">
        <v>17</v>
      </c>
      <c r="E2166" s="49">
        <v>12</v>
      </c>
      <c r="F2166" s="211">
        <f>IFERROR(Tableau6[[#This Row],[Score]]/Tableau6[[#This Row],[Nb]],0)</f>
        <v>0.70588235294117652</v>
      </c>
    </row>
    <row r="2167" spans="1:6" ht="30" customHeight="1" x14ac:dyDescent="0.3">
      <c r="A2167" s="26" t="s">
        <v>763</v>
      </c>
      <c r="B2167" s="27" t="s">
        <v>4709</v>
      </c>
      <c r="C2167" s="180">
        <v>41621</v>
      </c>
      <c r="D2167" s="28">
        <v>17</v>
      </c>
      <c r="E2167" s="49">
        <v>12</v>
      </c>
      <c r="F2167" s="211">
        <f>IFERROR(Tableau6[[#This Row],[Score]]/Tableau6[[#This Row],[Nb]],0)</f>
        <v>0.70588235294117652</v>
      </c>
    </row>
    <row r="2168" spans="1:6" ht="30" customHeight="1" x14ac:dyDescent="0.3">
      <c r="A2168" s="26" t="s">
        <v>4581</v>
      </c>
      <c r="B2168" s="152" t="s">
        <v>6296</v>
      </c>
      <c r="C2168" s="180">
        <v>41621</v>
      </c>
      <c r="D2168" s="28">
        <v>17</v>
      </c>
      <c r="E2168" s="49">
        <v>12</v>
      </c>
      <c r="F2168" s="211">
        <f>IFERROR(Tableau6[[#This Row],[Score]]/Tableau6[[#This Row],[Nb]],0)</f>
        <v>0.70588235294117652</v>
      </c>
    </row>
    <row r="2169" spans="1:6" ht="30" customHeight="1" x14ac:dyDescent="0.3">
      <c r="A2169" s="26" t="s">
        <v>44</v>
      </c>
      <c r="B2169" s="27" t="s">
        <v>45</v>
      </c>
      <c r="C2169" s="180">
        <v>43296</v>
      </c>
      <c r="D2169" s="28">
        <v>17</v>
      </c>
      <c r="E2169" s="49">
        <v>12</v>
      </c>
      <c r="F2169" s="211">
        <f>IFERROR(Tableau6[[#This Row],[Score]]/Tableau6[[#This Row],[Nb]],0)</f>
        <v>0.70588235294117652</v>
      </c>
    </row>
    <row r="2170" spans="1:6" ht="30" customHeight="1" x14ac:dyDescent="0.3">
      <c r="A2170" s="26" t="s">
        <v>4633</v>
      </c>
      <c r="B2170" s="27" t="s">
        <v>4632</v>
      </c>
      <c r="C2170" s="180">
        <v>43341</v>
      </c>
      <c r="D2170" s="28">
        <v>17</v>
      </c>
      <c r="E2170" s="49">
        <v>12</v>
      </c>
      <c r="F2170" s="211">
        <f>IFERROR(Tableau6[[#This Row],[Score]]/Tableau6[[#This Row],[Nb]],0)</f>
        <v>0.70588235294117652</v>
      </c>
    </row>
    <row r="2171" spans="1:6" ht="30" customHeight="1" x14ac:dyDescent="0.3">
      <c r="A2171" s="26" t="s">
        <v>1351</v>
      </c>
      <c r="B2171" s="27" t="s">
        <v>4518</v>
      </c>
      <c r="C2171" s="180">
        <v>43444</v>
      </c>
      <c r="D2171" s="28">
        <v>17</v>
      </c>
      <c r="E2171" s="49">
        <v>12</v>
      </c>
      <c r="F2171" s="211">
        <f>IFERROR(Tableau6[[#This Row],[Score]]/Tableau6[[#This Row],[Nb]],0)</f>
        <v>0.70588235294117652</v>
      </c>
    </row>
    <row r="2172" spans="1:6" ht="30" customHeight="1" x14ac:dyDescent="0.3">
      <c r="A2172" s="26" t="s">
        <v>1399</v>
      </c>
      <c r="B2172" s="27" t="s">
        <v>1400</v>
      </c>
      <c r="C2172" s="180">
        <v>43450</v>
      </c>
      <c r="D2172" s="28">
        <v>17</v>
      </c>
      <c r="E2172" s="49">
        <v>12</v>
      </c>
      <c r="F2172" s="211">
        <f>IFERROR(Tableau6[[#This Row],[Score]]/Tableau6[[#This Row],[Nb]],0)</f>
        <v>0.70588235294117652</v>
      </c>
    </row>
    <row r="2173" spans="1:6" ht="30" customHeight="1" x14ac:dyDescent="0.3">
      <c r="A2173" s="26" t="s">
        <v>3539</v>
      </c>
      <c r="B2173" s="27" t="s">
        <v>1942</v>
      </c>
      <c r="C2173" s="180">
        <v>43583</v>
      </c>
      <c r="D2173" s="28">
        <v>17</v>
      </c>
      <c r="E2173" s="49">
        <v>12</v>
      </c>
      <c r="F2173" s="211">
        <f>IFERROR(Tableau6[[#This Row],[Score]]/Tableau6[[#This Row],[Nb]],0)</f>
        <v>0.70588235294117652</v>
      </c>
    </row>
    <row r="2174" spans="1:6" ht="30" customHeight="1" x14ac:dyDescent="0.3">
      <c r="A2174" s="26" t="s">
        <v>4887</v>
      </c>
      <c r="B2174" s="119" t="s">
        <v>5107</v>
      </c>
      <c r="C2174" s="180">
        <v>43661</v>
      </c>
      <c r="D2174" s="28">
        <v>17</v>
      </c>
      <c r="E2174" s="49">
        <v>12</v>
      </c>
      <c r="F2174" s="211">
        <f>IFERROR(Tableau6[[#This Row],[Score]]/Tableau6[[#This Row],[Nb]],0)</f>
        <v>0.70588235294117652</v>
      </c>
    </row>
    <row r="2175" spans="1:6" ht="30" customHeight="1" x14ac:dyDescent="0.3">
      <c r="A2175" s="26" t="s">
        <v>2323</v>
      </c>
      <c r="B2175" s="27" t="s">
        <v>2324</v>
      </c>
      <c r="C2175" s="180">
        <v>43771</v>
      </c>
      <c r="D2175" s="28">
        <v>17</v>
      </c>
      <c r="E2175" s="49">
        <v>12</v>
      </c>
      <c r="F2175" s="211">
        <f>IFERROR(Tableau6[[#This Row],[Score]]/Tableau6[[#This Row],[Nb]],0)</f>
        <v>0.70588235294117652</v>
      </c>
    </row>
    <row r="2176" spans="1:6" ht="30" customHeight="1" x14ac:dyDescent="0.3">
      <c r="A2176" s="26" t="s">
        <v>2861</v>
      </c>
      <c r="B2176" s="27" t="s">
        <v>2862</v>
      </c>
      <c r="C2176" s="180">
        <v>43969</v>
      </c>
      <c r="D2176" s="28">
        <v>34</v>
      </c>
      <c r="E2176" s="49">
        <v>24</v>
      </c>
      <c r="F2176" s="211">
        <f>IFERROR(Tableau6[[#This Row],[Score]]/Tableau6[[#This Row],[Nb]],0)</f>
        <v>0.70588235294117652</v>
      </c>
    </row>
    <row r="2177" spans="1:6" ht="30" customHeight="1" x14ac:dyDescent="0.3">
      <c r="A2177" s="26" t="s">
        <v>2972</v>
      </c>
      <c r="B2177" s="27" t="s">
        <v>2973</v>
      </c>
      <c r="C2177" s="180">
        <v>43984</v>
      </c>
      <c r="D2177" s="28">
        <v>17</v>
      </c>
      <c r="E2177" s="49">
        <v>12</v>
      </c>
      <c r="F2177" s="211">
        <f>IFERROR(Tableau6[[#This Row],[Score]]/Tableau6[[#This Row],[Nb]],0)</f>
        <v>0.70588235294117652</v>
      </c>
    </row>
    <row r="2178" spans="1:6" ht="30" customHeight="1" x14ac:dyDescent="0.3">
      <c r="A2178" s="26" t="s">
        <v>3077</v>
      </c>
      <c r="B2178" s="27" t="s">
        <v>3078</v>
      </c>
      <c r="C2178" s="180">
        <v>44004</v>
      </c>
      <c r="D2178" s="28">
        <v>17</v>
      </c>
      <c r="E2178" s="49">
        <v>12</v>
      </c>
      <c r="F2178" s="211">
        <f>IFERROR(Tableau6[[#This Row],[Score]]/Tableau6[[#This Row],[Nb]],0)</f>
        <v>0.70588235294117652</v>
      </c>
    </row>
    <row r="2179" spans="1:6" ht="30" customHeight="1" x14ac:dyDescent="0.3">
      <c r="A2179" s="26" t="s">
        <v>3752</v>
      </c>
      <c r="B2179" s="27" t="s">
        <v>3753</v>
      </c>
      <c r="C2179" s="180">
        <v>44249</v>
      </c>
      <c r="D2179" s="28">
        <v>17</v>
      </c>
      <c r="E2179" s="49">
        <v>12</v>
      </c>
      <c r="F2179" s="211">
        <f>IFERROR(Tableau6[[#This Row],[Score]]/Tableau6[[#This Row],[Nb]],0)</f>
        <v>0.70588235294117652</v>
      </c>
    </row>
    <row r="2180" spans="1:6" ht="30" customHeight="1" x14ac:dyDescent="0.3">
      <c r="A2180" s="26" t="s">
        <v>4399</v>
      </c>
      <c r="B2180" s="27" t="s">
        <v>4400</v>
      </c>
      <c r="C2180" s="180">
        <v>44299</v>
      </c>
      <c r="D2180" s="28">
        <v>17</v>
      </c>
      <c r="E2180" s="49">
        <v>12</v>
      </c>
      <c r="F2180" s="211">
        <f>IFERROR(Tableau6[[#This Row],[Score]]/Tableau6[[#This Row],[Nb]],0)</f>
        <v>0.70588235294117652</v>
      </c>
    </row>
    <row r="2181" spans="1:6" ht="30" customHeight="1" x14ac:dyDescent="0.3">
      <c r="A2181" s="26" t="s">
        <v>5013</v>
      </c>
      <c r="B2181" s="27" t="s">
        <v>5014</v>
      </c>
      <c r="C2181" s="180">
        <v>44440</v>
      </c>
      <c r="D2181" s="28">
        <v>17</v>
      </c>
      <c r="E2181" s="49">
        <v>12</v>
      </c>
      <c r="F2181" s="211">
        <f>IFERROR(Tableau6[[#This Row],[Score]]/Tableau6[[#This Row],[Nb]],0)</f>
        <v>0.70588235294117652</v>
      </c>
    </row>
    <row r="2182" spans="1:6" ht="30" customHeight="1" x14ac:dyDescent="0.3">
      <c r="A2182" s="26" t="s">
        <v>4222</v>
      </c>
      <c r="B2182" s="27" t="s">
        <v>4223</v>
      </c>
      <c r="C2182" s="180">
        <v>41621</v>
      </c>
      <c r="D2182" s="28">
        <v>24</v>
      </c>
      <c r="E2182" s="49">
        <v>17</v>
      </c>
      <c r="F2182" s="211">
        <f>IFERROR(Tableau6[[#This Row],[Score]]/Tableau6[[#This Row],[Nb]],0)</f>
        <v>0.70833333333333337</v>
      </c>
    </row>
    <row r="2183" spans="1:6" ht="30" customHeight="1" x14ac:dyDescent="0.3">
      <c r="A2183" s="26" t="s">
        <v>655</v>
      </c>
      <c r="B2183" s="27" t="s">
        <v>1067</v>
      </c>
      <c r="C2183" s="180">
        <v>43237</v>
      </c>
      <c r="D2183" s="28">
        <v>24</v>
      </c>
      <c r="E2183" s="49">
        <v>17</v>
      </c>
      <c r="F2183" s="211">
        <f>IFERROR(Tableau6[[#This Row],[Score]]/Tableau6[[#This Row],[Nb]],0)</f>
        <v>0.70833333333333337</v>
      </c>
    </row>
    <row r="2184" spans="1:6" ht="30" customHeight="1" x14ac:dyDescent="0.3">
      <c r="A2184" s="26" t="s">
        <v>673</v>
      </c>
      <c r="B2184" s="27" t="s">
        <v>1081</v>
      </c>
      <c r="C2184" s="180">
        <v>43237</v>
      </c>
      <c r="D2184" s="28">
        <v>24</v>
      </c>
      <c r="E2184" s="49">
        <v>17</v>
      </c>
      <c r="F2184" s="211">
        <f>IFERROR(Tableau6[[#This Row],[Score]]/Tableau6[[#This Row],[Nb]],0)</f>
        <v>0.70833333333333337</v>
      </c>
    </row>
    <row r="2185" spans="1:6" ht="30" customHeight="1" x14ac:dyDescent="0.3">
      <c r="A2185" s="26" t="s">
        <v>22</v>
      </c>
      <c r="B2185" s="27" t="s">
        <v>23</v>
      </c>
      <c r="C2185" s="180">
        <v>43247</v>
      </c>
      <c r="D2185" s="28">
        <v>24</v>
      </c>
      <c r="E2185" s="49">
        <v>17</v>
      </c>
      <c r="F2185" s="211">
        <f>IFERROR(Tableau6[[#This Row],[Score]]/Tableau6[[#This Row],[Nb]],0)</f>
        <v>0.70833333333333337</v>
      </c>
    </row>
    <row r="2186" spans="1:6" ht="30" customHeight="1" x14ac:dyDescent="0.3">
      <c r="A2186" s="26" t="s">
        <v>90</v>
      </c>
      <c r="B2186" s="152" t="s">
        <v>5745</v>
      </c>
      <c r="C2186" s="180">
        <v>43341</v>
      </c>
      <c r="D2186" s="28">
        <v>24</v>
      </c>
      <c r="E2186" s="49">
        <v>17</v>
      </c>
      <c r="F2186" s="211">
        <f>IFERROR(Tableau6[[#This Row],[Score]]/Tableau6[[#This Row],[Nb]],0)</f>
        <v>0.70833333333333337</v>
      </c>
    </row>
    <row r="2187" spans="1:6" ht="30" customHeight="1" x14ac:dyDescent="0.3">
      <c r="A2187" s="26" t="s">
        <v>550</v>
      </c>
      <c r="B2187" s="27" t="s">
        <v>4165</v>
      </c>
      <c r="C2187" s="180">
        <v>43406</v>
      </c>
      <c r="D2187" s="28">
        <v>24</v>
      </c>
      <c r="E2187" s="49">
        <v>17</v>
      </c>
      <c r="F2187" s="211">
        <f>IFERROR(Tableau6[[#This Row],[Score]]/Tableau6[[#This Row],[Nb]],0)</f>
        <v>0.70833333333333337</v>
      </c>
    </row>
    <row r="2188" spans="1:6" ht="30" customHeight="1" x14ac:dyDescent="0.3">
      <c r="A2188" s="26" t="s">
        <v>109</v>
      </c>
      <c r="B2188" s="27" t="s">
        <v>110</v>
      </c>
      <c r="C2188" s="180">
        <v>43605</v>
      </c>
      <c r="D2188" s="28">
        <v>24</v>
      </c>
      <c r="E2188" s="49">
        <v>17</v>
      </c>
      <c r="F2188" s="211">
        <f>IFERROR(Tableau6[[#This Row],[Score]]/Tableau6[[#This Row],[Nb]],0)</f>
        <v>0.70833333333333337</v>
      </c>
    </row>
    <row r="2189" spans="1:6" ht="30" customHeight="1" x14ac:dyDescent="0.3">
      <c r="A2189" s="26" t="s">
        <v>2154</v>
      </c>
      <c r="B2189" s="27" t="s">
        <v>2155</v>
      </c>
      <c r="C2189" s="180">
        <v>43682</v>
      </c>
      <c r="D2189" s="28">
        <v>24</v>
      </c>
      <c r="E2189" s="49">
        <v>17</v>
      </c>
      <c r="F2189" s="211">
        <f>IFERROR(Tableau6[[#This Row],[Score]]/Tableau6[[#This Row],[Nb]],0)</f>
        <v>0.70833333333333337</v>
      </c>
    </row>
    <row r="2190" spans="1:6" ht="30" customHeight="1" x14ac:dyDescent="0.3">
      <c r="A2190" s="26" t="s">
        <v>2391</v>
      </c>
      <c r="B2190" s="27" t="s">
        <v>2392</v>
      </c>
      <c r="C2190" s="180">
        <v>43775</v>
      </c>
      <c r="D2190" s="28">
        <v>24</v>
      </c>
      <c r="E2190" s="49">
        <v>17</v>
      </c>
      <c r="F2190" s="211">
        <f>IFERROR(Tableau6[[#This Row],[Score]]/Tableau6[[#This Row],[Nb]],0)</f>
        <v>0.70833333333333337</v>
      </c>
    </row>
    <row r="2191" spans="1:6" ht="30" customHeight="1" x14ac:dyDescent="0.3">
      <c r="A2191" s="26" t="s">
        <v>2788</v>
      </c>
      <c r="B2191" s="27" t="s">
        <v>2789</v>
      </c>
      <c r="C2191" s="180">
        <v>43900</v>
      </c>
      <c r="D2191" s="28">
        <v>24</v>
      </c>
      <c r="E2191" s="49">
        <v>17</v>
      </c>
      <c r="F2191" s="211">
        <f>IFERROR(Tableau6[[#This Row],[Score]]/Tableau6[[#This Row],[Nb]],0)</f>
        <v>0.70833333333333337</v>
      </c>
    </row>
    <row r="2192" spans="1:6" ht="30" customHeight="1" x14ac:dyDescent="0.3">
      <c r="A2192" s="26" t="s">
        <v>3083</v>
      </c>
      <c r="B2192" s="27" t="s">
        <v>3084</v>
      </c>
      <c r="C2192" s="180">
        <v>44004</v>
      </c>
      <c r="D2192" s="28">
        <v>24</v>
      </c>
      <c r="E2192" s="49">
        <v>17</v>
      </c>
      <c r="F2192" s="211">
        <f>IFERROR(Tableau6[[#This Row],[Score]]/Tableau6[[#This Row],[Nb]],0)</f>
        <v>0.70833333333333337</v>
      </c>
    </row>
    <row r="2193" spans="1:6" ht="30" customHeight="1" x14ac:dyDescent="0.3">
      <c r="A2193" s="26" t="s">
        <v>3237</v>
      </c>
      <c r="B2193" s="27" t="s">
        <v>3238</v>
      </c>
      <c r="C2193" s="180">
        <v>44026</v>
      </c>
      <c r="D2193" s="28">
        <v>24</v>
      </c>
      <c r="E2193" s="49">
        <v>17</v>
      </c>
      <c r="F2193" s="211">
        <f>IFERROR(Tableau6[[#This Row],[Score]]/Tableau6[[#This Row],[Nb]],0)</f>
        <v>0.70833333333333337</v>
      </c>
    </row>
    <row r="2194" spans="1:6" ht="30" customHeight="1" x14ac:dyDescent="0.3">
      <c r="A2194" s="26" t="s">
        <v>2731</v>
      </c>
      <c r="B2194" s="27" t="s">
        <v>2732</v>
      </c>
      <c r="C2194" s="180">
        <v>41522</v>
      </c>
      <c r="D2194" s="28">
        <v>31</v>
      </c>
      <c r="E2194" s="49">
        <v>22</v>
      </c>
      <c r="F2194" s="211">
        <f>IFERROR(Tableau6[[#This Row],[Score]]/Tableau6[[#This Row],[Nb]],0)</f>
        <v>0.70967741935483875</v>
      </c>
    </row>
    <row r="2195" spans="1:6" ht="30" customHeight="1" x14ac:dyDescent="0.3">
      <c r="A2195" s="26" t="s">
        <v>337</v>
      </c>
      <c r="B2195" s="27" t="s">
        <v>338</v>
      </c>
      <c r="C2195" s="180">
        <v>40611</v>
      </c>
      <c r="D2195" s="28">
        <v>21</v>
      </c>
      <c r="E2195" s="49">
        <v>15</v>
      </c>
      <c r="F2195" s="211">
        <f>IFERROR(Tableau6[[#This Row],[Score]]/Tableau6[[#This Row],[Nb]],0)</f>
        <v>0.7142857142857143</v>
      </c>
    </row>
    <row r="2196" spans="1:6" ht="30" customHeight="1" x14ac:dyDescent="0.3">
      <c r="A2196" s="26" t="s">
        <v>1549</v>
      </c>
      <c r="B2196" s="27" t="s">
        <v>3828</v>
      </c>
      <c r="C2196" s="180">
        <v>41621</v>
      </c>
      <c r="D2196" s="28">
        <v>21</v>
      </c>
      <c r="E2196" s="49">
        <v>15</v>
      </c>
      <c r="F2196" s="211">
        <f>IFERROR(Tableau6[[#This Row],[Score]]/Tableau6[[#This Row],[Nb]],0)</f>
        <v>0.7142857142857143</v>
      </c>
    </row>
    <row r="2197" spans="1:6" ht="30" customHeight="1" x14ac:dyDescent="0.3">
      <c r="A2197" s="26" t="s">
        <v>1602</v>
      </c>
      <c r="B2197" s="27" t="s">
        <v>3818</v>
      </c>
      <c r="C2197" s="180">
        <v>41621</v>
      </c>
      <c r="D2197" s="28">
        <v>21</v>
      </c>
      <c r="E2197" s="49">
        <v>15</v>
      </c>
      <c r="F2197" s="211">
        <f>IFERROR(Tableau6[[#This Row],[Score]]/Tableau6[[#This Row],[Nb]],0)</f>
        <v>0.7142857142857143</v>
      </c>
    </row>
    <row r="2198" spans="1:6" ht="30" customHeight="1" x14ac:dyDescent="0.3">
      <c r="A2198" s="26" t="s">
        <v>2251</v>
      </c>
      <c r="B2198" s="27" t="s">
        <v>2252</v>
      </c>
      <c r="C2198" s="180">
        <v>41621</v>
      </c>
      <c r="D2198" s="28">
        <v>14</v>
      </c>
      <c r="E2198" s="49">
        <v>10</v>
      </c>
      <c r="F2198" s="211">
        <f>IFERROR(Tableau6[[#This Row],[Score]]/Tableau6[[#This Row],[Nb]],0)</f>
        <v>0.7142857142857143</v>
      </c>
    </row>
    <row r="2199" spans="1:6" ht="30" customHeight="1" x14ac:dyDescent="0.3">
      <c r="A2199" s="26" t="s">
        <v>4484</v>
      </c>
      <c r="B2199" s="27" t="s">
        <v>4485</v>
      </c>
      <c r="C2199" s="180">
        <v>41621</v>
      </c>
      <c r="D2199" s="28">
        <v>21</v>
      </c>
      <c r="E2199" s="49">
        <v>15</v>
      </c>
      <c r="F2199" s="211">
        <f>IFERROR(Tableau6[[#This Row],[Score]]/Tableau6[[#This Row],[Nb]],0)</f>
        <v>0.7142857142857143</v>
      </c>
    </row>
    <row r="2200" spans="1:6" ht="30" customHeight="1" x14ac:dyDescent="0.3">
      <c r="A2200" s="26" t="s">
        <v>3807</v>
      </c>
      <c r="B2200" s="27" t="s">
        <v>3808</v>
      </c>
      <c r="C2200" s="180">
        <v>41621</v>
      </c>
      <c r="D2200" s="28">
        <v>21</v>
      </c>
      <c r="E2200" s="49">
        <v>15</v>
      </c>
      <c r="F2200" s="211">
        <f>IFERROR(Tableau6[[#This Row],[Score]]/Tableau6[[#This Row],[Nb]],0)</f>
        <v>0.7142857142857143</v>
      </c>
    </row>
    <row r="2201" spans="1:6" ht="30" customHeight="1" x14ac:dyDescent="0.3">
      <c r="A2201" s="26" t="s">
        <v>1547</v>
      </c>
      <c r="B2201" s="27" t="s">
        <v>1548</v>
      </c>
      <c r="C2201" s="180">
        <v>41621</v>
      </c>
      <c r="D2201" s="28">
        <v>21</v>
      </c>
      <c r="E2201" s="49">
        <v>15</v>
      </c>
      <c r="F2201" s="211">
        <f>IFERROR(Tableau6[[#This Row],[Score]]/Tableau6[[#This Row],[Nb]],0)</f>
        <v>0.7142857142857143</v>
      </c>
    </row>
    <row r="2202" spans="1:6" ht="30" customHeight="1" x14ac:dyDescent="0.3">
      <c r="A2202" s="26" t="s">
        <v>896</v>
      </c>
      <c r="B2202" s="27" t="s">
        <v>4786</v>
      </c>
      <c r="C2202" s="180">
        <v>41621</v>
      </c>
      <c r="D2202" s="28">
        <v>28</v>
      </c>
      <c r="E2202" s="49">
        <v>20</v>
      </c>
      <c r="F2202" s="211">
        <f>IFERROR(Tableau6[[#This Row],[Score]]/Tableau6[[#This Row],[Nb]],0)</f>
        <v>0.7142857142857143</v>
      </c>
    </row>
    <row r="2203" spans="1:6" ht="30" customHeight="1" x14ac:dyDescent="0.3">
      <c r="A2203" s="26" t="s">
        <v>1036</v>
      </c>
      <c r="B2203" s="27" t="s">
        <v>7</v>
      </c>
      <c r="C2203" s="180">
        <v>43205</v>
      </c>
      <c r="D2203" s="28">
        <v>21</v>
      </c>
      <c r="E2203" s="49">
        <v>15</v>
      </c>
      <c r="F2203" s="211">
        <f>IFERROR(Tableau6[[#This Row],[Score]]/Tableau6[[#This Row],[Nb]],0)</f>
        <v>0.7142857142857143</v>
      </c>
    </row>
    <row r="2204" spans="1:6" ht="30" customHeight="1" x14ac:dyDescent="0.3">
      <c r="A2204" s="26" t="s">
        <v>666</v>
      </c>
      <c r="B2204" s="27" t="s">
        <v>1077</v>
      </c>
      <c r="C2204" s="180">
        <v>43237</v>
      </c>
      <c r="D2204" s="28">
        <v>21</v>
      </c>
      <c r="E2204" s="49">
        <v>15</v>
      </c>
      <c r="F2204" s="211">
        <f>IFERROR(Tableau6[[#This Row],[Score]]/Tableau6[[#This Row],[Nb]],0)</f>
        <v>0.7142857142857143</v>
      </c>
    </row>
    <row r="2205" spans="1:6" ht="30" customHeight="1" x14ac:dyDescent="0.3">
      <c r="A2205" s="26" t="s">
        <v>2694</v>
      </c>
      <c r="B2205" s="27" t="s">
        <v>3809</v>
      </c>
      <c r="C2205" s="180">
        <v>43237</v>
      </c>
      <c r="D2205" s="28">
        <v>14</v>
      </c>
      <c r="E2205" s="49">
        <v>10</v>
      </c>
      <c r="F2205" s="211">
        <f>IFERROR(Tableau6[[#This Row],[Score]]/Tableau6[[#This Row],[Nb]],0)</f>
        <v>0.7142857142857143</v>
      </c>
    </row>
    <row r="2206" spans="1:6" ht="30" customHeight="1" x14ac:dyDescent="0.3">
      <c r="A2206" s="26" t="s">
        <v>26</v>
      </c>
      <c r="B2206" s="27" t="s">
        <v>27</v>
      </c>
      <c r="C2206" s="180">
        <v>43247</v>
      </c>
      <c r="D2206" s="28">
        <v>21</v>
      </c>
      <c r="E2206" s="49">
        <v>15</v>
      </c>
      <c r="F2206" s="211">
        <f>IFERROR(Tableau6[[#This Row],[Score]]/Tableau6[[#This Row],[Nb]],0)</f>
        <v>0.7142857142857143</v>
      </c>
    </row>
    <row r="2207" spans="1:6" ht="30" customHeight="1" x14ac:dyDescent="0.3">
      <c r="A2207" s="26" t="s">
        <v>555</v>
      </c>
      <c r="B2207" s="27" t="s">
        <v>556</v>
      </c>
      <c r="C2207" s="180">
        <v>43406</v>
      </c>
      <c r="D2207" s="28">
        <v>21</v>
      </c>
      <c r="E2207" s="49">
        <v>15</v>
      </c>
      <c r="F2207" s="211">
        <f>IFERROR(Tableau6[[#This Row],[Score]]/Tableau6[[#This Row],[Nb]],0)</f>
        <v>0.7142857142857143</v>
      </c>
    </row>
    <row r="2208" spans="1:6" ht="30" customHeight="1" x14ac:dyDescent="0.3">
      <c r="A2208" s="26" t="s">
        <v>562</v>
      </c>
      <c r="B2208" s="27" t="s">
        <v>563</v>
      </c>
      <c r="C2208" s="180">
        <v>43406</v>
      </c>
      <c r="D2208" s="28">
        <v>21</v>
      </c>
      <c r="E2208" s="49">
        <v>15</v>
      </c>
      <c r="F2208" s="211">
        <f>IFERROR(Tableau6[[#This Row],[Score]]/Tableau6[[#This Row],[Nb]],0)</f>
        <v>0.7142857142857143</v>
      </c>
    </row>
    <row r="2209" spans="1:6" ht="30" customHeight="1" x14ac:dyDescent="0.3">
      <c r="A2209" s="26" t="s">
        <v>3659</v>
      </c>
      <c r="B2209" s="27" t="s">
        <v>3660</v>
      </c>
      <c r="C2209" s="180">
        <v>43406</v>
      </c>
      <c r="D2209" s="28">
        <v>21</v>
      </c>
      <c r="E2209" s="49">
        <v>15</v>
      </c>
      <c r="F2209" s="211">
        <f>IFERROR(Tableau6[[#This Row],[Score]]/Tableau6[[#This Row],[Nb]],0)</f>
        <v>0.7142857142857143</v>
      </c>
    </row>
    <row r="2210" spans="1:6" ht="30" customHeight="1" x14ac:dyDescent="0.3">
      <c r="A2210" s="26" t="s">
        <v>523</v>
      </c>
      <c r="B2210" s="27" t="s">
        <v>524</v>
      </c>
      <c r="C2210" s="180">
        <v>43408</v>
      </c>
      <c r="D2210" s="28">
        <v>28</v>
      </c>
      <c r="E2210" s="49">
        <v>20</v>
      </c>
      <c r="F2210" s="211">
        <f>IFERROR(Tableau6[[#This Row],[Score]]/Tableau6[[#This Row],[Nb]],0)</f>
        <v>0.7142857142857143</v>
      </c>
    </row>
    <row r="2211" spans="1:6" ht="30" customHeight="1" x14ac:dyDescent="0.3">
      <c r="A2211" s="26" t="s">
        <v>1108</v>
      </c>
      <c r="B2211" s="27" t="s">
        <v>1109</v>
      </c>
      <c r="C2211" s="180">
        <v>43415</v>
      </c>
      <c r="D2211" s="28">
        <v>21</v>
      </c>
      <c r="E2211" s="49">
        <v>15</v>
      </c>
      <c r="F2211" s="211">
        <f>IFERROR(Tableau6[[#This Row],[Score]]/Tableau6[[#This Row],[Nb]],0)</f>
        <v>0.7142857142857143</v>
      </c>
    </row>
    <row r="2212" spans="1:6" ht="30" customHeight="1" x14ac:dyDescent="0.3">
      <c r="A2212" s="26" t="s">
        <v>1204</v>
      </c>
      <c r="B2212" s="27" t="s">
        <v>4595</v>
      </c>
      <c r="C2212" s="180">
        <v>43421</v>
      </c>
      <c r="D2212" s="28">
        <v>21</v>
      </c>
      <c r="E2212" s="49">
        <v>15</v>
      </c>
      <c r="F2212" s="211">
        <f>IFERROR(Tableau6[[#This Row],[Score]]/Tableau6[[#This Row],[Nb]],0)</f>
        <v>0.7142857142857143</v>
      </c>
    </row>
    <row r="2213" spans="1:6" ht="30" customHeight="1" x14ac:dyDescent="0.3">
      <c r="A2213" s="26" t="s">
        <v>1289</v>
      </c>
      <c r="B2213" s="27" t="s">
        <v>1290</v>
      </c>
      <c r="C2213" s="180">
        <v>43438</v>
      </c>
      <c r="D2213" s="28">
        <v>21</v>
      </c>
      <c r="E2213" s="49">
        <v>15</v>
      </c>
      <c r="F2213" s="211">
        <f>IFERROR(Tableau6[[#This Row],[Score]]/Tableau6[[#This Row],[Nb]],0)</f>
        <v>0.7142857142857143</v>
      </c>
    </row>
    <row r="2214" spans="1:6" ht="30" customHeight="1" x14ac:dyDescent="0.3">
      <c r="A2214" s="26" t="s">
        <v>1384</v>
      </c>
      <c r="B2214" s="27" t="s">
        <v>1385</v>
      </c>
      <c r="C2214" s="180">
        <v>43444</v>
      </c>
      <c r="D2214" s="28">
        <v>21</v>
      </c>
      <c r="E2214" s="49">
        <v>15</v>
      </c>
      <c r="F2214" s="211">
        <f>IFERROR(Tableau6[[#This Row],[Score]]/Tableau6[[#This Row],[Nb]],0)</f>
        <v>0.7142857142857143</v>
      </c>
    </row>
    <row r="2215" spans="1:6" ht="30" customHeight="1" x14ac:dyDescent="0.3">
      <c r="A2215" s="26" t="s">
        <v>5007</v>
      </c>
      <c r="B2215" s="27" t="s">
        <v>5008</v>
      </c>
      <c r="C2215" s="180">
        <v>43472</v>
      </c>
      <c r="D2215" s="28">
        <v>14</v>
      </c>
      <c r="E2215" s="49">
        <v>10</v>
      </c>
      <c r="F2215" s="211">
        <f>IFERROR(Tableau6[[#This Row],[Score]]/Tableau6[[#This Row],[Nb]],0)</f>
        <v>0.7142857142857143</v>
      </c>
    </row>
    <row r="2216" spans="1:6" ht="30" customHeight="1" x14ac:dyDescent="0.3">
      <c r="A2216" s="26" t="s">
        <v>2123</v>
      </c>
      <c r="B2216" s="27" t="s">
        <v>2124</v>
      </c>
      <c r="C2216" s="180">
        <v>43673</v>
      </c>
      <c r="D2216" s="28">
        <v>28</v>
      </c>
      <c r="E2216" s="49">
        <v>20</v>
      </c>
      <c r="F2216" s="211">
        <f>IFERROR(Tableau6[[#This Row],[Score]]/Tableau6[[#This Row],[Nb]],0)</f>
        <v>0.7142857142857143</v>
      </c>
    </row>
    <row r="2217" spans="1:6" ht="30" customHeight="1" x14ac:dyDescent="0.3">
      <c r="A2217" s="26" t="s">
        <v>3307</v>
      </c>
      <c r="B2217" s="27" t="s">
        <v>3308</v>
      </c>
      <c r="C2217" s="180">
        <v>43761</v>
      </c>
      <c r="D2217" s="28">
        <v>21</v>
      </c>
      <c r="E2217" s="49">
        <v>15</v>
      </c>
      <c r="F2217" s="211">
        <f>IFERROR(Tableau6[[#This Row],[Score]]/Tableau6[[#This Row],[Nb]],0)</f>
        <v>0.7142857142857143</v>
      </c>
    </row>
    <row r="2218" spans="1:6" ht="30" customHeight="1" x14ac:dyDescent="0.3">
      <c r="A2218" s="26" t="s">
        <v>2261</v>
      </c>
      <c r="B2218" s="27" t="s">
        <v>2262</v>
      </c>
      <c r="C2218" s="180">
        <v>43761</v>
      </c>
      <c r="D2218" s="28">
        <v>21</v>
      </c>
      <c r="E2218" s="49">
        <v>15</v>
      </c>
      <c r="F2218" s="211">
        <f>IFERROR(Tableau6[[#This Row],[Score]]/Tableau6[[#This Row],[Nb]],0)</f>
        <v>0.7142857142857143</v>
      </c>
    </row>
    <row r="2219" spans="1:6" ht="30" customHeight="1" x14ac:dyDescent="0.3">
      <c r="A2219" s="26" t="s">
        <v>2285</v>
      </c>
      <c r="B2219" s="27" t="s">
        <v>2286</v>
      </c>
      <c r="C2219" s="180">
        <v>43767</v>
      </c>
      <c r="D2219" s="28">
        <v>21</v>
      </c>
      <c r="E2219" s="49">
        <v>15</v>
      </c>
      <c r="F2219" s="211">
        <f>IFERROR(Tableau6[[#This Row],[Score]]/Tableau6[[#This Row],[Nb]],0)</f>
        <v>0.7142857142857143</v>
      </c>
    </row>
    <row r="2220" spans="1:6" ht="30" customHeight="1" x14ac:dyDescent="0.3">
      <c r="A2220" s="26" t="s">
        <v>2309</v>
      </c>
      <c r="B2220" s="27" t="s">
        <v>2673</v>
      </c>
      <c r="C2220" s="180">
        <v>43767</v>
      </c>
      <c r="D2220" s="28">
        <v>21</v>
      </c>
      <c r="E2220" s="49">
        <v>15</v>
      </c>
      <c r="F2220" s="211">
        <f>IFERROR(Tableau6[[#This Row],[Score]]/Tableau6[[#This Row],[Nb]],0)</f>
        <v>0.7142857142857143</v>
      </c>
    </row>
    <row r="2221" spans="1:6" ht="30" customHeight="1" x14ac:dyDescent="0.3">
      <c r="A2221" s="26" t="s">
        <v>3768</v>
      </c>
      <c r="B2221" s="27" t="s">
        <v>2573</v>
      </c>
      <c r="C2221" s="180">
        <v>43848</v>
      </c>
      <c r="D2221" s="28">
        <v>21</v>
      </c>
      <c r="E2221" s="49">
        <v>15</v>
      </c>
      <c r="F2221" s="211">
        <f>IFERROR(Tableau6[[#This Row],[Score]]/Tableau6[[#This Row],[Nb]],0)</f>
        <v>0.7142857142857143</v>
      </c>
    </row>
    <row r="2222" spans="1:6" ht="30" customHeight="1" x14ac:dyDescent="0.3">
      <c r="A2222" s="26" t="s">
        <v>2890</v>
      </c>
      <c r="B2222" s="27" t="s">
        <v>493</v>
      </c>
      <c r="C2222" s="180">
        <v>43969</v>
      </c>
      <c r="D2222" s="28">
        <v>28</v>
      </c>
      <c r="E2222" s="49">
        <v>20</v>
      </c>
      <c r="F2222" s="211">
        <f>IFERROR(Tableau6[[#This Row],[Score]]/Tableau6[[#This Row],[Nb]],0)</f>
        <v>0.7142857142857143</v>
      </c>
    </row>
    <row r="2223" spans="1:6" ht="30" customHeight="1" x14ac:dyDescent="0.3">
      <c r="A2223" s="26" t="s">
        <v>2856</v>
      </c>
      <c r="B2223" s="27" t="s">
        <v>2857</v>
      </c>
      <c r="C2223" s="180">
        <v>43969</v>
      </c>
      <c r="D2223" s="28">
        <v>14</v>
      </c>
      <c r="E2223" s="49">
        <v>10</v>
      </c>
      <c r="F2223" s="211">
        <f>IFERROR(Tableau6[[#This Row],[Score]]/Tableau6[[#This Row],[Nb]],0)</f>
        <v>0.7142857142857143</v>
      </c>
    </row>
    <row r="2224" spans="1:6" ht="30" customHeight="1" x14ac:dyDescent="0.3">
      <c r="A2224" s="414" t="s">
        <v>6519</v>
      </c>
      <c r="B2224" s="27" t="s">
        <v>2947</v>
      </c>
      <c r="C2224" s="180">
        <v>43984</v>
      </c>
      <c r="D2224" s="28">
        <v>21</v>
      </c>
      <c r="E2224" s="49">
        <v>15</v>
      </c>
      <c r="F2224" s="211">
        <f>IFERROR(Tableau6[[#This Row],[Score]]/Tableau6[[#This Row],[Nb]],0)</f>
        <v>0.7142857142857143</v>
      </c>
    </row>
    <row r="2225" spans="1:6" ht="30" customHeight="1" x14ac:dyDescent="0.3">
      <c r="A2225" s="26" t="s">
        <v>3234</v>
      </c>
      <c r="B2225" s="27" t="s">
        <v>3235</v>
      </c>
      <c r="C2225" s="180">
        <v>44026</v>
      </c>
      <c r="D2225" s="28">
        <v>21</v>
      </c>
      <c r="E2225" s="49">
        <v>15</v>
      </c>
      <c r="F2225" s="211">
        <f>IFERROR(Tableau6[[#This Row],[Score]]/Tableau6[[#This Row],[Nb]],0)</f>
        <v>0.7142857142857143</v>
      </c>
    </row>
    <row r="2226" spans="1:6" ht="30" customHeight="1" x14ac:dyDescent="0.3">
      <c r="A2226" s="26" t="s">
        <v>3240</v>
      </c>
      <c r="B2226" s="27" t="s">
        <v>3241</v>
      </c>
      <c r="C2226" s="180">
        <v>44026</v>
      </c>
      <c r="D2226" s="28">
        <v>14</v>
      </c>
      <c r="E2226" s="49">
        <v>10</v>
      </c>
      <c r="F2226" s="211">
        <f>IFERROR(Tableau6[[#This Row],[Score]]/Tableau6[[#This Row],[Nb]],0)</f>
        <v>0.7142857142857143</v>
      </c>
    </row>
    <row r="2227" spans="1:6" ht="30" customHeight="1" x14ac:dyDescent="0.3">
      <c r="A2227" s="26" t="s">
        <v>4466</v>
      </c>
      <c r="B2227" s="27" t="s">
        <v>4467</v>
      </c>
      <c r="C2227" s="180">
        <v>44308</v>
      </c>
      <c r="D2227" s="28">
        <v>14</v>
      </c>
      <c r="E2227" s="49">
        <v>10</v>
      </c>
      <c r="F2227" s="211">
        <f>IFERROR(Tableau6[[#This Row],[Score]]/Tableau6[[#This Row],[Nb]],0)</f>
        <v>0.7142857142857143</v>
      </c>
    </row>
    <row r="2228" spans="1:6" ht="30" customHeight="1" x14ac:dyDescent="0.3">
      <c r="A2228" s="26" t="s">
        <v>4858</v>
      </c>
      <c r="B2228" s="27" t="s">
        <v>4859</v>
      </c>
      <c r="C2228" s="180">
        <v>44395</v>
      </c>
      <c r="D2228" s="28">
        <v>21</v>
      </c>
      <c r="E2228" s="49">
        <v>15</v>
      </c>
      <c r="F2228" s="211">
        <f>IFERROR(Tableau6[[#This Row],[Score]]/Tableau6[[#This Row],[Nb]],0)</f>
        <v>0.7142857142857143</v>
      </c>
    </row>
    <row r="2229" spans="1:6" ht="30" customHeight="1" x14ac:dyDescent="0.3">
      <c r="A2229" s="120" t="s">
        <v>5108</v>
      </c>
      <c r="B2229" s="121" t="s">
        <v>5109</v>
      </c>
      <c r="C2229" s="201">
        <v>44465</v>
      </c>
      <c r="D2229" s="122">
        <v>14</v>
      </c>
      <c r="E2229" s="122">
        <v>10</v>
      </c>
      <c r="F2229" s="211">
        <f>IFERROR(Tableau6[[#This Row],[Score]]/Tableau6[[#This Row],[Nb]],0)</f>
        <v>0.7142857142857143</v>
      </c>
    </row>
    <row r="2230" spans="1:6" ht="30" customHeight="1" x14ac:dyDescent="0.3">
      <c r="A2230" s="151" t="s">
        <v>5276</v>
      </c>
      <c r="B2230" s="152" t="s">
        <v>5277</v>
      </c>
      <c r="C2230" s="208">
        <v>44524</v>
      </c>
      <c r="D2230" s="154">
        <v>14</v>
      </c>
      <c r="E2230" s="154">
        <v>10</v>
      </c>
      <c r="F2230" s="211">
        <f>IFERROR(Tableau6[[#This Row],[Score]]/Tableau6[[#This Row],[Nb]],0)</f>
        <v>0.7142857142857143</v>
      </c>
    </row>
    <row r="2231" spans="1:6" ht="30" customHeight="1" x14ac:dyDescent="0.3">
      <c r="A2231" s="151" t="s">
        <v>5561</v>
      </c>
      <c r="B2231" s="152" t="s">
        <v>5562</v>
      </c>
      <c r="C2231" s="208">
        <v>44591</v>
      </c>
      <c r="D2231" s="154">
        <v>7</v>
      </c>
      <c r="E2231" s="154">
        <v>5</v>
      </c>
      <c r="F2231" s="211">
        <f>IFERROR(Tableau6[[#This Row],[Score]]/Tableau6[[#This Row],[Nb]],0)</f>
        <v>0.7142857142857143</v>
      </c>
    </row>
    <row r="2232" spans="1:6" ht="30" customHeight="1" x14ac:dyDescent="0.3">
      <c r="A2232" s="151" t="s">
        <v>5570</v>
      </c>
      <c r="B2232" s="152" t="s">
        <v>5571</v>
      </c>
      <c r="C2232" s="208">
        <v>44593</v>
      </c>
      <c r="D2232" s="154">
        <v>7</v>
      </c>
      <c r="E2232" s="154">
        <v>5</v>
      </c>
      <c r="F2232" s="211">
        <f>IFERROR(Tableau6[[#This Row],[Score]]/Tableau6[[#This Row],[Nb]],0)</f>
        <v>0.7142857142857143</v>
      </c>
    </row>
    <row r="2233" spans="1:6" ht="30" customHeight="1" x14ac:dyDescent="0.3">
      <c r="A2233" s="151" t="s">
        <v>5640</v>
      </c>
      <c r="B2233" s="152" t="s">
        <v>5641</v>
      </c>
      <c r="C2233" s="208">
        <v>44609</v>
      </c>
      <c r="D2233" s="154">
        <v>14</v>
      </c>
      <c r="E2233" s="154">
        <v>10</v>
      </c>
      <c r="F2233" s="211">
        <f>IFERROR(Tableau6[[#This Row],[Score]]/Tableau6[[#This Row],[Nb]],0)</f>
        <v>0.7142857142857143</v>
      </c>
    </row>
    <row r="2234" spans="1:6" ht="30" customHeight="1" x14ac:dyDescent="0.3">
      <c r="A2234" s="151" t="s">
        <v>6339</v>
      </c>
      <c r="B2234" s="152" t="s">
        <v>6340</v>
      </c>
      <c r="C2234" s="208">
        <v>44885</v>
      </c>
      <c r="D2234" s="154">
        <v>7</v>
      </c>
      <c r="E2234" s="154">
        <v>5</v>
      </c>
      <c r="F2234" s="211">
        <f>IFERROR(Tableau6[[#This Row],[Score]]/Tableau6[[#This Row],[Nb]],0)</f>
        <v>0.7142857142857143</v>
      </c>
    </row>
    <row r="2235" spans="1:6" ht="30" customHeight="1" x14ac:dyDescent="0.3">
      <c r="A2235" s="26" t="s">
        <v>264</v>
      </c>
      <c r="B2235" s="27" t="s">
        <v>265</v>
      </c>
      <c r="C2235" s="180">
        <v>43390</v>
      </c>
      <c r="D2235" s="28">
        <v>32</v>
      </c>
      <c r="E2235" s="49">
        <v>23</v>
      </c>
      <c r="F2235" s="211">
        <f>IFERROR(Tableau6[[#This Row],[Score]]/Tableau6[[#This Row],[Nb]],0)</f>
        <v>0.71875</v>
      </c>
    </row>
    <row r="2236" spans="1:6" ht="30" customHeight="1" x14ac:dyDescent="0.3">
      <c r="A2236" s="26" t="s">
        <v>3352</v>
      </c>
      <c r="B2236" s="27" t="s">
        <v>1587</v>
      </c>
      <c r="C2236" s="180">
        <v>43493</v>
      </c>
      <c r="D2236" s="28">
        <v>32</v>
      </c>
      <c r="E2236" s="49">
        <v>23</v>
      </c>
      <c r="F2236" s="211">
        <f>IFERROR(Tableau6[[#This Row],[Score]]/Tableau6[[#This Row],[Nb]],0)</f>
        <v>0.71875</v>
      </c>
    </row>
    <row r="2237" spans="1:6" ht="30" customHeight="1" x14ac:dyDescent="0.3">
      <c r="A2237" s="26" t="s">
        <v>2936</v>
      </c>
      <c r="B2237" s="27" t="s">
        <v>2937</v>
      </c>
      <c r="C2237" s="180">
        <v>43984</v>
      </c>
      <c r="D2237" s="28">
        <v>32</v>
      </c>
      <c r="E2237" s="49">
        <v>23</v>
      </c>
      <c r="F2237" s="211">
        <f>IFERROR(Tableau6[[#This Row],[Score]]/Tableau6[[#This Row],[Nb]],0)</f>
        <v>0.71875</v>
      </c>
    </row>
    <row r="2238" spans="1:6" ht="30" customHeight="1" x14ac:dyDescent="0.3">
      <c r="A2238" s="26" t="s">
        <v>3981</v>
      </c>
      <c r="B2238" s="27" t="s">
        <v>3982</v>
      </c>
      <c r="C2238" s="180">
        <v>44262</v>
      </c>
      <c r="D2238" s="28">
        <v>32</v>
      </c>
      <c r="E2238" s="49">
        <v>23</v>
      </c>
      <c r="F2238" s="211">
        <f>IFERROR(Tableau6[[#This Row],[Score]]/Tableau6[[#This Row],[Nb]],0)</f>
        <v>0.71875</v>
      </c>
    </row>
    <row r="2239" spans="1:6" ht="30" customHeight="1" x14ac:dyDescent="0.3">
      <c r="A2239" s="26" t="s">
        <v>788</v>
      </c>
      <c r="B2239" s="27" t="s">
        <v>4176</v>
      </c>
      <c r="C2239" s="180">
        <v>41621</v>
      </c>
      <c r="D2239" s="28">
        <v>25</v>
      </c>
      <c r="E2239" s="49">
        <v>18</v>
      </c>
      <c r="F2239" s="211">
        <f>IFERROR(Tableau6[[#This Row],[Score]]/Tableau6[[#This Row],[Nb]],0)</f>
        <v>0.72</v>
      </c>
    </row>
    <row r="2240" spans="1:6" ht="30" customHeight="1" x14ac:dyDescent="0.3">
      <c r="A2240" s="26" t="s">
        <v>1037</v>
      </c>
      <c r="B2240" s="27" t="s">
        <v>866</v>
      </c>
      <c r="C2240" s="180">
        <v>43206</v>
      </c>
      <c r="D2240" s="28">
        <v>25</v>
      </c>
      <c r="E2240" s="49">
        <v>18</v>
      </c>
      <c r="F2240" s="211">
        <f>IFERROR(Tableau6[[#This Row],[Score]]/Tableau6[[#This Row],[Nb]],0)</f>
        <v>0.72</v>
      </c>
    </row>
    <row r="2241" spans="1:6" ht="30" customHeight="1" x14ac:dyDescent="0.3">
      <c r="A2241" s="26" t="s">
        <v>704</v>
      </c>
      <c r="B2241" s="27" t="s">
        <v>3611</v>
      </c>
      <c r="C2241" s="180">
        <v>43237</v>
      </c>
      <c r="D2241" s="28">
        <v>25</v>
      </c>
      <c r="E2241" s="49">
        <v>18</v>
      </c>
      <c r="F2241" s="211">
        <f>IFERROR(Tableau6[[#This Row],[Score]]/Tableau6[[#This Row],[Nb]],0)</f>
        <v>0.72</v>
      </c>
    </row>
    <row r="2242" spans="1:6" ht="30" customHeight="1" x14ac:dyDescent="0.3">
      <c r="A2242" s="26" t="s">
        <v>2685</v>
      </c>
      <c r="B2242" s="152" t="s">
        <v>6019</v>
      </c>
      <c r="C2242" s="180">
        <v>43237</v>
      </c>
      <c r="D2242" s="28">
        <v>25</v>
      </c>
      <c r="E2242" s="49">
        <v>18</v>
      </c>
      <c r="F2242" s="211">
        <f>IFERROR(Tableau6[[#This Row],[Score]]/Tableau6[[#This Row],[Nb]],0)</f>
        <v>0.72</v>
      </c>
    </row>
    <row r="2243" spans="1:6" ht="30" customHeight="1" x14ac:dyDescent="0.3">
      <c r="A2243" s="26" t="s">
        <v>536</v>
      </c>
      <c r="B2243" s="27" t="s">
        <v>537</v>
      </c>
      <c r="C2243" s="180">
        <v>43408</v>
      </c>
      <c r="D2243" s="28">
        <v>25</v>
      </c>
      <c r="E2243" s="49">
        <v>18</v>
      </c>
      <c r="F2243" s="211">
        <f>IFERROR(Tableau6[[#This Row],[Score]]/Tableau6[[#This Row],[Nb]],0)</f>
        <v>0.72</v>
      </c>
    </row>
    <row r="2244" spans="1:6" ht="30" customHeight="1" x14ac:dyDescent="0.3">
      <c r="A2244" s="26" t="s">
        <v>1232</v>
      </c>
      <c r="B2244" s="27" t="s">
        <v>3715</v>
      </c>
      <c r="C2244" s="180">
        <v>43429</v>
      </c>
      <c r="D2244" s="28">
        <v>25</v>
      </c>
      <c r="E2244" s="49">
        <v>18</v>
      </c>
      <c r="F2244" s="211">
        <f>IFERROR(Tableau6[[#This Row],[Score]]/Tableau6[[#This Row],[Nb]],0)</f>
        <v>0.72</v>
      </c>
    </row>
    <row r="2245" spans="1:6" ht="30" customHeight="1" x14ac:dyDescent="0.3">
      <c r="A2245" s="26" t="s">
        <v>1323</v>
      </c>
      <c r="B2245" s="27" t="s">
        <v>1324</v>
      </c>
      <c r="C2245" s="180">
        <v>43438</v>
      </c>
      <c r="D2245" s="28">
        <v>25</v>
      </c>
      <c r="E2245" s="49">
        <v>18</v>
      </c>
      <c r="F2245" s="211">
        <f>IFERROR(Tableau6[[#This Row],[Score]]/Tableau6[[#This Row],[Nb]],0)</f>
        <v>0.72</v>
      </c>
    </row>
    <row r="2246" spans="1:6" ht="30" customHeight="1" x14ac:dyDescent="0.3">
      <c r="A2246" s="26" t="s">
        <v>2958</v>
      </c>
      <c r="B2246" s="27" t="s">
        <v>2959</v>
      </c>
      <c r="C2246" s="180">
        <v>43984</v>
      </c>
      <c r="D2246" s="28">
        <v>25</v>
      </c>
      <c r="E2246" s="49">
        <v>18</v>
      </c>
      <c r="F2246" s="211">
        <f>IFERROR(Tableau6[[#This Row],[Score]]/Tableau6[[#This Row],[Nb]],0)</f>
        <v>0.72</v>
      </c>
    </row>
    <row r="2247" spans="1:6" ht="30" customHeight="1" x14ac:dyDescent="0.3">
      <c r="A2247" s="26" t="s">
        <v>3696</v>
      </c>
      <c r="B2247" s="27" t="s">
        <v>3697</v>
      </c>
      <c r="C2247" s="180">
        <v>44244</v>
      </c>
      <c r="D2247" s="28">
        <v>25</v>
      </c>
      <c r="E2247" s="49">
        <v>18</v>
      </c>
      <c r="F2247" s="211">
        <f>IFERROR(Tableau6[[#This Row],[Score]]/Tableau6[[#This Row],[Nb]],0)</f>
        <v>0.72</v>
      </c>
    </row>
    <row r="2248" spans="1:6" ht="30" customHeight="1" x14ac:dyDescent="0.3">
      <c r="A2248" s="26" t="s">
        <v>3996</v>
      </c>
      <c r="B2248" s="27" t="s">
        <v>3997</v>
      </c>
      <c r="C2248" s="180">
        <v>44262</v>
      </c>
      <c r="D2248" s="28">
        <v>25</v>
      </c>
      <c r="E2248" s="49">
        <v>18</v>
      </c>
      <c r="F2248" s="211">
        <f>IFERROR(Tableau6[[#This Row],[Score]]/Tableau6[[#This Row],[Nb]],0)</f>
        <v>0.72</v>
      </c>
    </row>
    <row r="2249" spans="1:6" ht="30" customHeight="1" x14ac:dyDescent="0.3">
      <c r="A2249" s="26" t="s">
        <v>3934</v>
      </c>
      <c r="B2249" s="27" t="s">
        <v>3935</v>
      </c>
      <c r="C2249" s="180">
        <v>44262</v>
      </c>
      <c r="D2249" s="28">
        <v>25</v>
      </c>
      <c r="E2249" s="49">
        <v>18</v>
      </c>
      <c r="F2249" s="211">
        <f>IFERROR(Tableau6[[#This Row],[Score]]/Tableau6[[#This Row],[Nb]],0)</f>
        <v>0.72</v>
      </c>
    </row>
    <row r="2250" spans="1:6" ht="30" customHeight="1" x14ac:dyDescent="0.3">
      <c r="A2250" s="26" t="s">
        <v>3834</v>
      </c>
      <c r="B2250" s="27" t="s">
        <v>3835</v>
      </c>
      <c r="C2250" s="180">
        <v>41621</v>
      </c>
      <c r="D2250" s="28">
        <v>18</v>
      </c>
      <c r="E2250" s="49">
        <v>13</v>
      </c>
      <c r="F2250" s="211">
        <f>IFERROR(Tableau6[[#This Row],[Score]]/Tableau6[[#This Row],[Nb]],0)</f>
        <v>0.72222222222222221</v>
      </c>
    </row>
    <row r="2251" spans="1:6" ht="30" customHeight="1" x14ac:dyDescent="0.3">
      <c r="A2251" s="26" t="s">
        <v>4670</v>
      </c>
      <c r="B2251" s="27" t="s">
        <v>4671</v>
      </c>
      <c r="C2251" s="180">
        <v>41621</v>
      </c>
      <c r="D2251" s="28">
        <v>18</v>
      </c>
      <c r="E2251" s="49">
        <v>13</v>
      </c>
      <c r="F2251" s="211">
        <f>IFERROR(Tableau6[[#This Row],[Score]]/Tableau6[[#This Row],[Nb]],0)</f>
        <v>0.72222222222222221</v>
      </c>
    </row>
    <row r="2252" spans="1:6" ht="30" customHeight="1" x14ac:dyDescent="0.3">
      <c r="A2252" s="26" t="s">
        <v>3908</v>
      </c>
      <c r="B2252" s="27" t="s">
        <v>3909</v>
      </c>
      <c r="C2252" s="180">
        <v>41621</v>
      </c>
      <c r="D2252" s="28">
        <v>18</v>
      </c>
      <c r="E2252" s="49">
        <v>13</v>
      </c>
      <c r="F2252" s="211">
        <f>IFERROR(Tableau6[[#This Row],[Score]]/Tableau6[[#This Row],[Nb]],0)</f>
        <v>0.72222222222222221</v>
      </c>
    </row>
    <row r="2253" spans="1:6" ht="30" customHeight="1" x14ac:dyDescent="0.3">
      <c r="A2253" s="26" t="s">
        <v>987</v>
      </c>
      <c r="B2253" s="27" t="s">
        <v>708</v>
      </c>
      <c r="C2253" s="180">
        <v>41621</v>
      </c>
      <c r="D2253" s="28">
        <v>18</v>
      </c>
      <c r="E2253" s="49">
        <v>13</v>
      </c>
      <c r="F2253" s="211">
        <f>IFERROR(Tableau6[[#This Row],[Score]]/Tableau6[[#This Row],[Nb]],0)</f>
        <v>0.72222222222222221</v>
      </c>
    </row>
    <row r="2254" spans="1:6" ht="30" customHeight="1" x14ac:dyDescent="0.3">
      <c r="A2254" s="26" t="s">
        <v>3531</v>
      </c>
      <c r="B2254" s="27" t="s">
        <v>3532</v>
      </c>
      <c r="C2254" s="180">
        <v>41621</v>
      </c>
      <c r="D2254" s="28">
        <v>18</v>
      </c>
      <c r="E2254" s="49">
        <v>13</v>
      </c>
      <c r="F2254" s="211">
        <f>IFERROR(Tableau6[[#This Row],[Score]]/Tableau6[[#This Row],[Nb]],0)</f>
        <v>0.72222222222222221</v>
      </c>
    </row>
    <row r="2255" spans="1:6" ht="30" customHeight="1" x14ac:dyDescent="0.3">
      <c r="A2255" s="26" t="s">
        <v>4487</v>
      </c>
      <c r="B2255" s="27" t="s">
        <v>4488</v>
      </c>
      <c r="C2255" s="180">
        <v>41621</v>
      </c>
      <c r="D2255" s="28">
        <v>18</v>
      </c>
      <c r="E2255" s="49">
        <v>13</v>
      </c>
      <c r="F2255" s="211">
        <f>IFERROR(Tableau6[[#This Row],[Score]]/Tableau6[[#This Row],[Nb]],0)</f>
        <v>0.72222222222222221</v>
      </c>
    </row>
    <row r="2256" spans="1:6" ht="30" customHeight="1" x14ac:dyDescent="0.3">
      <c r="A2256" s="26" t="s">
        <v>952</v>
      </c>
      <c r="B2256" s="27" t="s">
        <v>620</v>
      </c>
      <c r="C2256" s="180">
        <v>41621</v>
      </c>
      <c r="D2256" s="28">
        <v>18</v>
      </c>
      <c r="E2256" s="49">
        <v>13</v>
      </c>
      <c r="F2256" s="211">
        <f>IFERROR(Tableau6[[#This Row],[Score]]/Tableau6[[#This Row],[Nb]],0)</f>
        <v>0.72222222222222221</v>
      </c>
    </row>
    <row r="2257" spans="1:6" ht="30" customHeight="1" x14ac:dyDescent="0.3">
      <c r="A2257" s="26" t="s">
        <v>3494</v>
      </c>
      <c r="B2257" s="27" t="s">
        <v>3495</v>
      </c>
      <c r="C2257" s="180">
        <v>43341</v>
      </c>
      <c r="D2257" s="28">
        <v>18</v>
      </c>
      <c r="E2257" s="49">
        <v>13</v>
      </c>
      <c r="F2257" s="211">
        <f>IFERROR(Tableau6[[#This Row],[Score]]/Tableau6[[#This Row],[Nb]],0)</f>
        <v>0.72222222222222221</v>
      </c>
    </row>
    <row r="2258" spans="1:6" ht="30" customHeight="1" x14ac:dyDescent="0.3">
      <c r="A2258" s="26" t="s">
        <v>140</v>
      </c>
      <c r="B2258" s="27" t="s">
        <v>4020</v>
      </c>
      <c r="C2258" s="180">
        <v>43370</v>
      </c>
      <c r="D2258" s="28">
        <v>18</v>
      </c>
      <c r="E2258" s="49">
        <v>13</v>
      </c>
      <c r="F2258" s="211">
        <f>IFERROR(Tableau6[[#This Row],[Score]]/Tableau6[[#This Row],[Nb]],0)</f>
        <v>0.72222222222222221</v>
      </c>
    </row>
    <row r="2259" spans="1:6" ht="30" customHeight="1" x14ac:dyDescent="0.3">
      <c r="A2259" s="26" t="s">
        <v>1199</v>
      </c>
      <c r="B2259" s="27" t="s">
        <v>3528</v>
      </c>
      <c r="C2259" s="180">
        <v>43422</v>
      </c>
      <c r="D2259" s="28">
        <v>18</v>
      </c>
      <c r="E2259" s="49">
        <v>13</v>
      </c>
      <c r="F2259" s="211">
        <f>IFERROR(Tableau6[[#This Row],[Score]]/Tableau6[[#This Row],[Nb]],0)</f>
        <v>0.72222222222222221</v>
      </c>
    </row>
    <row r="2260" spans="1:6" ht="30" customHeight="1" x14ac:dyDescent="0.3">
      <c r="A2260" s="26" t="s">
        <v>1396</v>
      </c>
      <c r="B2260" s="27" t="s">
        <v>1397</v>
      </c>
      <c r="C2260" s="180">
        <v>43444</v>
      </c>
      <c r="D2260" s="28">
        <v>18</v>
      </c>
      <c r="E2260" s="49">
        <v>13</v>
      </c>
      <c r="F2260" s="211">
        <f>IFERROR(Tableau6[[#This Row],[Score]]/Tableau6[[#This Row],[Nb]],0)</f>
        <v>0.72222222222222221</v>
      </c>
    </row>
    <row r="2261" spans="1:6" ht="30" customHeight="1" x14ac:dyDescent="0.3">
      <c r="A2261" s="26" t="s">
        <v>4983</v>
      </c>
      <c r="B2261" s="27" t="s">
        <v>4984</v>
      </c>
      <c r="C2261" s="180">
        <v>44433</v>
      </c>
      <c r="D2261" s="28">
        <v>18</v>
      </c>
      <c r="E2261" s="49">
        <v>13</v>
      </c>
      <c r="F2261" s="211">
        <f>IFERROR(Tableau6[[#This Row],[Score]]/Tableau6[[#This Row],[Nb]],0)</f>
        <v>0.72222222222222221</v>
      </c>
    </row>
    <row r="2262" spans="1:6" ht="30" customHeight="1" x14ac:dyDescent="0.3">
      <c r="A2262" s="26" t="s">
        <v>379</v>
      </c>
      <c r="B2262" s="27" t="s">
        <v>380</v>
      </c>
      <c r="C2262" s="180">
        <v>40611</v>
      </c>
      <c r="D2262" s="28">
        <v>29</v>
      </c>
      <c r="E2262" s="49">
        <v>21</v>
      </c>
      <c r="F2262" s="211">
        <f>IFERROR(Tableau6[[#This Row],[Score]]/Tableau6[[#This Row],[Nb]],0)</f>
        <v>0.72413793103448276</v>
      </c>
    </row>
    <row r="2263" spans="1:6" ht="30" customHeight="1" x14ac:dyDescent="0.3">
      <c r="A2263" s="26" t="s">
        <v>369</v>
      </c>
      <c r="B2263" s="27" t="s">
        <v>370</v>
      </c>
      <c r="C2263" s="180">
        <v>40611</v>
      </c>
      <c r="D2263" s="28">
        <v>29</v>
      </c>
      <c r="E2263" s="49">
        <v>21</v>
      </c>
      <c r="F2263" s="211">
        <f>IFERROR(Tableau6[[#This Row],[Score]]/Tableau6[[#This Row],[Nb]],0)</f>
        <v>0.72413793103448276</v>
      </c>
    </row>
    <row r="2264" spans="1:6" ht="30" customHeight="1" x14ac:dyDescent="0.3">
      <c r="A2264" s="26" t="s">
        <v>360</v>
      </c>
      <c r="B2264" s="27" t="s">
        <v>361</v>
      </c>
      <c r="C2264" s="180">
        <v>40611</v>
      </c>
      <c r="D2264" s="28">
        <v>29</v>
      </c>
      <c r="E2264" s="49">
        <v>21</v>
      </c>
      <c r="F2264" s="211">
        <f>IFERROR(Tableau6[[#This Row],[Score]]/Tableau6[[#This Row],[Nb]],0)</f>
        <v>0.72413793103448276</v>
      </c>
    </row>
    <row r="2265" spans="1:6" ht="30" customHeight="1" x14ac:dyDescent="0.3">
      <c r="A2265" s="151" t="s">
        <v>5523</v>
      </c>
      <c r="B2265" s="27" t="s">
        <v>4805</v>
      </c>
      <c r="C2265" s="180">
        <v>41621</v>
      </c>
      <c r="D2265" s="28">
        <v>29</v>
      </c>
      <c r="E2265" s="49">
        <v>21</v>
      </c>
      <c r="F2265" s="211">
        <f>IFERROR(Tableau6[[#This Row],[Score]]/Tableau6[[#This Row],[Nb]],0)</f>
        <v>0.72413793103448276</v>
      </c>
    </row>
    <row r="2266" spans="1:6" ht="30" customHeight="1" x14ac:dyDescent="0.3">
      <c r="A2266" s="26" t="s">
        <v>750</v>
      </c>
      <c r="B2266" s="27" t="s">
        <v>4669</v>
      </c>
      <c r="C2266" s="180">
        <v>41621</v>
      </c>
      <c r="D2266" s="28">
        <v>29</v>
      </c>
      <c r="E2266" s="49">
        <v>21</v>
      </c>
      <c r="F2266" s="211">
        <f>IFERROR(Tableau6[[#This Row],[Score]]/Tableau6[[#This Row],[Nb]],0)</f>
        <v>0.72413793103448276</v>
      </c>
    </row>
    <row r="2267" spans="1:6" ht="30" customHeight="1" x14ac:dyDescent="0.3">
      <c r="A2267" s="26" t="s">
        <v>890</v>
      </c>
      <c r="B2267" s="27" t="s">
        <v>891</v>
      </c>
      <c r="C2267" s="180">
        <v>41621</v>
      </c>
      <c r="D2267" s="28">
        <v>29</v>
      </c>
      <c r="E2267" s="49">
        <v>21</v>
      </c>
      <c r="F2267" s="211">
        <f>IFERROR(Tableau6[[#This Row],[Score]]/Tableau6[[#This Row],[Nb]],0)</f>
        <v>0.72413793103448276</v>
      </c>
    </row>
    <row r="2268" spans="1:6" ht="30" customHeight="1" x14ac:dyDescent="0.3">
      <c r="A2268" s="26" t="s">
        <v>3810</v>
      </c>
      <c r="B2268" s="27" t="s">
        <v>3811</v>
      </c>
      <c r="C2268" s="180">
        <v>43298</v>
      </c>
      <c r="D2268" s="28">
        <v>29</v>
      </c>
      <c r="E2268" s="49">
        <v>21</v>
      </c>
      <c r="F2268" s="211">
        <f>IFERROR(Tableau6[[#This Row],[Score]]/Tableau6[[#This Row],[Nb]],0)</f>
        <v>0.72413793103448276</v>
      </c>
    </row>
    <row r="2269" spans="1:6" ht="30" customHeight="1" x14ac:dyDescent="0.3">
      <c r="A2269" s="26" t="s">
        <v>3093</v>
      </c>
      <c r="B2269" s="27" t="s">
        <v>3094</v>
      </c>
      <c r="C2269" s="180">
        <v>44004</v>
      </c>
      <c r="D2269" s="28">
        <v>29</v>
      </c>
      <c r="E2269" s="49">
        <v>21</v>
      </c>
      <c r="F2269" s="211">
        <f>IFERROR(Tableau6[[#This Row],[Score]]/Tableau6[[#This Row],[Nb]],0)</f>
        <v>0.72413793103448276</v>
      </c>
    </row>
    <row r="2270" spans="1:6" ht="30" customHeight="1" x14ac:dyDescent="0.3">
      <c r="A2270" s="151" t="s">
        <v>6297</v>
      </c>
      <c r="B2270" s="27" t="s">
        <v>2071</v>
      </c>
      <c r="C2270" s="180">
        <v>44026</v>
      </c>
      <c r="D2270" s="28">
        <v>29</v>
      </c>
      <c r="E2270" s="49">
        <v>21</v>
      </c>
      <c r="F2270" s="211">
        <f>IFERROR(Tableau6[[#This Row],[Score]]/Tableau6[[#This Row],[Nb]],0)</f>
        <v>0.72413793103448276</v>
      </c>
    </row>
    <row r="2271" spans="1:6" ht="30" customHeight="1" x14ac:dyDescent="0.3">
      <c r="A2271" s="26" t="s">
        <v>3361</v>
      </c>
      <c r="B2271" s="27" t="s">
        <v>3362</v>
      </c>
      <c r="C2271" s="180">
        <v>41522</v>
      </c>
      <c r="D2271" s="28">
        <v>22</v>
      </c>
      <c r="E2271" s="49">
        <v>16</v>
      </c>
      <c r="F2271" s="211">
        <f>IFERROR(Tableau6[[#This Row],[Score]]/Tableau6[[#This Row],[Nb]],0)</f>
        <v>0.72727272727272729</v>
      </c>
    </row>
    <row r="2272" spans="1:6" ht="30" customHeight="1" x14ac:dyDescent="0.3">
      <c r="A2272" s="26" t="s">
        <v>275</v>
      </c>
      <c r="B2272" s="27" t="s">
        <v>276</v>
      </c>
      <c r="C2272" s="180">
        <v>41522</v>
      </c>
      <c r="D2272" s="28">
        <v>22</v>
      </c>
      <c r="E2272" s="49">
        <v>16</v>
      </c>
      <c r="F2272" s="211">
        <f>IFERROR(Tableau6[[#This Row],[Score]]/Tableau6[[#This Row],[Nb]],0)</f>
        <v>0.72727272727272729</v>
      </c>
    </row>
    <row r="2273" spans="1:6" ht="30" customHeight="1" x14ac:dyDescent="0.3">
      <c r="A2273" s="26" t="s">
        <v>775</v>
      </c>
      <c r="B2273" s="27" t="s">
        <v>710</v>
      </c>
      <c r="C2273" s="180">
        <v>41621</v>
      </c>
      <c r="D2273" s="28">
        <v>22</v>
      </c>
      <c r="E2273" s="49">
        <v>16</v>
      </c>
      <c r="F2273" s="211">
        <f>IFERROR(Tableau6[[#This Row],[Score]]/Tableau6[[#This Row],[Nb]],0)</f>
        <v>0.72727272727272729</v>
      </c>
    </row>
    <row r="2274" spans="1:6" ht="30" customHeight="1" x14ac:dyDescent="0.3">
      <c r="A2274" s="26" t="s">
        <v>894</v>
      </c>
      <c r="B2274" s="27" t="s">
        <v>769</v>
      </c>
      <c r="C2274" s="180">
        <v>41621</v>
      </c>
      <c r="D2274" s="28">
        <v>22</v>
      </c>
      <c r="E2274" s="49">
        <v>16</v>
      </c>
      <c r="F2274" s="211">
        <f>IFERROR(Tableau6[[#This Row],[Score]]/Tableau6[[#This Row],[Nb]],0)</f>
        <v>0.72727272727272729</v>
      </c>
    </row>
    <row r="2275" spans="1:6" ht="30" customHeight="1" x14ac:dyDescent="0.3">
      <c r="A2275" s="26" t="s">
        <v>4463</v>
      </c>
      <c r="B2275" s="27" t="s">
        <v>3437</v>
      </c>
      <c r="C2275" s="180">
        <v>41621</v>
      </c>
      <c r="D2275" s="28">
        <v>22</v>
      </c>
      <c r="E2275" s="49">
        <v>16</v>
      </c>
      <c r="F2275" s="211">
        <f>IFERROR(Tableau6[[#This Row],[Score]]/Tableau6[[#This Row],[Nb]],0)</f>
        <v>0.72727272727272729</v>
      </c>
    </row>
    <row r="2276" spans="1:6" ht="30" customHeight="1" x14ac:dyDescent="0.3">
      <c r="A2276" s="26" t="s">
        <v>975</v>
      </c>
      <c r="B2276" s="27" t="s">
        <v>741</v>
      </c>
      <c r="C2276" s="180">
        <v>41621</v>
      </c>
      <c r="D2276" s="28">
        <v>22</v>
      </c>
      <c r="E2276" s="49">
        <v>16</v>
      </c>
      <c r="F2276" s="211">
        <f>IFERROR(Tableau6[[#This Row],[Score]]/Tableau6[[#This Row],[Nb]],0)</f>
        <v>0.72727272727272729</v>
      </c>
    </row>
    <row r="2277" spans="1:6" ht="30" customHeight="1" x14ac:dyDescent="0.3">
      <c r="A2277" s="26" t="s">
        <v>2536</v>
      </c>
      <c r="B2277" s="27" t="s">
        <v>2537</v>
      </c>
      <c r="C2277" s="180">
        <v>41621</v>
      </c>
      <c r="D2277" s="28">
        <v>22</v>
      </c>
      <c r="E2277" s="49">
        <v>16</v>
      </c>
      <c r="F2277" s="211">
        <f>IFERROR(Tableau6[[#This Row],[Score]]/Tableau6[[#This Row],[Nb]],0)</f>
        <v>0.72727272727272729</v>
      </c>
    </row>
    <row r="2278" spans="1:6" ht="30" customHeight="1" x14ac:dyDescent="0.3">
      <c r="A2278" s="26" t="s">
        <v>1431</v>
      </c>
      <c r="B2278" s="27" t="s">
        <v>4166</v>
      </c>
      <c r="C2278" s="180">
        <v>41621</v>
      </c>
      <c r="D2278" s="28">
        <v>22</v>
      </c>
      <c r="E2278" s="49">
        <v>16</v>
      </c>
      <c r="F2278" s="211">
        <f>IFERROR(Tableau6[[#This Row],[Score]]/Tableau6[[#This Row],[Nb]],0)</f>
        <v>0.72727272727272729</v>
      </c>
    </row>
    <row r="2279" spans="1:6" ht="30" customHeight="1" x14ac:dyDescent="0.3">
      <c r="A2279" s="26" t="s">
        <v>1038</v>
      </c>
      <c r="B2279" s="45" t="s">
        <v>5054</v>
      </c>
      <c r="C2279" s="180">
        <v>43206</v>
      </c>
      <c r="D2279" s="28">
        <v>22</v>
      </c>
      <c r="E2279" s="49">
        <v>16</v>
      </c>
      <c r="F2279" s="211">
        <f>IFERROR(Tableau6[[#This Row],[Score]]/Tableau6[[#This Row],[Nb]],0)</f>
        <v>0.72727272727272729</v>
      </c>
    </row>
    <row r="2280" spans="1:6" ht="30" customHeight="1" x14ac:dyDescent="0.3">
      <c r="A2280" s="26" t="s">
        <v>703</v>
      </c>
      <c r="B2280" s="27" t="s">
        <v>720</v>
      </c>
      <c r="C2280" s="180">
        <v>43237</v>
      </c>
      <c r="D2280" s="28">
        <v>22</v>
      </c>
      <c r="E2280" s="49">
        <v>16</v>
      </c>
      <c r="F2280" s="211">
        <f>IFERROR(Tableau6[[#This Row],[Score]]/Tableau6[[#This Row],[Nb]],0)</f>
        <v>0.72727272727272729</v>
      </c>
    </row>
    <row r="2281" spans="1:6" ht="30" customHeight="1" x14ac:dyDescent="0.3">
      <c r="A2281" s="26" t="s">
        <v>3368</v>
      </c>
      <c r="B2281" s="27" t="s">
        <v>3371</v>
      </c>
      <c r="C2281" s="180">
        <v>43237</v>
      </c>
      <c r="D2281" s="28">
        <v>22</v>
      </c>
      <c r="E2281" s="49">
        <v>16</v>
      </c>
      <c r="F2281" s="211">
        <f>IFERROR(Tableau6[[#This Row],[Score]]/Tableau6[[#This Row],[Nb]],0)</f>
        <v>0.72727272727272729</v>
      </c>
    </row>
    <row r="2282" spans="1:6" ht="30" customHeight="1" x14ac:dyDescent="0.3">
      <c r="A2282" s="26" t="s">
        <v>50</v>
      </c>
      <c r="B2282" s="27" t="s">
        <v>51</v>
      </c>
      <c r="C2282" s="180">
        <v>43298</v>
      </c>
      <c r="D2282" s="28">
        <v>22</v>
      </c>
      <c r="E2282" s="49">
        <v>16</v>
      </c>
      <c r="F2282" s="211">
        <f>IFERROR(Tableau6[[#This Row],[Score]]/Tableau6[[#This Row],[Nb]],0)</f>
        <v>0.72727272727272729</v>
      </c>
    </row>
    <row r="2283" spans="1:6" ht="30" customHeight="1" x14ac:dyDescent="0.3">
      <c r="A2283" s="26" t="s">
        <v>80</v>
      </c>
      <c r="B2283" s="27" t="s">
        <v>81</v>
      </c>
      <c r="C2283" s="180">
        <v>43341</v>
      </c>
      <c r="D2283" s="28">
        <v>22</v>
      </c>
      <c r="E2283" s="49">
        <v>16</v>
      </c>
      <c r="F2283" s="211">
        <f>IFERROR(Tableau6[[#This Row],[Score]]/Tableau6[[#This Row],[Nb]],0)</f>
        <v>0.72727272727272729</v>
      </c>
    </row>
    <row r="2284" spans="1:6" ht="30" customHeight="1" x14ac:dyDescent="0.3">
      <c r="A2284" s="26" t="s">
        <v>238</v>
      </c>
      <c r="B2284" s="27" t="s">
        <v>239</v>
      </c>
      <c r="C2284" s="180">
        <v>43397</v>
      </c>
      <c r="D2284" s="28">
        <v>22</v>
      </c>
      <c r="E2284" s="49">
        <v>16</v>
      </c>
      <c r="F2284" s="211">
        <f>IFERROR(Tableau6[[#This Row],[Score]]/Tableau6[[#This Row],[Nb]],0)</f>
        <v>0.72727272727272729</v>
      </c>
    </row>
    <row r="2285" spans="1:6" ht="30" customHeight="1" x14ac:dyDescent="0.3">
      <c r="A2285" s="26" t="s">
        <v>3527</v>
      </c>
      <c r="B2285" s="27" t="s">
        <v>559</v>
      </c>
      <c r="C2285" s="180">
        <v>43406</v>
      </c>
      <c r="D2285" s="28">
        <v>22</v>
      </c>
      <c r="E2285" s="49">
        <v>16</v>
      </c>
      <c r="F2285" s="211">
        <f>IFERROR(Tableau6[[#This Row],[Score]]/Tableau6[[#This Row],[Nb]],0)</f>
        <v>0.72727272727272729</v>
      </c>
    </row>
    <row r="2286" spans="1:6" ht="30" customHeight="1" x14ac:dyDescent="0.3">
      <c r="A2286" s="26" t="s">
        <v>615</v>
      </c>
      <c r="B2286" s="27" t="s">
        <v>616</v>
      </c>
      <c r="C2286" s="180">
        <v>43409</v>
      </c>
      <c r="D2286" s="28">
        <v>22</v>
      </c>
      <c r="E2286" s="49">
        <v>16</v>
      </c>
      <c r="F2286" s="211">
        <f>IFERROR(Tableau6[[#This Row],[Score]]/Tableau6[[#This Row],[Nb]],0)</f>
        <v>0.72727272727272729</v>
      </c>
    </row>
    <row r="2287" spans="1:6" ht="30" customHeight="1" x14ac:dyDescent="0.3">
      <c r="A2287" s="26" t="s">
        <v>4230</v>
      </c>
      <c r="B2287" s="27" t="s">
        <v>3353</v>
      </c>
      <c r="C2287" s="180">
        <v>43493</v>
      </c>
      <c r="D2287" s="28">
        <v>22</v>
      </c>
      <c r="E2287" s="49">
        <v>16</v>
      </c>
      <c r="F2287" s="211">
        <f>IFERROR(Tableau6[[#This Row],[Score]]/Tableau6[[#This Row],[Nb]],0)</f>
        <v>0.72727272727272729</v>
      </c>
    </row>
    <row r="2288" spans="1:6" ht="30" customHeight="1" x14ac:dyDescent="0.3">
      <c r="A2288" s="26" t="s">
        <v>1678</v>
      </c>
      <c r="B2288" s="27" t="s">
        <v>1679</v>
      </c>
      <c r="C2288" s="180">
        <v>43548</v>
      </c>
      <c r="D2288" s="28">
        <v>22</v>
      </c>
      <c r="E2288" s="49">
        <v>16</v>
      </c>
      <c r="F2288" s="211">
        <f>IFERROR(Tableau6[[#This Row],[Score]]/Tableau6[[#This Row],[Nb]],0)</f>
        <v>0.72727272727272729</v>
      </c>
    </row>
    <row r="2289" spans="1:6" ht="30" customHeight="1" x14ac:dyDescent="0.3">
      <c r="A2289" s="26" t="s">
        <v>2244</v>
      </c>
      <c r="B2289" s="27" t="s">
        <v>4747</v>
      </c>
      <c r="C2289" s="180">
        <v>43756</v>
      </c>
      <c r="D2289" s="28">
        <v>22</v>
      </c>
      <c r="E2289" s="49">
        <v>16</v>
      </c>
      <c r="F2289" s="211">
        <f>IFERROR(Tableau6[[#This Row],[Score]]/Tableau6[[#This Row],[Nb]],0)</f>
        <v>0.72727272727272729</v>
      </c>
    </row>
    <row r="2290" spans="1:6" ht="30" customHeight="1" x14ac:dyDescent="0.3">
      <c r="A2290" s="26" t="s">
        <v>2331</v>
      </c>
      <c r="B2290" s="27" t="s">
        <v>2332</v>
      </c>
      <c r="C2290" s="180">
        <v>43771</v>
      </c>
      <c r="D2290" s="28">
        <v>22</v>
      </c>
      <c r="E2290" s="49">
        <v>16</v>
      </c>
      <c r="F2290" s="211">
        <f>IFERROR(Tableau6[[#This Row],[Score]]/Tableau6[[#This Row],[Nb]],0)</f>
        <v>0.72727272727272729</v>
      </c>
    </row>
    <row r="2291" spans="1:6" ht="30" customHeight="1" x14ac:dyDescent="0.3">
      <c r="A2291" s="26" t="s">
        <v>2505</v>
      </c>
      <c r="B2291" s="27" t="s">
        <v>3843</v>
      </c>
      <c r="C2291" s="180">
        <v>43802</v>
      </c>
      <c r="D2291" s="28">
        <v>22</v>
      </c>
      <c r="E2291" s="49">
        <v>16</v>
      </c>
      <c r="F2291" s="211">
        <f>IFERROR(Tableau6[[#This Row],[Score]]/Tableau6[[#This Row],[Nb]],0)</f>
        <v>0.72727272727272729</v>
      </c>
    </row>
    <row r="2292" spans="1:6" ht="30" customHeight="1" x14ac:dyDescent="0.3">
      <c r="A2292" s="26" t="s">
        <v>2795</v>
      </c>
      <c r="B2292" s="27" t="s">
        <v>2796</v>
      </c>
      <c r="C2292" s="180">
        <v>43934</v>
      </c>
      <c r="D2292" s="28">
        <v>22</v>
      </c>
      <c r="E2292" s="49">
        <v>16</v>
      </c>
      <c r="F2292" s="211">
        <f>IFERROR(Tableau6[[#This Row],[Score]]/Tableau6[[#This Row],[Nb]],0)</f>
        <v>0.72727272727272729</v>
      </c>
    </row>
    <row r="2293" spans="1:6" ht="30" customHeight="1" x14ac:dyDescent="0.3">
      <c r="A2293" s="26" t="s">
        <v>4464</v>
      </c>
      <c r="B2293" s="27" t="s">
        <v>4465</v>
      </c>
      <c r="C2293" s="180">
        <v>43934</v>
      </c>
      <c r="D2293" s="28">
        <v>22</v>
      </c>
      <c r="E2293" s="49">
        <v>16</v>
      </c>
      <c r="F2293" s="211">
        <f>IFERROR(Tableau6[[#This Row],[Score]]/Tableau6[[#This Row],[Nb]],0)</f>
        <v>0.72727272727272729</v>
      </c>
    </row>
    <row r="2294" spans="1:6" ht="30" customHeight="1" x14ac:dyDescent="0.3">
      <c r="A2294" s="26" t="s">
        <v>2818</v>
      </c>
      <c r="B2294" s="27" t="s">
        <v>2819</v>
      </c>
      <c r="C2294" s="180">
        <v>43962</v>
      </c>
      <c r="D2294" s="28">
        <v>22</v>
      </c>
      <c r="E2294" s="49">
        <v>16</v>
      </c>
      <c r="F2294" s="211">
        <f>IFERROR(Tableau6[[#This Row],[Score]]/Tableau6[[#This Row],[Nb]],0)</f>
        <v>0.72727272727272729</v>
      </c>
    </row>
    <row r="2295" spans="1:6" ht="30" customHeight="1" x14ac:dyDescent="0.3">
      <c r="A2295" s="26" t="s">
        <v>2927</v>
      </c>
      <c r="B2295" s="27" t="s">
        <v>2928</v>
      </c>
      <c r="C2295" s="180">
        <v>43977</v>
      </c>
      <c r="D2295" s="28">
        <v>22</v>
      </c>
      <c r="E2295" s="49">
        <v>16</v>
      </c>
      <c r="F2295" s="211">
        <f>IFERROR(Tableau6[[#This Row],[Score]]/Tableau6[[#This Row],[Nb]],0)</f>
        <v>0.72727272727272729</v>
      </c>
    </row>
    <row r="2296" spans="1:6" ht="30" customHeight="1" x14ac:dyDescent="0.3">
      <c r="A2296" s="26" t="s">
        <v>3023</v>
      </c>
      <c r="B2296" s="27" t="s">
        <v>3024</v>
      </c>
      <c r="C2296" s="180">
        <v>44004</v>
      </c>
      <c r="D2296" s="28">
        <v>22</v>
      </c>
      <c r="E2296" s="49">
        <v>16</v>
      </c>
      <c r="F2296" s="211">
        <f>IFERROR(Tableau6[[#This Row],[Score]]/Tableau6[[#This Row],[Nb]],0)</f>
        <v>0.72727272727272729</v>
      </c>
    </row>
    <row r="2297" spans="1:6" ht="30" customHeight="1" x14ac:dyDescent="0.3">
      <c r="A2297" s="26" t="s">
        <v>4307</v>
      </c>
      <c r="B2297" s="27" t="s">
        <v>4308</v>
      </c>
      <c r="C2297" s="180">
        <v>44283</v>
      </c>
      <c r="D2297" s="28">
        <v>22</v>
      </c>
      <c r="E2297" s="49">
        <v>16</v>
      </c>
      <c r="F2297" s="211">
        <f>IFERROR(Tableau6[[#This Row],[Score]]/Tableau6[[#This Row],[Nb]],0)</f>
        <v>0.72727272727272729</v>
      </c>
    </row>
    <row r="2298" spans="1:6" ht="30" customHeight="1" x14ac:dyDescent="0.3">
      <c r="A2298" s="26" t="s">
        <v>4890</v>
      </c>
      <c r="B2298" s="27" t="s">
        <v>4891</v>
      </c>
      <c r="C2298" s="180">
        <v>44404</v>
      </c>
      <c r="D2298" s="28">
        <v>11</v>
      </c>
      <c r="E2298" s="49">
        <v>8</v>
      </c>
      <c r="F2298" s="211">
        <f>IFERROR(Tableau6[[#This Row],[Score]]/Tableau6[[#This Row],[Nb]],0)</f>
        <v>0.72727272727272729</v>
      </c>
    </row>
    <row r="2299" spans="1:6" ht="30" customHeight="1" x14ac:dyDescent="0.3">
      <c r="A2299" s="26" t="s">
        <v>4973</v>
      </c>
      <c r="B2299" s="27" t="s">
        <v>4974</v>
      </c>
      <c r="C2299" s="180">
        <v>44432</v>
      </c>
      <c r="D2299" s="28">
        <v>11</v>
      </c>
      <c r="E2299" s="49">
        <v>8</v>
      </c>
      <c r="F2299" s="211">
        <f>IFERROR(Tableau6[[#This Row],[Score]]/Tableau6[[#This Row],[Nb]],0)</f>
        <v>0.72727272727272729</v>
      </c>
    </row>
    <row r="2300" spans="1:6" ht="30" customHeight="1" x14ac:dyDescent="0.3">
      <c r="A2300" s="26" t="s">
        <v>289</v>
      </c>
      <c r="B2300" s="27" t="s">
        <v>290</v>
      </c>
      <c r="C2300" s="180">
        <v>40611</v>
      </c>
      <c r="D2300" s="28">
        <v>26</v>
      </c>
      <c r="E2300" s="49">
        <v>19</v>
      </c>
      <c r="F2300" s="211">
        <f>IFERROR(Tableau6[[#This Row],[Score]]/Tableau6[[#This Row],[Nb]],0)</f>
        <v>0.73076923076923073</v>
      </c>
    </row>
    <row r="2301" spans="1:6" ht="30" customHeight="1" x14ac:dyDescent="0.3">
      <c r="A2301" s="26" t="s">
        <v>912</v>
      </c>
      <c r="B2301" s="27" t="s">
        <v>821</v>
      </c>
      <c r="C2301" s="180">
        <v>41522</v>
      </c>
      <c r="D2301" s="28">
        <v>26</v>
      </c>
      <c r="E2301" s="49">
        <v>19</v>
      </c>
      <c r="F2301" s="211">
        <f>IFERROR(Tableau6[[#This Row],[Score]]/Tableau6[[#This Row],[Nb]],0)</f>
        <v>0.73076923076923073</v>
      </c>
    </row>
    <row r="2302" spans="1:6" ht="30" customHeight="1" x14ac:dyDescent="0.3">
      <c r="A2302" s="29" t="s">
        <v>937</v>
      </c>
      <c r="B2302" s="27" t="s">
        <v>875</v>
      </c>
      <c r="C2302" s="180">
        <v>41621</v>
      </c>
      <c r="D2302" s="28">
        <v>26</v>
      </c>
      <c r="E2302" s="49">
        <v>19</v>
      </c>
      <c r="F2302" s="211">
        <f>IFERROR(Tableau6[[#This Row],[Score]]/Tableau6[[#This Row],[Nb]],0)</f>
        <v>0.73076923076923073</v>
      </c>
    </row>
    <row r="2303" spans="1:6" ht="30" customHeight="1" x14ac:dyDescent="0.3">
      <c r="A2303" s="26" t="s">
        <v>758</v>
      </c>
      <c r="B2303" s="27" t="s">
        <v>680</v>
      </c>
      <c r="C2303" s="180">
        <v>41621</v>
      </c>
      <c r="D2303" s="28">
        <v>26</v>
      </c>
      <c r="E2303" s="49">
        <v>19</v>
      </c>
      <c r="F2303" s="211">
        <f>IFERROR(Tableau6[[#This Row],[Score]]/Tableau6[[#This Row],[Nb]],0)</f>
        <v>0.73076923076923073</v>
      </c>
    </row>
    <row r="2304" spans="1:6" ht="30" customHeight="1" x14ac:dyDescent="0.3">
      <c r="A2304" s="26" t="s">
        <v>827</v>
      </c>
      <c r="B2304" s="152" t="s">
        <v>5374</v>
      </c>
      <c r="C2304" s="180">
        <v>41621</v>
      </c>
      <c r="D2304" s="28">
        <v>26</v>
      </c>
      <c r="E2304" s="49">
        <v>19</v>
      </c>
      <c r="F2304" s="211">
        <f>IFERROR(Tableau6[[#This Row],[Score]]/Tableau6[[#This Row],[Nb]],0)</f>
        <v>0.73076923076923073</v>
      </c>
    </row>
    <row r="2305" spans="1:6" ht="30" customHeight="1" x14ac:dyDescent="0.3">
      <c r="A2305" s="26" t="s">
        <v>691</v>
      </c>
      <c r="B2305" s="27" t="s">
        <v>692</v>
      </c>
      <c r="C2305" s="180">
        <v>41621</v>
      </c>
      <c r="D2305" s="28">
        <v>26</v>
      </c>
      <c r="E2305" s="49">
        <v>19</v>
      </c>
      <c r="F2305" s="211">
        <f>IFERROR(Tableau6[[#This Row],[Score]]/Tableau6[[#This Row],[Nb]],0)</f>
        <v>0.73076923076923073</v>
      </c>
    </row>
    <row r="2306" spans="1:6" ht="30" customHeight="1" x14ac:dyDescent="0.3">
      <c r="A2306" s="26" t="s">
        <v>4753</v>
      </c>
      <c r="B2306" s="27" t="s">
        <v>4754</v>
      </c>
      <c r="C2306" s="180">
        <v>43341</v>
      </c>
      <c r="D2306" s="28">
        <v>26</v>
      </c>
      <c r="E2306" s="49">
        <v>19</v>
      </c>
      <c r="F2306" s="211">
        <f>IFERROR(Tableau6[[#This Row],[Score]]/Tableau6[[#This Row],[Nb]],0)</f>
        <v>0.73076923076923073</v>
      </c>
    </row>
    <row r="2307" spans="1:6" ht="30" customHeight="1" x14ac:dyDescent="0.3">
      <c r="A2307" s="26" t="s">
        <v>1951</v>
      </c>
      <c r="B2307" s="152" t="s">
        <v>5520</v>
      </c>
      <c r="C2307" s="180">
        <v>43603</v>
      </c>
      <c r="D2307" s="28">
        <v>26</v>
      </c>
      <c r="E2307" s="49">
        <v>19</v>
      </c>
      <c r="F2307" s="211">
        <f>IFERROR(Tableau6[[#This Row],[Score]]/Tableau6[[#This Row],[Nb]],0)</f>
        <v>0.73076923076923073</v>
      </c>
    </row>
    <row r="2308" spans="1:6" ht="30" customHeight="1" x14ac:dyDescent="0.3">
      <c r="A2308" s="26" t="s">
        <v>2361</v>
      </c>
      <c r="B2308" s="27" t="s">
        <v>2142</v>
      </c>
      <c r="C2308" s="180">
        <v>43682</v>
      </c>
      <c r="D2308" s="28">
        <v>26</v>
      </c>
      <c r="E2308" s="49">
        <v>19</v>
      </c>
      <c r="F2308" s="211">
        <f>IFERROR(Tableau6[[#This Row],[Score]]/Tableau6[[#This Row],[Nb]],0)</f>
        <v>0.73076923076923073</v>
      </c>
    </row>
    <row r="2309" spans="1:6" ht="30" customHeight="1" x14ac:dyDescent="0.3">
      <c r="A2309" s="26" t="s">
        <v>2260</v>
      </c>
      <c r="B2309" s="27" t="s">
        <v>4584</v>
      </c>
      <c r="C2309" s="180">
        <v>43761</v>
      </c>
      <c r="D2309" s="28">
        <v>26</v>
      </c>
      <c r="E2309" s="49">
        <v>19</v>
      </c>
      <c r="F2309" s="211">
        <f>IFERROR(Tableau6[[#This Row],[Score]]/Tableau6[[#This Row],[Nb]],0)</f>
        <v>0.73076923076923073</v>
      </c>
    </row>
    <row r="2310" spans="1:6" ht="30" customHeight="1" x14ac:dyDescent="0.3">
      <c r="A2310" s="26" t="s">
        <v>3029</v>
      </c>
      <c r="B2310" s="27" t="s">
        <v>3030</v>
      </c>
      <c r="C2310" s="180">
        <v>44004</v>
      </c>
      <c r="D2310" s="28">
        <v>26</v>
      </c>
      <c r="E2310" s="49">
        <v>19</v>
      </c>
      <c r="F2310" s="211">
        <f>IFERROR(Tableau6[[#This Row],[Score]]/Tableau6[[#This Row],[Nb]],0)</f>
        <v>0.73076923076923073</v>
      </c>
    </row>
    <row r="2311" spans="1:6" ht="30" customHeight="1" x14ac:dyDescent="0.3">
      <c r="A2311" s="26" t="s">
        <v>3226</v>
      </c>
      <c r="B2311" s="27" t="s">
        <v>3227</v>
      </c>
      <c r="C2311" s="180">
        <v>44026</v>
      </c>
      <c r="D2311" s="28">
        <v>26</v>
      </c>
      <c r="E2311" s="49">
        <v>19</v>
      </c>
      <c r="F2311" s="211">
        <f>IFERROR(Tableau6[[#This Row],[Score]]/Tableau6[[#This Row],[Nb]],0)</f>
        <v>0.73076923076923073</v>
      </c>
    </row>
    <row r="2312" spans="1:6" ht="30" customHeight="1" x14ac:dyDescent="0.3">
      <c r="A2312" s="26" t="s">
        <v>4406</v>
      </c>
      <c r="B2312" s="27" t="s">
        <v>4407</v>
      </c>
      <c r="C2312" s="180">
        <v>44299</v>
      </c>
      <c r="D2312" s="28">
        <v>26</v>
      </c>
      <c r="E2312" s="49">
        <v>19</v>
      </c>
      <c r="F2312" s="211">
        <f>IFERROR(Tableau6[[#This Row],[Score]]/Tableau6[[#This Row],[Nb]],0)</f>
        <v>0.73076923076923073</v>
      </c>
    </row>
    <row r="2313" spans="1:6" ht="30" customHeight="1" x14ac:dyDescent="0.3">
      <c r="A2313" s="26" t="s">
        <v>4417</v>
      </c>
      <c r="B2313" s="27" t="s">
        <v>4888</v>
      </c>
      <c r="C2313" s="180">
        <v>44299</v>
      </c>
      <c r="D2313" s="28">
        <v>26</v>
      </c>
      <c r="E2313" s="49">
        <v>19</v>
      </c>
      <c r="F2313" s="211">
        <f>IFERROR(Tableau6[[#This Row],[Score]]/Tableau6[[#This Row],[Nb]],0)</f>
        <v>0.73076923076923073</v>
      </c>
    </row>
    <row r="2314" spans="1:6" ht="30" customHeight="1" x14ac:dyDescent="0.3">
      <c r="A2314" s="26" t="s">
        <v>498</v>
      </c>
      <c r="B2314" s="27" t="s">
        <v>499</v>
      </c>
      <c r="C2314" s="180">
        <v>40611</v>
      </c>
      <c r="D2314" s="28">
        <v>30</v>
      </c>
      <c r="E2314" s="49">
        <v>22</v>
      </c>
      <c r="F2314" s="211">
        <f>IFERROR(Tableau6[[#This Row],[Score]]/Tableau6[[#This Row],[Nb]],0)</f>
        <v>0.73333333333333328</v>
      </c>
    </row>
    <row r="2315" spans="1:6" ht="30" customHeight="1" x14ac:dyDescent="0.3">
      <c r="A2315" s="26" t="s">
        <v>2628</v>
      </c>
      <c r="B2315" s="27" t="s">
        <v>2629</v>
      </c>
      <c r="C2315" s="180">
        <v>41621</v>
      </c>
      <c r="D2315" s="28">
        <v>15</v>
      </c>
      <c r="E2315" s="49">
        <v>11</v>
      </c>
      <c r="F2315" s="211">
        <f>IFERROR(Tableau6[[#This Row],[Score]]/Tableau6[[#This Row],[Nb]],0)</f>
        <v>0.73333333333333328</v>
      </c>
    </row>
    <row r="2316" spans="1:6" ht="30" customHeight="1" x14ac:dyDescent="0.3">
      <c r="A2316" s="26" t="s">
        <v>777</v>
      </c>
      <c r="B2316" s="27" t="s">
        <v>679</v>
      </c>
      <c r="C2316" s="180">
        <v>41621</v>
      </c>
      <c r="D2316" s="28">
        <v>30</v>
      </c>
      <c r="E2316" s="49">
        <v>22</v>
      </c>
      <c r="F2316" s="211">
        <f>IFERROR(Tableau6[[#This Row],[Score]]/Tableau6[[#This Row],[Nb]],0)</f>
        <v>0.73333333333333328</v>
      </c>
    </row>
    <row r="2317" spans="1:6" ht="30" customHeight="1" x14ac:dyDescent="0.3">
      <c r="A2317" s="26" t="s">
        <v>790</v>
      </c>
      <c r="B2317" s="27" t="s">
        <v>4543</v>
      </c>
      <c r="C2317" s="180">
        <v>43237</v>
      </c>
      <c r="D2317" s="28">
        <v>30</v>
      </c>
      <c r="E2317" s="49">
        <v>22</v>
      </c>
      <c r="F2317" s="211">
        <f>IFERROR(Tableau6[[#This Row],[Score]]/Tableau6[[#This Row],[Nb]],0)</f>
        <v>0.73333333333333328</v>
      </c>
    </row>
    <row r="2318" spans="1:6" ht="30" customHeight="1" x14ac:dyDescent="0.3">
      <c r="A2318" s="26" t="s">
        <v>1089</v>
      </c>
      <c r="B2318" s="27" t="s">
        <v>72</v>
      </c>
      <c r="C2318" s="180">
        <v>43325</v>
      </c>
      <c r="D2318" s="28">
        <v>30</v>
      </c>
      <c r="E2318" s="49">
        <v>22</v>
      </c>
      <c r="F2318" s="211">
        <f>IFERROR(Tableau6[[#This Row],[Score]]/Tableau6[[#This Row],[Nb]],0)</f>
        <v>0.73333333333333328</v>
      </c>
    </row>
    <row r="2319" spans="1:6" ht="30" customHeight="1" x14ac:dyDescent="0.3">
      <c r="A2319" s="26" t="s">
        <v>2107</v>
      </c>
      <c r="B2319" s="27" t="s">
        <v>2108</v>
      </c>
      <c r="C2319" s="180">
        <v>43673</v>
      </c>
      <c r="D2319" s="28">
        <v>30</v>
      </c>
      <c r="E2319" s="49">
        <v>22</v>
      </c>
      <c r="F2319" s="211">
        <f>IFERROR(Tableau6[[#This Row],[Score]]/Tableau6[[#This Row],[Nb]],0)</f>
        <v>0.73333333333333328</v>
      </c>
    </row>
    <row r="2320" spans="1:6" ht="30" customHeight="1" x14ac:dyDescent="0.3">
      <c r="A2320" s="26" t="s">
        <v>2611</v>
      </c>
      <c r="B2320" s="27" t="s">
        <v>2612</v>
      </c>
      <c r="C2320" s="180">
        <v>43857</v>
      </c>
      <c r="D2320" s="28">
        <v>15</v>
      </c>
      <c r="E2320" s="49">
        <v>11</v>
      </c>
      <c r="F2320" s="211">
        <f>IFERROR(Tableau6[[#This Row],[Score]]/Tableau6[[#This Row],[Nb]],0)</f>
        <v>0.73333333333333328</v>
      </c>
    </row>
    <row r="2321" spans="1:6" ht="30" customHeight="1" x14ac:dyDescent="0.3">
      <c r="A2321" s="26" t="s">
        <v>3936</v>
      </c>
      <c r="B2321" s="27" t="s">
        <v>3937</v>
      </c>
      <c r="C2321" s="180">
        <v>44262</v>
      </c>
      <c r="D2321" s="28">
        <v>15</v>
      </c>
      <c r="E2321" s="49">
        <v>11</v>
      </c>
      <c r="F2321" s="211">
        <f>IFERROR(Tableau6[[#This Row],[Score]]/Tableau6[[#This Row],[Nb]],0)</f>
        <v>0.73333333333333328</v>
      </c>
    </row>
    <row r="2322" spans="1:6" ht="30" customHeight="1" x14ac:dyDescent="0.3">
      <c r="A2322" s="26" t="s">
        <v>4139</v>
      </c>
      <c r="B2322" s="27" t="s">
        <v>1117</v>
      </c>
      <c r="C2322" s="180">
        <v>44271</v>
      </c>
      <c r="D2322" s="28">
        <v>15</v>
      </c>
      <c r="E2322" s="49">
        <v>11</v>
      </c>
      <c r="F2322" s="211">
        <f>IFERROR(Tableau6[[#This Row],[Score]]/Tableau6[[#This Row],[Nb]],0)</f>
        <v>0.73333333333333328</v>
      </c>
    </row>
    <row r="2323" spans="1:6" ht="30" customHeight="1" x14ac:dyDescent="0.3">
      <c r="A2323" s="151" t="s">
        <v>5424</v>
      </c>
      <c r="B2323" s="152" t="s">
        <v>5425</v>
      </c>
      <c r="C2323" s="208">
        <v>44564</v>
      </c>
      <c r="D2323" s="154">
        <v>15</v>
      </c>
      <c r="E2323" s="154">
        <v>11</v>
      </c>
      <c r="F2323" s="211">
        <f>IFERROR(Tableau6[[#This Row],[Score]]/Tableau6[[#This Row],[Nb]],0)</f>
        <v>0.73333333333333328</v>
      </c>
    </row>
    <row r="2324" spans="1:6" ht="30" customHeight="1" x14ac:dyDescent="0.3">
      <c r="A2324" s="26" t="s">
        <v>858</v>
      </c>
      <c r="B2324" s="27" t="s">
        <v>859</v>
      </c>
      <c r="C2324" s="180">
        <v>41621</v>
      </c>
      <c r="D2324" s="28">
        <v>19</v>
      </c>
      <c r="E2324" s="49">
        <v>14</v>
      </c>
      <c r="F2324" s="211">
        <f>IFERROR(Tableau6[[#This Row],[Score]]/Tableau6[[#This Row],[Nb]],0)</f>
        <v>0.73684210526315785</v>
      </c>
    </row>
    <row r="2325" spans="1:6" ht="30" customHeight="1" x14ac:dyDescent="0.3">
      <c r="A2325" s="26" t="s">
        <v>1562</v>
      </c>
      <c r="B2325" s="27" t="s">
        <v>4707</v>
      </c>
      <c r="C2325" s="180">
        <v>41621</v>
      </c>
      <c r="D2325" s="28">
        <v>19</v>
      </c>
      <c r="E2325" s="49">
        <v>14</v>
      </c>
      <c r="F2325" s="211">
        <f>IFERROR(Tableau6[[#This Row],[Score]]/Tableau6[[#This Row],[Nb]],0)</f>
        <v>0.73684210526315785</v>
      </c>
    </row>
    <row r="2326" spans="1:6" ht="30" customHeight="1" x14ac:dyDescent="0.3">
      <c r="A2326" s="26" t="s">
        <v>966</v>
      </c>
      <c r="B2326" s="27" t="s">
        <v>823</v>
      </c>
      <c r="C2326" s="180">
        <v>41621</v>
      </c>
      <c r="D2326" s="28">
        <v>19</v>
      </c>
      <c r="E2326" s="49">
        <v>14</v>
      </c>
      <c r="F2326" s="211">
        <f>IFERROR(Tableau6[[#This Row],[Score]]/Tableau6[[#This Row],[Nb]],0)</f>
        <v>0.73684210526315785</v>
      </c>
    </row>
    <row r="2327" spans="1:6" ht="30" customHeight="1" x14ac:dyDescent="0.3">
      <c r="A2327" s="26" t="s">
        <v>1448</v>
      </c>
      <c r="B2327" s="27" t="s">
        <v>4871</v>
      </c>
      <c r="C2327" s="180">
        <v>43205</v>
      </c>
      <c r="D2327" s="28">
        <v>19</v>
      </c>
      <c r="E2327" s="49">
        <v>14</v>
      </c>
      <c r="F2327" s="211">
        <f>IFERROR(Tableau6[[#This Row],[Score]]/Tableau6[[#This Row],[Nb]],0)</f>
        <v>0.73684210526315785</v>
      </c>
    </row>
    <row r="2328" spans="1:6" ht="30" customHeight="1" x14ac:dyDescent="0.3">
      <c r="A2328" s="26" t="s">
        <v>1047</v>
      </c>
      <c r="B2328" s="27" t="s">
        <v>905</v>
      </c>
      <c r="C2328" s="180">
        <v>43237</v>
      </c>
      <c r="D2328" s="28">
        <v>19</v>
      </c>
      <c r="E2328" s="49">
        <v>14</v>
      </c>
      <c r="F2328" s="211">
        <f>IFERROR(Tableau6[[#This Row],[Score]]/Tableau6[[#This Row],[Nb]],0)</f>
        <v>0.73684210526315785</v>
      </c>
    </row>
    <row r="2329" spans="1:6" ht="30" customHeight="1" x14ac:dyDescent="0.3">
      <c r="A2329" s="26" t="s">
        <v>3297</v>
      </c>
      <c r="B2329" s="147" t="s">
        <v>5128</v>
      </c>
      <c r="C2329" s="180">
        <v>43382</v>
      </c>
      <c r="D2329" s="28">
        <v>19</v>
      </c>
      <c r="E2329" s="49">
        <v>14</v>
      </c>
      <c r="F2329" s="211">
        <f>IFERROR(Tableau6[[#This Row],[Score]]/Tableau6[[#This Row],[Nb]],0)</f>
        <v>0.73684210526315785</v>
      </c>
    </row>
    <row r="2330" spans="1:6" ht="30" customHeight="1" x14ac:dyDescent="0.3">
      <c r="A2330" s="26" t="s">
        <v>1277</v>
      </c>
      <c r="B2330" s="27" t="s">
        <v>4540</v>
      </c>
      <c r="C2330" s="180">
        <v>43425</v>
      </c>
      <c r="D2330" s="28">
        <v>19</v>
      </c>
      <c r="E2330" s="49">
        <v>14</v>
      </c>
      <c r="F2330" s="211">
        <f>IFERROR(Tableau6[[#This Row],[Score]]/Tableau6[[#This Row],[Nb]],0)</f>
        <v>0.73684210526315785</v>
      </c>
    </row>
    <row r="2331" spans="1:6" ht="30" customHeight="1" x14ac:dyDescent="0.3">
      <c r="A2331" s="26" t="s">
        <v>2128</v>
      </c>
      <c r="B2331" s="27" t="s">
        <v>4970</v>
      </c>
      <c r="C2331" s="180">
        <v>43682</v>
      </c>
      <c r="D2331" s="28">
        <v>19</v>
      </c>
      <c r="E2331" s="49">
        <v>14</v>
      </c>
      <c r="F2331" s="211">
        <f>IFERROR(Tableau6[[#This Row],[Score]]/Tableau6[[#This Row],[Nb]],0)</f>
        <v>0.73684210526315785</v>
      </c>
    </row>
    <row r="2332" spans="1:6" ht="30" customHeight="1" x14ac:dyDescent="0.3">
      <c r="A2332" s="26" t="s">
        <v>2487</v>
      </c>
      <c r="B2332" s="27" t="s">
        <v>2488</v>
      </c>
      <c r="C2332" s="180">
        <v>43787</v>
      </c>
      <c r="D2332" s="28">
        <v>19</v>
      </c>
      <c r="E2332" s="49">
        <v>14</v>
      </c>
      <c r="F2332" s="211">
        <f>IFERROR(Tableau6[[#This Row],[Score]]/Tableau6[[#This Row],[Nb]],0)</f>
        <v>0.73684210526315785</v>
      </c>
    </row>
    <row r="2333" spans="1:6" ht="30" customHeight="1" x14ac:dyDescent="0.3">
      <c r="A2333" s="26" t="s">
        <v>2507</v>
      </c>
      <c r="B2333" s="27" t="s">
        <v>2508</v>
      </c>
      <c r="C2333" s="180">
        <v>43802</v>
      </c>
      <c r="D2333" s="28">
        <v>19</v>
      </c>
      <c r="E2333" s="49">
        <v>14</v>
      </c>
      <c r="F2333" s="211">
        <f>IFERROR(Tableau6[[#This Row],[Score]]/Tableau6[[#This Row],[Nb]],0)</f>
        <v>0.73684210526315785</v>
      </c>
    </row>
    <row r="2334" spans="1:6" ht="30" customHeight="1" x14ac:dyDescent="0.3">
      <c r="A2334" s="26" t="s">
        <v>2878</v>
      </c>
      <c r="B2334" s="27" t="s">
        <v>2879</v>
      </c>
      <c r="C2334" s="180">
        <v>43969</v>
      </c>
      <c r="D2334" s="28">
        <v>19</v>
      </c>
      <c r="E2334" s="49">
        <v>14</v>
      </c>
      <c r="F2334" s="211">
        <f>IFERROR(Tableau6[[#This Row],[Score]]/Tableau6[[#This Row],[Nb]],0)</f>
        <v>0.73684210526315785</v>
      </c>
    </row>
    <row r="2335" spans="1:6" ht="30" customHeight="1" x14ac:dyDescent="0.3">
      <c r="A2335" s="26" t="s">
        <v>1339</v>
      </c>
      <c r="B2335" s="27" t="s">
        <v>1340</v>
      </c>
      <c r="C2335" s="180">
        <v>44004</v>
      </c>
      <c r="D2335" s="28">
        <v>19</v>
      </c>
      <c r="E2335" s="49">
        <v>14</v>
      </c>
      <c r="F2335" s="211">
        <f>IFERROR(Tableau6[[#This Row],[Score]]/Tableau6[[#This Row],[Nb]],0)</f>
        <v>0.73684210526315785</v>
      </c>
    </row>
    <row r="2336" spans="1:6" ht="30" customHeight="1" x14ac:dyDescent="0.3">
      <c r="A2336" s="26" t="s">
        <v>3317</v>
      </c>
      <c r="B2336" s="27" t="s">
        <v>3318</v>
      </c>
      <c r="C2336" s="180">
        <v>44042</v>
      </c>
      <c r="D2336" s="28">
        <v>19</v>
      </c>
      <c r="E2336" s="49">
        <v>14</v>
      </c>
      <c r="F2336" s="211">
        <f>IFERROR(Tableau6[[#This Row],[Score]]/Tableau6[[#This Row],[Nb]],0)</f>
        <v>0.73684210526315785</v>
      </c>
    </row>
    <row r="2337" spans="1:6" ht="30" customHeight="1" x14ac:dyDescent="0.3">
      <c r="A2337" s="26" t="s">
        <v>4289</v>
      </c>
      <c r="B2337" s="27" t="s">
        <v>4290</v>
      </c>
      <c r="C2337" s="180">
        <v>44283</v>
      </c>
      <c r="D2337" s="28">
        <v>19</v>
      </c>
      <c r="E2337" s="49">
        <v>14</v>
      </c>
      <c r="F2337" s="211">
        <f>IFERROR(Tableau6[[#This Row],[Score]]/Tableau6[[#This Row],[Nb]],0)</f>
        <v>0.73684210526315785</v>
      </c>
    </row>
    <row r="2338" spans="1:6" ht="30" customHeight="1" x14ac:dyDescent="0.3">
      <c r="A2338" s="26" t="s">
        <v>1436</v>
      </c>
      <c r="B2338" s="27" t="s">
        <v>1437</v>
      </c>
      <c r="C2338" s="180">
        <v>41621</v>
      </c>
      <c r="D2338" s="28">
        <v>23</v>
      </c>
      <c r="E2338" s="49">
        <v>17</v>
      </c>
      <c r="F2338" s="211">
        <f>IFERROR(Tableau6[[#This Row],[Score]]/Tableau6[[#This Row],[Nb]],0)</f>
        <v>0.73913043478260865</v>
      </c>
    </row>
    <row r="2339" spans="1:6" ht="30" customHeight="1" x14ac:dyDescent="0.3">
      <c r="A2339" s="26" t="s">
        <v>3856</v>
      </c>
      <c r="B2339" s="27" t="s">
        <v>3857</v>
      </c>
      <c r="C2339" s="180">
        <v>41621</v>
      </c>
      <c r="D2339" s="28">
        <v>23</v>
      </c>
      <c r="E2339" s="49">
        <v>17</v>
      </c>
      <c r="F2339" s="211">
        <f>IFERROR(Tableau6[[#This Row],[Score]]/Tableau6[[#This Row],[Nb]],0)</f>
        <v>0.73913043478260865</v>
      </c>
    </row>
    <row r="2340" spans="1:6" ht="30" customHeight="1" x14ac:dyDescent="0.3">
      <c r="A2340" s="26" t="s">
        <v>2921</v>
      </c>
      <c r="B2340" s="27" t="s">
        <v>2922</v>
      </c>
      <c r="C2340" s="180">
        <v>41621</v>
      </c>
      <c r="D2340" s="28">
        <v>23</v>
      </c>
      <c r="E2340" s="49">
        <v>17</v>
      </c>
      <c r="F2340" s="211">
        <f>IFERROR(Tableau6[[#This Row],[Score]]/Tableau6[[#This Row],[Nb]],0)</f>
        <v>0.73913043478260865</v>
      </c>
    </row>
    <row r="2341" spans="1:6" ht="30" customHeight="1" x14ac:dyDescent="0.3">
      <c r="A2341" s="26" t="s">
        <v>1127</v>
      </c>
      <c r="B2341" s="27" t="s">
        <v>2313</v>
      </c>
      <c r="C2341" s="180">
        <v>41621</v>
      </c>
      <c r="D2341" s="28">
        <v>23</v>
      </c>
      <c r="E2341" s="49">
        <v>17</v>
      </c>
      <c r="F2341" s="211">
        <f>IFERROR(Tableau6[[#This Row],[Score]]/Tableau6[[#This Row],[Nb]],0)</f>
        <v>0.73913043478260865</v>
      </c>
    </row>
    <row r="2342" spans="1:6" ht="30" customHeight="1" x14ac:dyDescent="0.3">
      <c r="A2342" s="151" t="s">
        <v>6354</v>
      </c>
      <c r="B2342" s="27" t="s">
        <v>2298</v>
      </c>
      <c r="C2342" s="180">
        <v>43767</v>
      </c>
      <c r="D2342" s="28">
        <v>23</v>
      </c>
      <c r="E2342" s="49">
        <v>17</v>
      </c>
      <c r="F2342" s="211">
        <f>IFERROR(Tableau6[[#This Row],[Score]]/Tableau6[[#This Row],[Nb]],0)</f>
        <v>0.73913043478260865</v>
      </c>
    </row>
    <row r="2343" spans="1:6" ht="30" customHeight="1" x14ac:dyDescent="0.3">
      <c r="A2343" s="26" t="s">
        <v>3230</v>
      </c>
      <c r="B2343" s="27" t="s">
        <v>3231</v>
      </c>
      <c r="C2343" s="180">
        <v>44026</v>
      </c>
      <c r="D2343" s="28">
        <v>23</v>
      </c>
      <c r="E2343" s="49">
        <v>17</v>
      </c>
      <c r="F2343" s="211">
        <f>IFERROR(Tableau6[[#This Row],[Score]]/Tableau6[[#This Row],[Nb]],0)</f>
        <v>0.73913043478260865</v>
      </c>
    </row>
    <row r="2344" spans="1:6" ht="30" customHeight="1" x14ac:dyDescent="0.3">
      <c r="A2344" s="26" t="s">
        <v>3949</v>
      </c>
      <c r="B2344" s="27" t="s">
        <v>3948</v>
      </c>
      <c r="C2344" s="180">
        <v>44262</v>
      </c>
      <c r="D2344" s="28">
        <v>23</v>
      </c>
      <c r="E2344" s="49">
        <v>17</v>
      </c>
      <c r="F2344" s="211">
        <f>IFERROR(Tableau6[[#This Row],[Score]]/Tableau6[[#This Row],[Nb]],0)</f>
        <v>0.73913043478260865</v>
      </c>
    </row>
    <row r="2345" spans="1:6" ht="30" customHeight="1" x14ac:dyDescent="0.3">
      <c r="A2345" s="26" t="s">
        <v>413</v>
      </c>
      <c r="B2345" s="27" t="s">
        <v>414</v>
      </c>
      <c r="C2345" s="180">
        <v>40611</v>
      </c>
      <c r="D2345" s="28">
        <v>27</v>
      </c>
      <c r="E2345" s="49">
        <v>20</v>
      </c>
      <c r="F2345" s="211">
        <f>IFERROR(Tableau6[[#This Row],[Score]]/Tableau6[[#This Row],[Nb]],0)</f>
        <v>0.7407407407407407</v>
      </c>
    </row>
    <row r="2346" spans="1:6" ht="30" customHeight="1" x14ac:dyDescent="0.3">
      <c r="A2346" s="414" t="s">
        <v>6520</v>
      </c>
      <c r="B2346" s="27" t="s">
        <v>867</v>
      </c>
      <c r="C2346" s="180">
        <v>43237</v>
      </c>
      <c r="D2346" s="28">
        <v>27</v>
      </c>
      <c r="E2346" s="49">
        <v>20</v>
      </c>
      <c r="F2346" s="211">
        <f>IFERROR(Tableau6[[#This Row],[Score]]/Tableau6[[#This Row],[Nb]],0)</f>
        <v>0.7407407407407407</v>
      </c>
    </row>
    <row r="2347" spans="1:6" ht="30" customHeight="1" x14ac:dyDescent="0.3">
      <c r="A2347" s="26" t="s">
        <v>3610</v>
      </c>
      <c r="B2347" s="27" t="s">
        <v>3365</v>
      </c>
      <c r="C2347" s="180">
        <v>43237</v>
      </c>
      <c r="D2347" s="28">
        <v>27</v>
      </c>
      <c r="E2347" s="49">
        <v>20</v>
      </c>
      <c r="F2347" s="211">
        <f>IFERROR(Tableau6[[#This Row],[Score]]/Tableau6[[#This Row],[Nb]],0)</f>
        <v>0.7407407407407407</v>
      </c>
    </row>
    <row r="2348" spans="1:6" ht="30" customHeight="1" x14ac:dyDescent="0.3">
      <c r="A2348" s="26" t="s">
        <v>244</v>
      </c>
      <c r="B2348" s="27" t="s">
        <v>245</v>
      </c>
      <c r="C2348" s="180">
        <v>43397</v>
      </c>
      <c r="D2348" s="28">
        <v>27</v>
      </c>
      <c r="E2348" s="49">
        <v>20</v>
      </c>
      <c r="F2348" s="211">
        <f>IFERROR(Tableau6[[#This Row],[Score]]/Tableau6[[#This Row],[Nb]],0)</f>
        <v>0.7407407407407407</v>
      </c>
    </row>
    <row r="2349" spans="1:6" ht="30" customHeight="1" x14ac:dyDescent="0.3">
      <c r="A2349" s="26" t="s">
        <v>3722</v>
      </c>
      <c r="B2349" s="27" t="s">
        <v>3723</v>
      </c>
      <c r="C2349" s="180">
        <v>44249</v>
      </c>
      <c r="D2349" s="28">
        <v>27</v>
      </c>
      <c r="E2349" s="49">
        <v>20</v>
      </c>
      <c r="F2349" s="211">
        <f>IFERROR(Tableau6[[#This Row],[Score]]/Tableau6[[#This Row],[Nb]],0)</f>
        <v>0.7407407407407407</v>
      </c>
    </row>
    <row r="2350" spans="1:6" ht="30" customHeight="1" x14ac:dyDescent="0.3">
      <c r="A2350" s="26" t="s">
        <v>3762</v>
      </c>
      <c r="B2350" s="152" t="s">
        <v>5157</v>
      </c>
      <c r="C2350" s="180">
        <v>44251</v>
      </c>
      <c r="D2350" s="28">
        <v>27</v>
      </c>
      <c r="E2350" s="49">
        <v>20</v>
      </c>
      <c r="F2350" s="211">
        <f>IFERROR(Tableau6[[#This Row],[Score]]/Tableau6[[#This Row],[Nb]],0)</f>
        <v>0.7407407407407407</v>
      </c>
    </row>
    <row r="2351" spans="1:6" ht="30" customHeight="1" x14ac:dyDescent="0.3">
      <c r="A2351" s="26" t="s">
        <v>4281</v>
      </c>
      <c r="B2351" s="27" t="s">
        <v>4282</v>
      </c>
      <c r="C2351" s="180">
        <v>44283</v>
      </c>
      <c r="D2351" s="28">
        <v>27</v>
      </c>
      <c r="E2351" s="49">
        <v>20</v>
      </c>
      <c r="F2351" s="211">
        <f>IFERROR(Tableau6[[#This Row],[Score]]/Tableau6[[#This Row],[Nb]],0)</f>
        <v>0.7407407407407407</v>
      </c>
    </row>
    <row r="2352" spans="1:6" ht="30" customHeight="1" x14ac:dyDescent="0.3">
      <c r="A2352" s="26" t="s">
        <v>4349</v>
      </c>
      <c r="B2352" s="27" t="s">
        <v>4350</v>
      </c>
      <c r="C2352" s="180">
        <v>44298</v>
      </c>
      <c r="D2352" s="28">
        <v>27</v>
      </c>
      <c r="E2352" s="49">
        <v>20</v>
      </c>
      <c r="F2352" s="211">
        <f>IFERROR(Tableau6[[#This Row],[Score]]/Tableau6[[#This Row],[Nb]],0)</f>
        <v>0.7407407407407407</v>
      </c>
    </row>
    <row r="2353" spans="1:6" ht="30" customHeight="1" x14ac:dyDescent="0.3">
      <c r="A2353" s="26" t="s">
        <v>2881</v>
      </c>
      <c r="B2353" s="27" t="s">
        <v>2883</v>
      </c>
      <c r="C2353" s="180">
        <v>41522</v>
      </c>
      <c r="D2353" s="28">
        <v>31</v>
      </c>
      <c r="E2353" s="49">
        <v>23</v>
      </c>
      <c r="F2353" s="211">
        <f>IFERROR(Tableau6[[#This Row],[Score]]/Tableau6[[#This Row],[Nb]],0)</f>
        <v>0.74193548387096775</v>
      </c>
    </row>
    <row r="2354" spans="1:6" ht="30" customHeight="1" x14ac:dyDescent="0.3">
      <c r="A2354" s="26" t="s">
        <v>4248</v>
      </c>
      <c r="B2354" s="27" t="s">
        <v>1999</v>
      </c>
      <c r="C2354" s="180">
        <v>41621</v>
      </c>
      <c r="D2354" s="28">
        <v>31</v>
      </c>
      <c r="E2354" s="49">
        <v>23</v>
      </c>
      <c r="F2354" s="211">
        <f>IFERROR(Tableau6[[#This Row],[Score]]/Tableau6[[#This Row],[Nb]],0)</f>
        <v>0.74193548387096775</v>
      </c>
    </row>
    <row r="2355" spans="1:6" ht="30" customHeight="1" x14ac:dyDescent="0.3">
      <c r="A2355" s="26" t="s">
        <v>1045</v>
      </c>
      <c r="B2355" s="27" t="s">
        <v>754</v>
      </c>
      <c r="C2355" s="180">
        <v>43237</v>
      </c>
      <c r="D2355" s="28">
        <v>31</v>
      </c>
      <c r="E2355" s="49">
        <v>23</v>
      </c>
      <c r="F2355" s="211">
        <f>IFERROR(Tableau6[[#This Row],[Score]]/Tableau6[[#This Row],[Nb]],0)</f>
        <v>0.74193548387096775</v>
      </c>
    </row>
    <row r="2356" spans="1:6" ht="30" customHeight="1" x14ac:dyDescent="0.3">
      <c r="A2356" s="26" t="s">
        <v>381</v>
      </c>
      <c r="B2356" s="27" t="s">
        <v>382</v>
      </c>
      <c r="C2356" s="180">
        <v>40611</v>
      </c>
      <c r="D2356" s="28">
        <v>16</v>
      </c>
      <c r="E2356" s="49">
        <v>12</v>
      </c>
      <c r="F2356" s="211">
        <f>IFERROR(Tableau6[[#This Row],[Score]]/Tableau6[[#This Row],[Nb]],0)</f>
        <v>0.75</v>
      </c>
    </row>
    <row r="2357" spans="1:6" ht="30" customHeight="1" x14ac:dyDescent="0.3">
      <c r="A2357" s="26" t="s">
        <v>321</v>
      </c>
      <c r="B2357" s="27" t="s">
        <v>322</v>
      </c>
      <c r="C2357" s="180">
        <v>40611</v>
      </c>
      <c r="D2357" s="28">
        <v>24</v>
      </c>
      <c r="E2357" s="49">
        <v>18</v>
      </c>
      <c r="F2357" s="211">
        <f>IFERROR(Tableau6[[#This Row],[Score]]/Tableau6[[#This Row],[Nb]],0)</f>
        <v>0.75</v>
      </c>
    </row>
    <row r="2358" spans="1:6" ht="30" customHeight="1" x14ac:dyDescent="0.3">
      <c r="A2358" s="26" t="s">
        <v>3003</v>
      </c>
      <c r="B2358" s="27" t="s">
        <v>3002</v>
      </c>
      <c r="C2358" s="180">
        <v>41522</v>
      </c>
      <c r="D2358" s="28">
        <v>28</v>
      </c>
      <c r="E2358" s="49">
        <v>21</v>
      </c>
      <c r="F2358" s="211">
        <f>IFERROR(Tableau6[[#This Row],[Score]]/Tableau6[[#This Row],[Nb]],0)</f>
        <v>0.75</v>
      </c>
    </row>
    <row r="2359" spans="1:6" ht="30" customHeight="1" x14ac:dyDescent="0.3">
      <c r="A2359" s="26" t="s">
        <v>3642</v>
      </c>
      <c r="B2359" s="27" t="s">
        <v>3643</v>
      </c>
      <c r="C2359" s="180">
        <v>41621</v>
      </c>
      <c r="D2359" s="28">
        <v>20</v>
      </c>
      <c r="E2359" s="49">
        <v>15</v>
      </c>
      <c r="F2359" s="211">
        <f>IFERROR(Tableau6[[#This Row],[Score]]/Tableau6[[#This Row],[Nb]],0)</f>
        <v>0.75</v>
      </c>
    </row>
    <row r="2360" spans="1:6" ht="30" customHeight="1" x14ac:dyDescent="0.3">
      <c r="A2360" s="26" t="s">
        <v>1132</v>
      </c>
      <c r="B2360" s="27" t="s">
        <v>1133</v>
      </c>
      <c r="C2360" s="180">
        <v>41621</v>
      </c>
      <c r="D2360" s="28">
        <v>28</v>
      </c>
      <c r="E2360" s="49">
        <v>21</v>
      </c>
      <c r="F2360" s="211">
        <f>IFERROR(Tableau6[[#This Row],[Score]]/Tableau6[[#This Row],[Nb]],0)</f>
        <v>0.75</v>
      </c>
    </row>
    <row r="2361" spans="1:6" ht="30" customHeight="1" x14ac:dyDescent="0.3">
      <c r="A2361" s="26" t="s">
        <v>3276</v>
      </c>
      <c r="B2361" s="27" t="s">
        <v>4809</v>
      </c>
      <c r="C2361" s="180">
        <v>41621</v>
      </c>
      <c r="D2361" s="28">
        <v>24</v>
      </c>
      <c r="E2361" s="49">
        <v>18</v>
      </c>
      <c r="F2361" s="211">
        <f>IFERROR(Tableau6[[#This Row],[Score]]/Tableau6[[#This Row],[Nb]],0)</f>
        <v>0.75</v>
      </c>
    </row>
    <row r="2362" spans="1:6" ht="30" customHeight="1" x14ac:dyDescent="0.3">
      <c r="A2362" s="26" t="s">
        <v>932</v>
      </c>
      <c r="B2362" s="27" t="s">
        <v>822</v>
      </c>
      <c r="C2362" s="180">
        <v>41621</v>
      </c>
      <c r="D2362" s="28">
        <v>24</v>
      </c>
      <c r="E2362" s="49">
        <v>18</v>
      </c>
      <c r="F2362" s="211">
        <f>IFERROR(Tableau6[[#This Row],[Score]]/Tableau6[[#This Row],[Nb]],0)</f>
        <v>0.75</v>
      </c>
    </row>
    <row r="2363" spans="1:6" ht="30" customHeight="1" x14ac:dyDescent="0.3">
      <c r="A2363" s="26" t="s">
        <v>1472</v>
      </c>
      <c r="B2363" s="27" t="s">
        <v>4615</v>
      </c>
      <c r="C2363" s="180">
        <v>41621</v>
      </c>
      <c r="D2363" s="28">
        <v>16</v>
      </c>
      <c r="E2363" s="49">
        <v>12</v>
      </c>
      <c r="F2363" s="211">
        <f>IFERROR(Tableau6[[#This Row],[Score]]/Tableau6[[#This Row],[Nb]],0)</f>
        <v>0.75</v>
      </c>
    </row>
    <row r="2364" spans="1:6" ht="30" customHeight="1" x14ac:dyDescent="0.3">
      <c r="A2364" s="26" t="s">
        <v>2925</v>
      </c>
      <c r="B2364" s="27" t="s">
        <v>2926</v>
      </c>
      <c r="C2364" s="180">
        <v>41621</v>
      </c>
      <c r="D2364" s="28">
        <v>24</v>
      </c>
      <c r="E2364" s="49">
        <v>18</v>
      </c>
      <c r="F2364" s="211">
        <f>IFERROR(Tableau6[[#This Row],[Score]]/Tableau6[[#This Row],[Nb]],0)</f>
        <v>0.75</v>
      </c>
    </row>
    <row r="2365" spans="1:6" ht="30" customHeight="1" x14ac:dyDescent="0.3">
      <c r="A2365" s="26" t="s">
        <v>994</v>
      </c>
      <c r="B2365" s="27" t="s">
        <v>709</v>
      </c>
      <c r="C2365" s="180">
        <v>41621</v>
      </c>
      <c r="D2365" s="28">
        <v>24</v>
      </c>
      <c r="E2365" s="49">
        <v>18</v>
      </c>
      <c r="F2365" s="211">
        <f>IFERROR(Tableau6[[#This Row],[Score]]/Tableau6[[#This Row],[Nb]],0)</f>
        <v>0.75</v>
      </c>
    </row>
    <row r="2366" spans="1:6" ht="30" customHeight="1" x14ac:dyDescent="0.3">
      <c r="A2366" s="26" t="s">
        <v>3876</v>
      </c>
      <c r="B2366" s="27" t="s">
        <v>3877</v>
      </c>
      <c r="C2366" s="180">
        <v>41621</v>
      </c>
      <c r="D2366" s="28">
        <v>16</v>
      </c>
      <c r="E2366" s="49">
        <v>12</v>
      </c>
      <c r="F2366" s="211">
        <f>IFERROR(Tableau6[[#This Row],[Score]]/Tableau6[[#This Row],[Nb]],0)</f>
        <v>0.75</v>
      </c>
    </row>
    <row r="2367" spans="1:6" ht="30" customHeight="1" x14ac:dyDescent="0.3">
      <c r="A2367" s="26" t="s">
        <v>834</v>
      </c>
      <c r="B2367" s="27" t="s">
        <v>4710</v>
      </c>
      <c r="C2367" s="180">
        <v>41621</v>
      </c>
      <c r="D2367" s="28">
        <v>16</v>
      </c>
      <c r="E2367" s="49">
        <v>12</v>
      </c>
      <c r="F2367" s="211">
        <f>IFERROR(Tableau6[[#This Row],[Score]]/Tableau6[[#This Row],[Nb]],0)</f>
        <v>0.75</v>
      </c>
    </row>
    <row r="2368" spans="1:6" ht="30" customHeight="1" x14ac:dyDescent="0.3">
      <c r="A2368" s="26" t="s">
        <v>918</v>
      </c>
      <c r="B2368" s="27" t="s">
        <v>689</v>
      </c>
      <c r="C2368" s="180">
        <v>41621</v>
      </c>
      <c r="D2368" s="28">
        <v>16</v>
      </c>
      <c r="E2368" s="49">
        <v>12</v>
      </c>
      <c r="F2368" s="211">
        <f>IFERROR(Tableau6[[#This Row],[Score]]/Tableau6[[#This Row],[Nb]],0)</f>
        <v>0.75</v>
      </c>
    </row>
    <row r="2369" spans="1:6" ht="30" customHeight="1" x14ac:dyDescent="0.3">
      <c r="A2369" s="26" t="s">
        <v>988</v>
      </c>
      <c r="B2369" s="27" t="s">
        <v>1094</v>
      </c>
      <c r="C2369" s="180">
        <v>41621</v>
      </c>
      <c r="D2369" s="28">
        <v>20</v>
      </c>
      <c r="E2369" s="49">
        <v>15</v>
      </c>
      <c r="F2369" s="211">
        <f>IFERROR(Tableau6[[#This Row],[Score]]/Tableau6[[#This Row],[Nb]],0)</f>
        <v>0.75</v>
      </c>
    </row>
    <row r="2370" spans="1:6" ht="30" customHeight="1" x14ac:dyDescent="0.3">
      <c r="A2370" s="26" t="s">
        <v>978</v>
      </c>
      <c r="B2370" s="27" t="s">
        <v>883</v>
      </c>
      <c r="C2370" s="180">
        <v>41621</v>
      </c>
      <c r="D2370" s="28">
        <v>28</v>
      </c>
      <c r="E2370" s="49">
        <v>21</v>
      </c>
      <c r="F2370" s="211">
        <f>IFERROR(Tableau6[[#This Row],[Score]]/Tableau6[[#This Row],[Nb]],0)</f>
        <v>0.75</v>
      </c>
    </row>
    <row r="2371" spans="1:6" ht="30" customHeight="1" x14ac:dyDescent="0.3">
      <c r="A2371" s="26" t="s">
        <v>829</v>
      </c>
      <c r="B2371" s="27" t="s">
        <v>77</v>
      </c>
      <c r="C2371" s="180">
        <v>41621</v>
      </c>
      <c r="D2371" s="28">
        <v>28</v>
      </c>
      <c r="E2371" s="49">
        <v>21</v>
      </c>
      <c r="F2371" s="211">
        <f>IFERROR(Tableau6[[#This Row],[Score]]/Tableau6[[#This Row],[Nb]],0)</f>
        <v>0.75</v>
      </c>
    </row>
    <row r="2372" spans="1:6" ht="30" customHeight="1" x14ac:dyDescent="0.3">
      <c r="A2372" s="26" t="s">
        <v>1054</v>
      </c>
      <c r="B2372" s="152" t="s">
        <v>6022</v>
      </c>
      <c r="C2372" s="180">
        <v>43237</v>
      </c>
      <c r="D2372" s="28">
        <v>24</v>
      </c>
      <c r="E2372" s="49">
        <v>18</v>
      </c>
      <c r="F2372" s="211">
        <f>IFERROR(Tableau6[[#This Row],[Score]]/Tableau6[[#This Row],[Nb]],0)</f>
        <v>0.75</v>
      </c>
    </row>
    <row r="2373" spans="1:6" ht="30" customHeight="1" x14ac:dyDescent="0.3">
      <c r="A2373" s="26" t="s">
        <v>2982</v>
      </c>
      <c r="B2373" s="27" t="s">
        <v>2983</v>
      </c>
      <c r="C2373" s="180">
        <v>43295</v>
      </c>
      <c r="D2373" s="28">
        <v>20</v>
      </c>
      <c r="E2373" s="49">
        <v>15</v>
      </c>
      <c r="F2373" s="211">
        <f>IFERROR(Tableau6[[#This Row],[Score]]/Tableau6[[#This Row],[Nb]],0)</f>
        <v>0.75</v>
      </c>
    </row>
    <row r="2374" spans="1:6" ht="30" customHeight="1" x14ac:dyDescent="0.3">
      <c r="A2374" s="26" t="s">
        <v>3924</v>
      </c>
      <c r="B2374" s="27" t="s">
        <v>3925</v>
      </c>
      <c r="C2374" s="180">
        <v>43296</v>
      </c>
      <c r="D2374" s="28">
        <v>20</v>
      </c>
      <c r="E2374" s="49">
        <v>15</v>
      </c>
      <c r="F2374" s="211">
        <f>IFERROR(Tableau6[[#This Row],[Score]]/Tableau6[[#This Row],[Nb]],0)</f>
        <v>0.75</v>
      </c>
    </row>
    <row r="2375" spans="1:6" ht="30" customHeight="1" x14ac:dyDescent="0.3">
      <c r="A2375" s="26" t="s">
        <v>613</v>
      </c>
      <c r="B2375" s="27" t="s">
        <v>4774</v>
      </c>
      <c r="C2375" s="180">
        <v>43341</v>
      </c>
      <c r="D2375" s="28">
        <v>24</v>
      </c>
      <c r="E2375" s="49">
        <v>18</v>
      </c>
      <c r="F2375" s="211">
        <f>IFERROR(Tableau6[[#This Row],[Score]]/Tableau6[[#This Row],[Nb]],0)</f>
        <v>0.75</v>
      </c>
    </row>
    <row r="2376" spans="1:6" ht="30" customHeight="1" x14ac:dyDescent="0.3">
      <c r="A2376" s="26" t="s">
        <v>4087</v>
      </c>
      <c r="B2376" s="27" t="s">
        <v>86</v>
      </c>
      <c r="C2376" s="180">
        <v>43341</v>
      </c>
      <c r="D2376" s="28">
        <v>24</v>
      </c>
      <c r="E2376" s="49">
        <v>18</v>
      </c>
      <c r="F2376" s="211">
        <f>IFERROR(Tableau6[[#This Row],[Score]]/Tableau6[[#This Row],[Nb]],0)</f>
        <v>0.75</v>
      </c>
    </row>
    <row r="2377" spans="1:6" ht="30" customHeight="1" x14ac:dyDescent="0.3">
      <c r="A2377" s="26" t="s">
        <v>133</v>
      </c>
      <c r="B2377" s="27" t="s">
        <v>134</v>
      </c>
      <c r="C2377" s="180">
        <v>43376</v>
      </c>
      <c r="D2377" s="28">
        <v>28</v>
      </c>
      <c r="E2377" s="49">
        <v>21</v>
      </c>
      <c r="F2377" s="211">
        <f>IFERROR(Tableau6[[#This Row],[Score]]/Tableau6[[#This Row],[Nb]],0)</f>
        <v>0.75</v>
      </c>
    </row>
    <row r="2378" spans="1:6" ht="30" customHeight="1" x14ac:dyDescent="0.3">
      <c r="A2378" s="26" t="s">
        <v>577</v>
      </c>
      <c r="B2378" s="27" t="s">
        <v>578</v>
      </c>
      <c r="C2378" s="180">
        <v>43405</v>
      </c>
      <c r="D2378" s="28">
        <v>20</v>
      </c>
      <c r="E2378" s="49">
        <v>15</v>
      </c>
      <c r="F2378" s="211">
        <f>IFERROR(Tableau6[[#This Row],[Score]]/Tableau6[[#This Row],[Nb]],0)</f>
        <v>0.75</v>
      </c>
    </row>
    <row r="2379" spans="1:6" ht="30" customHeight="1" x14ac:dyDescent="0.3">
      <c r="A2379" s="26" t="s">
        <v>1206</v>
      </c>
      <c r="B2379" s="492" t="s">
        <v>6566</v>
      </c>
      <c r="C2379" s="180">
        <v>43421</v>
      </c>
      <c r="D2379" s="28">
        <v>24</v>
      </c>
      <c r="E2379" s="49">
        <v>18</v>
      </c>
      <c r="F2379" s="211">
        <f>IFERROR(Tableau6[[#This Row],[Score]]/Tableau6[[#This Row],[Nb]],0)</f>
        <v>0.75</v>
      </c>
    </row>
    <row r="2380" spans="1:6" ht="30" customHeight="1" x14ac:dyDescent="0.3">
      <c r="A2380" s="26" t="s">
        <v>1171</v>
      </c>
      <c r="B2380" s="27" t="s">
        <v>1172</v>
      </c>
      <c r="C2380" s="180">
        <v>43422</v>
      </c>
      <c r="D2380" s="28">
        <v>12</v>
      </c>
      <c r="E2380" s="49">
        <v>9</v>
      </c>
      <c r="F2380" s="211">
        <f>IFERROR(Tableau6[[#This Row],[Score]]/Tableau6[[#This Row],[Nb]],0)</f>
        <v>0.75</v>
      </c>
    </row>
    <row r="2381" spans="1:6" ht="30" customHeight="1" x14ac:dyDescent="0.3">
      <c r="A2381" s="26" t="s">
        <v>1179</v>
      </c>
      <c r="B2381" s="27" t="s">
        <v>3794</v>
      </c>
      <c r="C2381" s="180">
        <v>43422</v>
      </c>
      <c r="D2381" s="28">
        <v>16</v>
      </c>
      <c r="E2381" s="49">
        <v>12</v>
      </c>
      <c r="F2381" s="211">
        <f>IFERROR(Tableau6[[#This Row],[Score]]/Tableau6[[#This Row],[Nb]],0)</f>
        <v>0.75</v>
      </c>
    </row>
    <row r="2382" spans="1:6" ht="30" customHeight="1" x14ac:dyDescent="0.3">
      <c r="A2382" s="26" t="s">
        <v>1266</v>
      </c>
      <c r="B2382" s="27" t="s">
        <v>4547</v>
      </c>
      <c r="C2382" s="180">
        <v>43425</v>
      </c>
      <c r="D2382" s="28">
        <v>20</v>
      </c>
      <c r="E2382" s="49">
        <v>15</v>
      </c>
      <c r="F2382" s="211">
        <f>IFERROR(Tableau6[[#This Row],[Score]]/Tableau6[[#This Row],[Nb]],0)</f>
        <v>0.75</v>
      </c>
    </row>
    <row r="2383" spans="1:6" ht="30" customHeight="1" x14ac:dyDescent="0.3">
      <c r="A2383" s="26" t="s">
        <v>1244</v>
      </c>
      <c r="B2383" s="27" t="s">
        <v>1245</v>
      </c>
      <c r="C2383" s="180">
        <v>43428</v>
      </c>
      <c r="D2383" s="28">
        <v>28</v>
      </c>
      <c r="E2383" s="49">
        <v>21</v>
      </c>
      <c r="F2383" s="211">
        <f>IFERROR(Tableau6[[#This Row],[Score]]/Tableau6[[#This Row],[Nb]],0)</f>
        <v>0.75</v>
      </c>
    </row>
    <row r="2384" spans="1:6" ht="30" customHeight="1" x14ac:dyDescent="0.3">
      <c r="A2384" s="26" t="s">
        <v>1500</v>
      </c>
      <c r="B2384" s="27" t="s">
        <v>1501</v>
      </c>
      <c r="C2384" s="180">
        <v>43472</v>
      </c>
      <c r="D2384" s="28">
        <v>24</v>
      </c>
      <c r="E2384" s="49">
        <v>18</v>
      </c>
      <c r="F2384" s="211">
        <f>IFERROR(Tableau6[[#This Row],[Score]]/Tableau6[[#This Row],[Nb]],0)</f>
        <v>0.75</v>
      </c>
    </row>
    <row r="2385" spans="1:6" ht="30" customHeight="1" x14ac:dyDescent="0.3">
      <c r="A2385" s="26" t="s">
        <v>1559</v>
      </c>
      <c r="B2385" s="27" t="s">
        <v>1560</v>
      </c>
      <c r="C2385" s="180">
        <v>43479</v>
      </c>
      <c r="D2385" s="28">
        <v>16</v>
      </c>
      <c r="E2385" s="49">
        <v>12</v>
      </c>
      <c r="F2385" s="211">
        <f>IFERROR(Tableau6[[#This Row],[Score]]/Tableau6[[#This Row],[Nb]],0)</f>
        <v>0.75</v>
      </c>
    </row>
    <row r="2386" spans="1:6" ht="30" customHeight="1" x14ac:dyDescent="0.3">
      <c r="A2386" s="26" t="s">
        <v>2033</v>
      </c>
      <c r="B2386" s="27" t="s">
        <v>2034</v>
      </c>
      <c r="C2386" s="180">
        <v>43605</v>
      </c>
      <c r="D2386" s="28">
        <v>28</v>
      </c>
      <c r="E2386" s="49">
        <v>21</v>
      </c>
      <c r="F2386" s="211">
        <f>IFERROR(Tableau6[[#This Row],[Score]]/Tableau6[[#This Row],[Nb]],0)</f>
        <v>0.75</v>
      </c>
    </row>
    <row r="2387" spans="1:6" ht="30" customHeight="1" x14ac:dyDescent="0.3">
      <c r="A2387" s="26" t="s">
        <v>4634</v>
      </c>
      <c r="B2387" s="27" t="s">
        <v>4635</v>
      </c>
      <c r="C2387" s="180">
        <v>43661</v>
      </c>
      <c r="D2387" s="28">
        <v>16</v>
      </c>
      <c r="E2387" s="49">
        <v>12</v>
      </c>
      <c r="F2387" s="211">
        <f>IFERROR(Tableau6[[#This Row],[Score]]/Tableau6[[#This Row],[Nb]],0)</f>
        <v>0.75</v>
      </c>
    </row>
    <row r="2388" spans="1:6" ht="30" customHeight="1" x14ac:dyDescent="0.3">
      <c r="A2388" s="26" t="s">
        <v>2135</v>
      </c>
      <c r="B2388" s="27" t="s">
        <v>2136</v>
      </c>
      <c r="C2388" s="180">
        <v>43682</v>
      </c>
      <c r="D2388" s="28">
        <v>24</v>
      </c>
      <c r="E2388" s="49">
        <v>18</v>
      </c>
      <c r="F2388" s="211">
        <f>IFERROR(Tableau6[[#This Row],[Score]]/Tableau6[[#This Row],[Nb]],0)</f>
        <v>0.75</v>
      </c>
    </row>
    <row r="2389" spans="1:6" ht="30" customHeight="1" x14ac:dyDescent="0.3">
      <c r="A2389" s="26" t="s">
        <v>2150</v>
      </c>
      <c r="B2389" s="27" t="s">
        <v>2151</v>
      </c>
      <c r="C2389" s="180">
        <v>43682</v>
      </c>
      <c r="D2389" s="28">
        <v>24</v>
      </c>
      <c r="E2389" s="49">
        <v>18</v>
      </c>
      <c r="F2389" s="211">
        <f>IFERROR(Tableau6[[#This Row],[Score]]/Tableau6[[#This Row],[Nb]],0)</f>
        <v>0.75</v>
      </c>
    </row>
    <row r="2390" spans="1:6" ht="30" customHeight="1" x14ac:dyDescent="0.3">
      <c r="A2390" s="26" t="s">
        <v>2185</v>
      </c>
      <c r="B2390" s="27" t="s">
        <v>2186</v>
      </c>
      <c r="C2390" s="180">
        <v>43689</v>
      </c>
      <c r="D2390" s="28">
        <v>20</v>
      </c>
      <c r="E2390" s="49">
        <v>15</v>
      </c>
      <c r="F2390" s="211">
        <f>IFERROR(Tableau6[[#This Row],[Score]]/Tableau6[[#This Row],[Nb]],0)</f>
        <v>0.75</v>
      </c>
    </row>
    <row r="2391" spans="1:6" ht="30" customHeight="1" x14ac:dyDescent="0.3">
      <c r="A2391" s="26" t="s">
        <v>2258</v>
      </c>
      <c r="B2391" s="27" t="s">
        <v>2259</v>
      </c>
      <c r="C2391" s="180">
        <v>43761</v>
      </c>
      <c r="D2391" s="28">
        <v>28</v>
      </c>
      <c r="E2391" s="49">
        <v>21</v>
      </c>
      <c r="F2391" s="211">
        <f>IFERROR(Tableau6[[#This Row],[Score]]/Tableau6[[#This Row],[Nb]],0)</f>
        <v>0.75</v>
      </c>
    </row>
    <row r="2392" spans="1:6" ht="30" customHeight="1" x14ac:dyDescent="0.3">
      <c r="A2392" s="26" t="s">
        <v>2279</v>
      </c>
      <c r="B2392" s="27" t="s">
        <v>2280</v>
      </c>
      <c r="C2392" s="180">
        <v>43767</v>
      </c>
      <c r="D2392" s="28">
        <v>20</v>
      </c>
      <c r="E2392" s="49">
        <v>15</v>
      </c>
      <c r="F2392" s="211">
        <f>IFERROR(Tableau6[[#This Row],[Score]]/Tableau6[[#This Row],[Nb]],0)</f>
        <v>0.75</v>
      </c>
    </row>
    <row r="2393" spans="1:6" ht="30" customHeight="1" x14ac:dyDescent="0.3">
      <c r="A2393" s="26" t="s">
        <v>2614</v>
      </c>
      <c r="B2393" s="27" t="s">
        <v>2615</v>
      </c>
      <c r="C2393" s="180">
        <v>43857</v>
      </c>
      <c r="D2393" s="28">
        <v>28</v>
      </c>
      <c r="E2393" s="49">
        <v>21</v>
      </c>
      <c r="F2393" s="211">
        <f>IFERROR(Tableau6[[#This Row],[Score]]/Tableau6[[#This Row],[Nb]],0)</f>
        <v>0.75</v>
      </c>
    </row>
    <row r="2394" spans="1:6" ht="30" customHeight="1" x14ac:dyDescent="0.3">
      <c r="A2394" s="26" t="s">
        <v>1347</v>
      </c>
      <c r="B2394" s="27" t="s">
        <v>1159</v>
      </c>
      <c r="C2394" s="180">
        <v>43895</v>
      </c>
      <c r="D2394" s="28">
        <v>16</v>
      </c>
      <c r="E2394" s="49">
        <v>12</v>
      </c>
      <c r="F2394" s="211">
        <f>IFERROR(Tableau6[[#This Row],[Score]]/Tableau6[[#This Row],[Nb]],0)</f>
        <v>0.75</v>
      </c>
    </row>
    <row r="2395" spans="1:6" ht="30" customHeight="1" x14ac:dyDescent="0.3">
      <c r="A2395" s="111" t="s">
        <v>5102</v>
      </c>
      <c r="B2395" s="27" t="s">
        <v>3060</v>
      </c>
      <c r="C2395" s="180">
        <v>44004</v>
      </c>
      <c r="D2395" s="28">
        <v>24</v>
      </c>
      <c r="E2395" s="49">
        <v>18</v>
      </c>
      <c r="F2395" s="211">
        <f>IFERROR(Tableau6[[#This Row],[Score]]/Tableau6[[#This Row],[Nb]],0)</f>
        <v>0.75</v>
      </c>
    </row>
    <row r="2396" spans="1:6" ht="30" customHeight="1" x14ac:dyDescent="0.3">
      <c r="A2396" s="26" t="s">
        <v>3021</v>
      </c>
      <c r="B2396" s="27" t="s">
        <v>3022</v>
      </c>
      <c r="C2396" s="180">
        <v>44004</v>
      </c>
      <c r="D2396" s="28">
        <v>20</v>
      </c>
      <c r="E2396" s="49">
        <v>15</v>
      </c>
      <c r="F2396" s="211">
        <f>IFERROR(Tableau6[[#This Row],[Score]]/Tableau6[[#This Row],[Nb]],0)</f>
        <v>0.75</v>
      </c>
    </row>
    <row r="2397" spans="1:6" ht="30" customHeight="1" x14ac:dyDescent="0.3">
      <c r="A2397" s="26" t="s">
        <v>4328</v>
      </c>
      <c r="B2397" s="27" t="s">
        <v>3131</v>
      </c>
      <c r="C2397" s="180">
        <v>44014</v>
      </c>
      <c r="D2397" s="28">
        <v>12</v>
      </c>
      <c r="E2397" s="49">
        <v>9</v>
      </c>
      <c r="F2397" s="211">
        <f>IFERROR(Tableau6[[#This Row],[Score]]/Tableau6[[#This Row],[Nb]],0)</f>
        <v>0.75</v>
      </c>
    </row>
    <row r="2398" spans="1:6" ht="30" customHeight="1" x14ac:dyDescent="0.3">
      <c r="A2398" s="26" t="s">
        <v>3193</v>
      </c>
      <c r="B2398" s="27" t="s">
        <v>3194</v>
      </c>
      <c r="C2398" s="180">
        <v>44026</v>
      </c>
      <c r="D2398" s="28">
        <v>16</v>
      </c>
      <c r="E2398" s="49">
        <v>12</v>
      </c>
      <c r="F2398" s="211">
        <f>IFERROR(Tableau6[[#This Row],[Score]]/Tableau6[[#This Row],[Nb]],0)</f>
        <v>0.75</v>
      </c>
    </row>
    <row r="2399" spans="1:6" ht="30" customHeight="1" x14ac:dyDescent="0.3">
      <c r="A2399" s="26" t="s">
        <v>3189</v>
      </c>
      <c r="B2399" s="27" t="s">
        <v>3190</v>
      </c>
      <c r="C2399" s="180">
        <v>44026</v>
      </c>
      <c r="D2399" s="28">
        <v>28</v>
      </c>
      <c r="E2399" s="49">
        <v>21</v>
      </c>
      <c r="F2399" s="211">
        <f>IFERROR(Tableau6[[#This Row],[Score]]/Tableau6[[#This Row],[Nb]],0)</f>
        <v>0.75</v>
      </c>
    </row>
    <row r="2400" spans="1:6" ht="30" customHeight="1" x14ac:dyDescent="0.3">
      <c r="A2400" s="26" t="s">
        <v>4401</v>
      </c>
      <c r="B2400" s="27" t="s">
        <v>4402</v>
      </c>
      <c r="C2400" s="180">
        <v>44299</v>
      </c>
      <c r="D2400" s="28">
        <v>28</v>
      </c>
      <c r="E2400" s="49">
        <v>21</v>
      </c>
      <c r="F2400" s="211">
        <f>IFERROR(Tableau6[[#This Row],[Score]]/Tableau6[[#This Row],[Nb]],0)</f>
        <v>0.75</v>
      </c>
    </row>
    <row r="2401" spans="1:6" ht="30" customHeight="1" x14ac:dyDescent="0.3">
      <c r="A2401" s="26" t="s">
        <v>4393</v>
      </c>
      <c r="B2401" s="27" t="s">
        <v>4394</v>
      </c>
      <c r="C2401" s="180">
        <v>44299</v>
      </c>
      <c r="D2401" s="28">
        <v>16</v>
      </c>
      <c r="E2401" s="49">
        <v>12</v>
      </c>
      <c r="F2401" s="211">
        <f>IFERROR(Tableau6[[#This Row],[Score]]/Tableau6[[#This Row],[Nb]],0)</f>
        <v>0.75</v>
      </c>
    </row>
    <row r="2402" spans="1:6" ht="30" customHeight="1" x14ac:dyDescent="0.3">
      <c r="A2402" s="26" t="s">
        <v>4780</v>
      </c>
      <c r="B2402" s="27" t="s">
        <v>4781</v>
      </c>
      <c r="C2402" s="180">
        <v>44378</v>
      </c>
      <c r="D2402" s="28">
        <v>16</v>
      </c>
      <c r="E2402" s="49">
        <v>12</v>
      </c>
      <c r="F2402" s="211">
        <f>IFERROR(Tableau6[[#This Row],[Score]]/Tableau6[[#This Row],[Nb]],0)</f>
        <v>0.75</v>
      </c>
    </row>
    <row r="2403" spans="1:6" ht="30" customHeight="1" x14ac:dyDescent="0.3">
      <c r="A2403" s="26" t="s">
        <v>4884</v>
      </c>
      <c r="B2403" s="27" t="s">
        <v>4883</v>
      </c>
      <c r="C2403" s="180">
        <v>44399</v>
      </c>
      <c r="D2403" s="28">
        <v>24</v>
      </c>
      <c r="E2403" s="49">
        <v>18</v>
      </c>
      <c r="F2403" s="211">
        <f>IFERROR(Tableau6[[#This Row],[Score]]/Tableau6[[#This Row],[Nb]],0)</f>
        <v>0.75</v>
      </c>
    </row>
    <row r="2404" spans="1:6" ht="30" customHeight="1" x14ac:dyDescent="0.3">
      <c r="A2404" s="107" t="s">
        <v>5100</v>
      </c>
      <c r="B2404" s="108" t="s">
        <v>5101</v>
      </c>
      <c r="C2404" s="198">
        <v>44464</v>
      </c>
      <c r="D2404" s="109">
        <v>16</v>
      </c>
      <c r="E2404" s="109">
        <v>12</v>
      </c>
      <c r="F2404" s="211">
        <f>IFERROR(Tableau6[[#This Row],[Score]]/Tableau6[[#This Row],[Nb]],0)</f>
        <v>0.75</v>
      </c>
    </row>
    <row r="2405" spans="1:6" ht="30" customHeight="1" x14ac:dyDescent="0.3">
      <c r="A2405" s="151" t="s">
        <v>5208</v>
      </c>
      <c r="B2405" s="152" t="s">
        <v>5209</v>
      </c>
      <c r="C2405" s="208">
        <v>44509</v>
      </c>
      <c r="D2405" s="154">
        <v>16</v>
      </c>
      <c r="E2405" s="154">
        <v>12</v>
      </c>
      <c r="F2405" s="211">
        <f>IFERROR(Tableau6[[#This Row],[Score]]/Tableau6[[#This Row],[Nb]],0)</f>
        <v>0.75</v>
      </c>
    </row>
    <row r="2406" spans="1:6" ht="30" customHeight="1" x14ac:dyDescent="0.3">
      <c r="A2406" s="151" t="s">
        <v>5489</v>
      </c>
      <c r="B2406" s="152" t="s">
        <v>5490</v>
      </c>
      <c r="C2406" s="208">
        <v>44583</v>
      </c>
      <c r="D2406" s="154">
        <v>8</v>
      </c>
      <c r="E2406" s="154">
        <v>6</v>
      </c>
      <c r="F2406" s="211">
        <f>IFERROR(Tableau6[[#This Row],[Score]]/Tableau6[[#This Row],[Nb]],0)</f>
        <v>0.75</v>
      </c>
    </row>
    <row r="2407" spans="1:6" ht="30" customHeight="1" x14ac:dyDescent="0.3">
      <c r="A2407" s="151" t="s">
        <v>5858</v>
      </c>
      <c r="B2407" s="152" t="s">
        <v>5855</v>
      </c>
      <c r="C2407" s="208">
        <v>44656</v>
      </c>
      <c r="D2407" s="154">
        <v>8</v>
      </c>
      <c r="E2407" s="154">
        <v>6</v>
      </c>
      <c r="F2407" s="211">
        <f>IFERROR(Tableau6[[#This Row],[Score]]/Tableau6[[#This Row],[Nb]],0)</f>
        <v>0.75</v>
      </c>
    </row>
    <row r="2408" spans="1:6" ht="30" customHeight="1" x14ac:dyDescent="0.3">
      <c r="A2408" s="151" t="s">
        <v>5987</v>
      </c>
      <c r="B2408" s="152" t="s">
        <v>5988</v>
      </c>
      <c r="C2408" s="208">
        <v>44706</v>
      </c>
      <c r="D2408" s="154">
        <v>8</v>
      </c>
      <c r="E2408" s="154">
        <v>6</v>
      </c>
      <c r="F2408" s="211">
        <f>IFERROR(Tableau6[[#This Row],[Score]]/Tableau6[[#This Row],[Nb]],0)</f>
        <v>0.75</v>
      </c>
    </row>
    <row r="2409" spans="1:6" ht="30" customHeight="1" x14ac:dyDescent="0.3">
      <c r="A2409" s="151" t="s">
        <v>6000</v>
      </c>
      <c r="B2409" s="152" t="s">
        <v>6001</v>
      </c>
      <c r="C2409" s="208">
        <v>44707</v>
      </c>
      <c r="D2409" s="154">
        <v>8</v>
      </c>
      <c r="E2409" s="154">
        <v>6</v>
      </c>
      <c r="F2409" s="211">
        <f>IFERROR(Tableau6[[#This Row],[Score]]/Tableau6[[#This Row],[Nb]],0)</f>
        <v>0.75</v>
      </c>
    </row>
    <row r="2410" spans="1:6" ht="30" customHeight="1" x14ac:dyDescent="0.3">
      <c r="A2410" s="151" t="s">
        <v>6005</v>
      </c>
      <c r="B2410" s="152" t="s">
        <v>6006</v>
      </c>
      <c r="C2410" s="208">
        <v>44708</v>
      </c>
      <c r="D2410" s="154">
        <v>8</v>
      </c>
      <c r="E2410" s="154">
        <v>6</v>
      </c>
      <c r="F2410" s="211">
        <f>IFERROR(Tableau6[[#This Row],[Score]]/Tableau6[[#This Row],[Nb]],0)</f>
        <v>0.75</v>
      </c>
    </row>
    <row r="2411" spans="1:6" ht="30" customHeight="1" x14ac:dyDescent="0.3">
      <c r="A2411" s="151" t="s">
        <v>6123</v>
      </c>
      <c r="B2411" s="152" t="s">
        <v>6124</v>
      </c>
      <c r="C2411" s="208">
        <v>44761</v>
      </c>
      <c r="D2411" s="154">
        <v>8</v>
      </c>
      <c r="E2411" s="154">
        <v>6</v>
      </c>
      <c r="F2411" s="211">
        <f>IFERROR(Tableau6[[#This Row],[Score]]/Tableau6[[#This Row],[Nb]],0)</f>
        <v>0.75</v>
      </c>
    </row>
    <row r="2412" spans="1:6" ht="30" customHeight="1" x14ac:dyDescent="0.3">
      <c r="A2412" s="151" t="s">
        <v>6134</v>
      </c>
      <c r="B2412" s="152" t="s">
        <v>6135</v>
      </c>
      <c r="C2412" s="208">
        <v>44780</v>
      </c>
      <c r="D2412" s="154">
        <v>8</v>
      </c>
      <c r="E2412" s="154">
        <v>6</v>
      </c>
      <c r="F2412" s="211">
        <f>IFERROR(Tableau6[[#This Row],[Score]]/Tableau6[[#This Row],[Nb]],0)</f>
        <v>0.75</v>
      </c>
    </row>
    <row r="2413" spans="1:6" ht="30" customHeight="1" x14ac:dyDescent="0.3">
      <c r="A2413" s="26" t="s">
        <v>936</v>
      </c>
      <c r="B2413" s="27" t="s">
        <v>849</v>
      </c>
      <c r="C2413" s="180">
        <v>41621</v>
      </c>
      <c r="D2413" s="28">
        <v>29</v>
      </c>
      <c r="E2413" s="49">
        <v>22</v>
      </c>
      <c r="F2413" s="211">
        <f>IFERROR(Tableau6[[#This Row],[Score]]/Tableau6[[#This Row],[Nb]],0)</f>
        <v>0.75862068965517238</v>
      </c>
    </row>
    <row r="2414" spans="1:6" ht="30" customHeight="1" x14ac:dyDescent="0.3">
      <c r="A2414" s="26" t="s">
        <v>942</v>
      </c>
      <c r="B2414" s="27" t="s">
        <v>1093</v>
      </c>
      <c r="C2414" s="180">
        <v>41621</v>
      </c>
      <c r="D2414" s="28">
        <v>29</v>
      </c>
      <c r="E2414" s="49">
        <v>22</v>
      </c>
      <c r="F2414" s="211">
        <f>IFERROR(Tableau6[[#This Row],[Score]]/Tableau6[[#This Row],[Nb]],0)</f>
        <v>0.75862068965517238</v>
      </c>
    </row>
    <row r="2415" spans="1:6" ht="30" customHeight="1" x14ac:dyDescent="0.3">
      <c r="A2415" s="26" t="s">
        <v>1334</v>
      </c>
      <c r="B2415" s="27" t="s">
        <v>3612</v>
      </c>
      <c r="C2415" s="180">
        <v>41621</v>
      </c>
      <c r="D2415" s="28">
        <v>25</v>
      </c>
      <c r="E2415" s="49">
        <v>19</v>
      </c>
      <c r="F2415" s="211">
        <f>IFERROR(Tableau6[[#This Row],[Score]]/Tableau6[[#This Row],[Nb]],0)</f>
        <v>0.76</v>
      </c>
    </row>
    <row r="2416" spans="1:6" ht="30" customHeight="1" x14ac:dyDescent="0.3">
      <c r="A2416" s="26" t="s">
        <v>4576</v>
      </c>
      <c r="B2416" s="27" t="s">
        <v>4577</v>
      </c>
      <c r="C2416" s="180">
        <v>41621</v>
      </c>
      <c r="D2416" s="28">
        <v>25</v>
      </c>
      <c r="E2416" s="49">
        <v>19</v>
      </c>
      <c r="F2416" s="211">
        <f>IFERROR(Tableau6[[#This Row],[Score]]/Tableau6[[#This Row],[Nb]],0)</f>
        <v>0.76</v>
      </c>
    </row>
    <row r="2417" spans="1:6" ht="30" customHeight="1" x14ac:dyDescent="0.3">
      <c r="A2417" s="26" t="s">
        <v>819</v>
      </c>
      <c r="B2417" s="27" t="s">
        <v>121</v>
      </c>
      <c r="C2417" s="180">
        <v>43341</v>
      </c>
      <c r="D2417" s="28">
        <v>25</v>
      </c>
      <c r="E2417" s="49">
        <v>19</v>
      </c>
      <c r="F2417" s="211">
        <f>IFERROR(Tableau6[[#This Row],[Score]]/Tableau6[[#This Row],[Nb]],0)</f>
        <v>0.76</v>
      </c>
    </row>
    <row r="2418" spans="1:6" ht="30" customHeight="1" x14ac:dyDescent="0.3">
      <c r="A2418" s="26" t="s">
        <v>155</v>
      </c>
      <c r="B2418" s="27" t="s">
        <v>156</v>
      </c>
      <c r="C2418" s="180">
        <v>43355</v>
      </c>
      <c r="D2418" s="28">
        <v>25</v>
      </c>
      <c r="E2418" s="49">
        <v>19</v>
      </c>
      <c r="F2418" s="211">
        <f>IFERROR(Tableau6[[#This Row],[Score]]/Tableau6[[#This Row],[Nb]],0)</f>
        <v>0.76</v>
      </c>
    </row>
    <row r="2419" spans="1:6" ht="30" customHeight="1" x14ac:dyDescent="0.3">
      <c r="A2419" s="26" t="s">
        <v>154</v>
      </c>
      <c r="B2419" s="27" t="s">
        <v>4046</v>
      </c>
      <c r="C2419" s="180">
        <v>43367</v>
      </c>
      <c r="D2419" s="28">
        <v>25</v>
      </c>
      <c r="E2419" s="49">
        <v>19</v>
      </c>
      <c r="F2419" s="211">
        <f>IFERROR(Tableau6[[#This Row],[Score]]/Tableau6[[#This Row],[Nb]],0)</f>
        <v>0.76</v>
      </c>
    </row>
    <row r="2420" spans="1:6" ht="30" customHeight="1" x14ac:dyDescent="0.3">
      <c r="A2420" s="26" t="s">
        <v>1183</v>
      </c>
      <c r="B2420" s="27" t="s">
        <v>1184</v>
      </c>
      <c r="C2420" s="180">
        <v>43422</v>
      </c>
      <c r="D2420" s="28">
        <v>25</v>
      </c>
      <c r="E2420" s="49">
        <v>19</v>
      </c>
      <c r="F2420" s="211">
        <f>IFERROR(Tableau6[[#This Row],[Score]]/Tableau6[[#This Row],[Nb]],0)</f>
        <v>0.76</v>
      </c>
    </row>
    <row r="2421" spans="1:6" ht="30" customHeight="1" x14ac:dyDescent="0.3">
      <c r="A2421" s="26" t="s">
        <v>4631</v>
      </c>
      <c r="B2421" s="27" t="s">
        <v>1237</v>
      </c>
      <c r="C2421" s="180">
        <v>43428</v>
      </c>
      <c r="D2421" s="28">
        <v>25</v>
      </c>
      <c r="E2421" s="49">
        <v>19</v>
      </c>
      <c r="F2421" s="211">
        <f>IFERROR(Tableau6[[#This Row],[Score]]/Tableau6[[#This Row],[Nb]],0)</f>
        <v>0.76</v>
      </c>
    </row>
    <row r="2422" spans="1:6" ht="30" customHeight="1" x14ac:dyDescent="0.3">
      <c r="A2422" s="26" t="s">
        <v>1969</v>
      </c>
      <c r="B2422" s="27" t="s">
        <v>4062</v>
      </c>
      <c r="C2422" s="180">
        <v>43605</v>
      </c>
      <c r="D2422" s="28">
        <v>25</v>
      </c>
      <c r="E2422" s="49">
        <v>19</v>
      </c>
      <c r="F2422" s="211">
        <f>IFERROR(Tableau6[[#This Row],[Score]]/Tableau6[[#This Row],[Nb]],0)</f>
        <v>0.76</v>
      </c>
    </row>
    <row r="2423" spans="1:6" ht="30" customHeight="1" x14ac:dyDescent="0.3">
      <c r="A2423" s="26" t="s">
        <v>3854</v>
      </c>
      <c r="B2423" s="27" t="s">
        <v>3855</v>
      </c>
      <c r="C2423" s="180">
        <v>43771</v>
      </c>
      <c r="D2423" s="28">
        <v>25</v>
      </c>
      <c r="E2423" s="49">
        <v>19</v>
      </c>
      <c r="F2423" s="211">
        <f>IFERROR(Tableau6[[#This Row],[Score]]/Tableau6[[#This Row],[Nb]],0)</f>
        <v>0.76</v>
      </c>
    </row>
    <row r="2424" spans="1:6" ht="30" customHeight="1" x14ac:dyDescent="0.3">
      <c r="A2424" s="26" t="s">
        <v>2897</v>
      </c>
      <c r="B2424" s="27" t="s">
        <v>2894</v>
      </c>
      <c r="C2424" s="180">
        <v>43969</v>
      </c>
      <c r="D2424" s="28">
        <v>25</v>
      </c>
      <c r="E2424" s="49">
        <v>19</v>
      </c>
      <c r="F2424" s="211">
        <f>IFERROR(Tableau6[[#This Row],[Score]]/Tableau6[[#This Row],[Nb]],0)</f>
        <v>0.76</v>
      </c>
    </row>
    <row r="2425" spans="1:6" ht="30" customHeight="1" x14ac:dyDescent="0.3">
      <c r="A2425" s="26" t="s">
        <v>2963</v>
      </c>
      <c r="B2425" s="27" t="s">
        <v>2964</v>
      </c>
      <c r="C2425" s="180">
        <v>43984</v>
      </c>
      <c r="D2425" s="28">
        <v>25</v>
      </c>
      <c r="E2425" s="49">
        <v>19</v>
      </c>
      <c r="F2425" s="211">
        <f>IFERROR(Tableau6[[#This Row],[Score]]/Tableau6[[#This Row],[Nb]],0)</f>
        <v>0.76</v>
      </c>
    </row>
    <row r="2426" spans="1:6" ht="30" customHeight="1" x14ac:dyDescent="0.3">
      <c r="A2426" s="26" t="s">
        <v>3390</v>
      </c>
      <c r="B2426" s="27" t="s">
        <v>3391</v>
      </c>
      <c r="C2426" s="180">
        <v>44046</v>
      </c>
      <c r="D2426" s="28">
        <v>25</v>
      </c>
      <c r="E2426" s="49">
        <v>19</v>
      </c>
      <c r="F2426" s="211">
        <f>IFERROR(Tableau6[[#This Row],[Score]]/Tableau6[[#This Row],[Nb]],0)</f>
        <v>0.76</v>
      </c>
    </row>
    <row r="2427" spans="1:6" ht="30" customHeight="1" x14ac:dyDescent="0.3">
      <c r="A2427" s="26" t="s">
        <v>3409</v>
      </c>
      <c r="B2427" s="27" t="s">
        <v>3410</v>
      </c>
      <c r="C2427" s="180">
        <v>41621</v>
      </c>
      <c r="D2427" s="28">
        <v>21</v>
      </c>
      <c r="E2427" s="49">
        <v>16</v>
      </c>
      <c r="F2427" s="211">
        <f>IFERROR(Tableau6[[#This Row],[Score]]/Tableau6[[#This Row],[Nb]],0)</f>
        <v>0.76190476190476186</v>
      </c>
    </row>
    <row r="2428" spans="1:6" ht="30" customHeight="1" x14ac:dyDescent="0.3">
      <c r="A2428" s="26" t="s">
        <v>1476</v>
      </c>
      <c r="B2428" s="27" t="s">
        <v>1477</v>
      </c>
      <c r="C2428" s="180">
        <v>41621</v>
      </c>
      <c r="D2428" s="28">
        <v>21</v>
      </c>
      <c r="E2428" s="49">
        <v>16</v>
      </c>
      <c r="F2428" s="211">
        <f>IFERROR(Tableau6[[#This Row],[Score]]/Tableau6[[#This Row],[Nb]],0)</f>
        <v>0.76190476190476186</v>
      </c>
    </row>
    <row r="2429" spans="1:6" ht="30" customHeight="1" x14ac:dyDescent="0.3">
      <c r="A2429" s="26" t="s">
        <v>2213</v>
      </c>
      <c r="B2429" s="27" t="s">
        <v>2214</v>
      </c>
      <c r="C2429" s="180">
        <v>41621</v>
      </c>
      <c r="D2429" s="28">
        <v>21</v>
      </c>
      <c r="E2429" s="49">
        <v>16</v>
      </c>
      <c r="F2429" s="211">
        <f>IFERROR(Tableau6[[#This Row],[Score]]/Tableau6[[#This Row],[Nb]],0)</f>
        <v>0.76190476190476186</v>
      </c>
    </row>
    <row r="2430" spans="1:6" ht="30" customHeight="1" x14ac:dyDescent="0.3">
      <c r="A2430" s="26" t="s">
        <v>991</v>
      </c>
      <c r="B2430" s="27" t="s">
        <v>742</v>
      </c>
      <c r="C2430" s="180">
        <v>41621</v>
      </c>
      <c r="D2430" s="28">
        <v>21</v>
      </c>
      <c r="E2430" s="49">
        <v>16</v>
      </c>
      <c r="F2430" s="211">
        <f>IFERROR(Tableau6[[#This Row],[Score]]/Tableau6[[#This Row],[Nb]],0)</f>
        <v>0.76190476190476186</v>
      </c>
    </row>
    <row r="2431" spans="1:6" ht="30" customHeight="1" x14ac:dyDescent="0.3">
      <c r="A2431" s="26" t="s">
        <v>3514</v>
      </c>
      <c r="B2431" s="27" t="s">
        <v>3515</v>
      </c>
      <c r="C2431" s="180">
        <v>41621</v>
      </c>
      <c r="D2431" s="28">
        <v>21</v>
      </c>
      <c r="E2431" s="49">
        <v>16</v>
      </c>
      <c r="F2431" s="211">
        <f>IFERROR(Tableau6[[#This Row],[Score]]/Tableau6[[#This Row],[Nb]],0)</f>
        <v>0.76190476190476186</v>
      </c>
    </row>
    <row r="2432" spans="1:6" ht="30" customHeight="1" x14ac:dyDescent="0.3">
      <c r="A2432" s="26" t="s">
        <v>644</v>
      </c>
      <c r="B2432" s="27" t="s">
        <v>846</v>
      </c>
      <c r="C2432" s="180">
        <v>43205</v>
      </c>
      <c r="D2432" s="28">
        <v>21</v>
      </c>
      <c r="E2432" s="49">
        <v>16</v>
      </c>
      <c r="F2432" s="211">
        <f>IFERROR(Tableau6[[#This Row],[Score]]/Tableau6[[#This Row],[Nb]],0)</f>
        <v>0.76190476190476186</v>
      </c>
    </row>
    <row r="2433" spans="1:6" ht="30" customHeight="1" x14ac:dyDescent="0.3">
      <c r="A2433" s="26" t="s">
        <v>3383</v>
      </c>
      <c r="B2433" s="27" t="s">
        <v>3384</v>
      </c>
      <c r="C2433" s="180">
        <v>43237</v>
      </c>
      <c r="D2433" s="28">
        <v>21</v>
      </c>
      <c r="E2433" s="49">
        <v>16</v>
      </c>
      <c r="F2433" s="211">
        <f>IFERROR(Tableau6[[#This Row],[Score]]/Tableau6[[#This Row],[Nb]],0)</f>
        <v>0.76190476190476186</v>
      </c>
    </row>
    <row r="2434" spans="1:6" ht="30" customHeight="1" x14ac:dyDescent="0.3">
      <c r="A2434" s="151" t="s">
        <v>5532</v>
      </c>
      <c r="B2434" s="152" t="s">
        <v>5531</v>
      </c>
      <c r="C2434" s="180">
        <v>43341</v>
      </c>
      <c r="D2434" s="28">
        <v>21</v>
      </c>
      <c r="E2434" s="49">
        <v>16</v>
      </c>
      <c r="F2434" s="211">
        <f>IFERROR(Tableau6[[#This Row],[Score]]/Tableau6[[#This Row],[Nb]],0)</f>
        <v>0.76190476190476186</v>
      </c>
    </row>
    <row r="2435" spans="1:6" ht="30" customHeight="1" x14ac:dyDescent="0.3">
      <c r="A2435" s="26" t="s">
        <v>3475</v>
      </c>
      <c r="B2435" s="27" t="s">
        <v>3476</v>
      </c>
      <c r="C2435" s="180">
        <v>43421</v>
      </c>
      <c r="D2435" s="28">
        <v>21</v>
      </c>
      <c r="E2435" s="49">
        <v>16</v>
      </c>
      <c r="F2435" s="211">
        <f>IFERROR(Tableau6[[#This Row],[Score]]/Tableau6[[#This Row],[Nb]],0)</f>
        <v>0.76190476190476186</v>
      </c>
    </row>
    <row r="2436" spans="1:6" ht="30" customHeight="1" x14ac:dyDescent="0.3">
      <c r="A2436" s="151" t="s">
        <v>5341</v>
      </c>
      <c r="B2436" s="27" t="s">
        <v>1297</v>
      </c>
      <c r="C2436" s="180">
        <v>43438</v>
      </c>
      <c r="D2436" s="28">
        <v>21</v>
      </c>
      <c r="E2436" s="49">
        <v>16</v>
      </c>
      <c r="F2436" s="211">
        <f>IFERROR(Tableau6[[#This Row],[Score]]/Tableau6[[#This Row],[Nb]],0)</f>
        <v>0.76190476190476186</v>
      </c>
    </row>
    <row r="2437" spans="1:6" ht="30" customHeight="1" x14ac:dyDescent="0.3">
      <c r="A2437" s="26" t="s">
        <v>1423</v>
      </c>
      <c r="B2437" s="27" t="s">
        <v>1424</v>
      </c>
      <c r="C2437" s="180">
        <v>43451</v>
      </c>
      <c r="D2437" s="28">
        <v>21</v>
      </c>
      <c r="E2437" s="49">
        <v>16</v>
      </c>
      <c r="F2437" s="211">
        <f>IFERROR(Tableau6[[#This Row],[Score]]/Tableau6[[#This Row],[Nb]],0)</f>
        <v>0.76190476190476186</v>
      </c>
    </row>
    <row r="2438" spans="1:6" ht="30" customHeight="1" x14ac:dyDescent="0.3">
      <c r="A2438" s="26" t="s">
        <v>1513</v>
      </c>
      <c r="B2438" s="27" t="s">
        <v>1514</v>
      </c>
      <c r="C2438" s="180">
        <v>43472</v>
      </c>
      <c r="D2438" s="28">
        <v>21</v>
      </c>
      <c r="E2438" s="49">
        <v>16</v>
      </c>
      <c r="F2438" s="211">
        <f>IFERROR(Tableau6[[#This Row],[Score]]/Tableau6[[#This Row],[Nb]],0)</f>
        <v>0.76190476190476186</v>
      </c>
    </row>
    <row r="2439" spans="1:6" ht="30" customHeight="1" x14ac:dyDescent="0.3">
      <c r="A2439" s="26" t="s">
        <v>266</v>
      </c>
      <c r="B2439" s="27" t="s">
        <v>1966</v>
      </c>
      <c r="C2439" s="180">
        <v>43605</v>
      </c>
      <c r="D2439" s="28">
        <v>21</v>
      </c>
      <c r="E2439" s="49">
        <v>16</v>
      </c>
      <c r="F2439" s="211">
        <f>IFERROR(Tableau6[[#This Row],[Score]]/Tableau6[[#This Row],[Nb]],0)</f>
        <v>0.76190476190476186</v>
      </c>
    </row>
    <row r="2440" spans="1:6" ht="30" customHeight="1" x14ac:dyDescent="0.3">
      <c r="A2440" s="26" t="s">
        <v>3273</v>
      </c>
      <c r="B2440" s="27" t="s">
        <v>2841</v>
      </c>
      <c r="C2440" s="180">
        <v>43661</v>
      </c>
      <c r="D2440" s="28">
        <v>21</v>
      </c>
      <c r="E2440" s="49">
        <v>16</v>
      </c>
      <c r="F2440" s="211">
        <f>IFERROR(Tableau6[[#This Row],[Score]]/Tableau6[[#This Row],[Nb]],0)</f>
        <v>0.76190476190476186</v>
      </c>
    </row>
    <row r="2441" spans="1:6" ht="30" customHeight="1" x14ac:dyDescent="0.3">
      <c r="A2441" s="26" t="s">
        <v>2194</v>
      </c>
      <c r="B2441" s="27" t="s">
        <v>2195</v>
      </c>
      <c r="C2441" s="180">
        <v>43689</v>
      </c>
      <c r="D2441" s="28">
        <v>21</v>
      </c>
      <c r="E2441" s="49">
        <v>16</v>
      </c>
      <c r="F2441" s="211">
        <f>IFERROR(Tableau6[[#This Row],[Score]]/Tableau6[[#This Row],[Nb]],0)</f>
        <v>0.76190476190476186</v>
      </c>
    </row>
    <row r="2442" spans="1:6" ht="30" customHeight="1" x14ac:dyDescent="0.3">
      <c r="A2442" s="26" t="s">
        <v>2479</v>
      </c>
      <c r="B2442" s="27" t="s">
        <v>2480</v>
      </c>
      <c r="C2442" s="180">
        <v>43787</v>
      </c>
      <c r="D2442" s="28">
        <v>21</v>
      </c>
      <c r="E2442" s="49">
        <v>16</v>
      </c>
      <c r="F2442" s="211">
        <f>IFERROR(Tableau6[[#This Row],[Score]]/Tableau6[[#This Row],[Nb]],0)</f>
        <v>0.76190476190476186</v>
      </c>
    </row>
    <row r="2443" spans="1:6" ht="30" customHeight="1" x14ac:dyDescent="0.3">
      <c r="A2443" s="26" t="s">
        <v>2572</v>
      </c>
      <c r="B2443" s="27" t="s">
        <v>3545</v>
      </c>
      <c r="C2443" s="180">
        <v>43848</v>
      </c>
      <c r="D2443" s="28">
        <v>21</v>
      </c>
      <c r="E2443" s="49">
        <v>16</v>
      </c>
      <c r="F2443" s="211">
        <f>IFERROR(Tableau6[[#This Row],[Score]]/Tableau6[[#This Row],[Nb]],0)</f>
        <v>0.76190476190476186</v>
      </c>
    </row>
    <row r="2444" spans="1:6" ht="30" customHeight="1" x14ac:dyDescent="0.3">
      <c r="A2444" s="26" t="s">
        <v>3973</v>
      </c>
      <c r="B2444" s="27" t="s">
        <v>3974</v>
      </c>
      <c r="C2444" s="180">
        <v>44262</v>
      </c>
      <c r="D2444" s="28">
        <v>21</v>
      </c>
      <c r="E2444" s="49">
        <v>16</v>
      </c>
      <c r="F2444" s="211">
        <f>IFERROR(Tableau6[[#This Row],[Score]]/Tableau6[[#This Row],[Nb]],0)</f>
        <v>0.76190476190476186</v>
      </c>
    </row>
    <row r="2445" spans="1:6" ht="30" customHeight="1" x14ac:dyDescent="0.3">
      <c r="A2445" s="26" t="s">
        <v>4311</v>
      </c>
      <c r="B2445" s="27" t="s">
        <v>4312</v>
      </c>
      <c r="C2445" s="180">
        <v>44283</v>
      </c>
      <c r="D2445" s="28">
        <v>21</v>
      </c>
      <c r="E2445" s="49">
        <v>16</v>
      </c>
      <c r="F2445" s="211">
        <f>IFERROR(Tableau6[[#This Row],[Score]]/Tableau6[[#This Row],[Nb]],0)</f>
        <v>0.76190476190476186</v>
      </c>
    </row>
    <row r="2446" spans="1:6" ht="30" customHeight="1" x14ac:dyDescent="0.3">
      <c r="A2446" s="26" t="s">
        <v>4384</v>
      </c>
      <c r="B2446" s="27" t="s">
        <v>4385</v>
      </c>
      <c r="C2446" s="180">
        <v>44299</v>
      </c>
      <c r="D2446" s="28">
        <v>21</v>
      </c>
      <c r="E2446" s="49">
        <v>16</v>
      </c>
      <c r="F2446" s="211">
        <f>IFERROR(Tableau6[[#This Row],[Score]]/Tableau6[[#This Row],[Nb]],0)</f>
        <v>0.76190476190476186</v>
      </c>
    </row>
    <row r="2447" spans="1:6" ht="30" customHeight="1" x14ac:dyDescent="0.3">
      <c r="A2447" s="26" t="s">
        <v>3844</v>
      </c>
      <c r="B2447" s="27" t="s">
        <v>3845</v>
      </c>
      <c r="C2447" s="180">
        <v>41621</v>
      </c>
      <c r="D2447" s="28">
        <v>17</v>
      </c>
      <c r="E2447" s="49">
        <v>13</v>
      </c>
      <c r="F2447" s="211">
        <f>IFERROR(Tableau6[[#This Row],[Score]]/Tableau6[[#This Row],[Nb]],0)</f>
        <v>0.76470588235294112</v>
      </c>
    </row>
    <row r="2448" spans="1:6" ht="30" customHeight="1" x14ac:dyDescent="0.3">
      <c r="A2448" s="26" t="s">
        <v>171</v>
      </c>
      <c r="B2448" s="27" t="s">
        <v>172</v>
      </c>
      <c r="C2448" s="180">
        <v>43377</v>
      </c>
      <c r="D2448" s="28">
        <v>17</v>
      </c>
      <c r="E2448" s="49">
        <v>13</v>
      </c>
      <c r="F2448" s="211">
        <f>IFERROR(Tableau6[[#This Row],[Score]]/Tableau6[[#This Row],[Nb]],0)</f>
        <v>0.76470588235294112</v>
      </c>
    </row>
    <row r="2449" spans="1:6" ht="30" customHeight="1" x14ac:dyDescent="0.3">
      <c r="A2449" s="26" t="s">
        <v>228</v>
      </c>
      <c r="B2449" s="27" t="s">
        <v>229</v>
      </c>
      <c r="C2449" s="180">
        <v>43398</v>
      </c>
      <c r="D2449" s="28">
        <v>17</v>
      </c>
      <c r="E2449" s="49">
        <v>13</v>
      </c>
      <c r="F2449" s="211">
        <f>IFERROR(Tableau6[[#This Row],[Score]]/Tableau6[[#This Row],[Nb]],0)</f>
        <v>0.76470588235294112</v>
      </c>
    </row>
    <row r="2450" spans="1:6" ht="30" customHeight="1" x14ac:dyDescent="0.3">
      <c r="A2450" s="26" t="s">
        <v>1494</v>
      </c>
      <c r="B2450" s="27" t="s">
        <v>1495</v>
      </c>
      <c r="C2450" s="180">
        <v>43472</v>
      </c>
      <c r="D2450" s="28">
        <v>17</v>
      </c>
      <c r="E2450" s="49">
        <v>13</v>
      </c>
      <c r="F2450" s="211">
        <f>IFERROR(Tableau6[[#This Row],[Score]]/Tableau6[[#This Row],[Nb]],0)</f>
        <v>0.76470588235294112</v>
      </c>
    </row>
    <row r="2451" spans="1:6" ht="30" customHeight="1" x14ac:dyDescent="0.3">
      <c r="A2451" s="26" t="s">
        <v>2242</v>
      </c>
      <c r="B2451" s="27" t="s">
        <v>2243</v>
      </c>
      <c r="C2451" s="180">
        <v>43756</v>
      </c>
      <c r="D2451" s="28">
        <v>17</v>
      </c>
      <c r="E2451" s="49">
        <v>13</v>
      </c>
      <c r="F2451" s="211">
        <f>IFERROR(Tableau6[[#This Row],[Score]]/Tableau6[[#This Row],[Nb]],0)</f>
        <v>0.76470588235294112</v>
      </c>
    </row>
    <row r="2452" spans="1:6" ht="30" customHeight="1" x14ac:dyDescent="0.3">
      <c r="A2452" s="26" t="s">
        <v>2245</v>
      </c>
      <c r="B2452" s="27" t="s">
        <v>2246</v>
      </c>
      <c r="C2452" s="180">
        <v>43756</v>
      </c>
      <c r="D2452" s="28">
        <v>17</v>
      </c>
      <c r="E2452" s="49">
        <v>13</v>
      </c>
      <c r="F2452" s="211">
        <f>IFERROR(Tableau6[[#This Row],[Score]]/Tableau6[[#This Row],[Nb]],0)</f>
        <v>0.76470588235294112</v>
      </c>
    </row>
    <row r="2453" spans="1:6" ht="30" customHeight="1" x14ac:dyDescent="0.3">
      <c r="A2453" s="26" t="s">
        <v>2358</v>
      </c>
      <c r="B2453" s="152" t="s">
        <v>6119</v>
      </c>
      <c r="C2453" s="180">
        <v>43771</v>
      </c>
      <c r="D2453" s="28">
        <v>17</v>
      </c>
      <c r="E2453" s="49">
        <v>13</v>
      </c>
      <c r="F2453" s="211">
        <f>IFERROR(Tableau6[[#This Row],[Score]]/Tableau6[[#This Row],[Nb]],0)</f>
        <v>0.76470588235294112</v>
      </c>
    </row>
    <row r="2454" spans="1:6" ht="30" customHeight="1" x14ac:dyDescent="0.3">
      <c r="A2454" s="26" t="s">
        <v>2838</v>
      </c>
      <c r="B2454" s="27" t="s">
        <v>2839</v>
      </c>
      <c r="C2454" s="180">
        <v>43962</v>
      </c>
      <c r="D2454" s="28">
        <v>17</v>
      </c>
      <c r="E2454" s="49">
        <v>13</v>
      </c>
      <c r="F2454" s="211">
        <f>IFERROR(Tableau6[[#This Row],[Score]]/Tableau6[[#This Row],[Nb]],0)</f>
        <v>0.76470588235294112</v>
      </c>
    </row>
    <row r="2455" spans="1:6" ht="30" customHeight="1" x14ac:dyDescent="0.3">
      <c r="A2455" s="26" t="s">
        <v>2942</v>
      </c>
      <c r="B2455" s="27" t="s">
        <v>2943</v>
      </c>
      <c r="C2455" s="180">
        <v>43984</v>
      </c>
      <c r="D2455" s="28">
        <v>17</v>
      </c>
      <c r="E2455" s="49">
        <v>13</v>
      </c>
      <c r="F2455" s="211">
        <f>IFERROR(Tableau6[[#This Row],[Score]]/Tableau6[[#This Row],[Nb]],0)</f>
        <v>0.76470588235294112</v>
      </c>
    </row>
    <row r="2456" spans="1:6" ht="30" customHeight="1" x14ac:dyDescent="0.3">
      <c r="A2456" s="151" t="s">
        <v>5129</v>
      </c>
      <c r="B2456" s="152" t="s">
        <v>5130</v>
      </c>
      <c r="C2456" s="207">
        <v>44471</v>
      </c>
      <c r="D2456" s="148">
        <v>17</v>
      </c>
      <c r="E2456" s="148">
        <v>13</v>
      </c>
      <c r="F2456" s="211">
        <f>IFERROR(Tableau6[[#This Row],[Score]]/Tableau6[[#This Row],[Nb]],0)</f>
        <v>0.76470588235294112</v>
      </c>
    </row>
    <row r="2457" spans="1:6" ht="30" customHeight="1" x14ac:dyDescent="0.3">
      <c r="A2457" s="26" t="s">
        <v>4926</v>
      </c>
      <c r="B2457" s="27" t="s">
        <v>4021</v>
      </c>
      <c r="C2457" s="180">
        <v>41621</v>
      </c>
      <c r="D2457" s="28">
        <v>26</v>
      </c>
      <c r="E2457" s="49">
        <v>20</v>
      </c>
      <c r="F2457" s="211">
        <f>IFERROR(Tableau6[[#This Row],[Score]]/Tableau6[[#This Row],[Nb]],0)</f>
        <v>0.76923076923076927</v>
      </c>
    </row>
    <row r="2458" spans="1:6" ht="30" customHeight="1" x14ac:dyDescent="0.3">
      <c r="A2458" s="26" t="s">
        <v>4818</v>
      </c>
      <c r="B2458" s="27" t="s">
        <v>4819</v>
      </c>
      <c r="C2458" s="180">
        <v>41621</v>
      </c>
      <c r="D2458" s="28">
        <v>13</v>
      </c>
      <c r="E2458" s="49">
        <v>10</v>
      </c>
      <c r="F2458" s="211">
        <f>IFERROR(Tableau6[[#This Row],[Score]]/Tableau6[[#This Row],[Nb]],0)</f>
        <v>0.76923076923076927</v>
      </c>
    </row>
    <row r="2459" spans="1:6" ht="30" customHeight="1" x14ac:dyDescent="0.3">
      <c r="A2459" s="26" t="s">
        <v>697</v>
      </c>
      <c r="B2459" s="27" t="s">
        <v>714</v>
      </c>
      <c r="C2459" s="180">
        <v>41621</v>
      </c>
      <c r="D2459" s="28">
        <v>26</v>
      </c>
      <c r="E2459" s="49">
        <v>20</v>
      </c>
      <c r="F2459" s="211">
        <f>IFERROR(Tableau6[[#This Row],[Score]]/Tableau6[[#This Row],[Nb]],0)</f>
        <v>0.76923076923076927</v>
      </c>
    </row>
    <row r="2460" spans="1:6" ht="30" customHeight="1" x14ac:dyDescent="0.3">
      <c r="A2460" s="26" t="s">
        <v>1128</v>
      </c>
      <c r="B2460" s="27" t="s">
        <v>4539</v>
      </c>
      <c r="C2460" s="180">
        <v>41621</v>
      </c>
      <c r="D2460" s="28">
        <v>26</v>
      </c>
      <c r="E2460" s="49">
        <v>20</v>
      </c>
      <c r="F2460" s="211">
        <f>IFERROR(Tableau6[[#This Row],[Score]]/Tableau6[[#This Row],[Nb]],0)</f>
        <v>0.76923076923076927</v>
      </c>
    </row>
    <row r="2461" spans="1:6" ht="30" customHeight="1" x14ac:dyDescent="0.3">
      <c r="A2461" s="630" t="s">
        <v>6660</v>
      </c>
      <c r="B2461" s="27" t="s">
        <v>717</v>
      </c>
      <c r="C2461" s="180">
        <v>43206</v>
      </c>
      <c r="D2461" s="28">
        <v>26</v>
      </c>
      <c r="E2461" s="49">
        <v>20</v>
      </c>
      <c r="F2461" s="211">
        <f>IFERROR(Tableau6[[#This Row],[Score]]/Tableau6[[#This Row],[Nb]],0)</f>
        <v>0.76923076923076927</v>
      </c>
    </row>
    <row r="2462" spans="1:6" ht="30" customHeight="1" x14ac:dyDescent="0.3">
      <c r="A2462" s="26" t="s">
        <v>4180</v>
      </c>
      <c r="B2462" s="27" t="s">
        <v>4179</v>
      </c>
      <c r="C2462" s="180">
        <v>43341</v>
      </c>
      <c r="D2462" s="28">
        <v>26</v>
      </c>
      <c r="E2462" s="49">
        <v>20</v>
      </c>
      <c r="F2462" s="211">
        <f>IFERROR(Tableau6[[#This Row],[Score]]/Tableau6[[#This Row],[Nb]],0)</f>
        <v>0.76923076923076927</v>
      </c>
    </row>
    <row r="2463" spans="1:6" ht="30" customHeight="1" x14ac:dyDescent="0.3">
      <c r="A2463" s="26" t="s">
        <v>84</v>
      </c>
      <c r="B2463" s="27" t="s">
        <v>4646</v>
      </c>
      <c r="C2463" s="180">
        <v>43341</v>
      </c>
      <c r="D2463" s="28">
        <v>26</v>
      </c>
      <c r="E2463" s="49">
        <v>20</v>
      </c>
      <c r="F2463" s="211">
        <f>IFERROR(Tableau6[[#This Row],[Score]]/Tableau6[[#This Row],[Nb]],0)</f>
        <v>0.76923076923076927</v>
      </c>
    </row>
    <row r="2464" spans="1:6" ht="30" customHeight="1" x14ac:dyDescent="0.3">
      <c r="A2464" s="26" t="s">
        <v>1289</v>
      </c>
      <c r="B2464" s="27" t="s">
        <v>1290</v>
      </c>
      <c r="C2464" s="180">
        <v>43444</v>
      </c>
      <c r="D2464" s="28">
        <v>13</v>
      </c>
      <c r="E2464" s="49">
        <v>10</v>
      </c>
      <c r="F2464" s="211">
        <f>IFERROR(Tableau6[[#This Row],[Score]]/Tableau6[[#This Row],[Nb]],0)</f>
        <v>0.76923076923076927</v>
      </c>
    </row>
    <row r="2465" spans="1:6" ht="30" customHeight="1" x14ac:dyDescent="0.3">
      <c r="A2465" s="26" t="s">
        <v>1557</v>
      </c>
      <c r="B2465" s="27" t="s">
        <v>1558</v>
      </c>
      <c r="C2465" s="180">
        <v>43478</v>
      </c>
      <c r="D2465" s="28">
        <v>13</v>
      </c>
      <c r="E2465" s="49">
        <v>10</v>
      </c>
      <c r="F2465" s="211">
        <f>IFERROR(Tableau6[[#This Row],[Score]]/Tableau6[[#This Row],[Nb]],0)</f>
        <v>0.76923076923076927</v>
      </c>
    </row>
    <row r="2466" spans="1:6" ht="30" customHeight="1" x14ac:dyDescent="0.3">
      <c r="A2466" s="26" t="s">
        <v>1674</v>
      </c>
      <c r="B2466" s="27" t="s">
        <v>4344</v>
      </c>
      <c r="C2466" s="180">
        <v>43548</v>
      </c>
      <c r="D2466" s="28">
        <v>26</v>
      </c>
      <c r="E2466" s="49">
        <v>20</v>
      </c>
      <c r="F2466" s="211">
        <f>IFERROR(Tableau6[[#This Row],[Score]]/Tableau6[[#This Row],[Nb]],0)</f>
        <v>0.76923076923076927</v>
      </c>
    </row>
    <row r="2467" spans="1:6" ht="30" customHeight="1" x14ac:dyDescent="0.3">
      <c r="A2467" s="26" t="s">
        <v>4235</v>
      </c>
      <c r="B2467" s="27" t="s">
        <v>2196</v>
      </c>
      <c r="C2467" s="180">
        <v>43689</v>
      </c>
      <c r="D2467" s="28">
        <v>26</v>
      </c>
      <c r="E2467" s="49">
        <v>20</v>
      </c>
      <c r="F2467" s="211">
        <f>IFERROR(Tableau6[[#This Row],[Score]]/Tableau6[[#This Row],[Nb]],0)</f>
        <v>0.76923076923076927</v>
      </c>
    </row>
    <row r="2468" spans="1:6" ht="30" customHeight="1" x14ac:dyDescent="0.3">
      <c r="A2468" s="26" t="s">
        <v>3373</v>
      </c>
      <c r="B2468" s="27" t="s">
        <v>3374</v>
      </c>
      <c r="C2468" s="180">
        <v>43689</v>
      </c>
      <c r="D2468" s="28">
        <v>26</v>
      </c>
      <c r="E2468" s="49">
        <v>20</v>
      </c>
      <c r="F2468" s="211">
        <f>IFERROR(Tableau6[[#This Row],[Score]]/Tableau6[[#This Row],[Nb]],0)</f>
        <v>0.76923076923076927</v>
      </c>
    </row>
    <row r="2469" spans="1:6" ht="30" customHeight="1" x14ac:dyDescent="0.3">
      <c r="A2469" s="26" t="s">
        <v>2274</v>
      </c>
      <c r="B2469" s="27" t="s">
        <v>2275</v>
      </c>
      <c r="C2469" s="180">
        <v>43761</v>
      </c>
      <c r="D2469" s="28">
        <v>26</v>
      </c>
      <c r="E2469" s="49">
        <v>20</v>
      </c>
      <c r="F2469" s="211">
        <f>IFERROR(Tableau6[[#This Row],[Score]]/Tableau6[[#This Row],[Nb]],0)</f>
        <v>0.76923076923076927</v>
      </c>
    </row>
    <row r="2470" spans="1:6" ht="30" customHeight="1" x14ac:dyDescent="0.3">
      <c r="A2470" s="26" t="s">
        <v>2333</v>
      </c>
      <c r="B2470" s="27" t="s">
        <v>2334</v>
      </c>
      <c r="C2470" s="180">
        <v>43771</v>
      </c>
      <c r="D2470" s="28">
        <v>26</v>
      </c>
      <c r="E2470" s="49">
        <v>20</v>
      </c>
      <c r="F2470" s="211">
        <f>IFERROR(Tableau6[[#This Row],[Score]]/Tableau6[[#This Row],[Nb]],0)</f>
        <v>0.76923076923076927</v>
      </c>
    </row>
    <row r="2471" spans="1:6" ht="30" customHeight="1" x14ac:dyDescent="0.3">
      <c r="A2471" s="26" t="s">
        <v>2425</v>
      </c>
      <c r="B2471" s="27" t="s">
        <v>2426</v>
      </c>
      <c r="C2471" s="180">
        <v>43776</v>
      </c>
      <c r="D2471" s="28">
        <v>26</v>
      </c>
      <c r="E2471" s="49">
        <v>20</v>
      </c>
      <c r="F2471" s="211">
        <f>IFERROR(Tableau6[[#This Row],[Score]]/Tableau6[[#This Row],[Nb]],0)</f>
        <v>0.76923076923076927</v>
      </c>
    </row>
    <row r="2472" spans="1:6" ht="30" customHeight="1" x14ac:dyDescent="0.3">
      <c r="A2472" s="26" t="s">
        <v>2609</v>
      </c>
      <c r="B2472" s="27" t="s">
        <v>2610</v>
      </c>
      <c r="C2472" s="180">
        <v>43857</v>
      </c>
      <c r="D2472" s="28">
        <v>26</v>
      </c>
      <c r="E2472" s="49">
        <v>20</v>
      </c>
      <c r="F2472" s="211">
        <f>IFERROR(Tableau6[[#This Row],[Score]]/Tableau6[[#This Row],[Nb]],0)</f>
        <v>0.76923076923076927</v>
      </c>
    </row>
    <row r="2473" spans="1:6" ht="30" customHeight="1" x14ac:dyDescent="0.3">
      <c r="A2473" s="26" t="s">
        <v>3397</v>
      </c>
      <c r="B2473" s="27" t="s">
        <v>3396</v>
      </c>
      <c r="C2473" s="180">
        <v>44046</v>
      </c>
      <c r="D2473" s="28">
        <v>26</v>
      </c>
      <c r="E2473" s="49">
        <v>20</v>
      </c>
      <c r="F2473" s="211">
        <f>IFERROR(Tableau6[[#This Row],[Score]]/Tableau6[[#This Row],[Nb]],0)</f>
        <v>0.76923076923076927</v>
      </c>
    </row>
    <row r="2474" spans="1:6" ht="30" customHeight="1" x14ac:dyDescent="0.3">
      <c r="A2474" s="26" t="s">
        <v>4207</v>
      </c>
      <c r="B2474" s="27" t="s">
        <v>4208</v>
      </c>
      <c r="C2474" s="180">
        <v>44276</v>
      </c>
      <c r="D2474" s="28">
        <v>13</v>
      </c>
      <c r="E2474" s="49">
        <v>10</v>
      </c>
      <c r="F2474" s="211">
        <f>IFERROR(Tableau6[[#This Row],[Score]]/Tableau6[[#This Row],[Nb]],0)</f>
        <v>0.76923076923076927</v>
      </c>
    </row>
    <row r="2475" spans="1:6" ht="30" customHeight="1" x14ac:dyDescent="0.3">
      <c r="A2475" s="26" t="s">
        <v>514</v>
      </c>
      <c r="B2475" s="27" t="s">
        <v>515</v>
      </c>
      <c r="C2475" s="180">
        <v>40611</v>
      </c>
      <c r="D2475" s="28">
        <v>22</v>
      </c>
      <c r="E2475" s="49">
        <v>17</v>
      </c>
      <c r="F2475" s="211">
        <f>IFERROR(Tableau6[[#This Row],[Score]]/Tableau6[[#This Row],[Nb]],0)</f>
        <v>0.77272727272727271</v>
      </c>
    </row>
    <row r="2476" spans="1:6" ht="30" customHeight="1" x14ac:dyDescent="0.3">
      <c r="A2476" s="26" t="s">
        <v>347</v>
      </c>
      <c r="B2476" s="27" t="s">
        <v>348</v>
      </c>
      <c r="C2476" s="180">
        <v>40611</v>
      </c>
      <c r="D2476" s="28">
        <v>22</v>
      </c>
      <c r="E2476" s="49">
        <v>17</v>
      </c>
      <c r="F2476" s="211">
        <f>IFERROR(Tableau6[[#This Row],[Score]]/Tableau6[[#This Row],[Nb]],0)</f>
        <v>0.77272727272727271</v>
      </c>
    </row>
    <row r="2477" spans="1:6" ht="30" customHeight="1" x14ac:dyDescent="0.3">
      <c r="A2477" s="26" t="s">
        <v>4494</v>
      </c>
      <c r="B2477" s="27" t="s">
        <v>4493</v>
      </c>
      <c r="C2477" s="180">
        <v>41621</v>
      </c>
      <c r="D2477" s="28">
        <v>22</v>
      </c>
      <c r="E2477" s="49">
        <v>17</v>
      </c>
      <c r="F2477" s="211">
        <f>IFERROR(Tableau6[[#This Row],[Score]]/Tableau6[[#This Row],[Nb]],0)</f>
        <v>0.77272727272727271</v>
      </c>
    </row>
    <row r="2478" spans="1:6" ht="30" customHeight="1" x14ac:dyDescent="0.3">
      <c r="A2478" s="26" t="s">
        <v>1463</v>
      </c>
      <c r="B2478" s="27" t="s">
        <v>724</v>
      </c>
      <c r="C2478" s="180">
        <v>41621</v>
      </c>
      <c r="D2478" s="28">
        <v>22</v>
      </c>
      <c r="E2478" s="49">
        <v>17</v>
      </c>
      <c r="F2478" s="211">
        <f>IFERROR(Tableau6[[#This Row],[Score]]/Tableau6[[#This Row],[Nb]],0)</f>
        <v>0.77272727272727271</v>
      </c>
    </row>
    <row r="2479" spans="1:6" ht="30" customHeight="1" x14ac:dyDescent="0.3">
      <c r="A2479" s="26" t="s">
        <v>4623</v>
      </c>
      <c r="B2479" s="27" t="s">
        <v>4624</v>
      </c>
      <c r="C2479" s="180">
        <v>43209</v>
      </c>
      <c r="D2479" s="28">
        <v>22</v>
      </c>
      <c r="E2479" s="49">
        <v>17</v>
      </c>
      <c r="F2479" s="211">
        <f>IFERROR(Tableau6[[#This Row],[Score]]/Tableau6[[#This Row],[Nb]],0)</f>
        <v>0.77272727272727271</v>
      </c>
    </row>
    <row r="2480" spans="1:6" ht="30" customHeight="1" x14ac:dyDescent="0.3">
      <c r="A2480" s="26" t="s">
        <v>668</v>
      </c>
      <c r="B2480" s="152" t="s">
        <v>6208</v>
      </c>
      <c r="C2480" s="180">
        <v>43237</v>
      </c>
      <c r="D2480" s="28">
        <v>22</v>
      </c>
      <c r="E2480" s="49">
        <v>17</v>
      </c>
      <c r="F2480" s="211">
        <f>IFERROR(Tableau6[[#This Row],[Score]]/Tableau6[[#This Row],[Nb]],0)</f>
        <v>0.77272727272727271</v>
      </c>
    </row>
    <row r="2481" spans="1:6" ht="30" customHeight="1" x14ac:dyDescent="0.3">
      <c r="A2481" s="26" t="s">
        <v>141</v>
      </c>
      <c r="B2481" s="27" t="s">
        <v>3310</v>
      </c>
      <c r="C2481" s="180">
        <v>43370</v>
      </c>
      <c r="D2481" s="28">
        <v>22</v>
      </c>
      <c r="E2481" s="49">
        <v>17</v>
      </c>
      <c r="F2481" s="211">
        <f>IFERROR(Tableau6[[#This Row],[Score]]/Tableau6[[#This Row],[Nb]],0)</f>
        <v>0.77272727272727271</v>
      </c>
    </row>
    <row r="2482" spans="1:6" ht="30" customHeight="1" x14ac:dyDescent="0.3">
      <c r="A2482" s="26" t="s">
        <v>4442</v>
      </c>
      <c r="B2482" s="27" t="s">
        <v>254</v>
      </c>
      <c r="C2482" s="180">
        <v>43397</v>
      </c>
      <c r="D2482" s="28">
        <v>22</v>
      </c>
      <c r="E2482" s="49">
        <v>17</v>
      </c>
      <c r="F2482" s="211">
        <f>IFERROR(Tableau6[[#This Row],[Score]]/Tableau6[[#This Row],[Nb]],0)</f>
        <v>0.77272727272727271</v>
      </c>
    </row>
    <row r="2483" spans="1:6" ht="30" customHeight="1" x14ac:dyDescent="0.3">
      <c r="A2483" s="26" t="s">
        <v>1349</v>
      </c>
      <c r="B2483" s="27" t="s">
        <v>1350</v>
      </c>
      <c r="C2483" s="180">
        <v>43444</v>
      </c>
      <c r="D2483" s="28">
        <v>22</v>
      </c>
      <c r="E2483" s="49">
        <v>17</v>
      </c>
      <c r="F2483" s="211">
        <f>IFERROR(Tableau6[[#This Row],[Score]]/Tableau6[[#This Row],[Nb]],0)</f>
        <v>0.77272727272727271</v>
      </c>
    </row>
    <row r="2484" spans="1:6" ht="30" customHeight="1" x14ac:dyDescent="0.3">
      <c r="A2484" s="26" t="s">
        <v>1689</v>
      </c>
      <c r="B2484" s="27" t="s">
        <v>1690</v>
      </c>
      <c r="C2484" s="180">
        <v>43548</v>
      </c>
      <c r="D2484" s="28">
        <v>22</v>
      </c>
      <c r="E2484" s="49">
        <v>17</v>
      </c>
      <c r="F2484" s="211">
        <f>IFERROR(Tableau6[[#This Row],[Score]]/Tableau6[[#This Row],[Nb]],0)</f>
        <v>0.77272727272727271</v>
      </c>
    </row>
    <row r="2485" spans="1:6" ht="30" customHeight="1" x14ac:dyDescent="0.3">
      <c r="A2485" s="26" t="s">
        <v>1960</v>
      </c>
      <c r="B2485" s="27" t="s">
        <v>1961</v>
      </c>
      <c r="C2485" s="180">
        <v>43605</v>
      </c>
      <c r="D2485" s="28">
        <v>22</v>
      </c>
      <c r="E2485" s="49">
        <v>17</v>
      </c>
      <c r="F2485" s="211">
        <f>IFERROR(Tableau6[[#This Row],[Score]]/Tableau6[[#This Row],[Nb]],0)</f>
        <v>0.77272727272727271</v>
      </c>
    </row>
    <row r="2486" spans="1:6" ht="30" customHeight="1" x14ac:dyDescent="0.3">
      <c r="A2486" s="26" t="s">
        <v>2231</v>
      </c>
      <c r="B2486" s="27" t="s">
        <v>2232</v>
      </c>
      <c r="C2486" s="180">
        <v>43752</v>
      </c>
      <c r="D2486" s="28">
        <v>22</v>
      </c>
      <c r="E2486" s="49">
        <v>17</v>
      </c>
      <c r="F2486" s="211">
        <f>IFERROR(Tableau6[[#This Row],[Score]]/Tableau6[[#This Row],[Nb]],0)</f>
        <v>0.77272727272727271</v>
      </c>
    </row>
    <row r="2487" spans="1:6" ht="30" customHeight="1" x14ac:dyDescent="0.3">
      <c r="A2487" s="26" t="s">
        <v>2503</v>
      </c>
      <c r="B2487" s="27" t="s">
        <v>2504</v>
      </c>
      <c r="C2487" s="180">
        <v>43802</v>
      </c>
      <c r="D2487" s="28">
        <v>22</v>
      </c>
      <c r="E2487" s="49">
        <v>17</v>
      </c>
      <c r="F2487" s="211">
        <f>IFERROR(Tableau6[[#This Row],[Score]]/Tableau6[[#This Row],[Nb]],0)</f>
        <v>0.77272727272727271</v>
      </c>
    </row>
    <row r="2488" spans="1:6" ht="30" customHeight="1" x14ac:dyDescent="0.3">
      <c r="A2488" s="26" t="s">
        <v>3654</v>
      </c>
      <c r="B2488" s="27" t="s">
        <v>3655</v>
      </c>
      <c r="C2488" s="180">
        <v>44241</v>
      </c>
      <c r="D2488" s="28">
        <v>22</v>
      </c>
      <c r="E2488" s="49">
        <v>17</v>
      </c>
      <c r="F2488" s="211">
        <f>IFERROR(Tableau6[[#This Row],[Score]]/Tableau6[[#This Row],[Nb]],0)</f>
        <v>0.77272727272727271</v>
      </c>
    </row>
    <row r="2489" spans="1:6" ht="30" customHeight="1" x14ac:dyDescent="0.3">
      <c r="A2489" s="26" t="s">
        <v>3938</v>
      </c>
      <c r="B2489" s="27" t="s">
        <v>3939</v>
      </c>
      <c r="C2489" s="180">
        <v>44262</v>
      </c>
      <c r="D2489" s="28">
        <v>22</v>
      </c>
      <c r="E2489" s="49">
        <v>17</v>
      </c>
      <c r="F2489" s="211">
        <f>IFERROR(Tableau6[[#This Row],[Score]]/Tableau6[[#This Row],[Nb]],0)</f>
        <v>0.77272727272727271</v>
      </c>
    </row>
    <row r="2490" spans="1:6" ht="30" customHeight="1" x14ac:dyDescent="0.3">
      <c r="A2490" s="26" t="s">
        <v>4097</v>
      </c>
      <c r="B2490" s="27" t="s">
        <v>4098</v>
      </c>
      <c r="C2490" s="180">
        <v>44269</v>
      </c>
      <c r="D2490" s="28">
        <v>22</v>
      </c>
      <c r="E2490" s="49">
        <v>17</v>
      </c>
      <c r="F2490" s="211">
        <f>IFERROR(Tableau6[[#This Row],[Score]]/Tableau6[[#This Row],[Nb]],0)</f>
        <v>0.77272727272727271</v>
      </c>
    </row>
    <row r="2491" spans="1:6" ht="30" customHeight="1" x14ac:dyDescent="0.3">
      <c r="A2491" s="26" t="s">
        <v>4157</v>
      </c>
      <c r="B2491" s="27" t="s">
        <v>4158</v>
      </c>
      <c r="C2491" s="180">
        <v>44271</v>
      </c>
      <c r="D2491" s="28">
        <v>22</v>
      </c>
      <c r="E2491" s="49">
        <v>17</v>
      </c>
      <c r="F2491" s="211">
        <f>IFERROR(Tableau6[[#This Row],[Score]]/Tableau6[[#This Row],[Nb]],0)</f>
        <v>0.77272727272727271</v>
      </c>
    </row>
    <row r="2492" spans="1:6" ht="30" customHeight="1" x14ac:dyDescent="0.3">
      <c r="A2492" s="26" t="s">
        <v>4189</v>
      </c>
      <c r="B2492" s="27" t="s">
        <v>4190</v>
      </c>
      <c r="C2492" s="180">
        <v>44276</v>
      </c>
      <c r="D2492" s="28">
        <v>22</v>
      </c>
      <c r="E2492" s="49">
        <v>17</v>
      </c>
      <c r="F2492" s="211">
        <f>IFERROR(Tableau6[[#This Row],[Score]]/Tableau6[[#This Row],[Nb]],0)</f>
        <v>0.77272727272727271</v>
      </c>
    </row>
    <row r="2493" spans="1:6" ht="30" customHeight="1" x14ac:dyDescent="0.3">
      <c r="A2493" s="26" t="s">
        <v>4412</v>
      </c>
      <c r="B2493" s="27" t="s">
        <v>4413</v>
      </c>
      <c r="C2493" s="180">
        <v>44299</v>
      </c>
      <c r="D2493" s="28">
        <v>22</v>
      </c>
      <c r="E2493" s="49">
        <v>17</v>
      </c>
      <c r="F2493" s="211">
        <f>IFERROR(Tableau6[[#This Row],[Score]]/Tableau6[[#This Row],[Nb]],0)</f>
        <v>0.77272727272727271</v>
      </c>
    </row>
    <row r="2494" spans="1:6" ht="30" customHeight="1" x14ac:dyDescent="0.3">
      <c r="A2494" s="26" t="s">
        <v>4667</v>
      </c>
      <c r="B2494" s="27" t="s">
        <v>4666</v>
      </c>
      <c r="C2494" s="180">
        <v>44351</v>
      </c>
      <c r="D2494" s="28">
        <v>22</v>
      </c>
      <c r="E2494" s="49">
        <v>17</v>
      </c>
      <c r="F2494" s="211">
        <f>IFERROR(Tableau6[[#This Row],[Score]]/Tableau6[[#This Row],[Nb]],0)</f>
        <v>0.77272727272727271</v>
      </c>
    </row>
    <row r="2495" spans="1:6" ht="30" customHeight="1" x14ac:dyDescent="0.3">
      <c r="A2495" s="26" t="s">
        <v>306</v>
      </c>
      <c r="B2495" s="27" t="s">
        <v>307</v>
      </c>
      <c r="C2495" s="180">
        <v>40611</v>
      </c>
      <c r="D2495" s="28">
        <v>27</v>
      </c>
      <c r="E2495" s="49">
        <v>21</v>
      </c>
      <c r="F2495" s="211">
        <f>IFERROR(Tableau6[[#This Row],[Score]]/Tableau6[[#This Row],[Nb]],0)</f>
        <v>0.77777777777777779</v>
      </c>
    </row>
    <row r="2496" spans="1:6" ht="30" customHeight="1" x14ac:dyDescent="0.3">
      <c r="A2496" s="26" t="s">
        <v>713</v>
      </c>
      <c r="B2496" s="27" t="s">
        <v>898</v>
      </c>
      <c r="C2496" s="180">
        <v>41621</v>
      </c>
      <c r="D2496" s="28">
        <v>18</v>
      </c>
      <c r="E2496" s="49">
        <v>14</v>
      </c>
      <c r="F2496" s="211">
        <f>IFERROR(Tableau6[[#This Row],[Score]]/Tableau6[[#This Row],[Nb]],0)</f>
        <v>0.77777777777777779</v>
      </c>
    </row>
    <row r="2497" spans="1:6" ht="30" customHeight="1" x14ac:dyDescent="0.3">
      <c r="A2497" s="26" t="s">
        <v>3709</v>
      </c>
      <c r="B2497" s="27" t="s">
        <v>3710</v>
      </c>
      <c r="C2497" s="180">
        <v>41621</v>
      </c>
      <c r="D2497" s="28">
        <v>18</v>
      </c>
      <c r="E2497" s="49">
        <v>14</v>
      </c>
      <c r="F2497" s="211">
        <f>IFERROR(Tableau6[[#This Row],[Score]]/Tableau6[[#This Row],[Nb]],0)</f>
        <v>0.77777777777777779</v>
      </c>
    </row>
    <row r="2498" spans="1:6" ht="30" customHeight="1" x14ac:dyDescent="0.3">
      <c r="A2498" s="26" t="s">
        <v>3859</v>
      </c>
      <c r="B2498" s="27" t="s">
        <v>3860</v>
      </c>
      <c r="C2498" s="180">
        <v>41621</v>
      </c>
      <c r="D2498" s="28">
        <v>18</v>
      </c>
      <c r="E2498" s="49">
        <v>14</v>
      </c>
      <c r="F2498" s="211">
        <f>IFERROR(Tableau6[[#This Row],[Score]]/Tableau6[[#This Row],[Nb]],0)</f>
        <v>0.77777777777777779</v>
      </c>
    </row>
    <row r="2499" spans="1:6" ht="30" customHeight="1" x14ac:dyDescent="0.3">
      <c r="A2499" s="42" t="s">
        <v>5052</v>
      </c>
      <c r="B2499" s="43" t="s">
        <v>5053</v>
      </c>
      <c r="C2499" s="180">
        <v>41621</v>
      </c>
      <c r="D2499" s="28">
        <v>18</v>
      </c>
      <c r="E2499" s="49">
        <v>14</v>
      </c>
      <c r="F2499" s="211">
        <f>IFERROR(Tableau6[[#This Row],[Score]]/Tableau6[[#This Row],[Nb]],0)</f>
        <v>0.77777777777777779</v>
      </c>
    </row>
    <row r="2500" spans="1:6" ht="30" customHeight="1" x14ac:dyDescent="0.3">
      <c r="A2500" s="26" t="s">
        <v>2728</v>
      </c>
      <c r="B2500" s="27" t="s">
        <v>2729</v>
      </c>
      <c r="C2500" s="180">
        <v>41621</v>
      </c>
      <c r="D2500" s="28">
        <v>18</v>
      </c>
      <c r="E2500" s="49">
        <v>14</v>
      </c>
      <c r="F2500" s="211">
        <f>IFERROR(Tableau6[[#This Row],[Score]]/Tableau6[[#This Row],[Nb]],0)</f>
        <v>0.77777777777777779</v>
      </c>
    </row>
    <row r="2501" spans="1:6" ht="30" customHeight="1" x14ac:dyDescent="0.3">
      <c r="A2501" s="26" t="s">
        <v>659</v>
      </c>
      <c r="B2501" s="27" t="s">
        <v>1070</v>
      </c>
      <c r="C2501" s="180">
        <v>43237</v>
      </c>
      <c r="D2501" s="28">
        <v>18</v>
      </c>
      <c r="E2501" s="49">
        <v>14</v>
      </c>
      <c r="F2501" s="211">
        <f>IFERROR(Tableau6[[#This Row],[Score]]/Tableau6[[#This Row],[Nb]],0)</f>
        <v>0.77777777777777779</v>
      </c>
    </row>
    <row r="2502" spans="1:6" ht="30" customHeight="1" x14ac:dyDescent="0.3">
      <c r="A2502" s="26" t="s">
        <v>3819</v>
      </c>
      <c r="B2502" s="27" t="s">
        <v>3820</v>
      </c>
      <c r="C2502" s="180">
        <v>43247</v>
      </c>
      <c r="D2502" s="28">
        <v>27</v>
      </c>
      <c r="E2502" s="49">
        <v>21</v>
      </c>
      <c r="F2502" s="211">
        <f>IFERROR(Tableau6[[#This Row],[Score]]/Tableau6[[#This Row],[Nb]],0)</f>
        <v>0.77777777777777779</v>
      </c>
    </row>
    <row r="2503" spans="1:6" ht="30" customHeight="1" x14ac:dyDescent="0.3">
      <c r="A2503" s="26" t="s">
        <v>71</v>
      </c>
      <c r="B2503" s="27" t="s">
        <v>70</v>
      </c>
      <c r="C2503" s="180">
        <v>43325</v>
      </c>
      <c r="D2503" s="28">
        <v>18</v>
      </c>
      <c r="E2503" s="49">
        <v>14</v>
      </c>
      <c r="F2503" s="211">
        <f>IFERROR(Tableau6[[#This Row],[Score]]/Tableau6[[#This Row],[Nb]],0)</f>
        <v>0.77777777777777779</v>
      </c>
    </row>
    <row r="2504" spans="1:6" ht="30" customHeight="1" x14ac:dyDescent="0.3">
      <c r="A2504" s="26" t="s">
        <v>88</v>
      </c>
      <c r="B2504" s="27" t="s">
        <v>89</v>
      </c>
      <c r="C2504" s="180">
        <v>43341</v>
      </c>
      <c r="D2504" s="28">
        <v>27</v>
      </c>
      <c r="E2504" s="49">
        <v>21</v>
      </c>
      <c r="F2504" s="211">
        <f>IFERROR(Tableau6[[#This Row],[Score]]/Tableau6[[#This Row],[Nb]],0)</f>
        <v>0.77777777777777779</v>
      </c>
    </row>
    <row r="2505" spans="1:6" ht="30" customHeight="1" x14ac:dyDescent="0.3">
      <c r="A2505" s="26" t="s">
        <v>213</v>
      </c>
      <c r="B2505" s="27" t="s">
        <v>214</v>
      </c>
      <c r="C2505" s="180">
        <v>43401</v>
      </c>
      <c r="D2505" s="28">
        <v>27</v>
      </c>
      <c r="E2505" s="49">
        <v>21</v>
      </c>
      <c r="F2505" s="211">
        <f>IFERROR(Tableau6[[#This Row],[Score]]/Tableau6[[#This Row],[Nb]],0)</f>
        <v>0.77777777777777779</v>
      </c>
    </row>
    <row r="2506" spans="1:6" ht="30" customHeight="1" x14ac:dyDescent="0.3">
      <c r="A2506" s="26" t="s">
        <v>1120</v>
      </c>
      <c r="B2506" s="27" t="s">
        <v>1121</v>
      </c>
      <c r="C2506" s="180">
        <v>43415</v>
      </c>
      <c r="D2506" s="28">
        <v>27</v>
      </c>
      <c r="E2506" s="49">
        <v>21</v>
      </c>
      <c r="F2506" s="211">
        <f>IFERROR(Tableau6[[#This Row],[Score]]/Tableau6[[#This Row],[Nb]],0)</f>
        <v>0.77777777777777779</v>
      </c>
    </row>
    <row r="2507" spans="1:6" ht="30" customHeight="1" x14ac:dyDescent="0.3">
      <c r="A2507" s="26" t="s">
        <v>1191</v>
      </c>
      <c r="B2507" s="27" t="s">
        <v>1192</v>
      </c>
      <c r="C2507" s="180">
        <v>43422</v>
      </c>
      <c r="D2507" s="28">
        <v>18</v>
      </c>
      <c r="E2507" s="49">
        <v>14</v>
      </c>
      <c r="F2507" s="211">
        <f>IFERROR(Tableau6[[#This Row],[Score]]/Tableau6[[#This Row],[Nb]],0)</f>
        <v>0.77777777777777779</v>
      </c>
    </row>
    <row r="2508" spans="1:6" ht="30" customHeight="1" x14ac:dyDescent="0.3">
      <c r="A2508" s="26" t="s">
        <v>1308</v>
      </c>
      <c r="B2508" s="27" t="s">
        <v>1309</v>
      </c>
      <c r="C2508" s="180">
        <v>43438</v>
      </c>
      <c r="D2508" s="28">
        <v>27</v>
      </c>
      <c r="E2508" s="49">
        <v>21</v>
      </c>
      <c r="F2508" s="211">
        <f>IFERROR(Tableau6[[#This Row],[Score]]/Tableau6[[#This Row],[Nb]],0)</f>
        <v>0.77777777777777779</v>
      </c>
    </row>
    <row r="2509" spans="1:6" ht="30" customHeight="1" x14ac:dyDescent="0.3">
      <c r="A2509" s="26" t="s">
        <v>1352</v>
      </c>
      <c r="B2509" s="27" t="s">
        <v>1353</v>
      </c>
      <c r="C2509" s="180">
        <v>43444</v>
      </c>
      <c r="D2509" s="28">
        <v>18</v>
      </c>
      <c r="E2509" s="49">
        <v>14</v>
      </c>
      <c r="F2509" s="211">
        <f>IFERROR(Tableau6[[#This Row],[Score]]/Tableau6[[#This Row],[Nb]],0)</f>
        <v>0.77777777777777779</v>
      </c>
    </row>
    <row r="2510" spans="1:6" ht="30" customHeight="1" x14ac:dyDescent="0.3">
      <c r="A2510" s="26" t="s">
        <v>1522</v>
      </c>
      <c r="B2510" s="27" t="s">
        <v>1523</v>
      </c>
      <c r="C2510" s="180">
        <v>43472</v>
      </c>
      <c r="D2510" s="28">
        <v>18</v>
      </c>
      <c r="E2510" s="49">
        <v>14</v>
      </c>
      <c r="F2510" s="211">
        <f>IFERROR(Tableau6[[#This Row],[Score]]/Tableau6[[#This Row],[Nb]],0)</f>
        <v>0.77777777777777779</v>
      </c>
    </row>
    <row r="2511" spans="1:6" ht="30" customHeight="1" x14ac:dyDescent="0.3">
      <c r="A2511" s="26" t="s">
        <v>1947</v>
      </c>
      <c r="B2511" s="27" t="s">
        <v>1948</v>
      </c>
      <c r="C2511" s="180">
        <v>43586</v>
      </c>
      <c r="D2511" s="28">
        <v>27</v>
      </c>
      <c r="E2511" s="49">
        <v>21</v>
      </c>
      <c r="F2511" s="211">
        <f>IFERROR(Tableau6[[#This Row],[Score]]/Tableau6[[#This Row],[Nb]],0)</f>
        <v>0.77777777777777779</v>
      </c>
    </row>
    <row r="2512" spans="1:6" ht="30" customHeight="1" x14ac:dyDescent="0.3">
      <c r="A2512" s="26" t="s">
        <v>2031</v>
      </c>
      <c r="B2512" s="27" t="s">
        <v>2032</v>
      </c>
      <c r="C2512" s="180">
        <v>43605</v>
      </c>
      <c r="D2512" s="28">
        <v>27</v>
      </c>
      <c r="E2512" s="49">
        <v>21</v>
      </c>
      <c r="F2512" s="211">
        <f>IFERROR(Tableau6[[#This Row],[Score]]/Tableau6[[#This Row],[Nb]],0)</f>
        <v>0.77777777777777779</v>
      </c>
    </row>
    <row r="2513" spans="1:6" ht="30" customHeight="1" x14ac:dyDescent="0.3">
      <c r="A2513" s="26" t="s">
        <v>1985</v>
      </c>
      <c r="B2513" s="27" t="s">
        <v>1986</v>
      </c>
      <c r="C2513" s="180">
        <v>43605</v>
      </c>
      <c r="D2513" s="28">
        <v>27</v>
      </c>
      <c r="E2513" s="49">
        <v>21</v>
      </c>
      <c r="F2513" s="211">
        <f>IFERROR(Tableau6[[#This Row],[Score]]/Tableau6[[#This Row],[Nb]],0)</f>
        <v>0.77777777777777779</v>
      </c>
    </row>
    <row r="2514" spans="1:6" ht="30" customHeight="1" x14ac:dyDescent="0.3">
      <c r="A2514" s="26" t="s">
        <v>2436</v>
      </c>
      <c r="B2514" s="27" t="s">
        <v>2437</v>
      </c>
      <c r="C2514" s="180">
        <v>43776</v>
      </c>
      <c r="D2514" s="28">
        <v>18</v>
      </c>
      <c r="E2514" s="49">
        <v>14</v>
      </c>
      <c r="F2514" s="211">
        <f>IFERROR(Tableau6[[#This Row],[Score]]/Tableau6[[#This Row],[Nb]],0)</f>
        <v>0.77777777777777779</v>
      </c>
    </row>
    <row r="2515" spans="1:6" ht="30" customHeight="1" x14ac:dyDescent="0.3">
      <c r="A2515" s="26" t="s">
        <v>14</v>
      </c>
      <c r="B2515" s="27" t="s">
        <v>15</v>
      </c>
      <c r="C2515" s="180">
        <v>43802</v>
      </c>
      <c r="D2515" s="28">
        <v>18</v>
      </c>
      <c r="E2515" s="49">
        <v>14</v>
      </c>
      <c r="F2515" s="211">
        <f>IFERROR(Tableau6[[#This Row],[Score]]/Tableau6[[#This Row],[Nb]],0)</f>
        <v>0.77777777777777779</v>
      </c>
    </row>
    <row r="2516" spans="1:6" ht="30" customHeight="1" x14ac:dyDescent="0.3">
      <c r="A2516" s="26" t="s">
        <v>2740</v>
      </c>
      <c r="B2516" s="27" t="s">
        <v>2741</v>
      </c>
      <c r="C2516" s="180">
        <v>43900</v>
      </c>
      <c r="D2516" s="28">
        <v>27</v>
      </c>
      <c r="E2516" s="49">
        <v>21</v>
      </c>
      <c r="F2516" s="211">
        <f>IFERROR(Tableau6[[#This Row],[Score]]/Tableau6[[#This Row],[Nb]],0)</f>
        <v>0.77777777777777779</v>
      </c>
    </row>
    <row r="2517" spans="1:6" ht="30" customHeight="1" x14ac:dyDescent="0.3">
      <c r="A2517" s="26" t="s">
        <v>3672</v>
      </c>
      <c r="B2517" s="27" t="s">
        <v>3673</v>
      </c>
      <c r="C2517" s="180">
        <v>44242</v>
      </c>
      <c r="D2517" s="28">
        <v>18</v>
      </c>
      <c r="E2517" s="49">
        <v>14</v>
      </c>
      <c r="F2517" s="211">
        <f>IFERROR(Tableau6[[#This Row],[Score]]/Tableau6[[#This Row],[Nb]],0)</f>
        <v>0.77777777777777779</v>
      </c>
    </row>
    <row r="2518" spans="1:6" ht="30" customHeight="1" x14ac:dyDescent="0.3">
      <c r="A2518" s="26" t="s">
        <v>3942</v>
      </c>
      <c r="B2518" s="27" t="s">
        <v>3943</v>
      </c>
      <c r="C2518" s="180">
        <v>44262</v>
      </c>
      <c r="D2518" s="28">
        <v>18</v>
      </c>
      <c r="E2518" s="49">
        <v>14</v>
      </c>
      <c r="F2518" s="211">
        <f>IFERROR(Tableau6[[#This Row],[Score]]/Tableau6[[#This Row],[Nb]],0)</f>
        <v>0.77777777777777779</v>
      </c>
    </row>
    <row r="2519" spans="1:6" ht="30" customHeight="1" x14ac:dyDescent="0.3">
      <c r="A2519" s="26" t="s">
        <v>4007</v>
      </c>
      <c r="B2519" s="27" t="s">
        <v>4008</v>
      </c>
      <c r="C2519" s="180">
        <v>44262</v>
      </c>
      <c r="D2519" s="28">
        <v>18</v>
      </c>
      <c r="E2519" s="49">
        <v>14</v>
      </c>
      <c r="F2519" s="211">
        <f>IFERROR(Tableau6[[#This Row],[Score]]/Tableau6[[#This Row],[Nb]],0)</f>
        <v>0.77777777777777779</v>
      </c>
    </row>
    <row r="2520" spans="1:6" ht="30" customHeight="1" x14ac:dyDescent="0.3">
      <c r="A2520" s="151" t="s">
        <v>5448</v>
      </c>
      <c r="B2520" s="152" t="s">
        <v>5449</v>
      </c>
      <c r="C2520" s="208">
        <v>44572</v>
      </c>
      <c r="D2520" s="154">
        <v>18</v>
      </c>
      <c r="E2520" s="154">
        <v>14</v>
      </c>
      <c r="F2520" s="211">
        <f>IFERROR(Tableau6[[#This Row],[Score]]/Tableau6[[#This Row],[Nb]],0)</f>
        <v>0.77777777777777779</v>
      </c>
    </row>
    <row r="2521" spans="1:6" ht="30" customHeight="1" x14ac:dyDescent="0.3">
      <c r="A2521" s="151" t="s">
        <v>5504</v>
      </c>
      <c r="B2521" s="152" t="s">
        <v>5505</v>
      </c>
      <c r="C2521" s="208">
        <v>44584</v>
      </c>
      <c r="D2521" s="154">
        <v>9</v>
      </c>
      <c r="E2521" s="154">
        <v>7</v>
      </c>
      <c r="F2521" s="211">
        <f>IFERROR(Tableau6[[#This Row],[Score]]/Tableau6[[#This Row],[Nb]],0)</f>
        <v>0.77777777777777779</v>
      </c>
    </row>
    <row r="2522" spans="1:6" ht="30" customHeight="1" x14ac:dyDescent="0.3">
      <c r="A2522" s="151" t="s">
        <v>5524</v>
      </c>
      <c r="B2522" s="152" t="s">
        <v>5525</v>
      </c>
      <c r="C2522" s="208">
        <v>44589</v>
      </c>
      <c r="D2522" s="154">
        <v>9</v>
      </c>
      <c r="E2522" s="154">
        <v>7</v>
      </c>
      <c r="F2522" s="211">
        <f>IFERROR(Tableau6[[#This Row],[Score]]/Tableau6[[#This Row],[Nb]],0)</f>
        <v>0.77777777777777779</v>
      </c>
    </row>
    <row r="2523" spans="1:6" ht="30" customHeight="1" x14ac:dyDescent="0.3">
      <c r="A2523" s="151" t="s">
        <v>5974</v>
      </c>
      <c r="B2523" s="152" t="s">
        <v>5975</v>
      </c>
      <c r="C2523" s="208">
        <v>44702</v>
      </c>
      <c r="D2523" s="154">
        <v>9</v>
      </c>
      <c r="E2523" s="154">
        <v>7</v>
      </c>
      <c r="F2523" s="211">
        <f>IFERROR(Tableau6[[#This Row],[Score]]/Tableau6[[#This Row],[Nb]],0)</f>
        <v>0.77777777777777779</v>
      </c>
    </row>
    <row r="2524" spans="1:6" ht="30" customHeight="1" x14ac:dyDescent="0.3">
      <c r="A2524" s="151" t="s">
        <v>6110</v>
      </c>
      <c r="B2524" s="152" t="s">
        <v>6239</v>
      </c>
      <c r="C2524" s="208">
        <v>44753</v>
      </c>
      <c r="D2524" s="154">
        <v>9</v>
      </c>
      <c r="E2524" s="154">
        <v>7</v>
      </c>
      <c r="F2524" s="211">
        <f>IFERROR(Tableau6[[#This Row],[Score]]/Tableau6[[#This Row],[Nb]],0)</f>
        <v>0.77777777777777779</v>
      </c>
    </row>
    <row r="2525" spans="1:6" ht="30" customHeight="1" x14ac:dyDescent="0.3">
      <c r="A2525" s="26" t="s">
        <v>343</v>
      </c>
      <c r="B2525" s="27" t="s">
        <v>344</v>
      </c>
      <c r="C2525" s="180">
        <v>40611</v>
      </c>
      <c r="D2525" s="28">
        <v>23</v>
      </c>
      <c r="E2525" s="49">
        <v>18</v>
      </c>
      <c r="F2525" s="211">
        <f>IFERROR(Tableau6[[#This Row],[Score]]/Tableau6[[#This Row],[Nb]],0)</f>
        <v>0.78260869565217395</v>
      </c>
    </row>
    <row r="2526" spans="1:6" ht="30" customHeight="1" x14ac:dyDescent="0.3">
      <c r="A2526" s="26" t="s">
        <v>512</v>
      </c>
      <c r="B2526" s="27" t="s">
        <v>4469</v>
      </c>
      <c r="C2526" s="180">
        <v>40611</v>
      </c>
      <c r="D2526" s="28">
        <v>23</v>
      </c>
      <c r="E2526" s="49">
        <v>18</v>
      </c>
      <c r="F2526" s="211">
        <f>IFERROR(Tableau6[[#This Row],[Score]]/Tableau6[[#This Row],[Nb]],0)</f>
        <v>0.78260869565217395</v>
      </c>
    </row>
    <row r="2527" spans="1:6" ht="30" customHeight="1" x14ac:dyDescent="0.3">
      <c r="A2527" s="26" t="s">
        <v>4317</v>
      </c>
      <c r="B2527" s="27" t="s">
        <v>4318</v>
      </c>
      <c r="C2527" s="180">
        <v>41621</v>
      </c>
      <c r="D2527" s="28">
        <v>23</v>
      </c>
      <c r="E2527" s="49">
        <v>18</v>
      </c>
      <c r="F2527" s="211">
        <f>IFERROR(Tableau6[[#This Row],[Score]]/Tableau6[[#This Row],[Nb]],0)</f>
        <v>0.78260869565217395</v>
      </c>
    </row>
    <row r="2528" spans="1:6" ht="30" customHeight="1" x14ac:dyDescent="0.3">
      <c r="A2528" s="26" t="s">
        <v>860</v>
      </c>
      <c r="B2528" s="27" t="s">
        <v>897</v>
      </c>
      <c r="C2528" s="180">
        <v>41621</v>
      </c>
      <c r="D2528" s="28">
        <v>23</v>
      </c>
      <c r="E2528" s="49">
        <v>18</v>
      </c>
      <c r="F2528" s="211">
        <f>IFERROR(Tableau6[[#This Row],[Score]]/Tableau6[[#This Row],[Nb]],0)</f>
        <v>0.78260869565217395</v>
      </c>
    </row>
    <row r="2529" spans="1:6" ht="30" customHeight="1" x14ac:dyDescent="0.3">
      <c r="A2529" s="26" t="s">
        <v>993</v>
      </c>
      <c r="B2529" s="27" t="s">
        <v>726</v>
      </c>
      <c r="C2529" s="180">
        <v>41621</v>
      </c>
      <c r="D2529" s="28">
        <v>23</v>
      </c>
      <c r="E2529" s="49">
        <v>18</v>
      </c>
      <c r="F2529" s="211">
        <f>IFERROR(Tableau6[[#This Row],[Score]]/Tableau6[[#This Row],[Nb]],0)</f>
        <v>0.78260869565217395</v>
      </c>
    </row>
    <row r="2530" spans="1:6" ht="30" customHeight="1" x14ac:dyDescent="0.3">
      <c r="A2530" s="26" t="s">
        <v>1053</v>
      </c>
      <c r="B2530" s="27" t="s">
        <v>700</v>
      </c>
      <c r="C2530" s="180">
        <v>43237</v>
      </c>
      <c r="D2530" s="28">
        <v>23</v>
      </c>
      <c r="E2530" s="49">
        <v>18</v>
      </c>
      <c r="F2530" s="211">
        <f>IFERROR(Tableau6[[#This Row],[Score]]/Tableau6[[#This Row],[Nb]],0)</f>
        <v>0.78260869565217395</v>
      </c>
    </row>
    <row r="2531" spans="1:6" ht="30" customHeight="1" x14ac:dyDescent="0.3">
      <c r="A2531" s="26" t="s">
        <v>5009</v>
      </c>
      <c r="B2531" s="27" t="s">
        <v>5010</v>
      </c>
      <c r="C2531" s="180">
        <v>43237</v>
      </c>
      <c r="D2531" s="28">
        <v>23</v>
      </c>
      <c r="E2531" s="49">
        <v>18</v>
      </c>
      <c r="F2531" s="211">
        <f>IFERROR(Tableau6[[#This Row],[Score]]/Tableau6[[#This Row],[Nb]],0)</f>
        <v>0.78260869565217395</v>
      </c>
    </row>
    <row r="2532" spans="1:6" ht="30" customHeight="1" x14ac:dyDescent="0.3">
      <c r="A2532" s="26" t="s">
        <v>153</v>
      </c>
      <c r="B2532" s="27" t="s">
        <v>3345</v>
      </c>
      <c r="C2532" s="180">
        <v>43368</v>
      </c>
      <c r="D2532" s="28">
        <v>23</v>
      </c>
      <c r="E2532" s="49">
        <v>18</v>
      </c>
      <c r="F2532" s="211">
        <f>IFERROR(Tableau6[[#This Row],[Score]]/Tableau6[[#This Row],[Nb]],0)</f>
        <v>0.78260869565217395</v>
      </c>
    </row>
    <row r="2533" spans="1:6" ht="30" customHeight="1" x14ac:dyDescent="0.3">
      <c r="A2533" s="26" t="s">
        <v>599</v>
      </c>
      <c r="B2533" s="27" t="s">
        <v>4642</v>
      </c>
      <c r="C2533" s="180">
        <v>43403</v>
      </c>
      <c r="D2533" s="28">
        <v>23</v>
      </c>
      <c r="E2533" s="49">
        <v>18</v>
      </c>
      <c r="F2533" s="211">
        <f>IFERROR(Tableau6[[#This Row],[Score]]/Tableau6[[#This Row],[Nb]],0)</f>
        <v>0.78260869565217395</v>
      </c>
    </row>
    <row r="2534" spans="1:6" ht="30" customHeight="1" x14ac:dyDescent="0.3">
      <c r="A2534" s="26" t="s">
        <v>1405</v>
      </c>
      <c r="B2534" s="27" t="s">
        <v>4657</v>
      </c>
      <c r="C2534" s="180">
        <v>43451</v>
      </c>
      <c r="D2534" s="28">
        <v>23</v>
      </c>
      <c r="E2534" s="49">
        <v>18</v>
      </c>
      <c r="F2534" s="211">
        <f>IFERROR(Tableau6[[#This Row],[Score]]/Tableau6[[#This Row],[Nb]],0)</f>
        <v>0.78260869565217395</v>
      </c>
    </row>
    <row r="2535" spans="1:6" ht="30" customHeight="1" x14ac:dyDescent="0.3">
      <c r="A2535" s="26" t="s">
        <v>2758</v>
      </c>
      <c r="B2535" s="27" t="s">
        <v>2759</v>
      </c>
      <c r="C2535" s="180">
        <v>43900</v>
      </c>
      <c r="D2535" s="28">
        <v>23</v>
      </c>
      <c r="E2535" s="49">
        <v>18</v>
      </c>
      <c r="F2535" s="211">
        <f>IFERROR(Tableau6[[#This Row],[Score]]/Tableau6[[#This Row],[Nb]],0)</f>
        <v>0.78260869565217395</v>
      </c>
    </row>
    <row r="2536" spans="1:6" ht="30" customHeight="1" x14ac:dyDescent="0.3">
      <c r="A2536" s="26" t="s">
        <v>2904</v>
      </c>
      <c r="B2536" s="27" t="s">
        <v>2905</v>
      </c>
      <c r="C2536" s="180">
        <v>43969</v>
      </c>
      <c r="D2536" s="28">
        <v>23</v>
      </c>
      <c r="E2536" s="49">
        <v>18</v>
      </c>
      <c r="F2536" s="211">
        <f>IFERROR(Tableau6[[#This Row],[Score]]/Tableau6[[#This Row],[Nb]],0)</f>
        <v>0.78260869565217395</v>
      </c>
    </row>
    <row r="2537" spans="1:6" ht="30" customHeight="1" x14ac:dyDescent="0.3">
      <c r="A2537" s="26" t="s">
        <v>2957</v>
      </c>
      <c r="B2537" s="27" t="s">
        <v>2071</v>
      </c>
      <c r="C2537" s="180">
        <v>43984</v>
      </c>
      <c r="D2537" s="28">
        <v>23</v>
      </c>
      <c r="E2537" s="49">
        <v>18</v>
      </c>
      <c r="F2537" s="211">
        <f>IFERROR(Tableau6[[#This Row],[Score]]/Tableau6[[#This Row],[Nb]],0)</f>
        <v>0.78260869565217395</v>
      </c>
    </row>
    <row r="2538" spans="1:6" ht="30" customHeight="1" x14ac:dyDescent="0.3">
      <c r="A2538" s="26" t="s">
        <v>3041</v>
      </c>
      <c r="B2538" s="27" t="s">
        <v>3042</v>
      </c>
      <c r="C2538" s="180">
        <v>44004</v>
      </c>
      <c r="D2538" s="28">
        <v>23</v>
      </c>
      <c r="E2538" s="49">
        <v>18</v>
      </c>
      <c r="F2538" s="211">
        <f>IFERROR(Tableau6[[#This Row],[Score]]/Tableau6[[#This Row],[Nb]],0)</f>
        <v>0.78260869565217395</v>
      </c>
    </row>
    <row r="2539" spans="1:6" ht="30" customHeight="1" x14ac:dyDescent="0.3">
      <c r="A2539" s="26" t="s">
        <v>3954</v>
      </c>
      <c r="B2539" s="27" t="s">
        <v>3955</v>
      </c>
      <c r="C2539" s="180">
        <v>44262</v>
      </c>
      <c r="D2539" s="28">
        <v>23</v>
      </c>
      <c r="E2539" s="49">
        <v>18</v>
      </c>
      <c r="F2539" s="211">
        <f>IFERROR(Tableau6[[#This Row],[Score]]/Tableau6[[#This Row],[Nb]],0)</f>
        <v>0.78260869565217395</v>
      </c>
    </row>
    <row r="2540" spans="1:6" ht="30" customHeight="1" x14ac:dyDescent="0.3">
      <c r="A2540" s="26" t="s">
        <v>4459</v>
      </c>
      <c r="B2540" s="27" t="s">
        <v>4460</v>
      </c>
      <c r="C2540" s="180">
        <v>41621</v>
      </c>
      <c r="D2540" s="28">
        <v>14</v>
      </c>
      <c r="E2540" s="49">
        <v>11</v>
      </c>
      <c r="F2540" s="211">
        <f>IFERROR(Tableau6[[#This Row],[Score]]/Tableau6[[#This Row],[Nb]],0)</f>
        <v>0.7857142857142857</v>
      </c>
    </row>
    <row r="2541" spans="1:6" ht="30" customHeight="1" x14ac:dyDescent="0.3">
      <c r="A2541" s="26" t="s">
        <v>773</v>
      </c>
      <c r="B2541" s="27" t="s">
        <v>731</v>
      </c>
      <c r="C2541" s="180">
        <v>41621</v>
      </c>
      <c r="D2541" s="28">
        <v>14</v>
      </c>
      <c r="E2541" s="49">
        <v>11</v>
      </c>
      <c r="F2541" s="211">
        <f>IFERROR(Tableau6[[#This Row],[Score]]/Tableau6[[#This Row],[Nb]],0)</f>
        <v>0.7857142857142857</v>
      </c>
    </row>
    <row r="2542" spans="1:6" ht="30" customHeight="1" x14ac:dyDescent="0.3">
      <c r="A2542" s="26" t="s">
        <v>3462</v>
      </c>
      <c r="B2542" s="27" t="s">
        <v>3463</v>
      </c>
      <c r="C2542" s="180">
        <v>44201</v>
      </c>
      <c r="D2542" s="28">
        <v>14</v>
      </c>
      <c r="E2542" s="49">
        <v>11</v>
      </c>
      <c r="F2542" s="211">
        <f>IFERROR(Tableau6[[#This Row],[Score]]/Tableau6[[#This Row],[Nb]],0)</f>
        <v>0.7857142857142857</v>
      </c>
    </row>
    <row r="2543" spans="1:6" ht="30" customHeight="1" x14ac:dyDescent="0.3">
      <c r="A2543" s="26" t="s">
        <v>4733</v>
      </c>
      <c r="B2543" s="27" t="s">
        <v>4734</v>
      </c>
      <c r="C2543" s="180">
        <v>44366</v>
      </c>
      <c r="D2543" s="28">
        <v>14</v>
      </c>
      <c r="E2543" s="49">
        <v>11</v>
      </c>
      <c r="F2543" s="211">
        <f>IFERROR(Tableau6[[#This Row],[Score]]/Tableau6[[#This Row],[Nb]],0)</f>
        <v>0.7857142857142857</v>
      </c>
    </row>
    <row r="2544" spans="1:6" ht="30" customHeight="1" x14ac:dyDescent="0.3">
      <c r="A2544" s="26" t="s">
        <v>4810</v>
      </c>
      <c r="B2544" s="27" t="s">
        <v>4811</v>
      </c>
      <c r="C2544" s="180">
        <v>44391</v>
      </c>
      <c r="D2544" s="28">
        <v>14</v>
      </c>
      <c r="E2544" s="49">
        <v>11</v>
      </c>
      <c r="F2544" s="211">
        <f>IFERROR(Tableau6[[#This Row],[Score]]/Tableau6[[#This Row],[Nb]],0)</f>
        <v>0.7857142857142857</v>
      </c>
    </row>
    <row r="2545" spans="1:6" ht="30" customHeight="1" x14ac:dyDescent="0.3">
      <c r="A2545" s="26" t="s">
        <v>3271</v>
      </c>
      <c r="B2545" s="27" t="s">
        <v>3272</v>
      </c>
      <c r="C2545" s="180">
        <v>41621</v>
      </c>
      <c r="D2545" s="28">
        <v>19</v>
      </c>
      <c r="E2545" s="49">
        <v>15</v>
      </c>
      <c r="F2545" s="211">
        <f>IFERROR(Tableau6[[#This Row],[Score]]/Tableau6[[#This Row],[Nb]],0)</f>
        <v>0.78947368421052633</v>
      </c>
    </row>
    <row r="2546" spans="1:6" ht="30" customHeight="1" x14ac:dyDescent="0.3">
      <c r="A2546" s="26" t="s">
        <v>2630</v>
      </c>
      <c r="B2546" s="152" t="s">
        <v>6228</v>
      </c>
      <c r="C2546" s="180">
        <v>41621</v>
      </c>
      <c r="D2546" s="28">
        <v>19</v>
      </c>
      <c r="E2546" s="49">
        <v>15</v>
      </c>
      <c r="F2546" s="211">
        <f>IFERROR(Tableau6[[#This Row],[Score]]/Tableau6[[#This Row],[Nb]],0)</f>
        <v>0.78947368421052633</v>
      </c>
    </row>
    <row r="2547" spans="1:6" ht="30" customHeight="1" x14ac:dyDescent="0.3">
      <c r="A2547" s="26" t="s">
        <v>4506</v>
      </c>
      <c r="B2547" s="27" t="s">
        <v>4505</v>
      </c>
      <c r="C2547" s="180">
        <v>41621</v>
      </c>
      <c r="D2547" s="28">
        <v>19</v>
      </c>
      <c r="E2547" s="49">
        <v>15</v>
      </c>
      <c r="F2547" s="211">
        <f>IFERROR(Tableau6[[#This Row],[Score]]/Tableau6[[#This Row],[Nb]],0)</f>
        <v>0.78947368421052633</v>
      </c>
    </row>
    <row r="2548" spans="1:6" ht="30" customHeight="1" x14ac:dyDescent="0.3">
      <c r="A2548" s="26" t="s">
        <v>831</v>
      </c>
      <c r="B2548" s="27" t="s">
        <v>3575</v>
      </c>
      <c r="C2548" s="180">
        <v>41621</v>
      </c>
      <c r="D2548" s="28">
        <v>19</v>
      </c>
      <c r="E2548" s="49">
        <v>15</v>
      </c>
      <c r="F2548" s="211">
        <f>IFERROR(Tableau6[[#This Row],[Score]]/Tableau6[[#This Row],[Nb]],0)</f>
        <v>0.78947368421052633</v>
      </c>
    </row>
    <row r="2549" spans="1:6" ht="30" customHeight="1" x14ac:dyDescent="0.3">
      <c r="A2549" s="26" t="s">
        <v>4937</v>
      </c>
      <c r="B2549" s="27" t="s">
        <v>4907</v>
      </c>
      <c r="C2549" s="180">
        <v>41621</v>
      </c>
      <c r="D2549" s="28">
        <v>19</v>
      </c>
      <c r="E2549" s="49">
        <v>15</v>
      </c>
      <c r="F2549" s="211">
        <f>IFERROR(Tableau6[[#This Row],[Score]]/Tableau6[[#This Row],[Nb]],0)</f>
        <v>0.78947368421052633</v>
      </c>
    </row>
    <row r="2550" spans="1:6" ht="30" customHeight="1" x14ac:dyDescent="0.3">
      <c r="A2550" s="151" t="s">
        <v>5333</v>
      </c>
      <c r="B2550" s="27" t="s">
        <v>4472</v>
      </c>
      <c r="C2550" s="180">
        <v>43237</v>
      </c>
      <c r="D2550" s="28">
        <v>19</v>
      </c>
      <c r="E2550" s="49">
        <v>15</v>
      </c>
      <c r="F2550" s="211">
        <f>IFERROR(Tableau6[[#This Row],[Score]]/Tableau6[[#This Row],[Nb]],0)</f>
        <v>0.78947368421052633</v>
      </c>
    </row>
    <row r="2551" spans="1:6" ht="30" customHeight="1" x14ac:dyDescent="0.3">
      <c r="A2551" s="26" t="s">
        <v>2753</v>
      </c>
      <c r="B2551" s="27" t="s">
        <v>2754</v>
      </c>
      <c r="C2551" s="180">
        <v>43247</v>
      </c>
      <c r="D2551" s="28">
        <v>19</v>
      </c>
      <c r="E2551" s="49">
        <v>15</v>
      </c>
      <c r="F2551" s="211">
        <f>IFERROR(Tableau6[[#This Row],[Score]]/Tableau6[[#This Row],[Nb]],0)</f>
        <v>0.78947368421052633</v>
      </c>
    </row>
    <row r="2552" spans="1:6" ht="30" customHeight="1" x14ac:dyDescent="0.3">
      <c r="A2552" s="26" t="s">
        <v>53</v>
      </c>
      <c r="B2552" s="27" t="s">
        <v>52</v>
      </c>
      <c r="C2552" s="180">
        <v>43298</v>
      </c>
      <c r="D2552" s="28">
        <v>19</v>
      </c>
      <c r="E2552" s="49">
        <v>15</v>
      </c>
      <c r="F2552" s="211">
        <f>IFERROR(Tableau6[[#This Row],[Score]]/Tableau6[[#This Row],[Nb]],0)</f>
        <v>0.78947368421052633</v>
      </c>
    </row>
    <row r="2553" spans="1:6" ht="30" customHeight="1" x14ac:dyDescent="0.3">
      <c r="A2553" s="26" t="s">
        <v>4489</v>
      </c>
      <c r="B2553" s="27" t="s">
        <v>4490</v>
      </c>
      <c r="C2553" s="180">
        <v>43397</v>
      </c>
      <c r="D2553" s="28">
        <v>19</v>
      </c>
      <c r="E2553" s="49">
        <v>15</v>
      </c>
      <c r="F2553" s="211">
        <f>IFERROR(Tableau6[[#This Row],[Score]]/Tableau6[[#This Row],[Nb]],0)</f>
        <v>0.78947368421052633</v>
      </c>
    </row>
    <row r="2554" spans="1:6" ht="30" customHeight="1" x14ac:dyDescent="0.3">
      <c r="A2554" s="26" t="s">
        <v>604</v>
      </c>
      <c r="B2554" s="27" t="s">
        <v>605</v>
      </c>
      <c r="C2554" s="180">
        <v>43403</v>
      </c>
      <c r="D2554" s="28">
        <v>19</v>
      </c>
      <c r="E2554" s="49">
        <v>15</v>
      </c>
      <c r="F2554" s="211">
        <f>IFERROR(Tableau6[[#This Row],[Score]]/Tableau6[[#This Row],[Nb]],0)</f>
        <v>0.78947368421052633</v>
      </c>
    </row>
    <row r="2555" spans="1:6" ht="30" customHeight="1" x14ac:dyDescent="0.3">
      <c r="A2555" s="26" t="s">
        <v>1154</v>
      </c>
      <c r="B2555" s="27" t="s">
        <v>4316</v>
      </c>
      <c r="C2555" s="180">
        <v>43423</v>
      </c>
      <c r="D2555" s="28">
        <v>19</v>
      </c>
      <c r="E2555" s="49">
        <v>15</v>
      </c>
      <c r="F2555" s="211">
        <f>IFERROR(Tableau6[[#This Row],[Score]]/Tableau6[[#This Row],[Nb]],0)</f>
        <v>0.78947368421052633</v>
      </c>
    </row>
    <row r="2556" spans="1:6" ht="30" customHeight="1" x14ac:dyDescent="0.3">
      <c r="A2556" s="26" t="s">
        <v>1566</v>
      </c>
      <c r="B2556" s="27" t="s">
        <v>1325</v>
      </c>
      <c r="C2556" s="180">
        <v>43438</v>
      </c>
      <c r="D2556" s="28">
        <v>19</v>
      </c>
      <c r="E2556" s="49">
        <v>15</v>
      </c>
      <c r="F2556" s="211">
        <f>IFERROR(Tableau6[[#This Row],[Score]]/Tableau6[[#This Row],[Nb]],0)</f>
        <v>0.78947368421052633</v>
      </c>
    </row>
    <row r="2557" spans="1:6" ht="30" customHeight="1" x14ac:dyDescent="0.3">
      <c r="A2557" s="26" t="s">
        <v>1413</v>
      </c>
      <c r="B2557" s="27" t="s">
        <v>1414</v>
      </c>
      <c r="C2557" s="180">
        <v>43451</v>
      </c>
      <c r="D2557" s="28">
        <v>19</v>
      </c>
      <c r="E2557" s="49">
        <v>15</v>
      </c>
      <c r="F2557" s="211">
        <f>IFERROR(Tableau6[[#This Row],[Score]]/Tableau6[[#This Row],[Nb]],0)</f>
        <v>0.78947368421052633</v>
      </c>
    </row>
    <row r="2558" spans="1:6" ht="30" customHeight="1" x14ac:dyDescent="0.3">
      <c r="A2558" s="26" t="s">
        <v>1485</v>
      </c>
      <c r="B2558" s="27" t="s">
        <v>1486</v>
      </c>
      <c r="C2558" s="180">
        <v>43472</v>
      </c>
      <c r="D2558" s="28">
        <v>19</v>
      </c>
      <c r="E2558" s="49">
        <v>15</v>
      </c>
      <c r="F2558" s="211">
        <f>IFERROR(Tableau6[[#This Row],[Score]]/Tableau6[[#This Row],[Nb]],0)</f>
        <v>0.78947368421052633</v>
      </c>
    </row>
    <row r="2559" spans="1:6" ht="30" customHeight="1" x14ac:dyDescent="0.3">
      <c r="A2559" s="151" t="s">
        <v>6178</v>
      </c>
      <c r="B2559" s="152" t="s">
        <v>6179</v>
      </c>
      <c r="C2559" s="180">
        <v>43548</v>
      </c>
      <c r="D2559" s="28">
        <v>19</v>
      </c>
      <c r="E2559" s="49">
        <v>15</v>
      </c>
      <c r="F2559" s="211">
        <f>IFERROR(Tableau6[[#This Row],[Score]]/Tableau6[[#This Row],[Nb]],0)</f>
        <v>0.78947368421052633</v>
      </c>
    </row>
    <row r="2560" spans="1:6" ht="30" customHeight="1" x14ac:dyDescent="0.3">
      <c r="A2560" s="26" t="s">
        <v>2017</v>
      </c>
      <c r="B2560" s="27" t="s">
        <v>2018</v>
      </c>
      <c r="C2560" s="180">
        <v>43605</v>
      </c>
      <c r="D2560" s="28">
        <v>19</v>
      </c>
      <c r="E2560" s="49">
        <v>15</v>
      </c>
      <c r="F2560" s="211">
        <f>IFERROR(Tableau6[[#This Row],[Score]]/Tableau6[[#This Row],[Nb]],0)</f>
        <v>0.78947368421052633</v>
      </c>
    </row>
    <row r="2561" spans="1:6" ht="30" customHeight="1" x14ac:dyDescent="0.3">
      <c r="A2561" s="26" t="s">
        <v>2568</v>
      </c>
      <c r="B2561" s="27" t="s">
        <v>2567</v>
      </c>
      <c r="C2561" s="180">
        <v>43826</v>
      </c>
      <c r="D2561" s="28">
        <v>19</v>
      </c>
      <c r="E2561" s="49">
        <v>15</v>
      </c>
      <c r="F2561" s="211">
        <f>IFERROR(Tableau6[[#This Row],[Score]]/Tableau6[[#This Row],[Nb]],0)</f>
        <v>0.78947368421052633</v>
      </c>
    </row>
    <row r="2562" spans="1:6" ht="30" customHeight="1" x14ac:dyDescent="0.3">
      <c r="A2562" s="26" t="s">
        <v>2786</v>
      </c>
      <c r="B2562" s="27" t="s">
        <v>2787</v>
      </c>
      <c r="C2562" s="180">
        <v>43900</v>
      </c>
      <c r="D2562" s="28">
        <v>19</v>
      </c>
      <c r="E2562" s="49">
        <v>15</v>
      </c>
      <c r="F2562" s="211">
        <f>IFERROR(Tableau6[[#This Row],[Score]]/Tableau6[[#This Row],[Nb]],0)</f>
        <v>0.78947368421052633</v>
      </c>
    </row>
    <row r="2563" spans="1:6" ht="30" customHeight="1" x14ac:dyDescent="0.3">
      <c r="A2563" s="26" t="s">
        <v>4852</v>
      </c>
      <c r="B2563" s="27" t="s">
        <v>4853</v>
      </c>
      <c r="C2563" s="180">
        <v>44395</v>
      </c>
      <c r="D2563" s="28">
        <v>19</v>
      </c>
      <c r="E2563" s="49">
        <v>15</v>
      </c>
      <c r="F2563" s="211">
        <f>IFERROR(Tableau6[[#This Row],[Score]]/Tableau6[[#This Row],[Nb]],0)</f>
        <v>0.78947368421052633</v>
      </c>
    </row>
    <row r="2564" spans="1:6" ht="30" customHeight="1" x14ac:dyDescent="0.3">
      <c r="A2564" s="26" t="s">
        <v>5005</v>
      </c>
      <c r="B2564" s="31" t="s">
        <v>5006</v>
      </c>
      <c r="C2564" s="180">
        <v>44439</v>
      </c>
      <c r="D2564" s="28">
        <v>19</v>
      </c>
      <c r="E2564" s="49">
        <v>15</v>
      </c>
      <c r="F2564" s="211">
        <f>IFERROR(Tableau6[[#This Row],[Score]]/Tableau6[[#This Row],[Nb]],0)</f>
        <v>0.78947368421052633</v>
      </c>
    </row>
    <row r="2565" spans="1:6" ht="30" customHeight="1" x14ac:dyDescent="0.3">
      <c r="A2565" s="26" t="s">
        <v>5033</v>
      </c>
      <c r="B2565" s="27" t="s">
        <v>5034</v>
      </c>
      <c r="C2565" s="180">
        <v>44444</v>
      </c>
      <c r="D2565" s="28">
        <v>19</v>
      </c>
      <c r="E2565" s="49">
        <v>15</v>
      </c>
      <c r="F2565" s="211">
        <f>IFERROR(Tableau6[[#This Row],[Score]]/Tableau6[[#This Row],[Nb]],0)</f>
        <v>0.78947368421052633</v>
      </c>
    </row>
    <row r="2566" spans="1:6" ht="30" customHeight="1" x14ac:dyDescent="0.3">
      <c r="A2566" s="26" t="s">
        <v>895</v>
      </c>
      <c r="B2566" s="152" t="s">
        <v>5226</v>
      </c>
      <c r="C2566" s="180">
        <v>41621</v>
      </c>
      <c r="D2566" s="28">
        <v>24</v>
      </c>
      <c r="E2566" s="49">
        <v>19</v>
      </c>
      <c r="F2566" s="211">
        <f>IFERROR(Tableau6[[#This Row],[Score]]/Tableau6[[#This Row],[Nb]],0)</f>
        <v>0.79166666666666663</v>
      </c>
    </row>
    <row r="2567" spans="1:6" ht="30" customHeight="1" x14ac:dyDescent="0.3">
      <c r="A2567" s="26" t="s">
        <v>4362</v>
      </c>
      <c r="B2567" s="27" t="s">
        <v>4361</v>
      </c>
      <c r="C2567" s="180">
        <v>41621</v>
      </c>
      <c r="D2567" s="28">
        <v>24</v>
      </c>
      <c r="E2567" s="49">
        <v>19</v>
      </c>
      <c r="F2567" s="211">
        <f>IFERROR(Tableau6[[#This Row],[Score]]/Tableau6[[#This Row],[Nb]],0)</f>
        <v>0.79166666666666663</v>
      </c>
    </row>
    <row r="2568" spans="1:6" ht="30" customHeight="1" x14ac:dyDescent="0.3">
      <c r="A2568" s="26" t="s">
        <v>2800</v>
      </c>
      <c r="B2568" s="27" t="s">
        <v>2801</v>
      </c>
      <c r="C2568" s="180">
        <v>41621</v>
      </c>
      <c r="D2568" s="28">
        <v>24</v>
      </c>
      <c r="E2568" s="49">
        <v>19</v>
      </c>
      <c r="F2568" s="211">
        <f>IFERROR(Tableau6[[#This Row],[Score]]/Tableau6[[#This Row],[Nb]],0)</f>
        <v>0.79166666666666663</v>
      </c>
    </row>
    <row r="2569" spans="1:6" ht="30" customHeight="1" x14ac:dyDescent="0.3">
      <c r="A2569" s="26" t="s">
        <v>1134</v>
      </c>
      <c r="B2569" s="152" t="s">
        <v>5521</v>
      </c>
      <c r="C2569" s="180">
        <v>43325</v>
      </c>
      <c r="D2569" s="28">
        <v>24</v>
      </c>
      <c r="E2569" s="49">
        <v>19</v>
      </c>
      <c r="F2569" s="211">
        <f>IFERROR(Tableau6[[#This Row],[Score]]/Tableau6[[#This Row],[Nb]],0)</f>
        <v>0.79166666666666663</v>
      </c>
    </row>
    <row r="2570" spans="1:6" ht="30" customHeight="1" x14ac:dyDescent="0.3">
      <c r="A2570" s="26" t="s">
        <v>1113</v>
      </c>
      <c r="B2570" s="152" t="s">
        <v>5292</v>
      </c>
      <c r="C2570" s="180">
        <v>43415</v>
      </c>
      <c r="D2570" s="28">
        <v>24</v>
      </c>
      <c r="E2570" s="49">
        <v>19</v>
      </c>
      <c r="F2570" s="211">
        <f>IFERROR(Tableau6[[#This Row],[Score]]/Tableau6[[#This Row],[Nb]],0)</f>
        <v>0.79166666666666663</v>
      </c>
    </row>
    <row r="2571" spans="1:6" ht="30" customHeight="1" x14ac:dyDescent="0.3">
      <c r="A2571" s="26" t="s">
        <v>1998</v>
      </c>
      <c r="B2571" s="27" t="s">
        <v>1999</v>
      </c>
      <c r="C2571" s="180">
        <v>43605</v>
      </c>
      <c r="D2571" s="28">
        <v>24</v>
      </c>
      <c r="E2571" s="49">
        <v>19</v>
      </c>
      <c r="F2571" s="211">
        <f>IFERROR(Tableau6[[#This Row],[Score]]/Tableau6[[#This Row],[Nb]],0)</f>
        <v>0.79166666666666663</v>
      </c>
    </row>
    <row r="2572" spans="1:6" ht="30" customHeight="1" x14ac:dyDescent="0.3">
      <c r="A2572" s="26" t="s">
        <v>2070</v>
      </c>
      <c r="B2572" s="27" t="s">
        <v>4625</v>
      </c>
      <c r="C2572" s="180">
        <v>43661</v>
      </c>
      <c r="D2572" s="28">
        <v>24</v>
      </c>
      <c r="E2572" s="49">
        <v>19</v>
      </c>
      <c r="F2572" s="211">
        <f>IFERROR(Tableau6[[#This Row],[Score]]/Tableau6[[#This Row],[Nb]],0)</f>
        <v>0.79166666666666663</v>
      </c>
    </row>
    <row r="2573" spans="1:6" ht="30" customHeight="1" x14ac:dyDescent="0.3">
      <c r="A2573" s="26" t="s">
        <v>2093</v>
      </c>
      <c r="B2573" s="27" t="s">
        <v>2094</v>
      </c>
      <c r="C2573" s="180">
        <v>43673</v>
      </c>
      <c r="D2573" s="28">
        <v>24</v>
      </c>
      <c r="E2573" s="49">
        <v>19</v>
      </c>
      <c r="F2573" s="211">
        <f>IFERROR(Tableau6[[#This Row],[Score]]/Tableau6[[#This Row],[Nb]],0)</f>
        <v>0.79166666666666663</v>
      </c>
    </row>
    <row r="2574" spans="1:6" ht="30" customHeight="1" x14ac:dyDescent="0.3">
      <c r="A2574" s="26" t="s">
        <v>4531</v>
      </c>
      <c r="B2574" s="27" t="s">
        <v>4532</v>
      </c>
      <c r="C2574" s="180">
        <v>44004</v>
      </c>
      <c r="D2574" s="28">
        <v>24</v>
      </c>
      <c r="E2574" s="49">
        <v>19</v>
      </c>
      <c r="F2574" s="211">
        <f>IFERROR(Tableau6[[#This Row],[Score]]/Tableau6[[#This Row],[Nb]],0)</f>
        <v>0.79166666666666663</v>
      </c>
    </row>
    <row r="2575" spans="1:6" ht="30" customHeight="1" x14ac:dyDescent="0.3">
      <c r="A2575" s="26" t="s">
        <v>4117</v>
      </c>
      <c r="B2575" s="27" t="s">
        <v>4118</v>
      </c>
      <c r="C2575" s="180">
        <v>44269</v>
      </c>
      <c r="D2575" s="28">
        <v>24</v>
      </c>
      <c r="E2575" s="49">
        <v>19</v>
      </c>
      <c r="F2575" s="211">
        <f>IFERROR(Tableau6[[#This Row],[Score]]/Tableau6[[#This Row],[Nb]],0)</f>
        <v>0.79166666666666663</v>
      </c>
    </row>
    <row r="2576" spans="1:6" ht="30" customHeight="1" x14ac:dyDescent="0.3">
      <c r="A2576" s="26" t="s">
        <v>317</v>
      </c>
      <c r="B2576" s="27" t="s">
        <v>318</v>
      </c>
      <c r="C2576" s="180">
        <v>40611</v>
      </c>
      <c r="D2576" s="28">
        <v>25</v>
      </c>
      <c r="E2576" s="49">
        <v>20</v>
      </c>
      <c r="F2576" s="211">
        <f>IFERROR(Tableau6[[#This Row],[Score]]/Tableau6[[#This Row],[Nb]],0)</f>
        <v>0.8</v>
      </c>
    </row>
    <row r="2577" spans="1:6" ht="30" customHeight="1" x14ac:dyDescent="0.3">
      <c r="A2577" s="26" t="s">
        <v>3357</v>
      </c>
      <c r="B2577" s="27" t="s">
        <v>3634</v>
      </c>
      <c r="C2577" s="180">
        <v>41522</v>
      </c>
      <c r="D2577" s="28">
        <v>20</v>
      </c>
      <c r="E2577" s="49">
        <v>16</v>
      </c>
      <c r="F2577" s="211">
        <f>IFERROR(Tableau6[[#This Row],[Score]]/Tableau6[[#This Row],[Nb]],0)</f>
        <v>0.8</v>
      </c>
    </row>
    <row r="2578" spans="1:6" ht="30" customHeight="1" x14ac:dyDescent="0.3">
      <c r="A2578" s="26" t="s">
        <v>1598</v>
      </c>
      <c r="B2578" s="27" t="s">
        <v>4026</v>
      </c>
      <c r="C2578" s="180">
        <v>41621</v>
      </c>
      <c r="D2578" s="28">
        <v>20</v>
      </c>
      <c r="E2578" s="49">
        <v>16</v>
      </c>
      <c r="F2578" s="211">
        <f>IFERROR(Tableau6[[#This Row],[Score]]/Tableau6[[#This Row],[Nb]],0)</f>
        <v>0.8</v>
      </c>
    </row>
    <row r="2579" spans="1:6" ht="30" customHeight="1" x14ac:dyDescent="0.3">
      <c r="A2579" s="26" t="s">
        <v>640</v>
      </c>
      <c r="B2579" s="152" t="s">
        <v>5851</v>
      </c>
      <c r="C2579" s="180">
        <v>41621</v>
      </c>
      <c r="D2579" s="28">
        <v>25</v>
      </c>
      <c r="E2579" s="49">
        <v>20</v>
      </c>
      <c r="F2579" s="211">
        <f>IFERROR(Tableau6[[#This Row],[Score]]/Tableau6[[#This Row],[Nb]],0)</f>
        <v>0.8</v>
      </c>
    </row>
    <row r="2580" spans="1:6" ht="30" customHeight="1" x14ac:dyDescent="0.3">
      <c r="A2580" s="26" t="s">
        <v>3824</v>
      </c>
      <c r="B2580" s="27" t="s">
        <v>3823</v>
      </c>
      <c r="C2580" s="180">
        <v>41621</v>
      </c>
      <c r="D2580" s="28">
        <v>15</v>
      </c>
      <c r="E2580" s="49">
        <v>12</v>
      </c>
      <c r="F2580" s="211">
        <f>IFERROR(Tableau6[[#This Row],[Score]]/Tableau6[[#This Row],[Nb]],0)</f>
        <v>0.8</v>
      </c>
    </row>
    <row r="2581" spans="1:6" ht="30" customHeight="1" x14ac:dyDescent="0.3">
      <c r="A2581" s="26" t="s">
        <v>786</v>
      </c>
      <c r="B2581" s="152" t="s">
        <v>5164</v>
      </c>
      <c r="C2581" s="180">
        <v>41621</v>
      </c>
      <c r="D2581" s="28">
        <v>20</v>
      </c>
      <c r="E2581" s="49">
        <v>16</v>
      </c>
      <c r="F2581" s="211">
        <f>IFERROR(Tableau6[[#This Row],[Score]]/Tableau6[[#This Row],[Nb]],0)</f>
        <v>0.8</v>
      </c>
    </row>
    <row r="2582" spans="1:6" ht="30" customHeight="1" x14ac:dyDescent="0.3">
      <c r="A2582" s="26" t="s">
        <v>4592</v>
      </c>
      <c r="B2582" s="27" t="s">
        <v>4593</v>
      </c>
      <c r="C2582" s="180">
        <v>41621</v>
      </c>
      <c r="D2582" s="28">
        <v>20</v>
      </c>
      <c r="E2582" s="49">
        <v>16</v>
      </c>
      <c r="F2582" s="211">
        <f>IFERROR(Tableau6[[#This Row],[Score]]/Tableau6[[#This Row],[Nb]],0)</f>
        <v>0.8</v>
      </c>
    </row>
    <row r="2583" spans="1:6" ht="30" customHeight="1" x14ac:dyDescent="0.3">
      <c r="A2583" s="26" t="s">
        <v>642</v>
      </c>
      <c r="B2583" s="27" t="s">
        <v>735</v>
      </c>
      <c r="C2583" s="180">
        <v>41621</v>
      </c>
      <c r="D2583" s="28">
        <v>20</v>
      </c>
      <c r="E2583" s="49">
        <v>16</v>
      </c>
      <c r="F2583" s="211">
        <f>IFERROR(Tableau6[[#This Row],[Score]]/Tableau6[[#This Row],[Nb]],0)</f>
        <v>0.8</v>
      </c>
    </row>
    <row r="2584" spans="1:6" ht="30" customHeight="1" x14ac:dyDescent="0.3">
      <c r="A2584" s="26" t="s">
        <v>828</v>
      </c>
      <c r="B2584" s="27" t="s">
        <v>4582</v>
      </c>
      <c r="C2584" s="180">
        <v>41621</v>
      </c>
      <c r="D2584" s="28">
        <v>25</v>
      </c>
      <c r="E2584" s="49">
        <v>20</v>
      </c>
      <c r="F2584" s="211">
        <f>IFERROR(Tableau6[[#This Row],[Score]]/Tableau6[[#This Row],[Nb]],0)</f>
        <v>0.8</v>
      </c>
    </row>
    <row r="2585" spans="1:6" ht="30" customHeight="1" x14ac:dyDescent="0.3">
      <c r="A2585" s="26" t="s">
        <v>192</v>
      </c>
      <c r="B2585" s="152" t="s">
        <v>5820</v>
      </c>
      <c r="C2585" s="180">
        <v>41621</v>
      </c>
      <c r="D2585" s="28">
        <v>20</v>
      </c>
      <c r="E2585" s="49">
        <v>16</v>
      </c>
      <c r="F2585" s="211">
        <f>IFERROR(Tableau6[[#This Row],[Score]]/Tableau6[[#This Row],[Nb]],0)</f>
        <v>0.8</v>
      </c>
    </row>
    <row r="2586" spans="1:6" ht="30" customHeight="1" x14ac:dyDescent="0.3">
      <c r="A2586" s="26" t="s">
        <v>2733</v>
      </c>
      <c r="B2586" s="27" t="s">
        <v>4031</v>
      </c>
      <c r="C2586" s="180">
        <v>43237</v>
      </c>
      <c r="D2586" s="28">
        <v>15</v>
      </c>
      <c r="E2586" s="49">
        <v>12</v>
      </c>
      <c r="F2586" s="211">
        <f>IFERROR(Tableau6[[#This Row],[Score]]/Tableau6[[#This Row],[Nb]],0)</f>
        <v>0.8</v>
      </c>
    </row>
    <row r="2587" spans="1:6" ht="30" customHeight="1" x14ac:dyDescent="0.3">
      <c r="A2587" s="26" t="s">
        <v>3633</v>
      </c>
      <c r="B2587" s="27" t="s">
        <v>3632</v>
      </c>
      <c r="C2587" s="180">
        <v>43237</v>
      </c>
      <c r="D2587" s="28">
        <v>20</v>
      </c>
      <c r="E2587" s="49">
        <v>16</v>
      </c>
      <c r="F2587" s="211">
        <f>IFERROR(Tableau6[[#This Row],[Score]]/Tableau6[[#This Row],[Nb]],0)</f>
        <v>0.8</v>
      </c>
    </row>
    <row r="2588" spans="1:6" ht="30" customHeight="1" x14ac:dyDescent="0.3">
      <c r="A2588" s="26" t="s">
        <v>652</v>
      </c>
      <c r="B2588" s="27" t="s">
        <v>1065</v>
      </c>
      <c r="C2588" s="180">
        <v>43237</v>
      </c>
      <c r="D2588" s="28">
        <v>25</v>
      </c>
      <c r="E2588" s="49">
        <v>20</v>
      </c>
      <c r="F2588" s="211">
        <f>IFERROR(Tableau6[[#This Row],[Score]]/Tableau6[[#This Row],[Nb]],0)</f>
        <v>0.8</v>
      </c>
    </row>
    <row r="2589" spans="1:6" ht="30" customHeight="1" x14ac:dyDescent="0.3">
      <c r="A2589" s="26" t="s">
        <v>209</v>
      </c>
      <c r="B2589" s="27" t="s">
        <v>210</v>
      </c>
      <c r="C2589" s="180">
        <v>43401</v>
      </c>
      <c r="D2589" s="28">
        <v>20</v>
      </c>
      <c r="E2589" s="49">
        <v>16</v>
      </c>
      <c r="F2589" s="211">
        <f>IFERROR(Tableau6[[#This Row],[Score]]/Tableau6[[#This Row],[Nb]],0)</f>
        <v>0.8</v>
      </c>
    </row>
    <row r="2590" spans="1:6" ht="30" customHeight="1" x14ac:dyDescent="0.3">
      <c r="A2590" s="26" t="s">
        <v>1293</v>
      </c>
      <c r="B2590" s="27" t="s">
        <v>1294</v>
      </c>
      <c r="C2590" s="180">
        <v>43438</v>
      </c>
      <c r="D2590" s="28">
        <v>25</v>
      </c>
      <c r="E2590" s="49">
        <v>20</v>
      </c>
      <c r="F2590" s="211">
        <f>IFERROR(Tableau6[[#This Row],[Score]]/Tableau6[[#This Row],[Nb]],0)</f>
        <v>0.8</v>
      </c>
    </row>
    <row r="2591" spans="1:6" ht="30" customHeight="1" x14ac:dyDescent="0.3">
      <c r="A2591" s="26" t="s">
        <v>3009</v>
      </c>
      <c r="B2591" s="27" t="s">
        <v>3010</v>
      </c>
      <c r="C2591" s="180">
        <v>43548</v>
      </c>
      <c r="D2591" s="28">
        <v>25</v>
      </c>
      <c r="E2591" s="49">
        <v>20</v>
      </c>
      <c r="F2591" s="211">
        <f>IFERROR(Tableau6[[#This Row],[Score]]/Tableau6[[#This Row],[Nb]],0)</f>
        <v>0.8</v>
      </c>
    </row>
    <row r="2592" spans="1:6" ht="30" customHeight="1" x14ac:dyDescent="0.3">
      <c r="A2592" s="26" t="s">
        <v>1943</v>
      </c>
      <c r="B2592" s="27" t="s">
        <v>1944</v>
      </c>
      <c r="C2592" s="180">
        <v>43584</v>
      </c>
      <c r="D2592" s="28">
        <v>15</v>
      </c>
      <c r="E2592" s="49">
        <v>12</v>
      </c>
      <c r="F2592" s="211">
        <f>IFERROR(Tableau6[[#This Row],[Score]]/Tableau6[[#This Row],[Nb]],0)</f>
        <v>0.8</v>
      </c>
    </row>
    <row r="2593" spans="1:6" ht="30" customHeight="1" x14ac:dyDescent="0.3">
      <c r="A2593" s="26" t="s">
        <v>2146</v>
      </c>
      <c r="B2593" s="27" t="s">
        <v>2147</v>
      </c>
      <c r="C2593" s="180">
        <v>43682</v>
      </c>
      <c r="D2593" s="28">
        <v>25</v>
      </c>
      <c r="E2593" s="49">
        <v>20</v>
      </c>
      <c r="F2593" s="211">
        <f>IFERROR(Tableau6[[#This Row],[Score]]/Tableau6[[#This Row],[Nb]],0)</f>
        <v>0.8</v>
      </c>
    </row>
    <row r="2594" spans="1:6" ht="30" customHeight="1" x14ac:dyDescent="0.3">
      <c r="A2594" s="151" t="s">
        <v>2239</v>
      </c>
      <c r="B2594" s="152" t="s">
        <v>5195</v>
      </c>
      <c r="C2594" s="180">
        <v>43756</v>
      </c>
      <c r="D2594" s="28">
        <v>20</v>
      </c>
      <c r="E2594" s="49">
        <v>16</v>
      </c>
      <c r="F2594" s="211">
        <f>IFERROR(Tableau6[[#This Row],[Score]]/Tableau6[[#This Row],[Nb]],0)</f>
        <v>0.8</v>
      </c>
    </row>
    <row r="2595" spans="1:6" ht="30" customHeight="1" x14ac:dyDescent="0.3">
      <c r="A2595" s="26" t="s">
        <v>33</v>
      </c>
      <c r="B2595" s="27" t="s">
        <v>34</v>
      </c>
      <c r="C2595" s="180">
        <v>43771</v>
      </c>
      <c r="D2595" s="28">
        <v>25</v>
      </c>
      <c r="E2595" s="49">
        <v>20</v>
      </c>
      <c r="F2595" s="211">
        <f>IFERROR(Tableau6[[#This Row],[Score]]/Tableau6[[#This Row],[Nb]],0)</f>
        <v>0.8</v>
      </c>
    </row>
    <row r="2596" spans="1:6" ht="30" customHeight="1" x14ac:dyDescent="0.3">
      <c r="A2596" s="26" t="s">
        <v>4648</v>
      </c>
      <c r="B2596" s="27" t="s">
        <v>4647</v>
      </c>
      <c r="C2596" s="180">
        <v>43826</v>
      </c>
      <c r="D2596" s="28">
        <v>15</v>
      </c>
      <c r="E2596" s="49">
        <v>12</v>
      </c>
      <c r="F2596" s="211">
        <f>IFERROR(Tableau6[[#This Row],[Score]]/Tableau6[[#This Row],[Nb]],0)</f>
        <v>0.8</v>
      </c>
    </row>
    <row r="2597" spans="1:6" ht="30" customHeight="1" x14ac:dyDescent="0.3">
      <c r="A2597" s="26" t="s">
        <v>2710</v>
      </c>
      <c r="B2597" s="27" t="s">
        <v>2711</v>
      </c>
      <c r="C2597" s="180">
        <v>43895</v>
      </c>
      <c r="D2597" s="28">
        <v>20</v>
      </c>
      <c r="E2597" s="49">
        <v>16</v>
      </c>
      <c r="F2597" s="211">
        <f>IFERROR(Tableau6[[#This Row],[Score]]/Tableau6[[#This Row],[Nb]],0)</f>
        <v>0.8</v>
      </c>
    </row>
    <row r="2598" spans="1:6" ht="30" customHeight="1" x14ac:dyDescent="0.3">
      <c r="A2598" s="26" t="s">
        <v>2865</v>
      </c>
      <c r="B2598" s="27" t="s">
        <v>2866</v>
      </c>
      <c r="C2598" s="180">
        <v>43969</v>
      </c>
      <c r="D2598" s="28">
        <v>25</v>
      </c>
      <c r="E2598" s="49">
        <v>20</v>
      </c>
      <c r="F2598" s="211">
        <f>IFERROR(Tableau6[[#This Row],[Score]]/Tableau6[[#This Row],[Nb]],0)</f>
        <v>0.8</v>
      </c>
    </row>
    <row r="2599" spans="1:6" ht="30" customHeight="1" x14ac:dyDescent="0.3">
      <c r="A2599" s="26" t="s">
        <v>2893</v>
      </c>
      <c r="B2599" s="27" t="s">
        <v>2894</v>
      </c>
      <c r="C2599" s="180">
        <v>43969</v>
      </c>
      <c r="D2599" s="28">
        <v>20</v>
      </c>
      <c r="E2599" s="49">
        <v>16</v>
      </c>
      <c r="F2599" s="211">
        <f>IFERROR(Tableau6[[#This Row],[Score]]/Tableau6[[#This Row],[Nb]],0)</f>
        <v>0.8</v>
      </c>
    </row>
    <row r="2600" spans="1:6" ht="30" customHeight="1" x14ac:dyDescent="0.3">
      <c r="A2600" s="26" t="s">
        <v>2971</v>
      </c>
      <c r="B2600" s="152" t="s">
        <v>6038</v>
      </c>
      <c r="C2600" s="180">
        <v>43984</v>
      </c>
      <c r="D2600" s="28">
        <v>20</v>
      </c>
      <c r="E2600" s="49">
        <v>16</v>
      </c>
      <c r="F2600" s="211">
        <f>IFERROR(Tableau6[[#This Row],[Score]]/Tableau6[[#This Row],[Nb]],0)</f>
        <v>0.8</v>
      </c>
    </row>
    <row r="2601" spans="1:6" ht="30" customHeight="1" x14ac:dyDescent="0.3">
      <c r="A2601" s="26" t="s">
        <v>3191</v>
      </c>
      <c r="B2601" s="27" t="s">
        <v>3192</v>
      </c>
      <c r="C2601" s="180">
        <v>44026</v>
      </c>
      <c r="D2601" s="28">
        <v>15</v>
      </c>
      <c r="E2601" s="49">
        <v>12</v>
      </c>
      <c r="F2601" s="211">
        <f>IFERROR(Tableau6[[#This Row],[Score]]/Tableau6[[#This Row],[Nb]],0)</f>
        <v>0.8</v>
      </c>
    </row>
    <row r="2602" spans="1:6" ht="30" customHeight="1" x14ac:dyDescent="0.3">
      <c r="A2602" s="26" t="s">
        <v>3702</v>
      </c>
      <c r="B2602" s="27" t="s">
        <v>3703</v>
      </c>
      <c r="C2602" s="180">
        <v>44248</v>
      </c>
      <c r="D2602" s="28">
        <v>20</v>
      </c>
      <c r="E2602" s="49">
        <v>16</v>
      </c>
      <c r="F2602" s="211">
        <f>IFERROR(Tableau6[[#This Row],[Score]]/Tableau6[[#This Row],[Nb]],0)</f>
        <v>0.8</v>
      </c>
    </row>
    <row r="2603" spans="1:6" ht="30" customHeight="1" x14ac:dyDescent="0.3">
      <c r="A2603" s="36" t="s">
        <v>5048</v>
      </c>
      <c r="B2603" s="37" t="s">
        <v>5049</v>
      </c>
      <c r="C2603" s="182">
        <v>44447</v>
      </c>
      <c r="D2603" s="38">
        <v>15</v>
      </c>
      <c r="E2603" s="49">
        <v>12</v>
      </c>
      <c r="F2603" s="211">
        <f>IFERROR(Tableau6[[#This Row],[Score]]/Tableau6[[#This Row],[Nb]],0)</f>
        <v>0.8</v>
      </c>
    </row>
    <row r="2604" spans="1:6" ht="30" customHeight="1" x14ac:dyDescent="0.3">
      <c r="A2604" s="151" t="s">
        <v>5382</v>
      </c>
      <c r="B2604" s="152" t="s">
        <v>5383</v>
      </c>
      <c r="C2604" s="208">
        <v>44559</v>
      </c>
      <c r="D2604" s="154">
        <v>10</v>
      </c>
      <c r="E2604" s="154">
        <v>8</v>
      </c>
      <c r="F2604" s="211">
        <f>IFERROR(Tableau6[[#This Row],[Score]]/Tableau6[[#This Row],[Nb]],0)</f>
        <v>0.8</v>
      </c>
    </row>
    <row r="2605" spans="1:6" ht="30" customHeight="1" x14ac:dyDescent="0.3">
      <c r="A2605" s="151" t="s">
        <v>5471</v>
      </c>
      <c r="B2605" s="152" t="s">
        <v>5472</v>
      </c>
      <c r="C2605" s="208">
        <v>44578</v>
      </c>
      <c r="D2605" s="154">
        <v>10</v>
      </c>
      <c r="E2605" s="154">
        <v>8</v>
      </c>
      <c r="F2605" s="211">
        <f>IFERROR(Tableau6[[#This Row],[Score]]/Tableau6[[#This Row],[Nb]],0)</f>
        <v>0.8</v>
      </c>
    </row>
    <row r="2606" spans="1:6" ht="30" customHeight="1" x14ac:dyDescent="0.3">
      <c r="A2606" s="151" t="s">
        <v>5483</v>
      </c>
      <c r="B2606" s="152" t="s">
        <v>5484</v>
      </c>
      <c r="C2606" s="208">
        <v>44581</v>
      </c>
      <c r="D2606" s="154">
        <v>10</v>
      </c>
      <c r="E2606" s="154">
        <v>8</v>
      </c>
      <c r="F2606" s="211">
        <f>IFERROR(Tableau6[[#This Row],[Score]]/Tableau6[[#This Row],[Nb]],0)</f>
        <v>0.8</v>
      </c>
    </row>
    <row r="2607" spans="1:6" ht="30" customHeight="1" x14ac:dyDescent="0.3">
      <c r="A2607" s="151" t="s">
        <v>5683</v>
      </c>
      <c r="B2607" s="152" t="s">
        <v>5684</v>
      </c>
      <c r="C2607" s="208">
        <v>44621</v>
      </c>
      <c r="D2607" s="154">
        <v>10</v>
      </c>
      <c r="E2607" s="154">
        <v>8</v>
      </c>
      <c r="F2607" s="211">
        <f>IFERROR(Tableau6[[#This Row],[Score]]/Tableau6[[#This Row],[Nb]],0)</f>
        <v>0.8</v>
      </c>
    </row>
    <row r="2608" spans="1:6" ht="30" customHeight="1" x14ac:dyDescent="0.3">
      <c r="A2608" s="151" t="s">
        <v>5763</v>
      </c>
      <c r="B2608" s="152" t="s">
        <v>5764</v>
      </c>
      <c r="C2608" s="208">
        <v>44638</v>
      </c>
      <c r="D2608" s="154">
        <v>10</v>
      </c>
      <c r="E2608" s="154">
        <v>8</v>
      </c>
      <c r="F2608" s="211">
        <f>IFERROR(Tableau6[[#This Row],[Score]]/Tableau6[[#This Row],[Nb]],0)</f>
        <v>0.8</v>
      </c>
    </row>
    <row r="2609" spans="1:6" ht="30" customHeight="1" x14ac:dyDescent="0.3">
      <c r="A2609" s="151" t="s">
        <v>6008</v>
      </c>
      <c r="B2609" s="152" t="s">
        <v>6009</v>
      </c>
      <c r="C2609" s="208">
        <v>44709</v>
      </c>
      <c r="D2609" s="154">
        <v>10</v>
      </c>
      <c r="E2609" s="154">
        <v>8</v>
      </c>
      <c r="F2609" s="211">
        <f>IFERROR(Tableau6[[#This Row],[Score]]/Tableau6[[#This Row],[Nb]],0)</f>
        <v>0.8</v>
      </c>
    </row>
    <row r="2610" spans="1:6" ht="30" customHeight="1" x14ac:dyDescent="0.3">
      <c r="A2610" s="26" t="s">
        <v>1687</v>
      </c>
      <c r="B2610" s="27" t="s">
        <v>1688</v>
      </c>
      <c r="C2610" s="180">
        <v>43548</v>
      </c>
      <c r="D2610" s="28">
        <v>26</v>
      </c>
      <c r="E2610" s="49">
        <v>21</v>
      </c>
      <c r="F2610" s="211">
        <f>IFERROR(Tableau6[[#This Row],[Score]]/Tableau6[[#This Row],[Nb]],0)</f>
        <v>0.80769230769230771</v>
      </c>
    </row>
    <row r="2611" spans="1:6" ht="30" customHeight="1" x14ac:dyDescent="0.3">
      <c r="A2611" s="26" t="s">
        <v>279</v>
      </c>
      <c r="B2611" s="27" t="s">
        <v>280</v>
      </c>
      <c r="C2611" s="180">
        <v>40611</v>
      </c>
      <c r="D2611" s="28">
        <v>21</v>
      </c>
      <c r="E2611" s="49">
        <v>17</v>
      </c>
      <c r="F2611" s="211">
        <f>IFERROR(Tableau6[[#This Row],[Score]]/Tableau6[[#This Row],[Nb]],0)</f>
        <v>0.80952380952380953</v>
      </c>
    </row>
    <row r="2612" spans="1:6" ht="30" customHeight="1" x14ac:dyDescent="0.3">
      <c r="A2612" s="26" t="s">
        <v>4075</v>
      </c>
      <c r="B2612" s="27" t="s">
        <v>4076</v>
      </c>
      <c r="C2612" s="180">
        <v>41621</v>
      </c>
      <c r="D2612" s="28">
        <v>21</v>
      </c>
      <c r="E2612" s="49">
        <v>17</v>
      </c>
      <c r="F2612" s="211">
        <f>IFERROR(Tableau6[[#This Row],[Score]]/Tableau6[[#This Row],[Nb]],0)</f>
        <v>0.80952380952380953</v>
      </c>
    </row>
    <row r="2613" spans="1:6" ht="30" customHeight="1" x14ac:dyDescent="0.3">
      <c r="A2613" s="26" t="s">
        <v>956</v>
      </c>
      <c r="B2613" s="27" t="s">
        <v>880</v>
      </c>
      <c r="C2613" s="180">
        <v>41621</v>
      </c>
      <c r="D2613" s="28">
        <v>21</v>
      </c>
      <c r="E2613" s="49">
        <v>17</v>
      </c>
      <c r="F2613" s="211">
        <f>IFERROR(Tableau6[[#This Row],[Score]]/Tableau6[[#This Row],[Nb]],0)</f>
        <v>0.80952380952380953</v>
      </c>
    </row>
    <row r="2614" spans="1:6" ht="30" customHeight="1" x14ac:dyDescent="0.3">
      <c r="A2614" s="26" t="s">
        <v>864</v>
      </c>
      <c r="B2614" s="152" t="s">
        <v>5437</v>
      </c>
      <c r="C2614" s="180">
        <v>41621</v>
      </c>
      <c r="D2614" s="28">
        <v>21</v>
      </c>
      <c r="E2614" s="49">
        <v>17</v>
      </c>
      <c r="F2614" s="211">
        <f>IFERROR(Tableau6[[#This Row],[Score]]/Tableau6[[#This Row],[Nb]],0)</f>
        <v>0.80952380952380953</v>
      </c>
    </row>
    <row r="2615" spans="1:6" ht="30" customHeight="1" x14ac:dyDescent="0.3">
      <c r="A2615" s="26" t="s">
        <v>2056</v>
      </c>
      <c r="B2615" s="27" t="s">
        <v>2057</v>
      </c>
      <c r="C2615" s="180">
        <v>43661</v>
      </c>
      <c r="D2615" s="28">
        <v>21</v>
      </c>
      <c r="E2615" s="49">
        <v>17</v>
      </c>
      <c r="F2615" s="211">
        <f>IFERROR(Tableau6[[#This Row],[Score]]/Tableau6[[#This Row],[Nb]],0)</f>
        <v>0.80952380952380953</v>
      </c>
    </row>
    <row r="2616" spans="1:6" ht="30" customHeight="1" x14ac:dyDescent="0.3">
      <c r="A2616" s="26" t="s">
        <v>2162</v>
      </c>
      <c r="B2616" s="27" t="s">
        <v>2163</v>
      </c>
      <c r="C2616" s="180">
        <v>43689</v>
      </c>
      <c r="D2616" s="28">
        <v>21</v>
      </c>
      <c r="E2616" s="49">
        <v>17</v>
      </c>
      <c r="F2616" s="211">
        <f>IFERROR(Tableau6[[#This Row],[Score]]/Tableau6[[#This Row],[Nb]],0)</f>
        <v>0.80952380952380953</v>
      </c>
    </row>
    <row r="2617" spans="1:6" ht="30" customHeight="1" x14ac:dyDescent="0.3">
      <c r="A2617" s="26" t="s">
        <v>4686</v>
      </c>
      <c r="B2617" s="27" t="s">
        <v>2639</v>
      </c>
      <c r="C2617" s="180">
        <v>43872</v>
      </c>
      <c r="D2617" s="28">
        <v>21</v>
      </c>
      <c r="E2617" s="49">
        <v>17</v>
      </c>
      <c r="F2617" s="211">
        <f>IFERROR(Tableau6[[#This Row],[Score]]/Tableau6[[#This Row],[Nb]],0)</f>
        <v>0.80952380952380953</v>
      </c>
    </row>
    <row r="2618" spans="1:6" ht="30" customHeight="1" x14ac:dyDescent="0.3">
      <c r="A2618" s="26" t="s">
        <v>2814</v>
      </c>
      <c r="B2618" s="27" t="s">
        <v>2815</v>
      </c>
      <c r="C2618" s="180">
        <v>43962</v>
      </c>
      <c r="D2618" s="28">
        <v>21</v>
      </c>
      <c r="E2618" s="49">
        <v>17</v>
      </c>
      <c r="F2618" s="211">
        <f>IFERROR(Tableau6[[#This Row],[Score]]/Tableau6[[#This Row],[Nb]],0)</f>
        <v>0.80952380952380953</v>
      </c>
    </row>
    <row r="2619" spans="1:6" ht="30" customHeight="1" x14ac:dyDescent="0.3">
      <c r="A2619" s="26" t="s">
        <v>4101</v>
      </c>
      <c r="B2619" s="27" t="s">
        <v>4102</v>
      </c>
      <c r="C2619" s="180">
        <v>44269</v>
      </c>
      <c r="D2619" s="28">
        <v>21</v>
      </c>
      <c r="E2619" s="49">
        <v>17</v>
      </c>
      <c r="F2619" s="211">
        <f>IFERROR(Tableau6[[#This Row],[Score]]/Tableau6[[#This Row],[Nb]],0)</f>
        <v>0.80952380952380953</v>
      </c>
    </row>
    <row r="2620" spans="1:6" ht="30" customHeight="1" x14ac:dyDescent="0.3">
      <c r="A2620" s="26" t="s">
        <v>4932</v>
      </c>
      <c r="B2620" s="27" t="s">
        <v>4933</v>
      </c>
      <c r="C2620" s="180">
        <v>44422</v>
      </c>
      <c r="D2620" s="28">
        <v>21</v>
      </c>
      <c r="E2620" s="49">
        <v>17</v>
      </c>
      <c r="F2620" s="211">
        <f>IFERROR(Tableau6[[#This Row],[Score]]/Tableau6[[#This Row],[Nb]],0)</f>
        <v>0.80952380952380953</v>
      </c>
    </row>
    <row r="2621" spans="1:6" ht="30" customHeight="1" x14ac:dyDescent="0.3">
      <c r="A2621" s="26" t="s">
        <v>387</v>
      </c>
      <c r="B2621" s="27" t="s">
        <v>388</v>
      </c>
      <c r="C2621" s="180">
        <v>40611</v>
      </c>
      <c r="D2621" s="28">
        <v>16</v>
      </c>
      <c r="E2621" s="49">
        <v>13</v>
      </c>
      <c r="F2621" s="211">
        <f>IFERROR(Tableau6[[#This Row],[Score]]/Tableau6[[#This Row],[Nb]],0)</f>
        <v>0.8125</v>
      </c>
    </row>
    <row r="2622" spans="1:6" ht="30" customHeight="1" x14ac:dyDescent="0.3">
      <c r="A2622" s="26" t="s">
        <v>855</v>
      </c>
      <c r="B2622" s="27" t="s">
        <v>11</v>
      </c>
      <c r="C2622" s="180">
        <v>41621</v>
      </c>
      <c r="D2622" s="28">
        <v>16</v>
      </c>
      <c r="E2622" s="49">
        <v>13</v>
      </c>
      <c r="F2622" s="211">
        <f>IFERROR(Tableau6[[#This Row],[Score]]/Tableau6[[#This Row],[Nb]],0)</f>
        <v>0.8125</v>
      </c>
    </row>
    <row r="2623" spans="1:6" ht="30" customHeight="1" x14ac:dyDescent="0.3">
      <c r="A2623" s="291" t="s">
        <v>6457</v>
      </c>
      <c r="B2623" s="27" t="s">
        <v>4683</v>
      </c>
      <c r="C2623" s="180">
        <v>41621</v>
      </c>
      <c r="D2623" s="28">
        <v>16</v>
      </c>
      <c r="E2623" s="49">
        <v>13</v>
      </c>
      <c r="F2623" s="211">
        <f>IFERROR(Tableau6[[#This Row],[Score]]/Tableau6[[#This Row],[Nb]],0)</f>
        <v>0.8125</v>
      </c>
    </row>
    <row r="2624" spans="1:6" ht="30" customHeight="1" x14ac:dyDescent="0.3">
      <c r="A2624" s="26" t="s">
        <v>837</v>
      </c>
      <c r="B2624" s="27" t="s">
        <v>838</v>
      </c>
      <c r="C2624" s="180">
        <v>43205</v>
      </c>
      <c r="D2624" s="28">
        <v>16</v>
      </c>
      <c r="E2624" s="49">
        <v>13</v>
      </c>
      <c r="F2624" s="211">
        <f>IFERROR(Tableau6[[#This Row],[Score]]/Tableau6[[#This Row],[Nb]],0)</f>
        <v>0.8125</v>
      </c>
    </row>
    <row r="2625" spans="1:6" ht="30" customHeight="1" x14ac:dyDescent="0.3">
      <c r="A2625" s="26" t="s">
        <v>4512</v>
      </c>
      <c r="B2625" s="152" t="s">
        <v>5227</v>
      </c>
      <c r="C2625" s="180">
        <v>43237</v>
      </c>
      <c r="D2625" s="28">
        <v>16</v>
      </c>
      <c r="E2625" s="49">
        <v>13</v>
      </c>
      <c r="F2625" s="211">
        <f>IFERROR(Tableau6[[#This Row],[Score]]/Tableau6[[#This Row],[Nb]],0)</f>
        <v>0.8125</v>
      </c>
    </row>
    <row r="2626" spans="1:6" ht="30" customHeight="1" x14ac:dyDescent="0.3">
      <c r="A2626" s="26" t="s">
        <v>4029</v>
      </c>
      <c r="B2626" s="27" t="s">
        <v>4030</v>
      </c>
      <c r="C2626" s="180">
        <v>43329</v>
      </c>
      <c r="D2626" s="28">
        <v>16</v>
      </c>
      <c r="E2626" s="49">
        <v>13</v>
      </c>
      <c r="F2626" s="211">
        <f>IFERROR(Tableau6[[#This Row],[Score]]/Tableau6[[#This Row],[Nb]],0)</f>
        <v>0.8125</v>
      </c>
    </row>
    <row r="2627" spans="1:6" ht="30" customHeight="1" x14ac:dyDescent="0.3">
      <c r="A2627" s="26" t="s">
        <v>1185</v>
      </c>
      <c r="B2627" s="27" t="s">
        <v>1186</v>
      </c>
      <c r="C2627" s="180">
        <v>43422</v>
      </c>
      <c r="D2627" s="28">
        <v>16</v>
      </c>
      <c r="E2627" s="49">
        <v>13</v>
      </c>
      <c r="F2627" s="211">
        <f>IFERROR(Tableau6[[#This Row],[Score]]/Tableau6[[#This Row],[Nb]],0)</f>
        <v>0.8125</v>
      </c>
    </row>
    <row r="2628" spans="1:6" ht="30" customHeight="1" x14ac:dyDescent="0.3">
      <c r="A2628" s="26" t="s">
        <v>2438</v>
      </c>
      <c r="B2628" s="27" t="s">
        <v>2439</v>
      </c>
      <c r="C2628" s="180">
        <v>43776</v>
      </c>
      <c r="D2628" s="28">
        <v>16</v>
      </c>
      <c r="E2628" s="49">
        <v>13</v>
      </c>
      <c r="F2628" s="211">
        <f>IFERROR(Tableau6[[#This Row],[Score]]/Tableau6[[#This Row],[Nb]],0)</f>
        <v>0.8125</v>
      </c>
    </row>
    <row r="2629" spans="1:6" ht="30" customHeight="1" x14ac:dyDescent="0.3">
      <c r="A2629" s="26" t="s">
        <v>4211</v>
      </c>
      <c r="B2629" s="27" t="s">
        <v>4212</v>
      </c>
      <c r="C2629" s="180">
        <v>44026</v>
      </c>
      <c r="D2629" s="28">
        <v>16</v>
      </c>
      <c r="E2629" s="49">
        <v>13</v>
      </c>
      <c r="F2629" s="211">
        <f>IFERROR(Tableau6[[#This Row],[Score]]/Tableau6[[#This Row],[Nb]],0)</f>
        <v>0.8125</v>
      </c>
    </row>
    <row r="2630" spans="1:6" ht="30" customHeight="1" x14ac:dyDescent="0.3">
      <c r="A2630" s="26" t="s">
        <v>4285</v>
      </c>
      <c r="B2630" s="27" t="s">
        <v>4286</v>
      </c>
      <c r="C2630" s="180">
        <v>44283</v>
      </c>
      <c r="D2630" s="28">
        <v>16</v>
      </c>
      <c r="E2630" s="49">
        <v>13</v>
      </c>
      <c r="F2630" s="211">
        <f>IFERROR(Tableau6[[#This Row],[Score]]/Tableau6[[#This Row],[Nb]],0)</f>
        <v>0.8125</v>
      </c>
    </row>
    <row r="2631" spans="1:6" ht="30" customHeight="1" x14ac:dyDescent="0.3">
      <c r="A2631" s="26" t="s">
        <v>4548</v>
      </c>
      <c r="B2631" s="27" t="s">
        <v>4403</v>
      </c>
      <c r="C2631" s="180">
        <v>44299</v>
      </c>
      <c r="D2631" s="28">
        <v>16</v>
      </c>
      <c r="E2631" s="49">
        <v>13</v>
      </c>
      <c r="F2631" s="211">
        <f>IFERROR(Tableau6[[#This Row],[Score]]/Tableau6[[#This Row],[Nb]],0)</f>
        <v>0.8125</v>
      </c>
    </row>
    <row r="2632" spans="1:6" ht="30" customHeight="1" x14ac:dyDescent="0.3">
      <c r="A2632" s="26" t="s">
        <v>4598</v>
      </c>
      <c r="B2632" s="27" t="s">
        <v>4885</v>
      </c>
      <c r="C2632" s="180">
        <v>44334</v>
      </c>
      <c r="D2632" s="28">
        <v>16</v>
      </c>
      <c r="E2632" s="49">
        <v>13</v>
      </c>
      <c r="F2632" s="211">
        <f>IFERROR(Tableau6[[#This Row],[Score]]/Tableau6[[#This Row],[Nb]],0)</f>
        <v>0.8125</v>
      </c>
    </row>
    <row r="2633" spans="1:6" ht="30" customHeight="1" x14ac:dyDescent="0.3">
      <c r="A2633" s="26" t="s">
        <v>770</v>
      </c>
      <c r="B2633" s="27" t="s">
        <v>4652</v>
      </c>
      <c r="C2633" s="180">
        <v>41621</v>
      </c>
      <c r="D2633" s="28">
        <v>22</v>
      </c>
      <c r="E2633" s="49">
        <v>18</v>
      </c>
      <c r="F2633" s="211">
        <f>IFERROR(Tableau6[[#This Row],[Score]]/Tableau6[[#This Row],[Nb]],0)</f>
        <v>0.81818181818181823</v>
      </c>
    </row>
    <row r="2634" spans="1:6" ht="30" customHeight="1" x14ac:dyDescent="0.3">
      <c r="A2634" s="26" t="s">
        <v>1339</v>
      </c>
      <c r="B2634" s="27" t="s">
        <v>1340</v>
      </c>
      <c r="C2634" s="180">
        <v>43444</v>
      </c>
      <c r="D2634" s="28">
        <v>22</v>
      </c>
      <c r="E2634" s="49">
        <v>18</v>
      </c>
      <c r="F2634" s="211">
        <f>IFERROR(Tableau6[[#This Row],[Score]]/Tableau6[[#This Row],[Nb]],0)</f>
        <v>0.81818181818181823</v>
      </c>
    </row>
    <row r="2635" spans="1:6" ht="30" customHeight="1" x14ac:dyDescent="0.3">
      <c r="A2635" s="26" t="s">
        <v>1608</v>
      </c>
      <c r="B2635" s="27" t="s">
        <v>1609</v>
      </c>
      <c r="C2635" s="180">
        <v>43540</v>
      </c>
      <c r="D2635" s="28">
        <v>22</v>
      </c>
      <c r="E2635" s="49">
        <v>18</v>
      </c>
      <c r="F2635" s="211">
        <f>IFERROR(Tableau6[[#This Row],[Score]]/Tableau6[[#This Row],[Nb]],0)</f>
        <v>0.81818181818181823</v>
      </c>
    </row>
    <row r="2636" spans="1:6" ht="30" customHeight="1" x14ac:dyDescent="0.3">
      <c r="A2636" s="26" t="s">
        <v>1250</v>
      </c>
      <c r="B2636" s="27" t="s">
        <v>3027</v>
      </c>
      <c r="C2636" s="180">
        <v>44004</v>
      </c>
      <c r="D2636" s="28">
        <v>22</v>
      </c>
      <c r="E2636" s="49">
        <v>18</v>
      </c>
      <c r="F2636" s="211">
        <f>IFERROR(Tableau6[[#This Row],[Score]]/Tableau6[[#This Row],[Nb]],0)</f>
        <v>0.81818181818181823</v>
      </c>
    </row>
    <row r="2637" spans="1:6" ht="30" customHeight="1" x14ac:dyDescent="0.3">
      <c r="A2637" s="26" t="s">
        <v>3648</v>
      </c>
      <c r="B2637" s="27" t="s">
        <v>3649</v>
      </c>
      <c r="C2637" s="180">
        <v>44241</v>
      </c>
      <c r="D2637" s="28">
        <v>22</v>
      </c>
      <c r="E2637" s="49">
        <v>18</v>
      </c>
      <c r="F2637" s="211">
        <f>IFERROR(Tableau6[[#This Row],[Score]]/Tableau6[[#This Row],[Nb]],0)</f>
        <v>0.81818181818181823</v>
      </c>
    </row>
    <row r="2638" spans="1:6" ht="30" customHeight="1" x14ac:dyDescent="0.3">
      <c r="A2638" s="151" t="s">
        <v>5258</v>
      </c>
      <c r="B2638" s="152" t="s">
        <v>5575</v>
      </c>
      <c r="C2638" s="208">
        <v>44524</v>
      </c>
      <c r="D2638" s="154">
        <v>11</v>
      </c>
      <c r="E2638" s="154">
        <v>9</v>
      </c>
      <c r="F2638" s="211">
        <f>IFERROR(Tableau6[[#This Row],[Score]]/Tableau6[[#This Row],[Nb]],0)</f>
        <v>0.81818181818181823</v>
      </c>
    </row>
    <row r="2639" spans="1:6" ht="30" customHeight="1" x14ac:dyDescent="0.3">
      <c r="A2639" s="151" t="s">
        <v>5568</v>
      </c>
      <c r="B2639" s="152" t="s">
        <v>5569</v>
      </c>
      <c r="C2639" s="208">
        <v>44593</v>
      </c>
      <c r="D2639" s="154">
        <v>11</v>
      </c>
      <c r="E2639" s="154">
        <v>9</v>
      </c>
      <c r="F2639" s="211">
        <f>IFERROR(Tableau6[[#This Row],[Score]]/Tableau6[[#This Row],[Nb]],0)</f>
        <v>0.81818181818181823</v>
      </c>
    </row>
    <row r="2640" spans="1:6" ht="30" customHeight="1" x14ac:dyDescent="0.3">
      <c r="A2640" s="26" t="s">
        <v>345</v>
      </c>
      <c r="B2640" s="27" t="s">
        <v>346</v>
      </c>
      <c r="C2640" s="180">
        <v>40611</v>
      </c>
      <c r="D2640" s="28">
        <v>17</v>
      </c>
      <c r="E2640" s="49">
        <v>14</v>
      </c>
      <c r="F2640" s="211">
        <f>IFERROR(Tableau6[[#This Row],[Score]]/Tableau6[[#This Row],[Nb]],0)</f>
        <v>0.82352941176470584</v>
      </c>
    </row>
    <row r="2641" spans="1:6" ht="30" customHeight="1" x14ac:dyDescent="0.3">
      <c r="A2641" s="26" t="s">
        <v>3115</v>
      </c>
      <c r="B2641" s="27" t="s">
        <v>3116</v>
      </c>
      <c r="C2641" s="180">
        <v>41621</v>
      </c>
      <c r="D2641" s="28">
        <v>17</v>
      </c>
      <c r="E2641" s="49">
        <v>14</v>
      </c>
      <c r="F2641" s="211">
        <f>IFERROR(Tableau6[[#This Row],[Score]]/Tableau6[[#This Row],[Nb]],0)</f>
        <v>0.82352941176470584</v>
      </c>
    </row>
    <row r="2642" spans="1:6" ht="30" customHeight="1" x14ac:dyDescent="0.3">
      <c r="A2642" s="26" t="s">
        <v>954</v>
      </c>
      <c r="B2642" s="27" t="s">
        <v>879</v>
      </c>
      <c r="C2642" s="180">
        <v>41621</v>
      </c>
      <c r="D2642" s="28">
        <v>17</v>
      </c>
      <c r="E2642" s="49">
        <v>14</v>
      </c>
      <c r="F2642" s="211">
        <f>IFERROR(Tableau6[[#This Row],[Score]]/Tableau6[[#This Row],[Nb]],0)</f>
        <v>0.82352941176470584</v>
      </c>
    </row>
    <row r="2643" spans="1:6" ht="30" customHeight="1" x14ac:dyDescent="0.3">
      <c r="A2643" s="26" t="s">
        <v>4495</v>
      </c>
      <c r="B2643" s="27" t="s">
        <v>4496</v>
      </c>
      <c r="C2643" s="180">
        <v>43237</v>
      </c>
      <c r="D2643" s="28">
        <v>17</v>
      </c>
      <c r="E2643" s="49">
        <v>14</v>
      </c>
      <c r="F2643" s="211">
        <f>IFERROR(Tableau6[[#This Row],[Score]]/Tableau6[[#This Row],[Nb]],0)</f>
        <v>0.82352941176470584</v>
      </c>
    </row>
    <row r="2644" spans="1:6" ht="30" customHeight="1" x14ac:dyDescent="0.3">
      <c r="A2644" s="26" t="s">
        <v>1106</v>
      </c>
      <c r="B2644" s="27" t="s">
        <v>1107</v>
      </c>
      <c r="C2644" s="180">
        <v>43415</v>
      </c>
      <c r="D2644" s="28">
        <v>17</v>
      </c>
      <c r="E2644" s="49">
        <v>14</v>
      </c>
      <c r="F2644" s="211">
        <f>IFERROR(Tableau6[[#This Row],[Score]]/Tableau6[[#This Row],[Nb]],0)</f>
        <v>0.82352941176470584</v>
      </c>
    </row>
    <row r="2645" spans="1:6" ht="30" customHeight="1" x14ac:dyDescent="0.3">
      <c r="A2645" s="26" t="s">
        <v>1373</v>
      </c>
      <c r="B2645" s="27" t="s">
        <v>3446</v>
      </c>
      <c r="C2645" s="180">
        <v>43444</v>
      </c>
      <c r="D2645" s="28">
        <v>17</v>
      </c>
      <c r="E2645" s="49">
        <v>14</v>
      </c>
      <c r="F2645" s="211">
        <f>IFERROR(Tableau6[[#This Row],[Score]]/Tableau6[[#This Row],[Nb]],0)</f>
        <v>0.82352941176470584</v>
      </c>
    </row>
    <row r="2646" spans="1:6" ht="30" customHeight="1" x14ac:dyDescent="0.3">
      <c r="A2646" s="26" t="s">
        <v>2350</v>
      </c>
      <c r="B2646" s="27" t="s">
        <v>2351</v>
      </c>
      <c r="C2646" s="180">
        <v>43771</v>
      </c>
      <c r="D2646" s="28">
        <v>17</v>
      </c>
      <c r="E2646" s="49">
        <v>14</v>
      </c>
      <c r="F2646" s="211">
        <f>IFERROR(Tableau6[[#This Row],[Score]]/Tableau6[[#This Row],[Nb]],0)</f>
        <v>0.82352941176470584</v>
      </c>
    </row>
    <row r="2647" spans="1:6" ht="30" customHeight="1" x14ac:dyDescent="0.3">
      <c r="A2647" s="26" t="s">
        <v>3089</v>
      </c>
      <c r="B2647" s="27" t="s">
        <v>3090</v>
      </c>
      <c r="C2647" s="180">
        <v>44004</v>
      </c>
      <c r="D2647" s="28">
        <v>17</v>
      </c>
      <c r="E2647" s="49">
        <v>14</v>
      </c>
      <c r="F2647" s="211">
        <f>IFERROR(Tableau6[[#This Row],[Score]]/Tableau6[[#This Row],[Nb]],0)</f>
        <v>0.82352941176470584</v>
      </c>
    </row>
    <row r="2648" spans="1:6" ht="30" customHeight="1" x14ac:dyDescent="0.3">
      <c r="A2648" s="26" t="s">
        <v>4798</v>
      </c>
      <c r="B2648" s="27" t="s">
        <v>4799</v>
      </c>
      <c r="C2648" s="180">
        <v>44382</v>
      </c>
      <c r="D2648" s="28">
        <v>17</v>
      </c>
      <c r="E2648" s="49">
        <v>14</v>
      </c>
      <c r="F2648" s="211">
        <f>IFERROR(Tableau6[[#This Row],[Score]]/Tableau6[[#This Row],[Nb]],0)</f>
        <v>0.82352941176470584</v>
      </c>
    </row>
    <row r="2649" spans="1:6" ht="30" customHeight="1" x14ac:dyDescent="0.3">
      <c r="A2649" s="26" t="s">
        <v>4820</v>
      </c>
      <c r="B2649" s="27" t="s">
        <v>4821</v>
      </c>
      <c r="C2649" s="180">
        <v>44392</v>
      </c>
      <c r="D2649" s="28">
        <v>17</v>
      </c>
      <c r="E2649" s="49">
        <v>14</v>
      </c>
      <c r="F2649" s="211">
        <f>IFERROR(Tableau6[[#This Row],[Score]]/Tableau6[[#This Row],[Nb]],0)</f>
        <v>0.82352941176470584</v>
      </c>
    </row>
    <row r="2650" spans="1:6" ht="30" customHeight="1" x14ac:dyDescent="0.3">
      <c r="A2650" s="26" t="s">
        <v>1569</v>
      </c>
      <c r="B2650" s="27" t="s">
        <v>5040</v>
      </c>
      <c r="C2650" s="180">
        <v>41621</v>
      </c>
      <c r="D2650" s="28">
        <v>23</v>
      </c>
      <c r="E2650" s="49">
        <v>19</v>
      </c>
      <c r="F2650" s="211">
        <f>IFERROR(Tableau6[[#This Row],[Score]]/Tableau6[[#This Row],[Nb]],0)</f>
        <v>0.82608695652173914</v>
      </c>
    </row>
    <row r="2651" spans="1:6" ht="30" customHeight="1" x14ac:dyDescent="0.3">
      <c r="A2651" s="26" t="s">
        <v>764</v>
      </c>
      <c r="B2651" s="27" t="s">
        <v>4558</v>
      </c>
      <c r="C2651" s="180">
        <v>41621</v>
      </c>
      <c r="D2651" s="28">
        <v>23</v>
      </c>
      <c r="E2651" s="49">
        <v>19</v>
      </c>
      <c r="F2651" s="211">
        <f>IFERROR(Tableau6[[#This Row],[Score]]/Tableau6[[#This Row],[Nb]],0)</f>
        <v>0.82608695652173914</v>
      </c>
    </row>
    <row r="2652" spans="1:6" ht="30" customHeight="1" x14ac:dyDescent="0.3">
      <c r="A2652" s="26" t="s">
        <v>963</v>
      </c>
      <c r="B2652" s="27" t="s">
        <v>782</v>
      </c>
      <c r="C2652" s="180">
        <v>41621</v>
      </c>
      <c r="D2652" s="28">
        <v>23</v>
      </c>
      <c r="E2652" s="49">
        <v>19</v>
      </c>
      <c r="F2652" s="211">
        <f>IFERROR(Tableau6[[#This Row],[Score]]/Tableau6[[#This Row],[Nb]],0)</f>
        <v>0.82608695652173914</v>
      </c>
    </row>
    <row r="2653" spans="1:6" ht="30" customHeight="1" x14ac:dyDescent="0.3">
      <c r="A2653" s="26" t="s">
        <v>940</v>
      </c>
      <c r="B2653" s="27" t="s">
        <v>725</v>
      </c>
      <c r="C2653" s="180">
        <v>41621</v>
      </c>
      <c r="D2653" s="28">
        <v>23</v>
      </c>
      <c r="E2653" s="49">
        <v>19</v>
      </c>
      <c r="F2653" s="211">
        <f>IFERROR(Tableau6[[#This Row],[Score]]/Tableau6[[#This Row],[Nb]],0)</f>
        <v>0.82608695652173914</v>
      </c>
    </row>
    <row r="2654" spans="1:6" ht="30" customHeight="1" x14ac:dyDescent="0.3">
      <c r="A2654" s="26" t="s">
        <v>2917</v>
      </c>
      <c r="B2654" s="27" t="s">
        <v>2918</v>
      </c>
      <c r="C2654" s="180">
        <v>41621</v>
      </c>
      <c r="D2654" s="28">
        <v>23</v>
      </c>
      <c r="E2654" s="49">
        <v>19</v>
      </c>
      <c r="F2654" s="211">
        <f>IFERROR(Tableau6[[#This Row],[Score]]/Tableau6[[#This Row],[Nb]],0)</f>
        <v>0.82608695652173914</v>
      </c>
    </row>
    <row r="2655" spans="1:6" ht="30" customHeight="1" x14ac:dyDescent="0.3">
      <c r="A2655" s="26" t="s">
        <v>2267</v>
      </c>
      <c r="B2655" s="27" t="s">
        <v>2268</v>
      </c>
      <c r="C2655" s="180">
        <v>43761</v>
      </c>
      <c r="D2655" s="28">
        <v>23</v>
      </c>
      <c r="E2655" s="49">
        <v>19</v>
      </c>
      <c r="F2655" s="211">
        <f>IFERROR(Tableau6[[#This Row],[Score]]/Tableau6[[#This Row],[Nb]],0)</f>
        <v>0.82608695652173914</v>
      </c>
    </row>
    <row r="2656" spans="1:6" ht="30" customHeight="1" x14ac:dyDescent="0.3">
      <c r="A2656" s="26" t="s">
        <v>2296</v>
      </c>
      <c r="B2656" s="27" t="s">
        <v>2297</v>
      </c>
      <c r="C2656" s="180">
        <v>43767</v>
      </c>
      <c r="D2656" s="28">
        <v>23</v>
      </c>
      <c r="E2656" s="49">
        <v>19</v>
      </c>
      <c r="F2656" s="211">
        <f>IFERROR(Tableau6[[#This Row],[Score]]/Tableau6[[#This Row],[Nb]],0)</f>
        <v>0.82608695652173914</v>
      </c>
    </row>
    <row r="2657" spans="1:6" ht="30" customHeight="1" x14ac:dyDescent="0.3">
      <c r="A2657" s="26" t="s">
        <v>2516</v>
      </c>
      <c r="B2657" s="27" t="s">
        <v>2517</v>
      </c>
      <c r="C2657" s="180">
        <v>43815</v>
      </c>
      <c r="D2657" s="28">
        <v>23</v>
      </c>
      <c r="E2657" s="49">
        <v>19</v>
      </c>
      <c r="F2657" s="211">
        <f>IFERROR(Tableau6[[#This Row],[Score]]/Tableau6[[#This Row],[Nb]],0)</f>
        <v>0.82608695652173914</v>
      </c>
    </row>
    <row r="2658" spans="1:6" ht="30" customHeight="1" x14ac:dyDescent="0.3">
      <c r="A2658" s="26" t="s">
        <v>3033</v>
      </c>
      <c r="B2658" s="27" t="s">
        <v>3034</v>
      </c>
      <c r="C2658" s="180">
        <v>44004</v>
      </c>
      <c r="D2658" s="28">
        <v>23</v>
      </c>
      <c r="E2658" s="49">
        <v>19</v>
      </c>
      <c r="F2658" s="211">
        <f>IFERROR(Tableau6[[#This Row],[Score]]/Tableau6[[#This Row],[Nb]],0)</f>
        <v>0.82608695652173914</v>
      </c>
    </row>
    <row r="2659" spans="1:6" ht="30" customHeight="1" x14ac:dyDescent="0.3">
      <c r="A2659" s="26" t="s">
        <v>5023</v>
      </c>
      <c r="B2659" s="27" t="s">
        <v>5024</v>
      </c>
      <c r="C2659" s="180">
        <v>44443</v>
      </c>
      <c r="D2659" s="28">
        <v>23</v>
      </c>
      <c r="E2659" s="49">
        <v>19</v>
      </c>
      <c r="F2659" s="211">
        <f>IFERROR(Tableau6[[#This Row],[Score]]/Tableau6[[#This Row],[Nb]],0)</f>
        <v>0.82608695652173914</v>
      </c>
    </row>
    <row r="2660" spans="1:6" ht="30" customHeight="1" x14ac:dyDescent="0.3">
      <c r="A2660" s="26" t="s">
        <v>1605</v>
      </c>
      <c r="B2660" s="27" t="s">
        <v>4626</v>
      </c>
      <c r="C2660" s="180">
        <v>41621</v>
      </c>
      <c r="D2660" s="28">
        <v>18</v>
      </c>
      <c r="E2660" s="49">
        <v>15</v>
      </c>
      <c r="F2660" s="211">
        <f>IFERROR(Tableau6[[#This Row],[Score]]/Tableau6[[#This Row],[Nb]],0)</f>
        <v>0.83333333333333337</v>
      </c>
    </row>
    <row r="2661" spans="1:6" ht="30" customHeight="1" x14ac:dyDescent="0.3">
      <c r="A2661" s="26" t="s">
        <v>947</v>
      </c>
      <c r="B2661" s="27" t="s">
        <v>851</v>
      </c>
      <c r="C2661" s="180">
        <v>41621</v>
      </c>
      <c r="D2661" s="28">
        <v>18</v>
      </c>
      <c r="E2661" s="49">
        <v>15</v>
      </c>
      <c r="F2661" s="211">
        <f>IFERROR(Tableau6[[#This Row],[Score]]/Tableau6[[#This Row],[Nb]],0)</f>
        <v>0.83333333333333337</v>
      </c>
    </row>
    <row r="2662" spans="1:6" ht="30" customHeight="1" x14ac:dyDescent="0.3">
      <c r="A2662" s="26" t="s">
        <v>2417</v>
      </c>
      <c r="B2662" s="27" t="s">
        <v>1327</v>
      </c>
      <c r="C2662" s="180">
        <v>41621</v>
      </c>
      <c r="D2662" s="28">
        <v>18</v>
      </c>
      <c r="E2662" s="49">
        <v>15</v>
      </c>
      <c r="F2662" s="211">
        <f>IFERROR(Tableau6[[#This Row],[Score]]/Tableau6[[#This Row],[Nb]],0)</f>
        <v>0.83333333333333337</v>
      </c>
    </row>
    <row r="2663" spans="1:6" ht="30" customHeight="1" x14ac:dyDescent="0.3">
      <c r="A2663" s="26" t="s">
        <v>756</v>
      </c>
      <c r="B2663" s="27" t="s">
        <v>648</v>
      </c>
      <c r="C2663" s="180">
        <v>43237</v>
      </c>
      <c r="D2663" s="28">
        <v>18</v>
      </c>
      <c r="E2663" s="49">
        <v>15</v>
      </c>
      <c r="F2663" s="211">
        <f>IFERROR(Tableau6[[#This Row],[Score]]/Tableau6[[#This Row],[Nb]],0)</f>
        <v>0.83333333333333337</v>
      </c>
    </row>
    <row r="2664" spans="1:6" ht="30" customHeight="1" x14ac:dyDescent="0.3">
      <c r="A2664" s="26" t="s">
        <v>2627</v>
      </c>
      <c r="B2664" s="27" t="s">
        <v>4703</v>
      </c>
      <c r="C2664" s="180">
        <v>43237</v>
      </c>
      <c r="D2664" s="28">
        <v>18</v>
      </c>
      <c r="E2664" s="49">
        <v>15</v>
      </c>
      <c r="F2664" s="211">
        <f>IFERROR(Tableau6[[#This Row],[Score]]/Tableau6[[#This Row],[Nb]],0)</f>
        <v>0.83333333333333337</v>
      </c>
    </row>
    <row r="2665" spans="1:6" ht="30" customHeight="1" x14ac:dyDescent="0.3">
      <c r="A2665" s="26" t="s">
        <v>91</v>
      </c>
      <c r="B2665" s="27" t="s">
        <v>92</v>
      </c>
      <c r="C2665" s="180">
        <v>43341</v>
      </c>
      <c r="D2665" s="28">
        <v>18</v>
      </c>
      <c r="E2665" s="49">
        <v>15</v>
      </c>
      <c r="F2665" s="211">
        <f>IFERROR(Tableau6[[#This Row],[Score]]/Tableau6[[#This Row],[Nb]],0)</f>
        <v>0.83333333333333337</v>
      </c>
    </row>
    <row r="2666" spans="1:6" ht="30" customHeight="1" x14ac:dyDescent="0.3">
      <c r="A2666" s="26" t="s">
        <v>1310</v>
      </c>
      <c r="B2666" s="27" t="s">
        <v>1311</v>
      </c>
      <c r="C2666" s="180">
        <v>43438</v>
      </c>
      <c r="D2666" s="28">
        <v>12</v>
      </c>
      <c r="E2666" s="49">
        <v>10</v>
      </c>
      <c r="F2666" s="211">
        <f>IFERROR(Tableau6[[#This Row],[Score]]/Tableau6[[#This Row],[Nb]],0)</f>
        <v>0.83333333333333337</v>
      </c>
    </row>
    <row r="2667" spans="1:6" ht="30" customHeight="1" x14ac:dyDescent="0.3">
      <c r="A2667" s="26" t="s">
        <v>3220</v>
      </c>
      <c r="B2667" s="27" t="s">
        <v>1667</v>
      </c>
      <c r="C2667" s="180">
        <v>43548</v>
      </c>
      <c r="D2667" s="28">
        <v>18</v>
      </c>
      <c r="E2667" s="49">
        <v>15</v>
      </c>
      <c r="F2667" s="211">
        <f>IFERROR(Tableau6[[#This Row],[Score]]/Tableau6[[#This Row],[Nb]],0)</f>
        <v>0.83333333333333337</v>
      </c>
    </row>
    <row r="2668" spans="1:6" ht="30" customHeight="1" x14ac:dyDescent="0.3">
      <c r="A2668" s="26" t="s">
        <v>2347</v>
      </c>
      <c r="B2668" s="27" t="s">
        <v>3912</v>
      </c>
      <c r="C2668" s="180">
        <v>43771</v>
      </c>
      <c r="D2668" s="28">
        <v>18</v>
      </c>
      <c r="E2668" s="49">
        <v>15</v>
      </c>
      <c r="F2668" s="211">
        <f>IFERROR(Tableau6[[#This Row],[Score]]/Tableau6[[#This Row],[Nb]],0)</f>
        <v>0.83333333333333337</v>
      </c>
    </row>
    <row r="2669" spans="1:6" ht="30" customHeight="1" x14ac:dyDescent="0.3">
      <c r="A2669" s="151" t="s">
        <v>5946</v>
      </c>
      <c r="B2669" s="27" t="s">
        <v>3741</v>
      </c>
      <c r="C2669" s="180">
        <v>44249</v>
      </c>
      <c r="D2669" s="28">
        <v>18</v>
      </c>
      <c r="E2669" s="49">
        <v>15</v>
      </c>
      <c r="F2669" s="211">
        <f>IFERROR(Tableau6[[#This Row],[Score]]/Tableau6[[#This Row],[Nb]],0)</f>
        <v>0.83333333333333337</v>
      </c>
    </row>
    <row r="2670" spans="1:6" ht="30" customHeight="1" x14ac:dyDescent="0.3">
      <c r="A2670" s="26" t="s">
        <v>3757</v>
      </c>
      <c r="B2670" s="27" t="s">
        <v>3758</v>
      </c>
      <c r="C2670" s="180">
        <v>44251</v>
      </c>
      <c r="D2670" s="28">
        <v>18</v>
      </c>
      <c r="E2670" s="49">
        <v>15</v>
      </c>
      <c r="F2670" s="211">
        <f>IFERROR(Tableau6[[#This Row],[Score]]/Tableau6[[#This Row],[Nb]],0)</f>
        <v>0.83333333333333337</v>
      </c>
    </row>
    <row r="2671" spans="1:6" ht="30" customHeight="1" x14ac:dyDescent="0.3">
      <c r="A2671" s="26" t="s">
        <v>4691</v>
      </c>
      <c r="B2671" s="27" t="s">
        <v>4692</v>
      </c>
      <c r="C2671" s="180">
        <v>44357</v>
      </c>
      <c r="D2671" s="28">
        <v>18</v>
      </c>
      <c r="E2671" s="49">
        <v>15</v>
      </c>
      <c r="F2671" s="211">
        <f>IFERROR(Tableau6[[#This Row],[Score]]/Tableau6[[#This Row],[Nb]],0)</f>
        <v>0.83333333333333337</v>
      </c>
    </row>
    <row r="2672" spans="1:6" ht="30" customHeight="1" x14ac:dyDescent="0.3">
      <c r="A2672" s="26" t="s">
        <v>4758</v>
      </c>
      <c r="B2672" s="30" t="s">
        <v>4759</v>
      </c>
      <c r="C2672" s="180">
        <v>44371</v>
      </c>
      <c r="D2672" s="28">
        <v>12</v>
      </c>
      <c r="E2672" s="49">
        <v>10</v>
      </c>
      <c r="F2672" s="211">
        <f>IFERROR(Tableau6[[#This Row],[Score]]/Tableau6[[#This Row],[Nb]],0)</f>
        <v>0.83333333333333337</v>
      </c>
    </row>
    <row r="2673" spans="1:6" ht="30" customHeight="1" x14ac:dyDescent="0.3">
      <c r="A2673" s="26" t="s">
        <v>4834</v>
      </c>
      <c r="B2673" s="27" t="s">
        <v>4833</v>
      </c>
      <c r="C2673" s="180">
        <v>44395</v>
      </c>
      <c r="D2673" s="28">
        <v>18</v>
      </c>
      <c r="E2673" s="49">
        <v>15</v>
      </c>
      <c r="F2673" s="211">
        <f>IFERROR(Tableau6[[#This Row],[Score]]/Tableau6[[#This Row],[Nb]],0)</f>
        <v>0.83333333333333337</v>
      </c>
    </row>
    <row r="2674" spans="1:6" ht="30" customHeight="1" x14ac:dyDescent="0.3">
      <c r="A2674" s="151" t="s">
        <v>5147</v>
      </c>
      <c r="B2674" s="152" t="s">
        <v>5148</v>
      </c>
      <c r="C2674" s="208">
        <v>44483</v>
      </c>
      <c r="D2674" s="154">
        <v>12</v>
      </c>
      <c r="E2674" s="154">
        <v>10</v>
      </c>
      <c r="F2674" s="211">
        <f>IFERROR(Tableau6[[#This Row],[Score]]/Tableau6[[#This Row],[Nb]],0)</f>
        <v>0.83333333333333337</v>
      </c>
    </row>
    <row r="2675" spans="1:6" ht="30" customHeight="1" x14ac:dyDescent="0.3">
      <c r="A2675" s="151" t="s">
        <v>5721</v>
      </c>
      <c r="B2675" s="152" t="s">
        <v>5722</v>
      </c>
      <c r="C2675" s="208">
        <v>44633</v>
      </c>
      <c r="D2675" s="154">
        <v>12</v>
      </c>
      <c r="E2675" s="154">
        <v>10</v>
      </c>
      <c r="F2675" s="211">
        <f>IFERROR(Tableau6[[#This Row],[Score]]/Tableau6[[#This Row],[Nb]],0)</f>
        <v>0.83333333333333337</v>
      </c>
    </row>
    <row r="2676" spans="1:6" ht="30" customHeight="1" x14ac:dyDescent="0.3">
      <c r="A2676" s="26" t="s">
        <v>699</v>
      </c>
      <c r="B2676" s="27" t="s">
        <v>3815</v>
      </c>
      <c r="C2676" s="180">
        <v>41621</v>
      </c>
      <c r="D2676" s="28">
        <v>19</v>
      </c>
      <c r="E2676" s="49">
        <v>16</v>
      </c>
      <c r="F2676" s="211">
        <f>IFERROR(Tableau6[[#This Row],[Score]]/Tableau6[[#This Row],[Nb]],0)</f>
        <v>0.84210526315789469</v>
      </c>
    </row>
    <row r="2677" spans="1:6" ht="30" customHeight="1" x14ac:dyDescent="0.3">
      <c r="A2677" s="26" t="s">
        <v>3658</v>
      </c>
      <c r="B2677" s="27" t="s">
        <v>3657</v>
      </c>
      <c r="C2677" s="180">
        <v>41621</v>
      </c>
      <c r="D2677" s="28">
        <v>19</v>
      </c>
      <c r="E2677" s="49">
        <v>16</v>
      </c>
      <c r="F2677" s="211">
        <f>IFERROR(Tableau6[[#This Row],[Score]]/Tableau6[[#This Row],[Nb]],0)</f>
        <v>0.84210526315789469</v>
      </c>
    </row>
    <row r="2678" spans="1:6" ht="30" customHeight="1" x14ac:dyDescent="0.3">
      <c r="A2678" s="26" t="s">
        <v>667</v>
      </c>
      <c r="B2678" s="27" t="s">
        <v>1078</v>
      </c>
      <c r="C2678" s="180">
        <v>43237</v>
      </c>
      <c r="D2678" s="28">
        <v>19</v>
      </c>
      <c r="E2678" s="49">
        <v>16</v>
      </c>
      <c r="F2678" s="211">
        <f>IFERROR(Tableau6[[#This Row],[Score]]/Tableau6[[#This Row],[Nb]],0)</f>
        <v>0.84210526315789469</v>
      </c>
    </row>
    <row r="2679" spans="1:6" ht="30" customHeight="1" x14ac:dyDescent="0.3">
      <c r="A2679" s="26" t="s">
        <v>224</v>
      </c>
      <c r="B2679" s="27" t="s">
        <v>225</v>
      </c>
      <c r="C2679" s="180">
        <v>43400</v>
      </c>
      <c r="D2679" s="28">
        <v>19</v>
      </c>
      <c r="E2679" s="49">
        <v>16</v>
      </c>
      <c r="F2679" s="211">
        <f>IFERROR(Tableau6[[#This Row],[Score]]/Tableau6[[#This Row],[Nb]],0)</f>
        <v>0.84210526315789469</v>
      </c>
    </row>
    <row r="2680" spans="1:6" ht="30" customHeight="1" x14ac:dyDescent="0.3">
      <c r="A2680" s="26" t="s">
        <v>4919</v>
      </c>
      <c r="B2680" s="27" t="s">
        <v>4920</v>
      </c>
      <c r="C2680" s="180">
        <v>43404</v>
      </c>
      <c r="D2680" s="28">
        <v>19</v>
      </c>
      <c r="E2680" s="49">
        <v>16</v>
      </c>
      <c r="F2680" s="211">
        <f>IFERROR(Tableau6[[#This Row],[Score]]/Tableau6[[#This Row],[Nb]],0)</f>
        <v>0.84210526315789469</v>
      </c>
    </row>
    <row r="2681" spans="1:6" ht="30" customHeight="1" x14ac:dyDescent="0.3">
      <c r="A2681" s="26" t="s">
        <v>3477</v>
      </c>
      <c r="B2681" s="59" t="s">
        <v>5061</v>
      </c>
      <c r="C2681" s="180">
        <v>43451</v>
      </c>
      <c r="D2681" s="28">
        <v>19</v>
      </c>
      <c r="E2681" s="49">
        <v>16</v>
      </c>
      <c r="F2681" s="211">
        <f>IFERROR(Tableau6[[#This Row],[Score]]/Tableau6[[#This Row],[Nb]],0)</f>
        <v>0.84210526315789469</v>
      </c>
    </row>
    <row r="2682" spans="1:6" ht="30" customHeight="1" x14ac:dyDescent="0.3">
      <c r="A2682" s="26" t="s">
        <v>2557</v>
      </c>
      <c r="B2682" s="27" t="s">
        <v>2558</v>
      </c>
      <c r="C2682" s="180">
        <v>43826</v>
      </c>
      <c r="D2682" s="28">
        <v>19</v>
      </c>
      <c r="E2682" s="49">
        <v>16</v>
      </c>
      <c r="F2682" s="211">
        <f>IFERROR(Tableau6[[#This Row],[Score]]/Tableau6[[#This Row],[Nb]],0)</f>
        <v>0.84210526315789469</v>
      </c>
    </row>
    <row r="2683" spans="1:6" ht="30" customHeight="1" x14ac:dyDescent="0.3">
      <c r="A2683" s="26" t="s">
        <v>4991</v>
      </c>
      <c r="B2683" s="27" t="s">
        <v>4992</v>
      </c>
      <c r="C2683" s="180">
        <v>44434</v>
      </c>
      <c r="D2683" s="28">
        <v>13</v>
      </c>
      <c r="E2683" s="49">
        <v>11</v>
      </c>
      <c r="F2683" s="211">
        <f>IFERROR(Tableau6[[#This Row],[Score]]/Tableau6[[#This Row],[Nb]],0)</f>
        <v>0.84615384615384615</v>
      </c>
    </row>
    <row r="2684" spans="1:6" ht="30" customHeight="1" x14ac:dyDescent="0.3">
      <c r="A2684" s="33" t="s">
        <v>5044</v>
      </c>
      <c r="B2684" s="34" t="s">
        <v>5045</v>
      </c>
      <c r="C2684" s="181">
        <v>44447</v>
      </c>
      <c r="D2684" s="35">
        <v>13</v>
      </c>
      <c r="E2684" s="49">
        <v>11</v>
      </c>
      <c r="F2684" s="211">
        <f>IFERROR(Tableau6[[#This Row],[Score]]/Tableau6[[#This Row],[Nb]],0)</f>
        <v>0.84615384615384615</v>
      </c>
    </row>
    <row r="2685" spans="1:6" ht="30" customHeight="1" x14ac:dyDescent="0.3">
      <c r="A2685" s="151" t="s">
        <v>5705</v>
      </c>
      <c r="B2685" s="152" t="s">
        <v>5706</v>
      </c>
      <c r="C2685" s="208">
        <v>44626</v>
      </c>
      <c r="D2685" s="154">
        <v>13</v>
      </c>
      <c r="E2685" s="154">
        <v>11</v>
      </c>
      <c r="F2685" s="211">
        <f>IFERROR(Tableau6[[#This Row],[Score]]/Tableau6[[#This Row],[Nb]],0)</f>
        <v>0.84615384615384615</v>
      </c>
    </row>
    <row r="2686" spans="1:6" ht="30" customHeight="1" x14ac:dyDescent="0.3">
      <c r="A2686" s="26" t="s">
        <v>4815</v>
      </c>
      <c r="B2686" s="27" t="s">
        <v>4816</v>
      </c>
      <c r="C2686" s="180">
        <v>40611</v>
      </c>
      <c r="D2686" s="28">
        <v>20</v>
      </c>
      <c r="E2686" s="49">
        <v>17</v>
      </c>
      <c r="F2686" s="211">
        <f>IFERROR(Tableau6[[#This Row],[Score]]/Tableau6[[#This Row],[Nb]],0)</f>
        <v>0.85</v>
      </c>
    </row>
    <row r="2687" spans="1:6" ht="30" customHeight="1" x14ac:dyDescent="0.3">
      <c r="A2687" s="26" t="s">
        <v>4874</v>
      </c>
      <c r="B2687" s="27" t="s">
        <v>368</v>
      </c>
      <c r="C2687" s="180">
        <v>40611</v>
      </c>
      <c r="D2687" s="28">
        <v>20</v>
      </c>
      <c r="E2687" s="49">
        <v>17</v>
      </c>
      <c r="F2687" s="211">
        <f>IFERROR(Tableau6[[#This Row],[Score]]/Tableau6[[#This Row],[Nb]],0)</f>
        <v>0.85</v>
      </c>
    </row>
    <row r="2688" spans="1:6" ht="30" customHeight="1" x14ac:dyDescent="0.3">
      <c r="A2688" s="26" t="s">
        <v>1579</v>
      </c>
      <c r="B2688" s="27" t="s">
        <v>1580</v>
      </c>
      <c r="C2688" s="180">
        <v>43493</v>
      </c>
      <c r="D2688" s="28">
        <v>20</v>
      </c>
      <c r="E2688" s="49">
        <v>17</v>
      </c>
      <c r="F2688" s="211">
        <f>IFERROR(Tableau6[[#This Row],[Score]]/Tableau6[[#This Row],[Nb]],0)</f>
        <v>0.85</v>
      </c>
    </row>
    <row r="2689" spans="1:6" ht="30" customHeight="1" x14ac:dyDescent="0.3">
      <c r="A2689" s="26" t="s">
        <v>2043</v>
      </c>
      <c r="B2689" s="27" t="s">
        <v>2044</v>
      </c>
      <c r="C2689" s="180">
        <v>43605</v>
      </c>
      <c r="D2689" s="28">
        <v>20</v>
      </c>
      <c r="E2689" s="49">
        <v>17</v>
      </c>
      <c r="F2689" s="211">
        <f>IFERROR(Tableau6[[#This Row],[Score]]/Tableau6[[#This Row],[Nb]],0)</f>
        <v>0.85</v>
      </c>
    </row>
    <row r="2690" spans="1:6" ht="30" customHeight="1" x14ac:dyDescent="0.3">
      <c r="A2690" s="26" t="s">
        <v>2468</v>
      </c>
      <c r="B2690" s="27" t="s">
        <v>2469</v>
      </c>
      <c r="C2690" s="180">
        <v>43787</v>
      </c>
      <c r="D2690" s="28">
        <v>20</v>
      </c>
      <c r="E2690" s="49">
        <v>17</v>
      </c>
      <c r="F2690" s="211">
        <f>IFERROR(Tableau6[[#This Row],[Score]]/Tableau6[[#This Row],[Nb]],0)</f>
        <v>0.85</v>
      </c>
    </row>
    <row r="2691" spans="1:6" ht="30" customHeight="1" x14ac:dyDescent="0.3">
      <c r="A2691" s="26" t="s">
        <v>2624</v>
      </c>
      <c r="B2691" s="27" t="s">
        <v>4337</v>
      </c>
      <c r="C2691" s="180">
        <v>43857</v>
      </c>
      <c r="D2691" s="28">
        <v>20</v>
      </c>
      <c r="E2691" s="49">
        <v>17</v>
      </c>
      <c r="F2691" s="211">
        <f>IFERROR(Tableau6[[#This Row],[Score]]/Tableau6[[#This Row],[Nb]],0)</f>
        <v>0.85</v>
      </c>
    </row>
    <row r="2692" spans="1:6" ht="30" customHeight="1" x14ac:dyDescent="0.3">
      <c r="A2692" s="26" t="s">
        <v>3464</v>
      </c>
      <c r="B2692" s="27" t="s">
        <v>3465</v>
      </c>
      <c r="C2692" s="180">
        <v>44201</v>
      </c>
      <c r="D2692" s="28">
        <v>20</v>
      </c>
      <c r="E2692" s="49">
        <v>17</v>
      </c>
      <c r="F2692" s="211">
        <f>IFERROR(Tableau6[[#This Row],[Score]]/Tableau6[[#This Row],[Nb]],0)</f>
        <v>0.85</v>
      </c>
    </row>
    <row r="2693" spans="1:6" ht="30" customHeight="1" x14ac:dyDescent="0.3">
      <c r="A2693" s="26" t="s">
        <v>3968</v>
      </c>
      <c r="B2693" s="27" t="s">
        <v>3969</v>
      </c>
      <c r="C2693" s="180">
        <v>44262</v>
      </c>
      <c r="D2693" s="28">
        <v>20</v>
      </c>
      <c r="E2693" s="49">
        <v>17</v>
      </c>
      <c r="F2693" s="211">
        <f>IFERROR(Tableau6[[#This Row],[Score]]/Tableau6[[#This Row],[Nb]],0)</f>
        <v>0.85</v>
      </c>
    </row>
    <row r="2694" spans="1:6" ht="30" customHeight="1" x14ac:dyDescent="0.3">
      <c r="A2694" s="26" t="s">
        <v>333</v>
      </c>
      <c r="B2694" s="27" t="s">
        <v>334</v>
      </c>
      <c r="C2694" s="180">
        <v>40611</v>
      </c>
      <c r="D2694" s="28">
        <v>21</v>
      </c>
      <c r="E2694" s="49">
        <v>18</v>
      </c>
      <c r="F2694" s="211">
        <f>IFERROR(Tableau6[[#This Row],[Score]]/Tableau6[[#This Row],[Nb]],0)</f>
        <v>0.8571428571428571</v>
      </c>
    </row>
    <row r="2695" spans="1:6" ht="30" customHeight="1" x14ac:dyDescent="0.3">
      <c r="A2695" s="26" t="s">
        <v>1361</v>
      </c>
      <c r="B2695" s="27" t="s">
        <v>1362</v>
      </c>
      <c r="C2695" s="180">
        <v>43444</v>
      </c>
      <c r="D2695" s="28">
        <v>14</v>
      </c>
      <c r="E2695" s="49">
        <v>12</v>
      </c>
      <c r="F2695" s="211">
        <f>IFERROR(Tableau6[[#This Row],[Score]]/Tableau6[[#This Row],[Nb]],0)</f>
        <v>0.8571428571428571</v>
      </c>
    </row>
    <row r="2696" spans="1:6" ht="30" customHeight="1" x14ac:dyDescent="0.3">
      <c r="A2696" s="26" t="s">
        <v>2281</v>
      </c>
      <c r="B2696" s="27" t="s">
        <v>2282</v>
      </c>
      <c r="C2696" s="180">
        <v>43767</v>
      </c>
      <c r="D2696" s="28">
        <v>21</v>
      </c>
      <c r="E2696" s="49">
        <v>18</v>
      </c>
      <c r="F2696" s="211">
        <f>IFERROR(Tableau6[[#This Row],[Score]]/Tableau6[[#This Row],[Nb]],0)</f>
        <v>0.8571428571428571</v>
      </c>
    </row>
    <row r="2697" spans="1:6" ht="30" customHeight="1" x14ac:dyDescent="0.3">
      <c r="A2697" s="26" t="s">
        <v>2518</v>
      </c>
      <c r="B2697" s="27" t="s">
        <v>2519</v>
      </c>
      <c r="C2697" s="180">
        <v>43815</v>
      </c>
      <c r="D2697" s="28">
        <v>21</v>
      </c>
      <c r="E2697" s="49">
        <v>18</v>
      </c>
      <c r="F2697" s="211">
        <f>IFERROR(Tableau6[[#This Row],[Score]]/Tableau6[[#This Row],[Nb]],0)</f>
        <v>0.8571428571428571</v>
      </c>
    </row>
    <row r="2698" spans="1:6" ht="30" customHeight="1" x14ac:dyDescent="0.3">
      <c r="A2698" s="26" t="s">
        <v>4294</v>
      </c>
      <c r="B2698" s="27" t="s">
        <v>4295</v>
      </c>
      <c r="C2698" s="180">
        <v>44283</v>
      </c>
      <c r="D2698" s="28">
        <v>14</v>
      </c>
      <c r="E2698" s="49">
        <v>12</v>
      </c>
      <c r="F2698" s="211">
        <f>IFERROR(Tableau6[[#This Row],[Score]]/Tableau6[[#This Row],[Nb]],0)</f>
        <v>0.8571428571428571</v>
      </c>
    </row>
    <row r="2699" spans="1:6" ht="30" customHeight="1" x14ac:dyDescent="0.3">
      <c r="A2699" s="123" t="s">
        <v>5110</v>
      </c>
      <c r="B2699" s="124" t="s">
        <v>5111</v>
      </c>
      <c r="C2699" s="202">
        <v>44465</v>
      </c>
      <c r="D2699" s="125">
        <v>14</v>
      </c>
      <c r="E2699" s="125">
        <v>12</v>
      </c>
      <c r="F2699" s="211">
        <f>IFERROR(Tableau6[[#This Row],[Score]]/Tableau6[[#This Row],[Nb]],0)</f>
        <v>0.8571428571428571</v>
      </c>
    </row>
    <row r="2700" spans="1:6" ht="30" customHeight="1" x14ac:dyDescent="0.3">
      <c r="A2700" s="151" t="s">
        <v>5219</v>
      </c>
      <c r="B2700" s="152" t="s">
        <v>5220</v>
      </c>
      <c r="C2700" s="208">
        <v>44515</v>
      </c>
      <c r="D2700" s="154">
        <v>14</v>
      </c>
      <c r="E2700" s="154">
        <v>12</v>
      </c>
      <c r="F2700" s="211">
        <f>IFERROR(Tableau6[[#This Row],[Score]]/Tableau6[[#This Row],[Nb]],0)</f>
        <v>0.8571428571428571</v>
      </c>
    </row>
    <row r="2701" spans="1:6" ht="30" customHeight="1" x14ac:dyDescent="0.3">
      <c r="A2701" s="151" t="s">
        <v>5469</v>
      </c>
      <c r="B2701" s="152" t="s">
        <v>5470</v>
      </c>
      <c r="C2701" s="208">
        <v>44577</v>
      </c>
      <c r="D2701" s="154">
        <v>14</v>
      </c>
      <c r="E2701" s="154">
        <v>12</v>
      </c>
      <c r="F2701" s="211">
        <f>IFERROR(Tableau6[[#This Row],[Score]]/Tableau6[[#This Row],[Nb]],0)</f>
        <v>0.8571428571428571</v>
      </c>
    </row>
    <row r="2702" spans="1:6" ht="30" customHeight="1" x14ac:dyDescent="0.3">
      <c r="A2702" s="151" t="s">
        <v>5559</v>
      </c>
      <c r="B2702" s="152" t="s">
        <v>5560</v>
      </c>
      <c r="C2702" s="208">
        <v>44591</v>
      </c>
      <c r="D2702" s="154">
        <v>14</v>
      </c>
      <c r="E2702" s="154">
        <v>12</v>
      </c>
      <c r="F2702" s="211">
        <f>IFERROR(Tableau6[[#This Row],[Score]]/Tableau6[[#This Row],[Nb]],0)</f>
        <v>0.8571428571428571</v>
      </c>
    </row>
    <row r="2703" spans="1:6" ht="30" customHeight="1" x14ac:dyDescent="0.3">
      <c r="A2703" s="26" t="s">
        <v>1441</v>
      </c>
      <c r="B2703" s="27" t="s">
        <v>4679</v>
      </c>
      <c r="C2703" s="180">
        <v>41621</v>
      </c>
      <c r="D2703" s="28">
        <v>15</v>
      </c>
      <c r="E2703" s="49">
        <v>13</v>
      </c>
      <c r="F2703" s="211">
        <f>IFERROR(Tableau6[[#This Row],[Score]]/Tableau6[[#This Row],[Nb]],0)</f>
        <v>0.8666666666666667</v>
      </c>
    </row>
    <row r="2704" spans="1:6" ht="30" customHeight="1" x14ac:dyDescent="0.3">
      <c r="A2704" s="26" t="s">
        <v>3858</v>
      </c>
      <c r="B2704" s="27" t="s">
        <v>2742</v>
      </c>
      <c r="C2704" s="180">
        <v>43237</v>
      </c>
      <c r="D2704" s="28">
        <v>15</v>
      </c>
      <c r="E2704" s="49">
        <v>13</v>
      </c>
      <c r="F2704" s="211">
        <f>IFERROR(Tableau6[[#This Row],[Score]]/Tableau6[[#This Row],[Nb]],0)</f>
        <v>0.8666666666666667</v>
      </c>
    </row>
    <row r="2705" spans="1:6" ht="30" customHeight="1" x14ac:dyDescent="0.3">
      <c r="A2705" s="26" t="s">
        <v>760</v>
      </c>
      <c r="B2705" s="27" t="s">
        <v>4788</v>
      </c>
      <c r="C2705" s="180">
        <v>43237</v>
      </c>
      <c r="D2705" s="28">
        <v>15</v>
      </c>
      <c r="E2705" s="49">
        <v>13</v>
      </c>
      <c r="F2705" s="211">
        <f>IFERROR(Tableau6[[#This Row],[Score]]/Tableau6[[#This Row],[Nb]],0)</f>
        <v>0.8666666666666667</v>
      </c>
    </row>
    <row r="2706" spans="1:6" ht="30" customHeight="1" x14ac:dyDescent="0.3">
      <c r="A2706" s="26" t="s">
        <v>2126</v>
      </c>
      <c r="B2706" s="27" t="s">
        <v>2127</v>
      </c>
      <c r="C2706" s="180">
        <v>43673</v>
      </c>
      <c r="D2706" s="28">
        <v>15</v>
      </c>
      <c r="E2706" s="49">
        <v>13</v>
      </c>
      <c r="F2706" s="211">
        <f>IFERROR(Tableau6[[#This Row],[Score]]/Tableau6[[#This Row],[Nb]],0)</f>
        <v>0.8666666666666667</v>
      </c>
    </row>
    <row r="2707" spans="1:6" ht="30" customHeight="1" x14ac:dyDescent="0.3">
      <c r="A2707" s="26" t="s">
        <v>2397</v>
      </c>
      <c r="B2707" s="27" t="s">
        <v>2398</v>
      </c>
      <c r="C2707" s="180">
        <v>43775</v>
      </c>
      <c r="D2707" s="28">
        <v>15</v>
      </c>
      <c r="E2707" s="49">
        <v>13</v>
      </c>
      <c r="F2707" s="211">
        <f>IFERROR(Tableau6[[#This Row],[Score]]/Tableau6[[#This Row],[Nb]],0)</f>
        <v>0.8666666666666667</v>
      </c>
    </row>
    <row r="2708" spans="1:6" ht="30" customHeight="1" x14ac:dyDescent="0.3">
      <c r="A2708" s="26" t="s">
        <v>2722</v>
      </c>
      <c r="B2708" s="27" t="s">
        <v>2723</v>
      </c>
      <c r="C2708" s="180">
        <v>43895</v>
      </c>
      <c r="D2708" s="28">
        <v>15</v>
      </c>
      <c r="E2708" s="49">
        <v>13</v>
      </c>
      <c r="F2708" s="211">
        <f>IFERROR(Tableau6[[#This Row],[Score]]/Tableau6[[#This Row],[Nb]],0)</f>
        <v>0.8666666666666667</v>
      </c>
    </row>
    <row r="2709" spans="1:6" ht="30" customHeight="1" x14ac:dyDescent="0.3">
      <c r="A2709" s="26" t="s">
        <v>4939</v>
      </c>
      <c r="B2709" s="27" t="s">
        <v>4940</v>
      </c>
      <c r="C2709" s="180">
        <v>44425</v>
      </c>
      <c r="D2709" s="28">
        <v>15</v>
      </c>
      <c r="E2709" s="49">
        <v>13</v>
      </c>
      <c r="F2709" s="211">
        <f>IFERROR(Tableau6[[#This Row],[Score]]/Tableau6[[#This Row],[Nb]],0)</f>
        <v>0.8666666666666667</v>
      </c>
    </row>
    <row r="2710" spans="1:6" ht="30" customHeight="1" x14ac:dyDescent="0.3">
      <c r="A2710" s="151" t="s">
        <v>5473</v>
      </c>
      <c r="B2710" s="152" t="s">
        <v>5474</v>
      </c>
      <c r="C2710" s="208">
        <v>44578</v>
      </c>
      <c r="D2710" s="154">
        <v>15</v>
      </c>
      <c r="E2710" s="154">
        <v>13</v>
      </c>
      <c r="F2710" s="211">
        <f>IFERROR(Tableau6[[#This Row],[Score]]/Tableau6[[#This Row],[Nb]],0)</f>
        <v>0.8666666666666667</v>
      </c>
    </row>
    <row r="2711" spans="1:6" ht="30" customHeight="1" x14ac:dyDescent="0.3">
      <c r="A2711" s="151" t="s">
        <v>5630</v>
      </c>
      <c r="B2711" s="152" t="s">
        <v>5631</v>
      </c>
      <c r="C2711" s="208">
        <v>44607</v>
      </c>
      <c r="D2711" s="154">
        <v>15</v>
      </c>
      <c r="E2711" s="154">
        <v>13</v>
      </c>
      <c r="F2711" s="211">
        <f>IFERROR(Tableau6[[#This Row],[Score]]/Tableau6[[#This Row],[Nb]],0)</f>
        <v>0.8666666666666667</v>
      </c>
    </row>
    <row r="2712" spans="1:6" ht="30" customHeight="1" x14ac:dyDescent="0.3">
      <c r="A2712" s="26" t="s">
        <v>2413</v>
      </c>
      <c r="B2712" s="27" t="s">
        <v>2414</v>
      </c>
      <c r="C2712" s="180">
        <v>43605</v>
      </c>
      <c r="D2712" s="28">
        <v>16</v>
      </c>
      <c r="E2712" s="49">
        <v>14</v>
      </c>
      <c r="F2712" s="211">
        <f>IFERROR(Tableau6[[#This Row],[Score]]/Tableau6[[#This Row],[Nb]],0)</f>
        <v>0.875</v>
      </c>
    </row>
    <row r="2713" spans="1:6" ht="30" customHeight="1" x14ac:dyDescent="0.3">
      <c r="A2713" s="26" t="s">
        <v>3972</v>
      </c>
      <c r="B2713" s="152" t="s">
        <v>5154</v>
      </c>
      <c r="C2713" s="180">
        <v>44262</v>
      </c>
      <c r="D2713" s="28">
        <v>16</v>
      </c>
      <c r="E2713" s="49">
        <v>14</v>
      </c>
      <c r="F2713" s="211">
        <f>IFERROR(Tableau6[[#This Row],[Score]]/Tableau6[[#This Row],[Nb]],0)</f>
        <v>0.875</v>
      </c>
    </row>
    <row r="2714" spans="1:6" ht="30" customHeight="1" x14ac:dyDescent="0.3">
      <c r="A2714" s="26" t="s">
        <v>4299</v>
      </c>
      <c r="B2714" s="27" t="s">
        <v>4300</v>
      </c>
      <c r="C2714" s="180">
        <v>44283</v>
      </c>
      <c r="D2714" s="28">
        <v>8</v>
      </c>
      <c r="E2714" s="49">
        <v>7</v>
      </c>
      <c r="F2714" s="211">
        <f>IFERROR(Tableau6[[#This Row],[Score]]/Tableau6[[#This Row],[Nb]],0)</f>
        <v>0.875</v>
      </c>
    </row>
    <row r="2715" spans="1:6" ht="30" customHeight="1" x14ac:dyDescent="0.3">
      <c r="A2715" s="91" t="s">
        <v>5087</v>
      </c>
      <c r="B2715" s="92" t="s">
        <v>5088</v>
      </c>
      <c r="C2715" s="194">
        <v>44460</v>
      </c>
      <c r="D2715" s="93">
        <v>16</v>
      </c>
      <c r="E2715" s="93">
        <v>14</v>
      </c>
      <c r="F2715" s="211">
        <f>IFERROR(Tableau6[[#This Row],[Score]]/Tableau6[[#This Row],[Nb]],0)</f>
        <v>0.875</v>
      </c>
    </row>
    <row r="2716" spans="1:6" ht="30" customHeight="1" x14ac:dyDescent="0.3">
      <c r="A2716" s="151" t="s">
        <v>5309</v>
      </c>
      <c r="B2716" s="152" t="s">
        <v>5310</v>
      </c>
      <c r="C2716" s="208">
        <v>44533</v>
      </c>
      <c r="D2716" s="154">
        <v>16</v>
      </c>
      <c r="E2716" s="154">
        <v>14</v>
      </c>
      <c r="F2716" s="211">
        <f>IFERROR(Tableau6[[#This Row],[Score]]/Tableau6[[#This Row],[Nb]],0)</f>
        <v>0.875</v>
      </c>
    </row>
    <row r="2717" spans="1:6" ht="30" customHeight="1" x14ac:dyDescent="0.3">
      <c r="A2717" s="151" t="s">
        <v>5364</v>
      </c>
      <c r="B2717" s="152" t="s">
        <v>5363</v>
      </c>
      <c r="C2717" s="208">
        <v>44549</v>
      </c>
      <c r="D2717" s="154">
        <v>16</v>
      </c>
      <c r="E2717" s="154">
        <v>14</v>
      </c>
      <c r="F2717" s="211">
        <f>IFERROR(Tableau6[[#This Row],[Score]]/Tableau6[[#This Row],[Nb]],0)</f>
        <v>0.875</v>
      </c>
    </row>
    <row r="2718" spans="1:6" ht="30" customHeight="1" x14ac:dyDescent="0.3">
      <c r="A2718" s="151" t="s">
        <v>5969</v>
      </c>
      <c r="B2718" s="152" t="s">
        <v>5970</v>
      </c>
      <c r="C2718" s="208">
        <v>44702</v>
      </c>
      <c r="D2718" s="154">
        <v>16</v>
      </c>
      <c r="E2718" s="154">
        <v>14</v>
      </c>
      <c r="F2718" s="211">
        <f>IFERROR(Tableau6[[#This Row],[Score]]/Tableau6[[#This Row],[Nb]],0)</f>
        <v>0.875</v>
      </c>
    </row>
    <row r="2719" spans="1:6" ht="30" customHeight="1" x14ac:dyDescent="0.3">
      <c r="A2719" s="26" t="s">
        <v>64</v>
      </c>
      <c r="B2719" s="27" t="s">
        <v>4243</v>
      </c>
      <c r="C2719" s="180">
        <v>43311</v>
      </c>
      <c r="D2719" s="28">
        <v>17</v>
      </c>
      <c r="E2719" s="49">
        <v>15</v>
      </c>
      <c r="F2719" s="211">
        <f>IFERROR(Tableau6[[#This Row],[Score]]/Tableau6[[#This Row],[Nb]],0)</f>
        <v>0.88235294117647056</v>
      </c>
    </row>
    <row r="2720" spans="1:6" ht="30" customHeight="1" x14ac:dyDescent="0.3">
      <c r="A2720" s="26" t="s">
        <v>575</v>
      </c>
      <c r="B2720" s="27" t="s">
        <v>4708</v>
      </c>
      <c r="C2720" s="180">
        <v>43405</v>
      </c>
      <c r="D2720" s="28">
        <v>17</v>
      </c>
      <c r="E2720" s="49">
        <v>15</v>
      </c>
      <c r="F2720" s="211">
        <f>IFERROR(Tableau6[[#This Row],[Score]]/Tableau6[[#This Row],[Nb]],0)</f>
        <v>0.88235294117647056</v>
      </c>
    </row>
    <row r="2721" spans="1:6" ht="30" customHeight="1" x14ac:dyDescent="0.3">
      <c r="A2721" s="26" t="s">
        <v>4206</v>
      </c>
      <c r="B2721" s="27" t="s">
        <v>4205</v>
      </c>
      <c r="C2721" s="180">
        <v>44276</v>
      </c>
      <c r="D2721" s="28">
        <v>17</v>
      </c>
      <c r="E2721" s="49">
        <v>15</v>
      </c>
      <c r="F2721" s="211">
        <f>IFERROR(Tableau6[[#This Row],[Score]]/Tableau6[[#This Row],[Nb]],0)</f>
        <v>0.88235294117647056</v>
      </c>
    </row>
    <row r="2722" spans="1:6" ht="30" customHeight="1" x14ac:dyDescent="0.3">
      <c r="A2722" s="151" t="s">
        <v>5150</v>
      </c>
      <c r="B2722" s="152" t="s">
        <v>5151</v>
      </c>
      <c r="C2722" s="208">
        <v>44483</v>
      </c>
      <c r="D2722" s="154">
        <v>17</v>
      </c>
      <c r="E2722" s="154">
        <v>15</v>
      </c>
      <c r="F2722" s="211">
        <f>IFERROR(Tableau6[[#This Row],[Score]]/Tableau6[[#This Row],[Nb]],0)</f>
        <v>0.88235294117647056</v>
      </c>
    </row>
    <row r="2723" spans="1:6" ht="30" customHeight="1" x14ac:dyDescent="0.3">
      <c r="A2723" s="151" t="s">
        <v>5210</v>
      </c>
      <c r="B2723" s="152" t="s">
        <v>5211</v>
      </c>
      <c r="C2723" s="208">
        <v>44510</v>
      </c>
      <c r="D2723" s="154">
        <v>17</v>
      </c>
      <c r="E2723" s="154">
        <v>15</v>
      </c>
      <c r="F2723" s="211">
        <f>IFERROR(Tableau6[[#This Row],[Score]]/Tableau6[[#This Row],[Nb]],0)</f>
        <v>0.88235294117647056</v>
      </c>
    </row>
    <row r="2724" spans="1:6" ht="30" customHeight="1" x14ac:dyDescent="0.3">
      <c r="A2724" s="151" t="s">
        <v>5278</v>
      </c>
      <c r="B2724" s="152" t="s">
        <v>5245</v>
      </c>
      <c r="C2724" s="208">
        <v>44524</v>
      </c>
      <c r="D2724" s="154">
        <v>17</v>
      </c>
      <c r="E2724" s="154">
        <v>15</v>
      </c>
      <c r="F2724" s="211">
        <f>IFERROR(Tableau6[[#This Row],[Score]]/Tableau6[[#This Row],[Nb]],0)</f>
        <v>0.88235294117647056</v>
      </c>
    </row>
    <row r="2725" spans="1:6" ht="30" customHeight="1" x14ac:dyDescent="0.3">
      <c r="A2725" s="26" t="s">
        <v>4911</v>
      </c>
      <c r="B2725" s="27" t="s">
        <v>4912</v>
      </c>
      <c r="C2725" s="180">
        <v>44412</v>
      </c>
      <c r="D2725" s="28">
        <v>10</v>
      </c>
      <c r="E2725" s="49">
        <v>9</v>
      </c>
      <c r="F2725" s="211">
        <f>IFERROR(Tableau6[[#This Row],[Score]]/Tableau6[[#This Row],[Nb]],0)</f>
        <v>0.9</v>
      </c>
    </row>
    <row r="2726" spans="1:6" ht="30" customHeight="1" x14ac:dyDescent="0.3">
      <c r="A2726" s="26" t="s">
        <v>609</v>
      </c>
      <c r="B2726" s="27" t="s">
        <v>1175</v>
      </c>
      <c r="C2726" s="180">
        <v>43422</v>
      </c>
      <c r="D2726" s="28">
        <v>11</v>
      </c>
      <c r="E2726" s="49">
        <v>10</v>
      </c>
      <c r="F2726" s="211">
        <f>IFERROR(Tableau6[[#This Row],[Score]]/Tableau6[[#This Row],[Nb]],0)</f>
        <v>0.90909090909090906</v>
      </c>
    </row>
    <row r="2727" spans="1:6" ht="30" customHeight="1" x14ac:dyDescent="0.3">
      <c r="A2727" s="26" t="s">
        <v>3970</v>
      </c>
      <c r="B2727" s="27" t="s">
        <v>3971</v>
      </c>
      <c r="C2727" s="180">
        <v>44262</v>
      </c>
      <c r="D2727" s="28">
        <v>12</v>
      </c>
      <c r="E2727" s="49">
        <v>11</v>
      </c>
      <c r="F2727" s="211">
        <f>IFERROR(Tableau6[[#This Row],[Score]]/Tableau6[[#This Row],[Nb]],0)</f>
        <v>0.91666666666666663</v>
      </c>
    </row>
    <row r="2728" spans="1:6" ht="30" customHeight="1" x14ac:dyDescent="0.3">
      <c r="A2728" s="26" t="s">
        <v>4985</v>
      </c>
      <c r="B2728" s="27" t="s">
        <v>4986</v>
      </c>
      <c r="C2728" s="180">
        <v>44433</v>
      </c>
      <c r="D2728" s="28">
        <v>8</v>
      </c>
      <c r="E2728" s="49">
        <v>8</v>
      </c>
      <c r="F2728" s="211">
        <f>IFERROR(Tableau6[[#This Row],[Score]]/Tableau6[[#This Row],[Nb]],0)</f>
        <v>1</v>
      </c>
    </row>
    <row r="2729" spans="1:6" ht="30" customHeight="1" x14ac:dyDescent="0.3">
      <c r="A2729" s="26" t="s">
        <v>5011</v>
      </c>
      <c r="B2729" s="27" t="s">
        <v>5012</v>
      </c>
      <c r="C2729" s="180">
        <v>44440</v>
      </c>
      <c r="D2729" s="28">
        <v>8</v>
      </c>
      <c r="E2729" s="49">
        <v>8</v>
      </c>
      <c r="F2729" s="211">
        <f>IFERROR(Tableau6[[#This Row],[Score]]/Tableau6[[#This Row],[Nb]],0)</f>
        <v>1</v>
      </c>
    </row>
    <row r="2730" spans="1:6" ht="30" customHeight="1" x14ac:dyDescent="0.3">
      <c r="A2730" s="151" t="s">
        <v>5242</v>
      </c>
      <c r="B2730" s="152" t="s">
        <v>5243</v>
      </c>
      <c r="C2730" s="208">
        <v>44521</v>
      </c>
      <c r="D2730" s="154">
        <v>9</v>
      </c>
      <c r="E2730" s="154">
        <v>9</v>
      </c>
      <c r="F2730" s="211">
        <f>IFERROR(Tableau6[[#This Row],[Score]]/Tableau6[[#This Row],[Nb]],0)</f>
        <v>1</v>
      </c>
    </row>
    <row r="2731" spans="1:6" ht="30" customHeight="1" x14ac:dyDescent="0.3">
      <c r="A2731" s="151" t="s">
        <v>5252</v>
      </c>
      <c r="B2731" s="152" t="s">
        <v>5253</v>
      </c>
      <c r="C2731" s="208">
        <v>44523</v>
      </c>
      <c r="D2731" s="154">
        <v>7</v>
      </c>
      <c r="E2731" s="154">
        <v>7</v>
      </c>
      <c r="F2731" s="211">
        <f>IFERROR(Tableau6[[#This Row],[Score]]/Tableau6[[#This Row],[Nb]],0)</f>
        <v>1</v>
      </c>
    </row>
    <row r="2732" spans="1:6" ht="30" customHeight="1" x14ac:dyDescent="0.3">
      <c r="A2732" s="151" t="s">
        <v>5321</v>
      </c>
      <c r="B2732" s="152" t="s">
        <v>5322</v>
      </c>
      <c r="C2732" s="208">
        <v>44534</v>
      </c>
      <c r="D2732" s="154">
        <v>9</v>
      </c>
      <c r="E2732" s="154">
        <v>9</v>
      </c>
      <c r="F2732" s="211">
        <f>IFERROR(Tableau6[[#This Row],[Score]]/Tableau6[[#This Row],[Nb]],0)</f>
        <v>1</v>
      </c>
    </row>
    <row r="2733" spans="1:6" ht="30" customHeight="1" x14ac:dyDescent="0.3">
      <c r="A2733" s="151" t="s">
        <v>5328</v>
      </c>
      <c r="B2733" s="152" t="s">
        <v>5329</v>
      </c>
      <c r="C2733" s="208">
        <v>44535</v>
      </c>
      <c r="D2733" s="154">
        <v>9</v>
      </c>
      <c r="E2733" s="154">
        <v>9</v>
      </c>
      <c r="F2733" s="211">
        <f>IFERROR(Tableau6[[#This Row],[Score]]/Tableau6[[#This Row],[Nb]],0)</f>
        <v>1</v>
      </c>
    </row>
    <row r="2734" spans="1:6" ht="30" customHeight="1" x14ac:dyDescent="0.3">
      <c r="A2734" s="151" t="s">
        <v>5396</v>
      </c>
      <c r="B2734" s="152" t="s">
        <v>5397</v>
      </c>
      <c r="C2734" s="208">
        <v>44560</v>
      </c>
      <c r="D2734" s="154">
        <v>9</v>
      </c>
      <c r="E2734" s="154">
        <v>9</v>
      </c>
      <c r="F2734" s="211">
        <f>IFERROR(Tableau6[[#This Row],[Score]]/Tableau6[[#This Row],[Nb]],0)</f>
        <v>1</v>
      </c>
    </row>
    <row r="2735" spans="1:6" ht="30" customHeight="1" x14ac:dyDescent="0.3">
      <c r="A2735" s="151" t="s">
        <v>5446</v>
      </c>
      <c r="B2735" s="152" t="s">
        <v>5447</v>
      </c>
      <c r="C2735" s="208">
        <v>44572</v>
      </c>
      <c r="D2735" s="154">
        <v>8</v>
      </c>
      <c r="E2735" s="154">
        <v>8</v>
      </c>
      <c r="F2735" s="211">
        <f>IFERROR(Tableau6[[#This Row],[Score]]/Tableau6[[#This Row],[Nb]],0)</f>
        <v>1</v>
      </c>
    </row>
    <row r="2736" spans="1:6" ht="30" customHeight="1" x14ac:dyDescent="0.3">
      <c r="A2736" s="151" t="s">
        <v>5497</v>
      </c>
      <c r="B2736" s="152" t="s">
        <v>5498</v>
      </c>
      <c r="C2736" s="208">
        <v>44584</v>
      </c>
      <c r="D2736" s="154">
        <v>7</v>
      </c>
      <c r="E2736" s="154">
        <v>7</v>
      </c>
      <c r="F2736" s="211">
        <f>IFERROR(Tableau6[[#This Row],[Score]]/Tableau6[[#This Row],[Nb]],0)</f>
        <v>1</v>
      </c>
    </row>
    <row r="2737" spans="1:6" ht="30" customHeight="1" x14ac:dyDescent="0.3">
      <c r="A2737" s="151" t="s">
        <v>5551</v>
      </c>
      <c r="B2737" s="152" t="s">
        <v>5552</v>
      </c>
      <c r="C2737" s="208">
        <v>44591</v>
      </c>
      <c r="D2737" s="154">
        <v>7</v>
      </c>
      <c r="E2737" s="154">
        <v>7</v>
      </c>
      <c r="F2737" s="211">
        <f>IFERROR(Tableau6[[#This Row],[Score]]/Tableau6[[#This Row],[Nb]],0)</f>
        <v>1</v>
      </c>
    </row>
    <row r="2738" spans="1:6" ht="30" customHeight="1" x14ac:dyDescent="0.3">
      <c r="A2738" s="151" t="s">
        <v>5668</v>
      </c>
      <c r="B2738" s="152" t="s">
        <v>5669</v>
      </c>
      <c r="C2738" s="208">
        <v>44620</v>
      </c>
      <c r="D2738" s="154">
        <v>8</v>
      </c>
      <c r="E2738" s="154">
        <v>8</v>
      </c>
      <c r="F2738" s="211">
        <f>IFERROR(Tableau6[[#This Row],[Score]]/Tableau6[[#This Row],[Nb]],0)</f>
        <v>1</v>
      </c>
    </row>
    <row r="2739" spans="1:6" ht="30" customHeight="1" x14ac:dyDescent="0.3">
      <c r="A2739" s="151" t="s">
        <v>5673</v>
      </c>
      <c r="B2739" s="152" t="s">
        <v>5674</v>
      </c>
      <c r="C2739" s="208">
        <v>44620</v>
      </c>
      <c r="D2739" s="154">
        <v>9</v>
      </c>
      <c r="E2739" s="154">
        <v>9</v>
      </c>
      <c r="F2739" s="211">
        <f>IFERROR(Tableau6[[#This Row],[Score]]/Tableau6[[#This Row],[Nb]],0)</f>
        <v>1</v>
      </c>
    </row>
    <row r="2740" spans="1:6" ht="30" customHeight="1" x14ac:dyDescent="0.3">
      <c r="A2740" s="151" t="s">
        <v>6401</v>
      </c>
      <c r="B2740" s="152" t="s">
        <v>5743</v>
      </c>
      <c r="C2740" s="208">
        <v>44633</v>
      </c>
      <c r="D2740" s="154">
        <v>8</v>
      </c>
      <c r="E2740" s="154">
        <v>8</v>
      </c>
      <c r="F2740" s="211">
        <f>IFERROR(Tableau6[[#This Row],[Score]]/Tableau6[[#This Row],[Nb]],0)</f>
        <v>1</v>
      </c>
    </row>
    <row r="2741" spans="1:6" ht="30" customHeight="1" x14ac:dyDescent="0.3">
      <c r="A2741" s="151" t="s">
        <v>5755</v>
      </c>
      <c r="B2741" s="152" t="s">
        <v>5756</v>
      </c>
      <c r="C2741" s="208">
        <v>44636</v>
      </c>
      <c r="D2741" s="154">
        <v>6</v>
      </c>
      <c r="E2741" s="154">
        <v>6</v>
      </c>
      <c r="F2741" s="211">
        <f>IFERROR(Tableau6[[#This Row],[Score]]/Tableau6[[#This Row],[Nb]],0)</f>
        <v>1</v>
      </c>
    </row>
    <row r="2742" spans="1:6" ht="30" customHeight="1" x14ac:dyDescent="0.3">
      <c r="A2742" s="151" t="s">
        <v>5768</v>
      </c>
      <c r="B2742" s="152" t="s">
        <v>5769</v>
      </c>
      <c r="C2742" s="208">
        <v>44638</v>
      </c>
      <c r="D2742" s="154">
        <v>5</v>
      </c>
      <c r="E2742" s="154">
        <v>5</v>
      </c>
      <c r="F2742" s="211">
        <f>IFERROR(Tableau6[[#This Row],[Score]]/Tableau6[[#This Row],[Nb]],0)</f>
        <v>1</v>
      </c>
    </row>
    <row r="2743" spans="1:6" ht="30" customHeight="1" x14ac:dyDescent="0.3">
      <c r="A2743" s="151" t="s">
        <v>5790</v>
      </c>
      <c r="B2743" s="152" t="s">
        <v>5791</v>
      </c>
      <c r="C2743" s="208">
        <v>44640</v>
      </c>
      <c r="D2743" s="154">
        <v>9</v>
      </c>
      <c r="E2743" s="154">
        <v>9</v>
      </c>
      <c r="F2743" s="211">
        <f>IFERROR(Tableau6[[#This Row],[Score]]/Tableau6[[#This Row],[Nb]],0)</f>
        <v>1</v>
      </c>
    </row>
    <row r="2744" spans="1:6" ht="30" customHeight="1" x14ac:dyDescent="0.3">
      <c r="A2744" s="151" t="s">
        <v>5808</v>
      </c>
      <c r="B2744" s="152" t="s">
        <v>5809</v>
      </c>
      <c r="C2744" s="208">
        <v>44646</v>
      </c>
      <c r="D2744" s="154">
        <v>9</v>
      </c>
      <c r="E2744" s="154">
        <v>9</v>
      </c>
      <c r="F2744" s="211">
        <f>IFERROR(Tableau6[[#This Row],[Score]]/Tableau6[[#This Row],[Nb]],0)</f>
        <v>1</v>
      </c>
    </row>
    <row r="2745" spans="1:6" ht="30" customHeight="1" x14ac:dyDescent="0.3">
      <c r="A2745" s="151" t="s">
        <v>5853</v>
      </c>
      <c r="B2745" s="152" t="s">
        <v>5854</v>
      </c>
      <c r="C2745" s="208">
        <v>44656</v>
      </c>
      <c r="D2745" s="154">
        <v>5</v>
      </c>
      <c r="E2745" s="154">
        <v>5</v>
      </c>
      <c r="F2745" s="211">
        <f>IFERROR(Tableau6[[#This Row],[Score]]/Tableau6[[#This Row],[Nb]],0)</f>
        <v>1</v>
      </c>
    </row>
    <row r="2746" spans="1:6" ht="30" customHeight="1" x14ac:dyDescent="0.3">
      <c r="A2746" s="151" t="s">
        <v>5890</v>
      </c>
      <c r="B2746" s="152" t="s">
        <v>5891</v>
      </c>
      <c r="C2746" s="208">
        <v>44669</v>
      </c>
      <c r="D2746" s="154">
        <v>5</v>
      </c>
      <c r="E2746" s="154">
        <v>5</v>
      </c>
      <c r="F2746" s="211">
        <f>IFERROR(Tableau6[[#This Row],[Score]]/Tableau6[[#This Row],[Nb]],0)</f>
        <v>1</v>
      </c>
    </row>
    <row r="2747" spans="1:6" ht="30" customHeight="1" x14ac:dyDescent="0.3">
      <c r="A2747" s="151" t="s">
        <v>5900</v>
      </c>
      <c r="B2747" s="152" t="s">
        <v>5901</v>
      </c>
      <c r="C2747" s="208">
        <v>44670</v>
      </c>
      <c r="D2747" s="154">
        <v>4</v>
      </c>
      <c r="E2747" s="154">
        <v>4</v>
      </c>
      <c r="F2747" s="211">
        <f>IFERROR(Tableau6[[#This Row],[Score]]/Tableau6[[#This Row],[Nb]],0)</f>
        <v>1</v>
      </c>
    </row>
    <row r="2748" spans="1:6" ht="30" customHeight="1" x14ac:dyDescent="0.3">
      <c r="A2748" s="151" t="s">
        <v>5906</v>
      </c>
      <c r="B2748" s="152" t="s">
        <v>5907</v>
      </c>
      <c r="C2748" s="208">
        <v>44675</v>
      </c>
      <c r="D2748" s="154">
        <v>8</v>
      </c>
      <c r="E2748" s="154">
        <v>8</v>
      </c>
      <c r="F2748" s="211">
        <f>IFERROR(Tableau6[[#This Row],[Score]]/Tableau6[[#This Row],[Nb]],0)</f>
        <v>1</v>
      </c>
    </row>
    <row r="2749" spans="1:6" ht="30" customHeight="1" x14ac:dyDescent="0.3">
      <c r="A2749" s="151" t="s">
        <v>5927</v>
      </c>
      <c r="B2749" s="152" t="s">
        <v>5928</v>
      </c>
      <c r="C2749" s="208">
        <v>44682</v>
      </c>
      <c r="D2749" s="154">
        <v>7</v>
      </c>
      <c r="E2749" s="154">
        <v>7</v>
      </c>
      <c r="F2749" s="211">
        <f>IFERROR(Tableau6[[#This Row],[Score]]/Tableau6[[#This Row],[Nb]],0)</f>
        <v>1</v>
      </c>
    </row>
    <row r="2750" spans="1:6" ht="30" customHeight="1" x14ac:dyDescent="0.3">
      <c r="A2750" s="151" t="s">
        <v>5940</v>
      </c>
      <c r="B2750" s="152" t="s">
        <v>5941</v>
      </c>
      <c r="C2750" s="208">
        <v>44691</v>
      </c>
      <c r="D2750" s="154">
        <v>8</v>
      </c>
      <c r="E2750" s="154">
        <v>8</v>
      </c>
      <c r="F2750" s="211">
        <f>IFERROR(Tableau6[[#This Row],[Score]]/Tableau6[[#This Row],[Nb]],0)</f>
        <v>1</v>
      </c>
    </row>
    <row r="2751" spans="1:6" ht="30" customHeight="1" x14ac:dyDescent="0.3">
      <c r="A2751" s="151" t="s">
        <v>5947</v>
      </c>
      <c r="B2751" s="152" t="s">
        <v>5948</v>
      </c>
      <c r="C2751" s="208">
        <v>44692</v>
      </c>
      <c r="D2751" s="154">
        <v>2</v>
      </c>
      <c r="E2751" s="154">
        <v>2</v>
      </c>
      <c r="F2751" s="211">
        <f>IFERROR(Tableau6[[#This Row],[Score]]/Tableau6[[#This Row],[Nb]],0)</f>
        <v>1</v>
      </c>
    </row>
    <row r="2752" spans="1:6" ht="30" customHeight="1" x14ac:dyDescent="0.3">
      <c r="A2752" s="151" t="s">
        <v>5962</v>
      </c>
      <c r="B2752" s="152" t="s">
        <v>6037</v>
      </c>
      <c r="C2752" s="208">
        <v>44698</v>
      </c>
      <c r="D2752" s="154">
        <v>6</v>
      </c>
      <c r="E2752" s="154">
        <v>6</v>
      </c>
      <c r="F2752" s="211">
        <f>IFERROR(Tableau6[[#This Row],[Score]]/Tableau6[[#This Row],[Nb]],0)</f>
        <v>1</v>
      </c>
    </row>
    <row r="2753" spans="1:6" ht="30" customHeight="1" x14ac:dyDescent="0.3">
      <c r="A2753" s="151" t="s">
        <v>5983</v>
      </c>
      <c r="B2753" s="152" t="s">
        <v>5984</v>
      </c>
      <c r="C2753" s="208">
        <v>44706</v>
      </c>
      <c r="D2753" s="154">
        <v>9</v>
      </c>
      <c r="E2753" s="154">
        <v>9</v>
      </c>
      <c r="F2753" s="211">
        <f>IFERROR(Tableau6[[#This Row],[Score]]/Tableau6[[#This Row],[Nb]],0)</f>
        <v>1</v>
      </c>
    </row>
    <row r="2754" spans="1:6" ht="30" customHeight="1" x14ac:dyDescent="0.3">
      <c r="A2754" s="151" t="s">
        <v>6020</v>
      </c>
      <c r="B2754" s="152" t="s">
        <v>6021</v>
      </c>
      <c r="C2754" s="208">
        <v>44713</v>
      </c>
      <c r="D2754" s="154">
        <v>3</v>
      </c>
      <c r="E2754" s="154">
        <v>3</v>
      </c>
      <c r="F2754" s="211">
        <f>IFERROR(Tableau6[[#This Row],[Score]]/Tableau6[[#This Row],[Nb]],0)</f>
        <v>1</v>
      </c>
    </row>
    <row r="2755" spans="1:6" ht="30" customHeight="1" x14ac:dyDescent="0.3">
      <c r="A2755" s="151" t="s">
        <v>6046</v>
      </c>
      <c r="B2755" s="152" t="s">
        <v>6047</v>
      </c>
      <c r="C2755" s="208">
        <v>44723</v>
      </c>
      <c r="D2755" s="154">
        <v>8</v>
      </c>
      <c r="E2755" s="154">
        <v>8</v>
      </c>
      <c r="F2755" s="211">
        <f>IFERROR(Tableau6[[#This Row],[Score]]/Tableau6[[#This Row],[Nb]],0)</f>
        <v>1</v>
      </c>
    </row>
    <row r="2756" spans="1:6" ht="30" customHeight="1" x14ac:dyDescent="0.3">
      <c r="A2756" s="151" t="s">
        <v>6052</v>
      </c>
      <c r="B2756" s="152" t="s">
        <v>6053</v>
      </c>
      <c r="C2756" s="208">
        <v>44725</v>
      </c>
      <c r="D2756" s="154">
        <v>9</v>
      </c>
      <c r="E2756" s="154">
        <v>9</v>
      </c>
      <c r="F2756" s="211">
        <f>IFERROR(Tableau6[[#This Row],[Score]]/Tableau6[[#This Row],[Nb]],0)</f>
        <v>1</v>
      </c>
    </row>
    <row r="2757" spans="1:6" ht="30" customHeight="1" x14ac:dyDescent="0.3">
      <c r="A2757" s="151" t="s">
        <v>6059</v>
      </c>
      <c r="B2757" s="152" t="s">
        <v>6058</v>
      </c>
      <c r="C2757" s="208">
        <v>44726</v>
      </c>
      <c r="D2757" s="154">
        <v>6</v>
      </c>
      <c r="E2757" s="154">
        <v>6</v>
      </c>
      <c r="F2757" s="211">
        <f>IFERROR(Tableau6[[#This Row],[Score]]/Tableau6[[#This Row],[Nb]],0)</f>
        <v>1</v>
      </c>
    </row>
    <row r="2758" spans="1:6" ht="30" customHeight="1" x14ac:dyDescent="0.3">
      <c r="A2758" s="151" t="s">
        <v>6103</v>
      </c>
      <c r="B2758" s="152" t="s">
        <v>6104</v>
      </c>
      <c r="C2758" s="208">
        <v>44751</v>
      </c>
      <c r="D2758" s="154">
        <v>6</v>
      </c>
      <c r="E2758" s="154">
        <v>6</v>
      </c>
      <c r="F2758" s="211">
        <f>IFERROR(Tableau6[[#This Row],[Score]]/Tableau6[[#This Row],[Nb]],0)</f>
        <v>1</v>
      </c>
    </row>
    <row r="2759" spans="1:6" ht="30" customHeight="1" x14ac:dyDescent="0.3">
      <c r="A2759" s="151" t="s">
        <v>6099</v>
      </c>
      <c r="B2759" s="152" t="s">
        <v>6097</v>
      </c>
      <c r="C2759" s="208">
        <v>44751</v>
      </c>
      <c r="D2759" s="154">
        <v>4</v>
      </c>
      <c r="E2759" s="154">
        <v>4</v>
      </c>
      <c r="F2759" s="211">
        <f>IFERROR(Tableau6[[#This Row],[Score]]/Tableau6[[#This Row],[Nb]],0)</f>
        <v>1</v>
      </c>
    </row>
    <row r="2760" spans="1:6" ht="30" customHeight="1" x14ac:dyDescent="0.3">
      <c r="A2760" s="151" t="s">
        <v>6126</v>
      </c>
      <c r="B2760" s="152" t="s">
        <v>6125</v>
      </c>
      <c r="C2760" s="208">
        <v>44763</v>
      </c>
      <c r="D2760" s="154">
        <v>3</v>
      </c>
      <c r="E2760" s="154">
        <v>3</v>
      </c>
      <c r="F2760" s="211">
        <f>IFERROR(Tableau6[[#This Row],[Score]]/Tableau6[[#This Row],[Nb]],0)</f>
        <v>1</v>
      </c>
    </row>
    <row r="2761" spans="1:6" ht="30" customHeight="1" x14ac:dyDescent="0.3">
      <c r="A2761" s="151" t="s">
        <v>6149</v>
      </c>
      <c r="B2761" s="152" t="s">
        <v>6150</v>
      </c>
      <c r="C2761" s="208">
        <v>44783</v>
      </c>
      <c r="D2761" s="154">
        <v>4</v>
      </c>
      <c r="E2761" s="154">
        <v>4</v>
      </c>
      <c r="F2761" s="211">
        <f>IFERROR(Tableau6[[#This Row],[Score]]/Tableau6[[#This Row],[Nb]],0)</f>
        <v>1</v>
      </c>
    </row>
    <row r="2762" spans="1:6" ht="30" customHeight="1" x14ac:dyDescent="0.3">
      <c r="A2762" s="151" t="s">
        <v>6159</v>
      </c>
      <c r="B2762" s="152" t="s">
        <v>6160</v>
      </c>
      <c r="C2762" s="208">
        <v>44798</v>
      </c>
      <c r="D2762" s="154">
        <v>5</v>
      </c>
      <c r="E2762" s="154">
        <v>5</v>
      </c>
      <c r="F2762" s="211">
        <f>IFERROR(Tableau6[[#This Row],[Score]]/Tableau6[[#This Row],[Nb]],0)</f>
        <v>1</v>
      </c>
    </row>
    <row r="2763" spans="1:6" ht="30" customHeight="1" x14ac:dyDescent="0.3">
      <c r="A2763" s="151" t="s">
        <v>6167</v>
      </c>
      <c r="B2763" s="152" t="s">
        <v>6235</v>
      </c>
      <c r="C2763" s="208">
        <v>44802</v>
      </c>
      <c r="D2763" s="154">
        <v>5</v>
      </c>
      <c r="E2763" s="154">
        <v>5</v>
      </c>
      <c r="F2763" s="211">
        <f>IFERROR(Tableau6[[#This Row],[Score]]/Tableau6[[#This Row],[Nb]],0)</f>
        <v>1</v>
      </c>
    </row>
    <row r="2764" spans="1:6" ht="30" customHeight="1" x14ac:dyDescent="0.3">
      <c r="A2764" s="151" t="s">
        <v>6174</v>
      </c>
      <c r="B2764" s="152" t="s">
        <v>6175</v>
      </c>
      <c r="C2764" s="208">
        <v>44806</v>
      </c>
      <c r="D2764" s="154">
        <v>5</v>
      </c>
      <c r="E2764" s="154">
        <v>5</v>
      </c>
      <c r="F2764" s="211">
        <f>IFERROR(Tableau6[[#This Row],[Score]]/Tableau6[[#This Row],[Nb]],0)</f>
        <v>1</v>
      </c>
    </row>
    <row r="2765" spans="1:6" ht="30" customHeight="1" x14ac:dyDescent="0.3">
      <c r="A2765" s="151" t="s">
        <v>6188</v>
      </c>
      <c r="B2765" s="152" t="s">
        <v>6189</v>
      </c>
      <c r="C2765" s="208">
        <v>44813</v>
      </c>
      <c r="D2765" s="154">
        <v>6</v>
      </c>
      <c r="E2765" s="154">
        <v>6</v>
      </c>
      <c r="F2765" s="211">
        <f>IFERROR(Tableau6[[#This Row],[Score]]/Tableau6[[#This Row],[Nb]],0)</f>
        <v>1</v>
      </c>
    </row>
    <row r="2766" spans="1:6" ht="30" customHeight="1" x14ac:dyDescent="0.3">
      <c r="A2766" s="151" t="s">
        <v>6195</v>
      </c>
      <c r="B2766" s="152" t="s">
        <v>6196</v>
      </c>
      <c r="C2766" s="208">
        <v>44817</v>
      </c>
      <c r="D2766" s="154">
        <v>9</v>
      </c>
      <c r="E2766" s="154">
        <v>9</v>
      </c>
      <c r="F2766" s="211">
        <f>IFERROR(Tableau6[[#This Row],[Score]]/Tableau6[[#This Row],[Nb]],0)</f>
        <v>1</v>
      </c>
    </row>
    <row r="2767" spans="1:6" ht="30" customHeight="1" x14ac:dyDescent="0.3">
      <c r="A2767" s="151" t="s">
        <v>6231</v>
      </c>
      <c r="B2767" s="152" t="s">
        <v>6230</v>
      </c>
      <c r="C2767" s="208">
        <v>44848</v>
      </c>
      <c r="D2767" s="154">
        <v>5</v>
      </c>
      <c r="E2767" s="154">
        <v>5</v>
      </c>
      <c r="F2767" s="211">
        <f>IFERROR(Tableau6[[#This Row],[Score]]/Tableau6[[#This Row],[Nb]],0)</f>
        <v>1</v>
      </c>
    </row>
    <row r="2768" spans="1:6" ht="30" customHeight="1" x14ac:dyDescent="0.3">
      <c r="A2768" s="151" t="s">
        <v>6237</v>
      </c>
      <c r="B2768" s="152" t="s">
        <v>6238</v>
      </c>
      <c r="C2768" s="208">
        <v>44852</v>
      </c>
      <c r="D2768" s="154">
        <v>3</v>
      </c>
      <c r="E2768" s="154">
        <v>3</v>
      </c>
      <c r="F2768" s="211">
        <f>IFERROR(Tableau6[[#This Row],[Score]]/Tableau6[[#This Row],[Nb]],0)</f>
        <v>1</v>
      </c>
    </row>
    <row r="2769" spans="1:6" ht="30" customHeight="1" x14ac:dyDescent="0.3">
      <c r="A2769" s="151" t="s">
        <v>6282</v>
      </c>
      <c r="B2769" s="152" t="s">
        <v>3107</v>
      </c>
      <c r="C2769" s="208">
        <v>44866</v>
      </c>
      <c r="D2769" s="154">
        <v>2</v>
      </c>
      <c r="E2769" s="154">
        <v>2</v>
      </c>
      <c r="F2769" s="211">
        <f>IFERROR(Tableau6[[#This Row],[Score]]/Tableau6[[#This Row],[Nb]],0)</f>
        <v>1</v>
      </c>
    </row>
    <row r="2770" spans="1:6" ht="30" customHeight="1" x14ac:dyDescent="0.3">
      <c r="A2770" s="151" t="s">
        <v>6278</v>
      </c>
      <c r="B2770" s="152" t="s">
        <v>6279</v>
      </c>
      <c r="C2770" s="208">
        <v>44866</v>
      </c>
      <c r="D2770" s="154">
        <v>3</v>
      </c>
      <c r="E2770" s="154">
        <v>3</v>
      </c>
      <c r="F2770" s="211">
        <f>IFERROR(Tableau6[[#This Row],[Score]]/Tableau6[[#This Row],[Nb]],0)</f>
        <v>1</v>
      </c>
    </row>
    <row r="2771" spans="1:6" ht="30" customHeight="1" x14ac:dyDescent="0.3">
      <c r="A2771" s="151" t="s">
        <v>6291</v>
      </c>
      <c r="B2771" s="152" t="s">
        <v>6292</v>
      </c>
      <c r="C2771" s="208">
        <v>44870</v>
      </c>
      <c r="D2771" s="154">
        <v>4</v>
      </c>
      <c r="E2771" s="154">
        <v>4</v>
      </c>
      <c r="F2771" s="211">
        <f>IFERROR(Tableau6[[#This Row],[Score]]/Tableau6[[#This Row],[Nb]],0)</f>
        <v>1</v>
      </c>
    </row>
    <row r="2772" spans="1:6" ht="30" customHeight="1" x14ac:dyDescent="0.3">
      <c r="A2772" s="151" t="s">
        <v>6317</v>
      </c>
      <c r="B2772" s="152" t="s">
        <v>6316</v>
      </c>
      <c r="C2772" s="208">
        <v>44878</v>
      </c>
      <c r="D2772" s="154">
        <v>2</v>
      </c>
      <c r="E2772" s="154">
        <v>2</v>
      </c>
      <c r="F2772" s="211">
        <f>IFERROR(Tableau6[[#This Row],[Score]]/Tableau6[[#This Row],[Nb]],0)</f>
        <v>1</v>
      </c>
    </row>
    <row r="2773" spans="1:6" ht="30" customHeight="1" x14ac:dyDescent="0.3">
      <c r="A2773" s="151" t="s">
        <v>6318</v>
      </c>
      <c r="B2773" s="152" t="s">
        <v>6319</v>
      </c>
      <c r="C2773" s="208">
        <v>44878</v>
      </c>
      <c r="D2773" s="154">
        <v>6</v>
      </c>
      <c r="E2773" s="154">
        <v>6</v>
      </c>
      <c r="F2773" s="211">
        <f>IFERROR(Tableau6[[#This Row],[Score]]/Tableau6[[#This Row],[Nb]],0)</f>
        <v>1</v>
      </c>
    </row>
    <row r="2774" spans="1:6" ht="30" customHeight="1" x14ac:dyDescent="0.3">
      <c r="A2774" s="151" t="s">
        <v>6343</v>
      </c>
      <c r="B2774" s="152" t="s">
        <v>3971</v>
      </c>
      <c r="C2774" s="208">
        <v>44885</v>
      </c>
      <c r="D2774" s="154">
        <v>5</v>
      </c>
      <c r="E2774" s="154">
        <v>5</v>
      </c>
      <c r="F2774" s="211">
        <f>IFERROR(Tableau6[[#This Row],[Score]]/Tableau6[[#This Row],[Nb]],0)</f>
        <v>1</v>
      </c>
    </row>
    <row r="2775" spans="1:6" ht="30" customHeight="1" x14ac:dyDescent="0.3">
      <c r="A2775" s="151" t="s">
        <v>6337</v>
      </c>
      <c r="B2775" s="152" t="s">
        <v>6338</v>
      </c>
      <c r="C2775" s="208">
        <v>44885</v>
      </c>
      <c r="D2775" s="154">
        <v>6</v>
      </c>
      <c r="E2775" s="154">
        <v>6</v>
      </c>
      <c r="F2775" s="211">
        <f>IFERROR(Tableau6[[#This Row],[Score]]/Tableau6[[#This Row],[Nb]],0)</f>
        <v>1</v>
      </c>
    </row>
    <row r="2776" spans="1:6" ht="30" customHeight="1" x14ac:dyDescent="0.3">
      <c r="A2776" s="151" t="s">
        <v>6373</v>
      </c>
      <c r="B2776" s="152" t="s">
        <v>6374</v>
      </c>
      <c r="C2776" s="208">
        <v>44893</v>
      </c>
      <c r="D2776" s="154">
        <v>2</v>
      </c>
      <c r="E2776" s="154">
        <v>2</v>
      </c>
      <c r="F2776" s="211">
        <f>IFERROR(Tableau6[[#This Row],[Score]]/Tableau6[[#This Row],[Nb]],0)</f>
        <v>1</v>
      </c>
    </row>
    <row r="2777" spans="1:6" ht="30" customHeight="1" x14ac:dyDescent="0.3">
      <c r="A2777" s="151" t="s">
        <v>6381</v>
      </c>
      <c r="B2777" s="152" t="s">
        <v>6380</v>
      </c>
      <c r="C2777" s="208">
        <v>44899</v>
      </c>
      <c r="D2777" s="154">
        <v>2</v>
      </c>
      <c r="E2777" s="154">
        <v>2</v>
      </c>
      <c r="F2777" s="211">
        <f>IFERROR(Tableau6[[#This Row],[Score]]/Tableau6[[#This Row],[Nb]],0)</f>
        <v>1</v>
      </c>
    </row>
    <row r="2778" spans="1:6" ht="30" customHeight="1" x14ac:dyDescent="0.3">
      <c r="A2778" s="228" t="s">
        <v>6419</v>
      </c>
      <c r="B2778" s="229" t="s">
        <v>6420</v>
      </c>
      <c r="C2778" s="230">
        <v>44918</v>
      </c>
      <c r="D2778" s="231">
        <v>3</v>
      </c>
      <c r="E2778" s="231">
        <v>3</v>
      </c>
      <c r="F2778" s="232">
        <f>IFERROR(Tableau6[[#This Row],[Score]]/Tableau6[[#This Row],[Nb]],0)</f>
        <v>1</v>
      </c>
    </row>
    <row r="2779" spans="1:6" ht="30" customHeight="1" x14ac:dyDescent="0.3">
      <c r="A2779" s="311" t="s">
        <v>6467</v>
      </c>
      <c r="B2779" s="312" t="s">
        <v>6468</v>
      </c>
      <c r="C2779" s="313">
        <v>44928</v>
      </c>
      <c r="D2779" s="314">
        <v>2</v>
      </c>
      <c r="E2779" s="314">
        <v>2</v>
      </c>
      <c r="F2779" s="315">
        <f>IFERROR(Tableau6[[#This Row],[Score]]/Tableau6[[#This Row],[Nb]],0)</f>
        <v>1</v>
      </c>
    </row>
    <row r="2780" spans="1:6" ht="30" customHeight="1" x14ac:dyDescent="0.3">
      <c r="A2780" s="409" t="s">
        <v>6485</v>
      </c>
      <c r="B2780" s="350" t="s">
        <v>6486</v>
      </c>
      <c r="C2780" s="351">
        <v>44935</v>
      </c>
      <c r="D2780" s="352">
        <v>1</v>
      </c>
      <c r="E2780" s="352">
        <v>1</v>
      </c>
      <c r="F2780" s="353">
        <f>IFERROR(Tableau6[[#This Row],[Score]]/Tableau6[[#This Row],[Nb]],0)</f>
        <v>1</v>
      </c>
    </row>
    <row r="2781" spans="1:6" ht="30" customHeight="1" x14ac:dyDescent="0.3">
      <c r="A2781" s="417" t="s">
        <v>6525</v>
      </c>
      <c r="B2781" s="421" t="s">
        <v>6526</v>
      </c>
      <c r="C2781" s="418">
        <v>44948</v>
      </c>
      <c r="D2781" s="419">
        <v>2</v>
      </c>
      <c r="E2781" s="419">
        <v>2</v>
      </c>
      <c r="F2781" s="420">
        <f>IFERROR(Tableau6[[#This Row],[Score]]/Tableau6[[#This Row],[Nb]],0)</f>
        <v>1</v>
      </c>
    </row>
    <row r="2782" spans="1:6" ht="30" customHeight="1" x14ac:dyDescent="0.3">
      <c r="A2782" s="429" t="s">
        <v>6533</v>
      </c>
      <c r="B2782" s="430" t="s">
        <v>6534</v>
      </c>
      <c r="C2782" s="431">
        <v>44950</v>
      </c>
      <c r="D2782" s="432">
        <v>1</v>
      </c>
      <c r="E2782" s="432">
        <v>1</v>
      </c>
      <c r="F2782" s="433">
        <f>IFERROR(Tableau6[[#This Row],[Score]]/Tableau6[[#This Row],[Nb]],0)</f>
        <v>1</v>
      </c>
    </row>
    <row r="2783" spans="1:6" ht="30" customHeight="1" x14ac:dyDescent="0.3">
      <c r="A2783" s="517" t="s">
        <v>6586</v>
      </c>
      <c r="B2783" s="518" t="s">
        <v>6585</v>
      </c>
      <c r="C2783" s="519">
        <v>44963</v>
      </c>
      <c r="D2783" s="520">
        <v>2</v>
      </c>
      <c r="E2783" s="520">
        <v>2</v>
      </c>
      <c r="F2783" s="521">
        <f>IFERROR(Tableau6[[#This Row],[Score]]/Tableau6[[#This Row],[Nb]],0)</f>
        <v>1</v>
      </c>
    </row>
    <row r="2784" spans="1:6" ht="30" customHeight="1" x14ac:dyDescent="0.3">
      <c r="A2784" s="528" t="s">
        <v>6595</v>
      </c>
      <c r="B2784" s="530" t="s">
        <v>6596</v>
      </c>
      <c r="C2784" s="531">
        <v>44967</v>
      </c>
      <c r="D2784" s="532">
        <v>2</v>
      </c>
      <c r="E2784" s="532">
        <v>2</v>
      </c>
      <c r="F2784" s="533">
        <f>IFERROR(Tableau6[[#This Row],[Score]]/Tableau6[[#This Row],[Nb]],0)</f>
        <v>1</v>
      </c>
    </row>
    <row r="2785" spans="1:6" ht="30" customHeight="1" x14ac:dyDescent="0.3">
      <c r="A2785" s="576" t="s">
        <v>6635</v>
      </c>
      <c r="B2785" s="577" t="s">
        <v>6636</v>
      </c>
      <c r="C2785" s="578">
        <v>44976</v>
      </c>
      <c r="D2785" s="579">
        <v>1</v>
      </c>
      <c r="E2785" s="579">
        <v>1</v>
      </c>
      <c r="F2785" s="580">
        <f>IFERROR(Tableau6[[#This Row],[Score]]/Tableau6[[#This Row],[Nb]],0)</f>
        <v>1</v>
      </c>
    </row>
    <row r="2786" spans="1:6" ht="30" customHeight="1" x14ac:dyDescent="0.3">
      <c r="A2786" s="598" t="s">
        <v>6648</v>
      </c>
      <c r="B2786" s="599" t="s">
        <v>6649</v>
      </c>
      <c r="C2786" s="600">
        <v>44979</v>
      </c>
      <c r="D2786" s="601">
        <v>1</v>
      </c>
      <c r="E2786" s="601">
        <v>1</v>
      </c>
      <c r="F2786" s="602">
        <f>IFERROR(Tableau6[[#This Row],[Score]]/Tableau6[[#This Row],[Nb]],0)</f>
        <v>1</v>
      </c>
    </row>
    <row r="2787" spans="1:6" ht="30" customHeight="1" x14ac:dyDescent="0.3">
      <c r="A2787" s="603" t="s">
        <v>6650</v>
      </c>
      <c r="B2787" s="604" t="s">
        <v>6651</v>
      </c>
      <c r="C2787" s="605">
        <v>44980</v>
      </c>
      <c r="D2787" s="606">
        <v>1</v>
      </c>
      <c r="E2787" s="606">
        <v>1</v>
      </c>
      <c r="F2787" s="607">
        <f>IFERROR(Tableau6[[#This Row],[Score]]/Tableau6[[#This Row],[Nb]],0)</f>
        <v>1</v>
      </c>
    </row>
    <row r="2788" spans="1:6" ht="30" customHeight="1" x14ac:dyDescent="0.3">
      <c r="A2788" s="620" t="s">
        <v>6656</v>
      </c>
      <c r="B2788" s="621" t="s">
        <v>6657</v>
      </c>
      <c r="C2788" s="622">
        <v>44982</v>
      </c>
      <c r="D2788" s="623">
        <v>2</v>
      </c>
      <c r="E2788" s="623">
        <v>2</v>
      </c>
      <c r="F2788" s="624">
        <f>IFERROR(Tableau6[[#This Row],[Score]]/Tableau6[[#This Row],[Nb]],0)</f>
        <v>1</v>
      </c>
    </row>
  </sheetData>
  <phoneticPr fontId="18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8F36C-4B03-474D-A28F-88EBDDDEAE4B}">
  <sheetPr codeName="Feuil4"/>
  <dimension ref="A18:B678"/>
  <sheetViews>
    <sheetView showGridLines="0" workbookViewId="0">
      <pane ySplit="18" topLeftCell="A662" activePane="bottomLeft" state="frozen"/>
      <selection pane="bottomLeft" activeCell="A679" sqref="A679"/>
    </sheetView>
  </sheetViews>
  <sheetFormatPr baseColWidth="10" defaultColWidth="15.6640625" defaultRowHeight="19.95" customHeight="1" x14ac:dyDescent="0.3"/>
  <cols>
    <col min="1" max="2" width="15.6640625" style="9" customWidth="1"/>
    <col min="3" max="16384" width="15.6640625" style="9"/>
  </cols>
  <sheetData>
    <row r="18" spans="1:2" ht="19.95" customHeight="1" x14ac:dyDescent="0.3">
      <c r="A18" s="11" t="s">
        <v>4041</v>
      </c>
      <c r="B18" s="11" t="s">
        <v>4892</v>
      </c>
    </row>
    <row r="19" spans="1:2" ht="19.95" customHeight="1" x14ac:dyDescent="0.3">
      <c r="A19" s="9">
        <v>14</v>
      </c>
      <c r="B19" s="9">
        <v>14</v>
      </c>
    </row>
    <row r="20" spans="1:2" ht="19.95" customHeight="1" x14ac:dyDescent="0.3">
      <c r="A20" s="9">
        <v>20</v>
      </c>
      <c r="B20" s="9">
        <f>Tableau3[[#This Row],[Corrections]]+B19</f>
        <v>34</v>
      </c>
    </row>
    <row r="21" spans="1:2" ht="19.95" customHeight="1" x14ac:dyDescent="0.3">
      <c r="A21" s="9">
        <v>22</v>
      </c>
      <c r="B21" s="9">
        <f>Tableau3[[#This Row],[Corrections]]+B20</f>
        <v>56</v>
      </c>
    </row>
    <row r="22" spans="1:2" ht="19.95" customHeight="1" x14ac:dyDescent="0.3">
      <c r="A22" s="9">
        <v>15</v>
      </c>
      <c r="B22" s="9">
        <f>Tableau3[[#This Row],[Corrections]]+B21</f>
        <v>71</v>
      </c>
    </row>
    <row r="23" spans="1:2" ht="19.95" customHeight="1" x14ac:dyDescent="0.3">
      <c r="A23" s="9">
        <v>16</v>
      </c>
      <c r="B23" s="9">
        <f>Tableau3[[#This Row],[Corrections]]+B22</f>
        <v>87</v>
      </c>
    </row>
    <row r="24" spans="1:2" ht="19.95" customHeight="1" x14ac:dyDescent="0.3">
      <c r="A24" s="9">
        <v>13</v>
      </c>
      <c r="B24" s="9">
        <f>Tableau3[[#This Row],[Corrections]]+B23</f>
        <v>100</v>
      </c>
    </row>
    <row r="25" spans="1:2" ht="19.95" customHeight="1" x14ac:dyDescent="0.3">
      <c r="A25" s="9">
        <v>11</v>
      </c>
      <c r="B25" s="9">
        <f>Tableau3[[#This Row],[Corrections]]+B24</f>
        <v>111</v>
      </c>
    </row>
    <row r="26" spans="1:2" ht="19.95" customHeight="1" x14ac:dyDescent="0.3">
      <c r="A26" s="9">
        <v>15</v>
      </c>
      <c r="B26" s="9">
        <f>Tableau3[[#This Row],[Corrections]]+B25</f>
        <v>126</v>
      </c>
    </row>
    <row r="27" spans="1:2" ht="19.95" customHeight="1" x14ac:dyDescent="0.3">
      <c r="A27" s="9">
        <v>12</v>
      </c>
      <c r="B27" s="9">
        <f>Tableau3[[#This Row],[Corrections]]+B26</f>
        <v>138</v>
      </c>
    </row>
    <row r="28" spans="1:2" ht="19.95" customHeight="1" x14ac:dyDescent="0.3">
      <c r="A28" s="9">
        <v>16</v>
      </c>
      <c r="B28" s="9">
        <f>Tableau3[[#This Row],[Corrections]]+B27</f>
        <v>154</v>
      </c>
    </row>
    <row r="29" spans="1:2" ht="19.95" customHeight="1" x14ac:dyDescent="0.3">
      <c r="A29" s="9">
        <v>11</v>
      </c>
      <c r="B29" s="9">
        <f>Tableau3[[#This Row],[Corrections]]+B28</f>
        <v>165</v>
      </c>
    </row>
    <row r="30" spans="1:2" ht="19.95" customHeight="1" x14ac:dyDescent="0.3">
      <c r="A30" s="9">
        <v>18</v>
      </c>
      <c r="B30" s="9">
        <f>Tableau3[[#This Row],[Corrections]]+B29</f>
        <v>183</v>
      </c>
    </row>
    <row r="31" spans="1:2" ht="19.95" customHeight="1" x14ac:dyDescent="0.3">
      <c r="A31" s="9">
        <v>4</v>
      </c>
      <c r="B31" s="9">
        <f>Tableau3[[#This Row],[Corrections]]+B30</f>
        <v>187</v>
      </c>
    </row>
    <row r="32" spans="1:2" ht="19.95" customHeight="1" x14ac:dyDescent="0.3">
      <c r="A32" s="9">
        <v>14</v>
      </c>
      <c r="B32" s="9">
        <f>Tableau3[[#This Row],[Corrections]]+B31</f>
        <v>201</v>
      </c>
    </row>
    <row r="33" spans="1:2" ht="19.95" customHeight="1" x14ac:dyDescent="0.3">
      <c r="A33" s="9">
        <v>10</v>
      </c>
      <c r="B33" s="9">
        <f>Tableau3[[#This Row],[Corrections]]+B32</f>
        <v>211</v>
      </c>
    </row>
    <row r="34" spans="1:2" ht="19.95" customHeight="1" x14ac:dyDescent="0.3">
      <c r="A34" s="9">
        <v>17</v>
      </c>
      <c r="B34" s="9">
        <f>Tableau3[[#This Row],[Corrections]]+B33</f>
        <v>228</v>
      </c>
    </row>
    <row r="35" spans="1:2" ht="19.95" customHeight="1" x14ac:dyDescent="0.3">
      <c r="A35" s="9">
        <v>9</v>
      </c>
      <c r="B35" s="9">
        <f>Tableau3[[#This Row],[Corrections]]+B34</f>
        <v>237</v>
      </c>
    </row>
    <row r="36" spans="1:2" ht="19.95" customHeight="1" x14ac:dyDescent="0.3">
      <c r="A36" s="9">
        <v>14</v>
      </c>
      <c r="B36" s="9">
        <f>Tableau3[[#This Row],[Corrections]]+B35</f>
        <v>251</v>
      </c>
    </row>
    <row r="37" spans="1:2" ht="19.95" customHeight="1" x14ac:dyDescent="0.3">
      <c r="A37" s="9">
        <v>6</v>
      </c>
      <c r="B37" s="9">
        <f>Tableau3[[#This Row],[Corrections]]+B36</f>
        <v>257</v>
      </c>
    </row>
    <row r="38" spans="1:2" ht="19.95" customHeight="1" x14ac:dyDescent="0.3">
      <c r="A38" s="9">
        <v>1</v>
      </c>
      <c r="B38" s="9">
        <f>Tableau3[[#This Row],[Corrections]]+B37</f>
        <v>258</v>
      </c>
    </row>
    <row r="39" spans="1:2" ht="19.95" customHeight="1" x14ac:dyDescent="0.3">
      <c r="A39" s="9">
        <v>13</v>
      </c>
      <c r="B39" s="9">
        <f>Tableau3[[#This Row],[Corrections]]+B38</f>
        <v>271</v>
      </c>
    </row>
    <row r="40" spans="1:2" ht="19.95" customHeight="1" x14ac:dyDescent="0.3">
      <c r="A40" s="9">
        <v>6</v>
      </c>
      <c r="B40" s="9">
        <f>Tableau3[[#This Row],[Corrections]]+B39</f>
        <v>277</v>
      </c>
    </row>
    <row r="41" spans="1:2" ht="19.95" customHeight="1" x14ac:dyDescent="0.3">
      <c r="A41" s="9">
        <v>6</v>
      </c>
      <c r="B41" s="9">
        <f>Tableau3[[#This Row],[Corrections]]+B40</f>
        <v>283</v>
      </c>
    </row>
    <row r="42" spans="1:2" ht="19.95" customHeight="1" x14ac:dyDescent="0.3">
      <c r="A42" s="9">
        <v>8</v>
      </c>
      <c r="B42" s="9">
        <f>Tableau3[[#This Row],[Corrections]]+B41</f>
        <v>291</v>
      </c>
    </row>
    <row r="43" spans="1:2" ht="19.95" customHeight="1" x14ac:dyDescent="0.3">
      <c r="A43" s="9">
        <v>5</v>
      </c>
      <c r="B43" s="9">
        <f>Tableau3[[#This Row],[Corrections]]+B42</f>
        <v>296</v>
      </c>
    </row>
    <row r="44" spans="1:2" ht="19.95" customHeight="1" x14ac:dyDescent="0.3">
      <c r="A44" s="9">
        <v>8</v>
      </c>
      <c r="B44" s="9">
        <f>Tableau3[[#This Row],[Corrections]]+B43</f>
        <v>304</v>
      </c>
    </row>
    <row r="45" spans="1:2" ht="19.95" customHeight="1" x14ac:dyDescent="0.3">
      <c r="A45" s="9">
        <v>10</v>
      </c>
      <c r="B45" s="9">
        <f>Tableau3[[#This Row],[Corrections]]+B44</f>
        <v>314</v>
      </c>
    </row>
    <row r="46" spans="1:2" ht="19.95" customHeight="1" x14ac:dyDescent="0.3">
      <c r="A46" s="9">
        <v>4</v>
      </c>
      <c r="B46" s="9">
        <f>Tableau3[[#This Row],[Corrections]]+B45</f>
        <v>318</v>
      </c>
    </row>
    <row r="47" spans="1:2" ht="19.95" customHeight="1" x14ac:dyDescent="0.3">
      <c r="A47" s="9">
        <v>2</v>
      </c>
      <c r="B47" s="9">
        <f>Tableau3[[#This Row],[Corrections]]+B46</f>
        <v>320</v>
      </c>
    </row>
    <row r="48" spans="1:2" ht="19.95" customHeight="1" x14ac:dyDescent="0.3">
      <c r="A48" s="9">
        <v>6</v>
      </c>
      <c r="B48" s="9">
        <f>Tableau3[[#This Row],[Corrections]]+B47</f>
        <v>326</v>
      </c>
    </row>
    <row r="49" spans="1:2" ht="19.95" customHeight="1" x14ac:dyDescent="0.3">
      <c r="A49" s="9">
        <v>4</v>
      </c>
      <c r="B49" s="9">
        <f>Tableau3[[#This Row],[Corrections]]+B48</f>
        <v>330</v>
      </c>
    </row>
    <row r="50" spans="1:2" ht="19.95" customHeight="1" x14ac:dyDescent="0.3">
      <c r="A50" s="9">
        <v>13</v>
      </c>
      <c r="B50" s="9">
        <f>Tableau3[[#This Row],[Corrections]]+B49</f>
        <v>343</v>
      </c>
    </row>
    <row r="51" spans="1:2" ht="19.95" customHeight="1" x14ac:dyDescent="0.3">
      <c r="A51" s="9">
        <v>4</v>
      </c>
      <c r="B51" s="9">
        <f>Tableau3[[#This Row],[Corrections]]+B50</f>
        <v>347</v>
      </c>
    </row>
    <row r="52" spans="1:2" ht="19.95" customHeight="1" x14ac:dyDescent="0.3">
      <c r="A52" s="9">
        <v>8</v>
      </c>
      <c r="B52" s="9">
        <f>Tableau3[[#This Row],[Corrections]]+B51</f>
        <v>355</v>
      </c>
    </row>
    <row r="53" spans="1:2" ht="19.95" customHeight="1" x14ac:dyDescent="0.3">
      <c r="A53" s="9">
        <v>9</v>
      </c>
      <c r="B53" s="9">
        <f>Tableau3[[#This Row],[Corrections]]+B52</f>
        <v>364</v>
      </c>
    </row>
    <row r="54" spans="1:2" ht="19.95" customHeight="1" x14ac:dyDescent="0.3">
      <c r="A54" s="9">
        <v>6</v>
      </c>
      <c r="B54" s="9">
        <f>Tableau3[[#This Row],[Corrections]]+B53</f>
        <v>370</v>
      </c>
    </row>
    <row r="55" spans="1:2" ht="19.95" customHeight="1" x14ac:dyDescent="0.3">
      <c r="A55" s="9">
        <v>7</v>
      </c>
      <c r="B55" s="9">
        <f>Tableau3[[#This Row],[Corrections]]+B54</f>
        <v>377</v>
      </c>
    </row>
    <row r="56" spans="1:2" ht="19.95" customHeight="1" x14ac:dyDescent="0.3">
      <c r="A56" s="9">
        <v>7</v>
      </c>
      <c r="B56" s="9">
        <f>Tableau3[[#This Row],[Corrections]]+B55</f>
        <v>384</v>
      </c>
    </row>
    <row r="57" spans="1:2" ht="19.95" customHeight="1" x14ac:dyDescent="0.3">
      <c r="A57" s="9">
        <v>3</v>
      </c>
      <c r="B57" s="9">
        <f>Tableau3[[#This Row],[Corrections]]+B56</f>
        <v>387</v>
      </c>
    </row>
    <row r="58" spans="1:2" ht="19.95" customHeight="1" x14ac:dyDescent="0.3">
      <c r="A58" s="9">
        <v>9</v>
      </c>
      <c r="B58" s="9">
        <f>Tableau3[[#This Row],[Corrections]]+B57</f>
        <v>396</v>
      </c>
    </row>
    <row r="59" spans="1:2" ht="19.95" customHeight="1" x14ac:dyDescent="0.3">
      <c r="A59" s="9">
        <v>10</v>
      </c>
      <c r="B59" s="9">
        <f>Tableau3[[#This Row],[Corrections]]+B58</f>
        <v>406</v>
      </c>
    </row>
    <row r="60" spans="1:2" ht="19.95" customHeight="1" x14ac:dyDescent="0.3">
      <c r="A60" s="9">
        <v>7</v>
      </c>
      <c r="B60" s="9">
        <f>Tableau3[[#This Row],[Corrections]]+B59</f>
        <v>413</v>
      </c>
    </row>
    <row r="61" spans="1:2" ht="19.95" customHeight="1" x14ac:dyDescent="0.3">
      <c r="A61" s="9">
        <v>3</v>
      </c>
      <c r="B61" s="9">
        <f>Tableau3[[#This Row],[Corrections]]+B60</f>
        <v>416</v>
      </c>
    </row>
    <row r="62" spans="1:2" ht="19.95" customHeight="1" x14ac:dyDescent="0.3">
      <c r="A62" s="9">
        <v>7</v>
      </c>
      <c r="B62" s="9">
        <f>Tableau3[[#This Row],[Corrections]]+B61</f>
        <v>423</v>
      </c>
    </row>
    <row r="63" spans="1:2" ht="19.95" customHeight="1" x14ac:dyDescent="0.3">
      <c r="A63" s="9">
        <v>1</v>
      </c>
      <c r="B63" s="9">
        <f>Tableau3[[#This Row],[Corrections]]+B62</f>
        <v>424</v>
      </c>
    </row>
    <row r="64" spans="1:2" ht="19.95" customHeight="1" x14ac:dyDescent="0.3">
      <c r="A64" s="9">
        <v>5</v>
      </c>
      <c r="B64" s="9">
        <f>Tableau3[[#This Row],[Corrections]]+B63</f>
        <v>429</v>
      </c>
    </row>
    <row r="65" spans="1:2" ht="19.95" customHeight="1" x14ac:dyDescent="0.3">
      <c r="A65" s="9">
        <v>2</v>
      </c>
      <c r="B65" s="9">
        <f>Tableau3[[#This Row],[Corrections]]+B64</f>
        <v>431</v>
      </c>
    </row>
    <row r="66" spans="1:2" ht="19.95" customHeight="1" x14ac:dyDescent="0.3">
      <c r="A66" s="9">
        <v>6</v>
      </c>
      <c r="B66" s="9">
        <f>Tableau3[[#This Row],[Corrections]]+B65</f>
        <v>437</v>
      </c>
    </row>
    <row r="67" spans="1:2" ht="19.95" customHeight="1" x14ac:dyDescent="0.3">
      <c r="A67" s="9">
        <v>7</v>
      </c>
      <c r="B67" s="9">
        <f>Tableau3[[#This Row],[Corrections]]+B66</f>
        <v>444</v>
      </c>
    </row>
    <row r="68" spans="1:2" ht="19.95" customHeight="1" x14ac:dyDescent="0.3">
      <c r="A68" s="9">
        <v>12</v>
      </c>
      <c r="B68" s="9">
        <f>Tableau3[[#This Row],[Corrections]]+B67</f>
        <v>456</v>
      </c>
    </row>
    <row r="69" spans="1:2" ht="19.95" customHeight="1" x14ac:dyDescent="0.3">
      <c r="A69" s="9">
        <v>1</v>
      </c>
      <c r="B69" s="9">
        <f>Tableau3[[#This Row],[Corrections]]+B68</f>
        <v>457</v>
      </c>
    </row>
    <row r="70" spans="1:2" ht="19.95" customHeight="1" x14ac:dyDescent="0.3">
      <c r="A70" s="9">
        <v>10</v>
      </c>
      <c r="B70" s="9">
        <f>Tableau3[[#This Row],[Corrections]]+B69</f>
        <v>467</v>
      </c>
    </row>
    <row r="71" spans="1:2" ht="19.95" customHeight="1" x14ac:dyDescent="0.3">
      <c r="A71" s="9">
        <v>5</v>
      </c>
      <c r="B71" s="9">
        <f>Tableau3[[#This Row],[Corrections]]+B70</f>
        <v>472</v>
      </c>
    </row>
    <row r="72" spans="1:2" ht="19.95" customHeight="1" x14ac:dyDescent="0.3">
      <c r="A72" s="9">
        <v>5</v>
      </c>
      <c r="B72" s="9">
        <f>Tableau3[[#This Row],[Corrections]]+B71</f>
        <v>477</v>
      </c>
    </row>
    <row r="73" spans="1:2" ht="19.95" customHeight="1" x14ac:dyDescent="0.3">
      <c r="A73" s="9">
        <v>11</v>
      </c>
      <c r="B73" s="9">
        <f>Tableau3[[#This Row],[Corrections]]+B72</f>
        <v>488</v>
      </c>
    </row>
    <row r="74" spans="1:2" ht="19.95" customHeight="1" x14ac:dyDescent="0.3">
      <c r="A74" s="9">
        <v>7</v>
      </c>
      <c r="B74" s="9">
        <f>Tableau3[[#This Row],[Corrections]]+B73</f>
        <v>495</v>
      </c>
    </row>
    <row r="75" spans="1:2" ht="19.95" customHeight="1" x14ac:dyDescent="0.3">
      <c r="A75" s="9">
        <v>9</v>
      </c>
      <c r="B75" s="9">
        <f>Tableau3[[#This Row],[Corrections]]+B74</f>
        <v>504</v>
      </c>
    </row>
    <row r="76" spans="1:2" ht="19.95" customHeight="1" x14ac:dyDescent="0.3">
      <c r="A76" s="9">
        <v>7</v>
      </c>
      <c r="B76" s="9">
        <f>Tableau3[[#This Row],[Corrections]]+B75</f>
        <v>511</v>
      </c>
    </row>
    <row r="77" spans="1:2" ht="19.95" customHeight="1" x14ac:dyDescent="0.3">
      <c r="A77" s="9">
        <v>7</v>
      </c>
      <c r="B77" s="9">
        <f>Tableau3[[#This Row],[Corrections]]+B76</f>
        <v>518</v>
      </c>
    </row>
    <row r="78" spans="1:2" ht="19.95" customHeight="1" x14ac:dyDescent="0.3">
      <c r="A78" s="9">
        <v>7</v>
      </c>
      <c r="B78" s="9">
        <f>Tableau3[[#This Row],[Corrections]]+B77</f>
        <v>525</v>
      </c>
    </row>
    <row r="79" spans="1:2" ht="19.95" customHeight="1" x14ac:dyDescent="0.3">
      <c r="A79" s="9">
        <v>9</v>
      </c>
      <c r="B79" s="9">
        <f>Tableau3[[#This Row],[Corrections]]+B78</f>
        <v>534</v>
      </c>
    </row>
    <row r="80" spans="1:2" ht="19.95" customHeight="1" x14ac:dyDescent="0.3">
      <c r="A80" s="9">
        <v>6</v>
      </c>
      <c r="B80" s="9">
        <f>Tableau3[[#This Row],[Corrections]]+B79</f>
        <v>540</v>
      </c>
    </row>
    <row r="81" spans="1:2" ht="19.95" customHeight="1" x14ac:dyDescent="0.3">
      <c r="A81" s="9">
        <v>7</v>
      </c>
      <c r="B81" s="9">
        <f>Tableau3[[#This Row],[Corrections]]+B80</f>
        <v>547</v>
      </c>
    </row>
    <row r="82" spans="1:2" ht="19.95" customHeight="1" x14ac:dyDescent="0.3">
      <c r="A82" s="9">
        <v>9</v>
      </c>
      <c r="B82" s="9">
        <f>Tableau3[[#This Row],[Corrections]]+B81</f>
        <v>556</v>
      </c>
    </row>
    <row r="83" spans="1:2" ht="19.95" customHeight="1" x14ac:dyDescent="0.3">
      <c r="A83" s="9">
        <v>4</v>
      </c>
      <c r="B83" s="9">
        <f>Tableau3[[#This Row],[Corrections]]+B82</f>
        <v>560</v>
      </c>
    </row>
    <row r="84" spans="1:2" ht="19.95" customHeight="1" x14ac:dyDescent="0.3">
      <c r="A84" s="9">
        <v>8</v>
      </c>
      <c r="B84" s="9">
        <f>Tableau3[[#This Row],[Corrections]]+B83</f>
        <v>568</v>
      </c>
    </row>
    <row r="85" spans="1:2" ht="19.95" customHeight="1" x14ac:dyDescent="0.3">
      <c r="A85" s="9">
        <v>4</v>
      </c>
      <c r="B85" s="9">
        <f>Tableau3[[#This Row],[Corrections]]+B84</f>
        <v>572</v>
      </c>
    </row>
    <row r="86" spans="1:2" ht="19.95" customHeight="1" x14ac:dyDescent="0.3">
      <c r="A86" s="9">
        <v>10</v>
      </c>
      <c r="B86" s="9">
        <f>Tableau3[[#This Row],[Corrections]]+B85</f>
        <v>582</v>
      </c>
    </row>
    <row r="87" spans="1:2" ht="19.95" customHeight="1" x14ac:dyDescent="0.3">
      <c r="A87" s="9">
        <v>5</v>
      </c>
      <c r="B87" s="9">
        <f>Tableau3[[#This Row],[Corrections]]+B86</f>
        <v>587</v>
      </c>
    </row>
    <row r="88" spans="1:2" ht="19.95" customHeight="1" x14ac:dyDescent="0.3">
      <c r="A88" s="9">
        <v>4</v>
      </c>
      <c r="B88" s="9">
        <f>Tableau3[[#This Row],[Corrections]]+B87</f>
        <v>591</v>
      </c>
    </row>
    <row r="89" spans="1:2" ht="19.95" customHeight="1" x14ac:dyDescent="0.3">
      <c r="A89" s="9">
        <v>5</v>
      </c>
      <c r="B89" s="9">
        <f>Tableau3[[#This Row],[Corrections]]+B88</f>
        <v>596</v>
      </c>
    </row>
    <row r="90" spans="1:2" ht="19.95" customHeight="1" x14ac:dyDescent="0.3">
      <c r="A90" s="9">
        <v>3</v>
      </c>
      <c r="B90" s="9">
        <f>Tableau3[[#This Row],[Corrections]]+B89</f>
        <v>599</v>
      </c>
    </row>
    <row r="91" spans="1:2" ht="19.95" customHeight="1" x14ac:dyDescent="0.3">
      <c r="A91" s="9">
        <v>6</v>
      </c>
      <c r="B91" s="9">
        <f>Tableau3[[#This Row],[Corrections]]+B90</f>
        <v>605</v>
      </c>
    </row>
    <row r="92" spans="1:2" ht="19.95" customHeight="1" x14ac:dyDescent="0.3">
      <c r="A92" s="9">
        <v>3</v>
      </c>
      <c r="B92" s="9">
        <f>Tableau3[[#This Row],[Corrections]]+B91</f>
        <v>608</v>
      </c>
    </row>
    <row r="93" spans="1:2" ht="19.95" customHeight="1" x14ac:dyDescent="0.3">
      <c r="A93" s="9">
        <v>5</v>
      </c>
      <c r="B93" s="9">
        <f>Tableau3[[#This Row],[Corrections]]+B92</f>
        <v>613</v>
      </c>
    </row>
    <row r="94" spans="1:2" ht="19.95" customHeight="1" x14ac:dyDescent="0.3">
      <c r="A94" s="9">
        <v>2</v>
      </c>
      <c r="B94" s="9">
        <f>Tableau3[[#This Row],[Corrections]]+B93</f>
        <v>615</v>
      </c>
    </row>
    <row r="95" spans="1:2" ht="19.95" customHeight="1" x14ac:dyDescent="0.3">
      <c r="A95" s="9">
        <v>5</v>
      </c>
      <c r="B95" s="9">
        <f>Tableau3[[#This Row],[Corrections]]+B94</f>
        <v>620</v>
      </c>
    </row>
    <row r="96" spans="1:2" ht="19.95" customHeight="1" x14ac:dyDescent="0.3">
      <c r="A96" s="9">
        <v>4</v>
      </c>
      <c r="B96" s="9">
        <f>Tableau3[[#This Row],[Corrections]]+B95</f>
        <v>624</v>
      </c>
    </row>
    <row r="97" spans="1:2" ht="19.95" customHeight="1" x14ac:dyDescent="0.3">
      <c r="A97" s="9">
        <v>2</v>
      </c>
      <c r="B97" s="9">
        <f>Tableau3[[#This Row],[Corrections]]+B96</f>
        <v>626</v>
      </c>
    </row>
    <row r="98" spans="1:2" ht="19.95" customHeight="1" x14ac:dyDescent="0.3">
      <c r="A98" s="9">
        <v>7</v>
      </c>
      <c r="B98" s="9">
        <f>Tableau3[[#This Row],[Corrections]]+B97</f>
        <v>633</v>
      </c>
    </row>
    <row r="99" spans="1:2" ht="19.95" customHeight="1" x14ac:dyDescent="0.3">
      <c r="A99" s="9">
        <v>6</v>
      </c>
      <c r="B99" s="9">
        <f>Tableau3[[#This Row],[Corrections]]+B98</f>
        <v>639</v>
      </c>
    </row>
    <row r="100" spans="1:2" ht="19.95" customHeight="1" x14ac:dyDescent="0.3">
      <c r="A100" s="9">
        <v>4</v>
      </c>
      <c r="B100" s="9">
        <f>Tableau3[[#This Row],[Corrections]]+B99</f>
        <v>643</v>
      </c>
    </row>
    <row r="101" spans="1:2" ht="19.95" customHeight="1" x14ac:dyDescent="0.3">
      <c r="A101" s="9">
        <v>4</v>
      </c>
      <c r="B101" s="9">
        <f>Tableau3[[#This Row],[Corrections]]+B100</f>
        <v>647</v>
      </c>
    </row>
    <row r="102" spans="1:2" ht="19.95" customHeight="1" x14ac:dyDescent="0.3">
      <c r="A102" s="9">
        <v>4</v>
      </c>
      <c r="B102" s="9">
        <f>Tableau3[[#This Row],[Corrections]]+B101</f>
        <v>651</v>
      </c>
    </row>
    <row r="103" spans="1:2" ht="19.95" customHeight="1" x14ac:dyDescent="0.3">
      <c r="A103" s="9">
        <v>4</v>
      </c>
      <c r="B103" s="9">
        <f>Tableau3[[#This Row],[Corrections]]+B102</f>
        <v>655</v>
      </c>
    </row>
    <row r="104" spans="1:2" ht="19.95" customHeight="1" x14ac:dyDescent="0.3">
      <c r="A104" s="9">
        <v>4</v>
      </c>
      <c r="B104" s="9">
        <f>Tableau3[[#This Row],[Corrections]]+B103</f>
        <v>659</v>
      </c>
    </row>
    <row r="105" spans="1:2" ht="19.95" customHeight="1" x14ac:dyDescent="0.3">
      <c r="A105" s="9">
        <v>6</v>
      </c>
      <c r="B105" s="9">
        <f>Tableau3[[#This Row],[Corrections]]+B104</f>
        <v>665</v>
      </c>
    </row>
    <row r="106" spans="1:2" ht="19.95" customHeight="1" x14ac:dyDescent="0.3">
      <c r="A106" s="9">
        <v>3</v>
      </c>
      <c r="B106" s="9">
        <f>Tableau3[[#This Row],[Corrections]]+B105</f>
        <v>668</v>
      </c>
    </row>
    <row r="107" spans="1:2" ht="19.95" customHeight="1" x14ac:dyDescent="0.3">
      <c r="A107" s="9">
        <v>6</v>
      </c>
      <c r="B107" s="9">
        <f>Tableau3[[#This Row],[Corrections]]+B106</f>
        <v>674</v>
      </c>
    </row>
    <row r="108" spans="1:2" ht="19.95" customHeight="1" x14ac:dyDescent="0.3">
      <c r="A108" s="9">
        <v>8</v>
      </c>
      <c r="B108" s="9">
        <f>Tableau3[[#This Row],[Corrections]]+B107</f>
        <v>682</v>
      </c>
    </row>
    <row r="109" spans="1:2" ht="19.95" customHeight="1" x14ac:dyDescent="0.3">
      <c r="A109" s="9">
        <v>6</v>
      </c>
      <c r="B109" s="9">
        <f>Tableau3[[#This Row],[Corrections]]+B108</f>
        <v>688</v>
      </c>
    </row>
    <row r="110" spans="1:2" ht="19.95" customHeight="1" x14ac:dyDescent="0.3">
      <c r="A110" s="9">
        <v>1</v>
      </c>
      <c r="B110" s="9">
        <f>Tableau3[[#This Row],[Corrections]]+B109</f>
        <v>689</v>
      </c>
    </row>
    <row r="111" spans="1:2" ht="19.95" customHeight="1" x14ac:dyDescent="0.3">
      <c r="A111" s="9">
        <v>4</v>
      </c>
      <c r="B111" s="9">
        <f>Tableau3[[#This Row],[Corrections]]+B110</f>
        <v>693</v>
      </c>
    </row>
    <row r="112" spans="1:2" ht="19.95" customHeight="1" x14ac:dyDescent="0.3">
      <c r="A112" s="9">
        <v>4</v>
      </c>
      <c r="B112" s="9">
        <f>Tableau3[[#This Row],[Corrections]]+B111</f>
        <v>697</v>
      </c>
    </row>
    <row r="113" spans="1:2" ht="19.95" customHeight="1" x14ac:dyDescent="0.3">
      <c r="A113" s="9">
        <v>1</v>
      </c>
      <c r="B113" s="9">
        <f>Tableau3[[#This Row],[Corrections]]+B112</f>
        <v>698</v>
      </c>
    </row>
    <row r="114" spans="1:2" ht="19.95" customHeight="1" x14ac:dyDescent="0.3">
      <c r="A114" s="9">
        <v>4</v>
      </c>
      <c r="B114" s="9">
        <f>Tableau3[[#This Row],[Corrections]]+B113</f>
        <v>702</v>
      </c>
    </row>
    <row r="115" spans="1:2" ht="19.95" customHeight="1" x14ac:dyDescent="0.3">
      <c r="A115" s="9">
        <v>5</v>
      </c>
      <c r="B115" s="9">
        <f>Tableau3[[#This Row],[Corrections]]+B114</f>
        <v>707</v>
      </c>
    </row>
    <row r="116" spans="1:2" ht="19.95" customHeight="1" x14ac:dyDescent="0.3">
      <c r="A116" s="9">
        <v>1</v>
      </c>
      <c r="B116" s="9">
        <f>Tableau3[[#This Row],[Corrections]]+B115</f>
        <v>708</v>
      </c>
    </row>
    <row r="117" spans="1:2" ht="19.95" customHeight="1" x14ac:dyDescent="0.3">
      <c r="A117" s="9">
        <v>5</v>
      </c>
      <c r="B117" s="9">
        <f>Tableau3[[#This Row],[Corrections]]+B116</f>
        <v>713</v>
      </c>
    </row>
    <row r="118" spans="1:2" ht="19.95" customHeight="1" x14ac:dyDescent="0.3">
      <c r="A118" s="9">
        <v>1</v>
      </c>
      <c r="B118" s="9">
        <f>Tableau3[[#This Row],[Corrections]]+B117</f>
        <v>714</v>
      </c>
    </row>
    <row r="119" spans="1:2" ht="19.95" customHeight="1" x14ac:dyDescent="0.3">
      <c r="A119" s="9">
        <v>5</v>
      </c>
      <c r="B119" s="9">
        <f>Tableau3[[#This Row],[Corrections]]+B118</f>
        <v>719</v>
      </c>
    </row>
    <row r="120" spans="1:2" ht="19.95" customHeight="1" x14ac:dyDescent="0.3">
      <c r="A120" s="9">
        <v>6</v>
      </c>
      <c r="B120" s="9">
        <f>Tableau3[[#This Row],[Corrections]]+B119</f>
        <v>725</v>
      </c>
    </row>
    <row r="121" spans="1:2" ht="19.95" customHeight="1" x14ac:dyDescent="0.3">
      <c r="A121" s="9">
        <v>3</v>
      </c>
      <c r="B121" s="9">
        <f>Tableau3[[#This Row],[Corrections]]+B120</f>
        <v>728</v>
      </c>
    </row>
    <row r="122" spans="1:2" ht="19.95" customHeight="1" x14ac:dyDescent="0.3">
      <c r="A122" s="9">
        <v>2</v>
      </c>
      <c r="B122" s="9">
        <f>Tableau3[[#This Row],[Corrections]]+B121</f>
        <v>730</v>
      </c>
    </row>
    <row r="123" spans="1:2" ht="19.95" customHeight="1" x14ac:dyDescent="0.3">
      <c r="A123" s="9">
        <v>1</v>
      </c>
      <c r="B123" s="9">
        <f>Tableau3[[#This Row],[Corrections]]+B122</f>
        <v>731</v>
      </c>
    </row>
    <row r="124" spans="1:2" ht="19.95" customHeight="1" x14ac:dyDescent="0.3">
      <c r="A124" s="9">
        <v>1</v>
      </c>
      <c r="B124" s="9">
        <f>Tableau3[[#This Row],[Corrections]]+B123</f>
        <v>732</v>
      </c>
    </row>
    <row r="125" spans="1:2" ht="19.95" customHeight="1" x14ac:dyDescent="0.3">
      <c r="A125" s="9">
        <v>4</v>
      </c>
      <c r="B125" s="9">
        <f>Tableau3[[#This Row],[Corrections]]+B124</f>
        <v>736</v>
      </c>
    </row>
    <row r="126" spans="1:2" ht="19.95" customHeight="1" x14ac:dyDescent="0.3">
      <c r="A126" s="9">
        <v>2</v>
      </c>
      <c r="B126" s="9">
        <f>Tableau3[[#This Row],[Corrections]]+B125</f>
        <v>738</v>
      </c>
    </row>
    <row r="127" spans="1:2" ht="19.95" customHeight="1" x14ac:dyDescent="0.3">
      <c r="A127" s="9">
        <v>2</v>
      </c>
      <c r="B127" s="9">
        <f>Tableau3[[#This Row],[Corrections]]+B126</f>
        <v>740</v>
      </c>
    </row>
    <row r="128" spans="1:2" ht="19.95" customHeight="1" x14ac:dyDescent="0.3">
      <c r="A128" s="9">
        <v>3</v>
      </c>
      <c r="B128" s="9">
        <f>Tableau3[[#This Row],[Corrections]]+B127</f>
        <v>743</v>
      </c>
    </row>
    <row r="129" spans="1:2" ht="19.95" customHeight="1" x14ac:dyDescent="0.3">
      <c r="A129" s="9">
        <v>3</v>
      </c>
      <c r="B129" s="9">
        <f>Tableau3[[#This Row],[Corrections]]+B128</f>
        <v>746</v>
      </c>
    </row>
    <row r="130" spans="1:2" ht="19.95" customHeight="1" x14ac:dyDescent="0.3">
      <c r="A130" s="9">
        <v>2</v>
      </c>
      <c r="B130" s="9">
        <f>Tableau3[[#This Row],[Corrections]]+B129</f>
        <v>748</v>
      </c>
    </row>
    <row r="131" spans="1:2" ht="19.95" customHeight="1" x14ac:dyDescent="0.3">
      <c r="A131" s="9">
        <v>2</v>
      </c>
      <c r="B131" s="9">
        <f>Tableau3[[#This Row],[Corrections]]+B130</f>
        <v>750</v>
      </c>
    </row>
    <row r="132" spans="1:2" ht="19.95" customHeight="1" x14ac:dyDescent="0.3">
      <c r="A132" s="9">
        <v>2</v>
      </c>
      <c r="B132" s="9">
        <f>Tableau3[[#This Row],[Corrections]]+B131</f>
        <v>752</v>
      </c>
    </row>
    <row r="133" spans="1:2" ht="19.95" customHeight="1" x14ac:dyDescent="0.3">
      <c r="A133" s="9">
        <v>1</v>
      </c>
      <c r="B133" s="9">
        <f>Tableau3[[#This Row],[Corrections]]+B132</f>
        <v>753</v>
      </c>
    </row>
    <row r="134" spans="1:2" ht="19.95" customHeight="1" x14ac:dyDescent="0.3">
      <c r="A134" s="9">
        <v>0</v>
      </c>
      <c r="B134" s="9">
        <f>Tableau3[[#This Row],[Corrections]]+B133</f>
        <v>753</v>
      </c>
    </row>
    <row r="135" spans="1:2" ht="19.95" customHeight="1" x14ac:dyDescent="0.3">
      <c r="A135" s="9">
        <v>1</v>
      </c>
      <c r="B135" s="9">
        <f>Tableau3[[#This Row],[Corrections]]+B134</f>
        <v>754</v>
      </c>
    </row>
    <row r="136" spans="1:2" ht="19.95" customHeight="1" x14ac:dyDescent="0.3">
      <c r="A136" s="9">
        <v>5</v>
      </c>
      <c r="B136" s="9">
        <f>Tableau3[[#This Row],[Corrections]]+B135</f>
        <v>759</v>
      </c>
    </row>
    <row r="137" spans="1:2" ht="19.95" customHeight="1" x14ac:dyDescent="0.3">
      <c r="A137" s="9">
        <v>2</v>
      </c>
      <c r="B137" s="9">
        <f>Tableau3[[#This Row],[Corrections]]+B136</f>
        <v>761</v>
      </c>
    </row>
    <row r="138" spans="1:2" ht="19.95" customHeight="1" x14ac:dyDescent="0.3">
      <c r="A138" s="9">
        <v>5</v>
      </c>
      <c r="B138" s="9">
        <f>Tableau3[[#This Row],[Corrections]]+B137</f>
        <v>766</v>
      </c>
    </row>
    <row r="139" spans="1:2" ht="19.95" customHeight="1" x14ac:dyDescent="0.3">
      <c r="A139" s="9">
        <v>2</v>
      </c>
      <c r="B139" s="9">
        <f>Tableau3[[#This Row],[Corrections]]+B138</f>
        <v>768</v>
      </c>
    </row>
    <row r="140" spans="1:2" ht="19.95" customHeight="1" x14ac:dyDescent="0.3">
      <c r="A140" s="9">
        <v>0</v>
      </c>
      <c r="B140" s="9">
        <f>Tableau3[[#This Row],[Corrections]]+B139</f>
        <v>768</v>
      </c>
    </row>
    <row r="141" spans="1:2" ht="19.95" customHeight="1" x14ac:dyDescent="0.3">
      <c r="A141" s="9">
        <v>2</v>
      </c>
      <c r="B141" s="9">
        <f>Tableau3[[#This Row],[Corrections]]+B140</f>
        <v>770</v>
      </c>
    </row>
    <row r="142" spans="1:2" ht="19.95" customHeight="1" x14ac:dyDescent="0.3">
      <c r="A142" s="9">
        <v>2</v>
      </c>
      <c r="B142" s="9">
        <f>Tableau3[[#This Row],[Corrections]]+B141</f>
        <v>772</v>
      </c>
    </row>
    <row r="143" spans="1:2" ht="19.95" customHeight="1" x14ac:dyDescent="0.3">
      <c r="A143" s="9">
        <v>2</v>
      </c>
      <c r="B143" s="9">
        <f>Tableau3[[#This Row],[Corrections]]+B142</f>
        <v>774</v>
      </c>
    </row>
    <row r="144" spans="1:2" ht="19.95" customHeight="1" x14ac:dyDescent="0.3">
      <c r="A144" s="9">
        <v>2</v>
      </c>
      <c r="B144" s="9">
        <f>Tableau3[[#This Row],[Corrections]]+B143</f>
        <v>776</v>
      </c>
    </row>
    <row r="145" spans="1:2" ht="19.95" customHeight="1" x14ac:dyDescent="0.3">
      <c r="A145" s="9">
        <v>0</v>
      </c>
      <c r="B145" s="9">
        <f>Tableau3[[#This Row],[Corrections]]+B144</f>
        <v>776</v>
      </c>
    </row>
    <row r="146" spans="1:2" ht="19.95" customHeight="1" x14ac:dyDescent="0.3">
      <c r="A146" s="9">
        <v>2</v>
      </c>
      <c r="B146" s="9">
        <f>Tableau3[[#This Row],[Corrections]]+B145</f>
        <v>778</v>
      </c>
    </row>
    <row r="147" spans="1:2" ht="19.95" customHeight="1" x14ac:dyDescent="0.3">
      <c r="A147" s="9">
        <v>0</v>
      </c>
      <c r="B147" s="9">
        <f>Tableau3[[#This Row],[Corrections]]+B146</f>
        <v>778</v>
      </c>
    </row>
    <row r="148" spans="1:2" ht="19.95" customHeight="1" x14ac:dyDescent="0.3">
      <c r="A148" s="9">
        <v>4</v>
      </c>
      <c r="B148" s="9">
        <f>Tableau3[[#This Row],[Corrections]]+B147</f>
        <v>782</v>
      </c>
    </row>
    <row r="149" spans="1:2" ht="19.95" customHeight="1" x14ac:dyDescent="0.3">
      <c r="A149" s="9">
        <v>5</v>
      </c>
      <c r="B149" s="9">
        <f>Tableau3[[#This Row],[Corrections]]+B148</f>
        <v>787</v>
      </c>
    </row>
    <row r="150" spans="1:2" ht="19.95" customHeight="1" x14ac:dyDescent="0.3">
      <c r="A150" s="9">
        <v>3</v>
      </c>
      <c r="B150" s="9">
        <f>Tableau3[[#This Row],[Corrections]]+B149</f>
        <v>790</v>
      </c>
    </row>
    <row r="151" spans="1:2" ht="19.95" customHeight="1" x14ac:dyDescent="0.3">
      <c r="A151" s="9">
        <v>1</v>
      </c>
      <c r="B151" s="9">
        <f>Tableau3[[#This Row],[Corrections]]+B150</f>
        <v>791</v>
      </c>
    </row>
    <row r="152" spans="1:2" ht="19.95" customHeight="1" x14ac:dyDescent="0.3">
      <c r="A152" s="9">
        <v>1</v>
      </c>
      <c r="B152" s="9">
        <f>Tableau3[[#This Row],[Corrections]]+B151</f>
        <v>792</v>
      </c>
    </row>
    <row r="153" spans="1:2" ht="19.95" customHeight="1" x14ac:dyDescent="0.3">
      <c r="A153" s="9">
        <v>3</v>
      </c>
      <c r="B153" s="9">
        <f>Tableau3[[#This Row],[Corrections]]+B152</f>
        <v>795</v>
      </c>
    </row>
    <row r="154" spans="1:2" ht="19.95" customHeight="1" x14ac:dyDescent="0.3">
      <c r="A154" s="9">
        <v>0</v>
      </c>
      <c r="B154" s="9">
        <f>Tableau3[[#This Row],[Corrections]]+B153</f>
        <v>795</v>
      </c>
    </row>
    <row r="155" spans="1:2" ht="19.95" customHeight="1" x14ac:dyDescent="0.3">
      <c r="A155" s="9">
        <v>0</v>
      </c>
      <c r="B155" s="9">
        <f>Tableau3[[#This Row],[Corrections]]+B154</f>
        <v>795</v>
      </c>
    </row>
    <row r="156" spans="1:2" ht="19.95" customHeight="1" x14ac:dyDescent="0.3">
      <c r="A156" s="9">
        <v>2</v>
      </c>
      <c r="B156" s="9">
        <f>Tableau3[[#This Row],[Corrections]]+B155</f>
        <v>797</v>
      </c>
    </row>
    <row r="157" spans="1:2" ht="19.95" customHeight="1" x14ac:dyDescent="0.3">
      <c r="A157" s="9">
        <v>2</v>
      </c>
      <c r="B157" s="9">
        <f>Tableau3[[#This Row],[Corrections]]+B156</f>
        <v>799</v>
      </c>
    </row>
    <row r="158" spans="1:2" ht="19.95" customHeight="1" x14ac:dyDescent="0.3">
      <c r="A158" s="9">
        <v>0</v>
      </c>
      <c r="B158" s="9">
        <f>Tableau3[[#This Row],[Corrections]]+B157</f>
        <v>799</v>
      </c>
    </row>
    <row r="159" spans="1:2" ht="19.95" customHeight="1" x14ac:dyDescent="0.3">
      <c r="A159" s="9">
        <v>0</v>
      </c>
      <c r="B159" s="9">
        <f>Tableau3[[#This Row],[Corrections]]+B158</f>
        <v>799</v>
      </c>
    </row>
    <row r="160" spans="1:2" ht="19.95" customHeight="1" x14ac:dyDescent="0.3">
      <c r="A160" s="9">
        <v>0</v>
      </c>
      <c r="B160" s="9">
        <f>Tableau3[[#This Row],[Corrections]]+B159</f>
        <v>799</v>
      </c>
    </row>
    <row r="161" spans="1:2" ht="19.95" customHeight="1" x14ac:dyDescent="0.3">
      <c r="A161" s="9">
        <v>1</v>
      </c>
      <c r="B161" s="9">
        <f>Tableau3[[#This Row],[Corrections]]+B160</f>
        <v>800</v>
      </c>
    </row>
    <row r="162" spans="1:2" ht="19.95" customHeight="1" x14ac:dyDescent="0.3">
      <c r="A162" s="9">
        <v>1</v>
      </c>
      <c r="B162" s="9">
        <f>Tableau3[[#This Row],[Corrections]]+B161</f>
        <v>801</v>
      </c>
    </row>
    <row r="163" spans="1:2" ht="19.95" customHeight="1" x14ac:dyDescent="0.3">
      <c r="A163" s="9">
        <v>1</v>
      </c>
      <c r="B163" s="9">
        <f>Tableau3[[#This Row],[Corrections]]+B162</f>
        <v>802</v>
      </c>
    </row>
    <row r="164" spans="1:2" ht="19.95" customHeight="1" x14ac:dyDescent="0.3">
      <c r="A164" s="9">
        <v>2</v>
      </c>
      <c r="B164" s="9">
        <f>Tableau3[[#This Row],[Corrections]]+B163</f>
        <v>804</v>
      </c>
    </row>
    <row r="165" spans="1:2" ht="19.95" customHeight="1" x14ac:dyDescent="0.3">
      <c r="A165" s="9">
        <v>1</v>
      </c>
      <c r="B165" s="9">
        <f>Tableau3[[#This Row],[Corrections]]+B164</f>
        <v>805</v>
      </c>
    </row>
    <row r="166" spans="1:2" ht="19.95" customHeight="1" x14ac:dyDescent="0.3">
      <c r="A166" s="9">
        <v>0</v>
      </c>
      <c r="B166" s="9">
        <f>Tableau3[[#This Row],[Corrections]]+B165</f>
        <v>805</v>
      </c>
    </row>
    <row r="167" spans="1:2" ht="19.95" customHeight="1" x14ac:dyDescent="0.3">
      <c r="A167" s="9">
        <v>0</v>
      </c>
      <c r="B167" s="9">
        <f>Tableau3[[#This Row],[Corrections]]+B166</f>
        <v>805</v>
      </c>
    </row>
    <row r="168" spans="1:2" ht="19.95" customHeight="1" x14ac:dyDescent="0.3">
      <c r="A168" s="9">
        <v>2</v>
      </c>
      <c r="B168" s="9">
        <f>Tableau3[[#This Row],[Corrections]]+B167</f>
        <v>807</v>
      </c>
    </row>
    <row r="169" spans="1:2" ht="19.95" customHeight="1" x14ac:dyDescent="0.3">
      <c r="A169" s="9">
        <v>1</v>
      </c>
      <c r="B169" s="9">
        <f>Tableau3[[#This Row],[Corrections]]+B168</f>
        <v>808</v>
      </c>
    </row>
    <row r="170" spans="1:2" ht="19.95" customHeight="1" x14ac:dyDescent="0.3">
      <c r="A170" s="9">
        <v>0</v>
      </c>
      <c r="B170" s="9">
        <f>Tableau3[[#This Row],[Corrections]]+B169</f>
        <v>808</v>
      </c>
    </row>
    <row r="171" spans="1:2" ht="19.95" customHeight="1" x14ac:dyDescent="0.3">
      <c r="A171" s="9">
        <v>0</v>
      </c>
      <c r="B171" s="9">
        <f>Tableau3[[#This Row],[Corrections]]+B170</f>
        <v>808</v>
      </c>
    </row>
    <row r="172" spans="1:2" ht="19.95" customHeight="1" x14ac:dyDescent="0.3">
      <c r="A172" s="9">
        <v>3</v>
      </c>
      <c r="B172" s="9">
        <f>Tableau3[[#This Row],[Corrections]]+B171</f>
        <v>811</v>
      </c>
    </row>
    <row r="173" spans="1:2" ht="19.95" customHeight="1" x14ac:dyDescent="0.3">
      <c r="A173" s="9">
        <v>2</v>
      </c>
      <c r="B173" s="9">
        <f>Tableau3[[#This Row],[Corrections]]+B172</f>
        <v>813</v>
      </c>
    </row>
    <row r="174" spans="1:2" ht="19.95" customHeight="1" x14ac:dyDescent="0.3">
      <c r="A174" s="9">
        <v>2</v>
      </c>
      <c r="B174" s="9">
        <f>Tableau3[[#This Row],[Corrections]]+B173</f>
        <v>815</v>
      </c>
    </row>
    <row r="175" spans="1:2" ht="19.95" customHeight="1" x14ac:dyDescent="0.3">
      <c r="A175" s="9">
        <v>2</v>
      </c>
      <c r="B175" s="9">
        <f>Tableau3[[#This Row],[Corrections]]+B174</f>
        <v>817</v>
      </c>
    </row>
    <row r="176" spans="1:2" ht="19.95" customHeight="1" x14ac:dyDescent="0.3">
      <c r="A176" s="9">
        <v>1</v>
      </c>
      <c r="B176" s="9">
        <f>Tableau3[[#This Row],[Corrections]]+B175</f>
        <v>818</v>
      </c>
    </row>
    <row r="177" spans="1:2" ht="19.95" customHeight="1" x14ac:dyDescent="0.3">
      <c r="A177" s="9">
        <v>0</v>
      </c>
      <c r="B177" s="9">
        <f>Tableau3[[#This Row],[Corrections]]+B176</f>
        <v>818</v>
      </c>
    </row>
    <row r="178" spans="1:2" ht="19.95" customHeight="1" x14ac:dyDescent="0.3">
      <c r="A178" s="14">
        <v>2</v>
      </c>
      <c r="B178" s="14">
        <f>Tableau3[[#This Row],[Corrections]]+B177</f>
        <v>820</v>
      </c>
    </row>
    <row r="179" spans="1:2" ht="19.95" customHeight="1" x14ac:dyDescent="0.3">
      <c r="A179" s="15">
        <v>1</v>
      </c>
      <c r="B179" s="15">
        <f>Tableau3[[#This Row],[Corrections]]+B178</f>
        <v>821</v>
      </c>
    </row>
    <row r="180" spans="1:2" ht="19.95" customHeight="1" x14ac:dyDescent="0.3">
      <c r="A180" s="16">
        <v>1</v>
      </c>
      <c r="B180" s="16">
        <f>Tableau3[[#This Row],[Corrections]]+B179</f>
        <v>822</v>
      </c>
    </row>
    <row r="181" spans="1:2" ht="19.95" customHeight="1" x14ac:dyDescent="0.3">
      <c r="A181" s="17">
        <v>1</v>
      </c>
      <c r="B181" s="17">
        <f>Tableau3[[#This Row],[Corrections]]+B180</f>
        <v>823</v>
      </c>
    </row>
    <row r="182" spans="1:2" ht="19.95" customHeight="1" x14ac:dyDescent="0.3">
      <c r="A182" s="18">
        <v>3</v>
      </c>
      <c r="B182" s="18">
        <f>Tableau3[[#This Row],[Corrections]]+B181</f>
        <v>826</v>
      </c>
    </row>
    <row r="183" spans="1:2" ht="19.95" customHeight="1" x14ac:dyDescent="0.3">
      <c r="A183" s="19">
        <v>0</v>
      </c>
      <c r="B183" s="19">
        <f>Tableau3[[#This Row],[Corrections]]+B182</f>
        <v>826</v>
      </c>
    </row>
    <row r="184" spans="1:2" ht="19.95" customHeight="1" x14ac:dyDescent="0.3">
      <c r="A184" s="20">
        <v>0</v>
      </c>
      <c r="B184" s="20">
        <f>Tableau3[[#This Row],[Corrections]]+B183</f>
        <v>826</v>
      </c>
    </row>
    <row r="185" spans="1:2" ht="19.95" customHeight="1" x14ac:dyDescent="0.3">
      <c r="A185" s="21">
        <v>0</v>
      </c>
      <c r="B185" s="21">
        <f>Tableau3[[#This Row],[Corrections]]+B184</f>
        <v>826</v>
      </c>
    </row>
    <row r="186" spans="1:2" ht="19.95" customHeight="1" x14ac:dyDescent="0.3">
      <c r="A186" s="22">
        <v>0</v>
      </c>
      <c r="B186" s="22">
        <f>Tableau3[[#This Row],[Corrections]]+B185</f>
        <v>826</v>
      </c>
    </row>
    <row r="187" spans="1:2" ht="19.95" customHeight="1" x14ac:dyDescent="0.3">
      <c r="A187" s="23">
        <v>2</v>
      </c>
      <c r="B187" s="23">
        <f>Tableau3[[#This Row],[Corrections]]+B186</f>
        <v>828</v>
      </c>
    </row>
    <row r="188" spans="1:2" ht="19.95" customHeight="1" x14ac:dyDescent="0.3">
      <c r="A188" s="24">
        <v>1</v>
      </c>
      <c r="B188" s="24">
        <f>Tableau3[[#This Row],[Corrections]]+B187</f>
        <v>829</v>
      </c>
    </row>
    <row r="189" spans="1:2" ht="19.95" customHeight="1" x14ac:dyDescent="0.3">
      <c r="A189" s="25">
        <v>2</v>
      </c>
      <c r="B189" s="25">
        <f>Tableau3[[#This Row],[Corrections]]+B188</f>
        <v>831</v>
      </c>
    </row>
    <row r="190" spans="1:2" ht="19.95" customHeight="1" x14ac:dyDescent="0.3">
      <c r="A190" s="32">
        <v>3</v>
      </c>
      <c r="B190" s="32">
        <f>Tableau3[[#This Row],[Corrections]]+B189</f>
        <v>834</v>
      </c>
    </row>
    <row r="191" spans="1:2" ht="19.95" customHeight="1" x14ac:dyDescent="0.3">
      <c r="A191" s="44">
        <v>1</v>
      </c>
      <c r="B191" s="44">
        <f>Tableau3[[#This Row],[Corrections]]+B190</f>
        <v>835</v>
      </c>
    </row>
    <row r="192" spans="1:2" ht="19.95" customHeight="1" x14ac:dyDescent="0.3">
      <c r="A192" s="46">
        <v>0</v>
      </c>
      <c r="B192" s="46">
        <f>Tableau3[[#This Row],[Corrections]]+B191</f>
        <v>835</v>
      </c>
    </row>
    <row r="193" spans="1:2" ht="19.95" customHeight="1" x14ac:dyDescent="0.3">
      <c r="A193" s="47">
        <v>0</v>
      </c>
      <c r="B193" s="47">
        <f>Tableau3[[#This Row],[Corrections]]+B192</f>
        <v>835</v>
      </c>
    </row>
    <row r="194" spans="1:2" ht="19.95" customHeight="1" x14ac:dyDescent="0.3">
      <c r="A194" s="48">
        <v>0</v>
      </c>
      <c r="B194" s="48">
        <f>Tableau3[[#This Row],[Corrections]]+B193</f>
        <v>835</v>
      </c>
    </row>
    <row r="195" spans="1:2" ht="19.95" customHeight="1" x14ac:dyDescent="0.3">
      <c r="A195" s="54">
        <v>3</v>
      </c>
      <c r="B195" s="54">
        <f>Tableau3[[#This Row],[Corrections]]+B194</f>
        <v>838</v>
      </c>
    </row>
    <row r="196" spans="1:2" ht="19.95" customHeight="1" x14ac:dyDescent="0.3">
      <c r="A196" s="58">
        <v>2</v>
      </c>
      <c r="B196" s="58">
        <f>Tableau3[[#This Row],[Corrections]]+B195</f>
        <v>840</v>
      </c>
    </row>
    <row r="197" spans="1:2" ht="19.95" customHeight="1" x14ac:dyDescent="0.3">
      <c r="A197" s="63">
        <v>0</v>
      </c>
      <c r="B197" s="63">
        <f>Tableau3[[#This Row],[Corrections]]+B196</f>
        <v>840</v>
      </c>
    </row>
    <row r="198" spans="1:2" ht="19.95" customHeight="1" x14ac:dyDescent="0.3">
      <c r="A198" s="67">
        <v>0</v>
      </c>
      <c r="B198" s="67">
        <f>Tableau3[[#This Row],[Corrections]]+B197</f>
        <v>840</v>
      </c>
    </row>
    <row r="199" spans="1:2" ht="19.95" customHeight="1" x14ac:dyDescent="0.3">
      <c r="A199" s="71">
        <v>0</v>
      </c>
      <c r="B199" s="71">
        <f>Tableau3[[#This Row],[Corrections]]+B198</f>
        <v>840</v>
      </c>
    </row>
    <row r="200" spans="1:2" ht="19.95" customHeight="1" x14ac:dyDescent="0.3">
      <c r="A200" s="71">
        <v>3</v>
      </c>
      <c r="B200" s="71">
        <f>Tableau3[[#This Row],[Corrections]]+B199</f>
        <v>843</v>
      </c>
    </row>
    <row r="201" spans="1:2" ht="19.95" customHeight="1" x14ac:dyDescent="0.3">
      <c r="A201" s="75">
        <v>2</v>
      </c>
      <c r="B201" s="75">
        <f>Tableau3[[#This Row],[Corrections]]+B200</f>
        <v>845</v>
      </c>
    </row>
    <row r="202" spans="1:2" ht="19.95" customHeight="1" x14ac:dyDescent="0.3">
      <c r="A202" s="79">
        <v>3</v>
      </c>
      <c r="B202" s="79">
        <f>Tableau3[[#This Row],[Corrections]]+B201</f>
        <v>848</v>
      </c>
    </row>
    <row r="203" spans="1:2" ht="19.95" customHeight="1" x14ac:dyDescent="0.3">
      <c r="A203" s="81">
        <v>2</v>
      </c>
      <c r="B203" s="81">
        <f>Tableau3[[#This Row],[Corrections]]+B202</f>
        <v>850</v>
      </c>
    </row>
    <row r="204" spans="1:2" ht="19.95" customHeight="1" x14ac:dyDescent="0.3">
      <c r="A204" s="94">
        <v>2</v>
      </c>
      <c r="B204" s="94">
        <f>Tableau3[[#This Row],[Corrections]]+B203</f>
        <v>852</v>
      </c>
    </row>
    <row r="205" spans="1:2" ht="19.95" customHeight="1" x14ac:dyDescent="0.3">
      <c r="A205" s="98">
        <v>0</v>
      </c>
      <c r="B205" s="98">
        <f>Tableau3[[#This Row],[Corrections]]+B204</f>
        <v>852</v>
      </c>
    </row>
    <row r="206" spans="1:2" ht="19.95" customHeight="1" x14ac:dyDescent="0.3">
      <c r="A206" s="102">
        <v>1</v>
      </c>
      <c r="B206" s="102">
        <f>Tableau3[[#This Row],[Corrections]]+B205</f>
        <v>853</v>
      </c>
    </row>
    <row r="207" spans="1:2" ht="19.95" customHeight="1" x14ac:dyDescent="0.3">
      <c r="A207" s="106">
        <v>1</v>
      </c>
      <c r="B207" s="106">
        <f>Tableau3[[#This Row],[Corrections]]+B206</f>
        <v>854</v>
      </c>
    </row>
    <row r="208" spans="1:2" ht="19.95" customHeight="1" x14ac:dyDescent="0.3">
      <c r="A208" s="110">
        <v>2</v>
      </c>
      <c r="B208" s="110">
        <f>Tableau3[[#This Row],[Corrections]]+B207</f>
        <v>856</v>
      </c>
    </row>
    <row r="209" spans="1:2" ht="19.95" customHeight="1" x14ac:dyDescent="0.3">
      <c r="A209" s="118">
        <v>1</v>
      </c>
      <c r="B209" s="118">
        <f>Tableau3[[#This Row],[Corrections]]+B208</f>
        <v>857</v>
      </c>
    </row>
    <row r="210" spans="1:2" ht="19.95" customHeight="1" x14ac:dyDescent="0.3">
      <c r="A210" s="129">
        <v>1</v>
      </c>
      <c r="B210" s="129">
        <f>Tableau3[[#This Row],[Corrections]]+B209</f>
        <v>858</v>
      </c>
    </row>
    <row r="211" spans="1:2" ht="19.95" customHeight="1" x14ac:dyDescent="0.3">
      <c r="A211" s="131">
        <v>1</v>
      </c>
      <c r="B211" s="131">
        <f>Tableau3[[#This Row],[Corrections]]+B210</f>
        <v>859</v>
      </c>
    </row>
    <row r="212" spans="1:2" ht="19.95" customHeight="1" x14ac:dyDescent="0.3">
      <c r="A212" s="139">
        <v>1</v>
      </c>
      <c r="B212" s="139">
        <f>Tableau3[[#This Row],[Corrections]]+B211</f>
        <v>860</v>
      </c>
    </row>
    <row r="213" spans="1:2" ht="19.95" customHeight="1" x14ac:dyDescent="0.3">
      <c r="A213" s="144">
        <v>2</v>
      </c>
      <c r="B213" s="144">
        <f>Tableau3[[#This Row],[Corrections]]+B212</f>
        <v>862</v>
      </c>
    </row>
    <row r="214" spans="1:2" ht="19.95" customHeight="1" x14ac:dyDescent="0.3">
      <c r="A214" s="146">
        <v>0</v>
      </c>
      <c r="B214" s="146">
        <f>Tableau3[[#This Row],[Corrections]]+B213</f>
        <v>862</v>
      </c>
    </row>
    <row r="215" spans="1:2" ht="19.95" customHeight="1" x14ac:dyDescent="0.3">
      <c r="A215" s="149">
        <v>2</v>
      </c>
      <c r="B215" s="149">
        <f>Tableau3[[#This Row],[Corrections]]+B214</f>
        <v>864</v>
      </c>
    </row>
    <row r="216" spans="1:2" ht="19.95" customHeight="1" x14ac:dyDescent="0.3">
      <c r="A216" s="153">
        <v>0</v>
      </c>
      <c r="B216" s="153">
        <f>Tableau3[[#This Row],[Corrections]]+B215</f>
        <v>864</v>
      </c>
    </row>
    <row r="217" spans="1:2" ht="19.95" customHeight="1" x14ac:dyDescent="0.3">
      <c r="A217" s="153">
        <v>0</v>
      </c>
      <c r="B217" s="153">
        <f>Tableau3[[#This Row],[Corrections]]+B216</f>
        <v>864</v>
      </c>
    </row>
    <row r="218" spans="1:2" ht="19.95" customHeight="1" x14ac:dyDescent="0.3">
      <c r="A218" s="153">
        <v>3</v>
      </c>
      <c r="B218" s="153">
        <f>Tableau3[[#This Row],[Corrections]]+B217</f>
        <v>867</v>
      </c>
    </row>
    <row r="219" spans="1:2" ht="19.95" customHeight="1" x14ac:dyDescent="0.3">
      <c r="A219" s="153">
        <v>1</v>
      </c>
      <c r="B219" s="153">
        <f>Tableau3[[#This Row],[Corrections]]+B218</f>
        <v>868</v>
      </c>
    </row>
    <row r="220" spans="1:2" ht="19.95" customHeight="1" x14ac:dyDescent="0.3">
      <c r="A220" s="153">
        <v>1</v>
      </c>
      <c r="B220" s="153">
        <f>Tableau3[[#This Row],[Corrections]]+B219</f>
        <v>869</v>
      </c>
    </row>
    <row r="221" spans="1:2" ht="19.95" customHeight="1" x14ac:dyDescent="0.3">
      <c r="A221" s="153">
        <v>0</v>
      </c>
      <c r="B221" s="153">
        <f>Tableau3[[#This Row],[Corrections]]+B220</f>
        <v>869</v>
      </c>
    </row>
    <row r="222" spans="1:2" ht="19.95" customHeight="1" x14ac:dyDescent="0.3">
      <c r="A222" s="153">
        <v>2</v>
      </c>
      <c r="B222" s="153">
        <f>Tableau3[[#This Row],[Corrections]]+B221</f>
        <v>871</v>
      </c>
    </row>
    <row r="223" spans="1:2" ht="19.95" customHeight="1" x14ac:dyDescent="0.3">
      <c r="A223" s="153">
        <v>0</v>
      </c>
      <c r="B223" s="153">
        <f>Tableau3[[#This Row],[Corrections]]+B222</f>
        <v>871</v>
      </c>
    </row>
    <row r="224" spans="1:2" ht="19.95" customHeight="1" x14ac:dyDescent="0.3">
      <c r="A224" s="153">
        <v>1</v>
      </c>
      <c r="B224" s="153">
        <f>Tableau3[[#This Row],[Corrections]]+B223</f>
        <v>872</v>
      </c>
    </row>
    <row r="225" spans="1:2" ht="19.95" customHeight="1" x14ac:dyDescent="0.3">
      <c r="A225" s="153">
        <v>0</v>
      </c>
      <c r="B225" s="153">
        <f>Tableau3[[#This Row],[Corrections]]+B224</f>
        <v>872</v>
      </c>
    </row>
    <row r="226" spans="1:2" ht="19.95" customHeight="1" x14ac:dyDescent="0.3">
      <c r="A226" s="153">
        <v>3</v>
      </c>
      <c r="B226" s="153">
        <f>Tableau3[[#This Row],[Corrections]]+B225</f>
        <v>875</v>
      </c>
    </row>
    <row r="227" spans="1:2" ht="19.95" customHeight="1" x14ac:dyDescent="0.3">
      <c r="A227" s="153">
        <v>3</v>
      </c>
      <c r="B227" s="153">
        <f>Tableau3[[#This Row],[Corrections]]+B226</f>
        <v>878</v>
      </c>
    </row>
    <row r="228" spans="1:2" ht="19.95" customHeight="1" x14ac:dyDescent="0.3">
      <c r="A228" s="153">
        <v>1</v>
      </c>
      <c r="B228" s="153">
        <f>Tableau3[[#This Row],[Corrections]]+B227</f>
        <v>879</v>
      </c>
    </row>
    <row r="229" spans="1:2" ht="19.95" customHeight="1" x14ac:dyDescent="0.3">
      <c r="A229" s="153">
        <v>0</v>
      </c>
      <c r="B229" s="153">
        <f>Tableau3[[#This Row],[Corrections]]+B228</f>
        <v>879</v>
      </c>
    </row>
    <row r="230" spans="1:2" ht="19.95" customHeight="1" x14ac:dyDescent="0.3">
      <c r="A230" s="153">
        <v>0</v>
      </c>
      <c r="B230" s="153">
        <f>Tableau3[[#This Row],[Corrections]]+B229</f>
        <v>879</v>
      </c>
    </row>
    <row r="231" spans="1:2" ht="19.95" customHeight="1" x14ac:dyDescent="0.3">
      <c r="A231" s="153">
        <v>0</v>
      </c>
      <c r="B231" s="153">
        <f>Tableau3[[#This Row],[Corrections]]+B230</f>
        <v>879</v>
      </c>
    </row>
    <row r="232" spans="1:2" ht="19.95" customHeight="1" x14ac:dyDescent="0.3">
      <c r="A232" s="153">
        <v>1</v>
      </c>
      <c r="B232" s="153">
        <f>Tableau3[[#This Row],[Corrections]]+B231</f>
        <v>880</v>
      </c>
    </row>
    <row r="233" spans="1:2" ht="19.95" customHeight="1" x14ac:dyDescent="0.3">
      <c r="A233" s="153">
        <v>2</v>
      </c>
      <c r="B233" s="153">
        <f>Tableau3[[#This Row],[Corrections]]+B232</f>
        <v>882</v>
      </c>
    </row>
    <row r="234" spans="1:2" ht="19.95" customHeight="1" x14ac:dyDescent="0.3">
      <c r="A234" s="153">
        <v>2</v>
      </c>
      <c r="B234" s="153">
        <f>Tableau3[[#This Row],[Corrections]]+B233</f>
        <v>884</v>
      </c>
    </row>
    <row r="235" spans="1:2" ht="19.95" customHeight="1" x14ac:dyDescent="0.3">
      <c r="A235" s="153">
        <v>1</v>
      </c>
      <c r="B235" s="153">
        <f>Tableau3[[#This Row],[Corrections]]+B234</f>
        <v>885</v>
      </c>
    </row>
    <row r="236" spans="1:2" ht="19.95" customHeight="1" x14ac:dyDescent="0.3">
      <c r="A236" s="153">
        <v>3</v>
      </c>
      <c r="B236" s="153">
        <f>Tableau3[[#This Row],[Corrections]]+B235</f>
        <v>888</v>
      </c>
    </row>
    <row r="237" spans="1:2" ht="19.95" customHeight="1" x14ac:dyDescent="0.3">
      <c r="A237" s="153">
        <v>4</v>
      </c>
      <c r="B237" s="153">
        <f>Tableau3[[#This Row],[Corrections]]+B236</f>
        <v>892</v>
      </c>
    </row>
    <row r="238" spans="1:2" ht="19.95" customHeight="1" x14ac:dyDescent="0.3">
      <c r="A238" s="153">
        <v>0</v>
      </c>
      <c r="B238" s="153">
        <f>Tableau3[[#This Row],[Corrections]]+B237</f>
        <v>892</v>
      </c>
    </row>
    <row r="239" spans="1:2" ht="19.95" customHeight="1" x14ac:dyDescent="0.3">
      <c r="A239" s="153">
        <v>0</v>
      </c>
      <c r="B239" s="153">
        <f>Tableau3[[#This Row],[Corrections]]+B238</f>
        <v>892</v>
      </c>
    </row>
    <row r="240" spans="1:2" ht="19.95" customHeight="1" x14ac:dyDescent="0.3">
      <c r="A240" s="153">
        <v>1</v>
      </c>
      <c r="B240" s="153">
        <f>Tableau3[[#This Row],[Corrections]]+B239</f>
        <v>893</v>
      </c>
    </row>
    <row r="241" spans="1:2" ht="19.95" customHeight="1" x14ac:dyDescent="0.3">
      <c r="A241" s="153">
        <v>1</v>
      </c>
      <c r="B241" s="153">
        <f>Tableau3[[#This Row],[Corrections]]+B240</f>
        <v>894</v>
      </c>
    </row>
    <row r="242" spans="1:2" ht="19.95" customHeight="1" x14ac:dyDescent="0.3">
      <c r="A242" s="153">
        <v>0</v>
      </c>
      <c r="B242" s="153">
        <f>Tableau3[[#This Row],[Corrections]]+B241</f>
        <v>894</v>
      </c>
    </row>
    <row r="243" spans="1:2" ht="19.95" customHeight="1" x14ac:dyDescent="0.3">
      <c r="A243" s="153">
        <v>2</v>
      </c>
      <c r="B243" s="153">
        <f>Tableau3[[#This Row],[Corrections]]+B242</f>
        <v>896</v>
      </c>
    </row>
    <row r="244" spans="1:2" ht="19.95" customHeight="1" x14ac:dyDescent="0.3">
      <c r="A244" s="153">
        <v>0</v>
      </c>
      <c r="B244" s="153">
        <f>Tableau3[[#This Row],[Corrections]]+B243</f>
        <v>896</v>
      </c>
    </row>
    <row r="245" spans="1:2" ht="19.95" customHeight="1" x14ac:dyDescent="0.3">
      <c r="A245" s="153">
        <v>1</v>
      </c>
      <c r="B245" s="153">
        <f>Tableau3[[#This Row],[Corrections]]+B244</f>
        <v>897</v>
      </c>
    </row>
    <row r="246" spans="1:2" ht="19.95" customHeight="1" x14ac:dyDescent="0.3">
      <c r="A246" s="153">
        <v>2</v>
      </c>
      <c r="B246" s="153">
        <f>Tableau3[[#This Row],[Corrections]]+B245</f>
        <v>899</v>
      </c>
    </row>
    <row r="247" spans="1:2" ht="19.95" customHeight="1" x14ac:dyDescent="0.3">
      <c r="A247" s="153">
        <v>0</v>
      </c>
      <c r="B247" s="153">
        <f>Tableau3[[#This Row],[Corrections]]+B246</f>
        <v>899</v>
      </c>
    </row>
    <row r="248" spans="1:2" ht="19.95" customHeight="1" x14ac:dyDescent="0.3">
      <c r="A248" s="153">
        <v>0</v>
      </c>
      <c r="B248" s="153">
        <f>Tableau3[[#This Row],[Corrections]]+B247</f>
        <v>899</v>
      </c>
    </row>
    <row r="249" spans="1:2" ht="19.95" customHeight="1" x14ac:dyDescent="0.3">
      <c r="A249" s="153">
        <v>1</v>
      </c>
      <c r="B249" s="153">
        <f>Tableau3[[#This Row],[Corrections]]+B248</f>
        <v>900</v>
      </c>
    </row>
    <row r="250" spans="1:2" ht="19.95" customHeight="1" x14ac:dyDescent="0.3">
      <c r="A250" s="153">
        <v>1</v>
      </c>
      <c r="B250" s="153">
        <f>Tableau3[[#This Row],[Corrections]]+B249</f>
        <v>901</v>
      </c>
    </row>
    <row r="251" spans="1:2" ht="19.95" customHeight="1" x14ac:dyDescent="0.3">
      <c r="A251" s="153">
        <v>1</v>
      </c>
      <c r="B251" s="153">
        <f>Tableau3[[#This Row],[Corrections]]+B250</f>
        <v>902</v>
      </c>
    </row>
    <row r="252" spans="1:2" ht="19.95" customHeight="1" x14ac:dyDescent="0.3">
      <c r="A252" s="153">
        <v>3</v>
      </c>
      <c r="B252" s="153">
        <f>Tableau3[[#This Row],[Corrections]]+B251</f>
        <v>905</v>
      </c>
    </row>
    <row r="253" spans="1:2" ht="19.95" customHeight="1" x14ac:dyDescent="0.3">
      <c r="A253" s="153">
        <v>1</v>
      </c>
      <c r="B253" s="153">
        <f>Tableau3[[#This Row],[Corrections]]+B252</f>
        <v>906</v>
      </c>
    </row>
    <row r="254" spans="1:2" ht="19.95" customHeight="1" x14ac:dyDescent="0.3">
      <c r="A254" s="153">
        <v>0</v>
      </c>
      <c r="B254" s="153">
        <f>Tableau3[[#This Row],[Corrections]]+B253</f>
        <v>906</v>
      </c>
    </row>
    <row r="255" spans="1:2" ht="19.95" customHeight="1" x14ac:dyDescent="0.3">
      <c r="A255" s="153">
        <v>0</v>
      </c>
      <c r="B255" s="153">
        <f>Tableau3[[#This Row],[Corrections]]+B254</f>
        <v>906</v>
      </c>
    </row>
    <row r="256" spans="1:2" ht="19.95" customHeight="1" x14ac:dyDescent="0.3">
      <c r="A256" s="153">
        <v>0</v>
      </c>
      <c r="B256" s="153">
        <f>Tableau3[[#This Row],[Corrections]]+B255</f>
        <v>906</v>
      </c>
    </row>
    <row r="257" spans="1:2" ht="19.95" customHeight="1" x14ac:dyDescent="0.3">
      <c r="A257" s="153">
        <v>4</v>
      </c>
      <c r="B257" s="153">
        <f>Tableau3[[#This Row],[Corrections]]+B256</f>
        <v>910</v>
      </c>
    </row>
    <row r="258" spans="1:2" ht="19.95" customHeight="1" x14ac:dyDescent="0.3">
      <c r="A258" s="153">
        <v>1</v>
      </c>
      <c r="B258" s="153">
        <f>Tableau3[[#This Row],[Corrections]]+B257</f>
        <v>911</v>
      </c>
    </row>
    <row r="259" spans="1:2" ht="19.95" customHeight="1" x14ac:dyDescent="0.3">
      <c r="A259" s="153">
        <v>1</v>
      </c>
      <c r="B259" s="153">
        <f>Tableau3[[#This Row],[Corrections]]+B258</f>
        <v>912</v>
      </c>
    </row>
    <row r="260" spans="1:2" ht="19.95" customHeight="1" x14ac:dyDescent="0.3">
      <c r="A260" s="153">
        <v>1</v>
      </c>
      <c r="B260" s="153">
        <f>Tableau3[[#This Row],[Corrections]]+B259</f>
        <v>913</v>
      </c>
    </row>
    <row r="261" spans="1:2" ht="19.95" customHeight="1" x14ac:dyDescent="0.3">
      <c r="A261" s="153">
        <v>1</v>
      </c>
      <c r="B261" s="153">
        <f>Tableau3[[#This Row],[Corrections]]+B260</f>
        <v>914</v>
      </c>
    </row>
    <row r="262" spans="1:2" ht="19.95" customHeight="1" x14ac:dyDescent="0.3">
      <c r="A262" s="153">
        <v>1</v>
      </c>
      <c r="B262" s="153">
        <f>Tableau3[[#This Row],[Corrections]]+B261</f>
        <v>915</v>
      </c>
    </row>
    <row r="263" spans="1:2" ht="19.95" customHeight="1" x14ac:dyDescent="0.3">
      <c r="A263" s="153">
        <v>1</v>
      </c>
      <c r="B263" s="153">
        <f>Tableau3[[#This Row],[Corrections]]+B262</f>
        <v>916</v>
      </c>
    </row>
    <row r="264" spans="1:2" ht="19.95" customHeight="1" x14ac:dyDescent="0.3">
      <c r="A264" s="153">
        <v>0</v>
      </c>
      <c r="B264" s="153">
        <f>Tableau3[[#This Row],[Corrections]]+B263</f>
        <v>916</v>
      </c>
    </row>
    <row r="265" spans="1:2" ht="19.95" customHeight="1" x14ac:dyDescent="0.3">
      <c r="A265" s="153">
        <v>0</v>
      </c>
      <c r="B265" s="153">
        <f>Tableau3[[#This Row],[Corrections]]+B264</f>
        <v>916</v>
      </c>
    </row>
    <row r="266" spans="1:2" ht="19.95" customHeight="1" x14ac:dyDescent="0.3">
      <c r="A266" s="153">
        <v>1</v>
      </c>
      <c r="B266" s="153">
        <f>Tableau3[[#This Row],[Corrections]]+B265</f>
        <v>917</v>
      </c>
    </row>
    <row r="267" spans="1:2" ht="19.95" customHeight="1" x14ac:dyDescent="0.3">
      <c r="A267" s="153">
        <v>0</v>
      </c>
      <c r="B267" s="153">
        <f>Tableau3[[#This Row],[Corrections]]+B266</f>
        <v>917</v>
      </c>
    </row>
    <row r="268" spans="1:2" ht="19.95" customHeight="1" x14ac:dyDescent="0.3">
      <c r="A268" s="153">
        <v>1</v>
      </c>
      <c r="B268" s="153">
        <f>Tableau3[[#This Row],[Corrections]]+B267</f>
        <v>918</v>
      </c>
    </row>
    <row r="269" spans="1:2" ht="19.95" customHeight="1" x14ac:dyDescent="0.3">
      <c r="A269" s="153">
        <v>2</v>
      </c>
      <c r="B269" s="153">
        <f>Tableau3[[#This Row],[Corrections]]+B268</f>
        <v>920</v>
      </c>
    </row>
    <row r="270" spans="1:2" ht="19.95" customHeight="1" x14ac:dyDescent="0.3">
      <c r="A270" s="153">
        <v>0</v>
      </c>
      <c r="B270" s="153">
        <f>Tableau3[[#This Row],[Corrections]]+B269</f>
        <v>920</v>
      </c>
    </row>
    <row r="271" spans="1:2" ht="19.95" customHeight="1" x14ac:dyDescent="0.3">
      <c r="A271" s="153">
        <v>0</v>
      </c>
      <c r="B271" s="153">
        <f>Tableau3[[#This Row],[Corrections]]+B270</f>
        <v>920</v>
      </c>
    </row>
    <row r="272" spans="1:2" ht="19.95" customHeight="1" x14ac:dyDescent="0.3">
      <c r="A272" s="153">
        <v>0</v>
      </c>
      <c r="B272" s="153">
        <f>Tableau3[[#This Row],[Corrections]]+B271</f>
        <v>920</v>
      </c>
    </row>
    <row r="273" spans="1:2" ht="19.95" customHeight="1" x14ac:dyDescent="0.3">
      <c r="A273" s="153">
        <v>3</v>
      </c>
      <c r="B273" s="153">
        <f>Tableau3[[#This Row],[Corrections]]+B272</f>
        <v>923</v>
      </c>
    </row>
    <row r="274" spans="1:2" ht="19.95" customHeight="1" x14ac:dyDescent="0.3">
      <c r="A274" s="153">
        <v>0</v>
      </c>
      <c r="B274" s="153">
        <f>Tableau3[[#This Row],[Corrections]]+B273</f>
        <v>923</v>
      </c>
    </row>
    <row r="275" spans="1:2" ht="19.95" customHeight="1" x14ac:dyDescent="0.3">
      <c r="A275" s="153">
        <v>0</v>
      </c>
      <c r="B275" s="153">
        <f>Tableau3[[#This Row],[Corrections]]+B274</f>
        <v>923</v>
      </c>
    </row>
    <row r="276" spans="1:2" ht="19.95" customHeight="1" x14ac:dyDescent="0.3">
      <c r="A276" s="153">
        <v>2</v>
      </c>
      <c r="B276" s="153">
        <f>Tableau3[[#This Row],[Corrections]]+B275</f>
        <v>925</v>
      </c>
    </row>
    <row r="277" spans="1:2" ht="19.95" customHeight="1" x14ac:dyDescent="0.3">
      <c r="A277" s="153">
        <v>1</v>
      </c>
      <c r="B277" s="153">
        <f>Tableau3[[#This Row],[Corrections]]+B276</f>
        <v>926</v>
      </c>
    </row>
    <row r="278" spans="1:2" ht="19.95" customHeight="1" x14ac:dyDescent="0.3">
      <c r="A278" s="153">
        <v>1</v>
      </c>
      <c r="B278" s="153">
        <f>Tableau3[[#This Row],[Corrections]]+B277</f>
        <v>927</v>
      </c>
    </row>
    <row r="279" spans="1:2" ht="19.95" customHeight="1" x14ac:dyDescent="0.3">
      <c r="A279" s="153">
        <v>2</v>
      </c>
      <c r="B279" s="153">
        <f>Tableau3[[#This Row],[Corrections]]+B278</f>
        <v>929</v>
      </c>
    </row>
    <row r="280" spans="1:2" ht="19.95" customHeight="1" x14ac:dyDescent="0.3">
      <c r="A280" s="153">
        <v>1</v>
      </c>
      <c r="B280" s="153">
        <f>Tableau3[[#This Row],[Corrections]]+B279</f>
        <v>930</v>
      </c>
    </row>
    <row r="281" spans="1:2" ht="19.95" customHeight="1" x14ac:dyDescent="0.3">
      <c r="A281" s="153">
        <v>1</v>
      </c>
      <c r="B281" s="153">
        <f>Tableau3[[#This Row],[Corrections]]+B280</f>
        <v>931</v>
      </c>
    </row>
    <row r="282" spans="1:2" ht="19.95" customHeight="1" x14ac:dyDescent="0.3">
      <c r="A282" s="153">
        <v>0</v>
      </c>
      <c r="B282" s="153">
        <f>Tableau3[[#This Row],[Corrections]]+B281</f>
        <v>931</v>
      </c>
    </row>
    <row r="283" spans="1:2" ht="19.95" customHeight="1" x14ac:dyDescent="0.3">
      <c r="A283" s="153">
        <v>1</v>
      </c>
      <c r="B283" s="153">
        <f>Tableau3[[#This Row],[Corrections]]+B282</f>
        <v>932</v>
      </c>
    </row>
    <row r="284" spans="1:2" ht="19.95" customHeight="1" x14ac:dyDescent="0.3">
      <c r="A284" s="153">
        <v>0</v>
      </c>
      <c r="B284" s="153">
        <f>Tableau3[[#This Row],[Corrections]]+B283</f>
        <v>932</v>
      </c>
    </row>
    <row r="285" spans="1:2" ht="19.95" customHeight="1" x14ac:dyDescent="0.3">
      <c r="A285" s="153">
        <v>3</v>
      </c>
      <c r="B285" s="153">
        <f>Tableau3[[#This Row],[Corrections]]+B284</f>
        <v>935</v>
      </c>
    </row>
    <row r="286" spans="1:2" ht="19.95" customHeight="1" x14ac:dyDescent="0.3">
      <c r="A286" s="153">
        <v>1</v>
      </c>
      <c r="B286" s="153">
        <f>Tableau3[[#This Row],[Corrections]]+B285</f>
        <v>936</v>
      </c>
    </row>
    <row r="287" spans="1:2" ht="19.95" customHeight="1" x14ac:dyDescent="0.3">
      <c r="A287" s="153">
        <v>1</v>
      </c>
      <c r="B287" s="153">
        <f>Tableau3[[#This Row],[Corrections]]+B286</f>
        <v>937</v>
      </c>
    </row>
    <row r="288" spans="1:2" ht="19.95" customHeight="1" x14ac:dyDescent="0.3">
      <c r="A288" s="153">
        <v>0</v>
      </c>
      <c r="B288" s="153">
        <f>Tableau3[[#This Row],[Corrections]]+B287</f>
        <v>937</v>
      </c>
    </row>
    <row r="289" spans="1:2" ht="19.95" customHeight="1" x14ac:dyDescent="0.3">
      <c r="A289" s="153">
        <v>1</v>
      </c>
      <c r="B289" s="153">
        <f>Tableau3[[#This Row],[Corrections]]+B288</f>
        <v>938</v>
      </c>
    </row>
    <row r="290" spans="1:2" ht="19.95" customHeight="1" x14ac:dyDescent="0.3">
      <c r="A290" s="153">
        <v>0</v>
      </c>
      <c r="B290" s="153">
        <f>Tableau3[[#This Row],[Corrections]]+B289</f>
        <v>938</v>
      </c>
    </row>
    <row r="291" spans="1:2" ht="19.95" customHeight="1" x14ac:dyDescent="0.3">
      <c r="A291" s="153">
        <v>0</v>
      </c>
      <c r="B291" s="153">
        <f>Tableau3[[#This Row],[Corrections]]+B290</f>
        <v>938</v>
      </c>
    </row>
    <row r="292" spans="1:2" ht="19.95" customHeight="1" x14ac:dyDescent="0.3">
      <c r="A292" s="153">
        <v>1</v>
      </c>
      <c r="B292" s="153">
        <f>Tableau3[[#This Row],[Corrections]]+B291</f>
        <v>939</v>
      </c>
    </row>
    <row r="293" spans="1:2" ht="19.95" customHeight="1" x14ac:dyDescent="0.3">
      <c r="A293" s="153">
        <v>1</v>
      </c>
      <c r="B293" s="153">
        <f>Tableau3[[#This Row],[Corrections]]+B292</f>
        <v>940</v>
      </c>
    </row>
    <row r="294" spans="1:2" ht="19.95" customHeight="1" x14ac:dyDescent="0.3">
      <c r="A294" s="153">
        <v>1</v>
      </c>
      <c r="B294" s="153">
        <f>Tableau3[[#This Row],[Corrections]]+B293</f>
        <v>941</v>
      </c>
    </row>
    <row r="295" spans="1:2" ht="19.95" customHeight="1" x14ac:dyDescent="0.3">
      <c r="A295" s="153">
        <v>1</v>
      </c>
      <c r="B295" s="153">
        <f>Tableau3[[#This Row],[Corrections]]+B294</f>
        <v>942</v>
      </c>
    </row>
    <row r="296" spans="1:2" ht="19.95" customHeight="1" x14ac:dyDescent="0.3">
      <c r="A296" s="153">
        <v>1</v>
      </c>
      <c r="B296" s="153">
        <f>Tableau3[[#This Row],[Corrections]]+B295</f>
        <v>943</v>
      </c>
    </row>
    <row r="297" spans="1:2" ht="19.95" customHeight="1" x14ac:dyDescent="0.3">
      <c r="A297" s="153">
        <v>0</v>
      </c>
      <c r="B297" s="153">
        <f>Tableau3[[#This Row],[Corrections]]+B296</f>
        <v>943</v>
      </c>
    </row>
    <row r="298" spans="1:2" ht="19.95" customHeight="1" x14ac:dyDescent="0.3">
      <c r="A298" s="153">
        <v>0</v>
      </c>
      <c r="B298" s="153">
        <f>Tableau3[[#This Row],[Corrections]]+B297</f>
        <v>943</v>
      </c>
    </row>
    <row r="299" spans="1:2" ht="19.95" customHeight="1" x14ac:dyDescent="0.3">
      <c r="A299" s="153">
        <v>0</v>
      </c>
      <c r="B299" s="153">
        <f>Tableau3[[#This Row],[Corrections]]+B298</f>
        <v>943</v>
      </c>
    </row>
    <row r="300" spans="1:2" ht="19.95" customHeight="1" x14ac:dyDescent="0.3">
      <c r="A300" s="153">
        <v>1</v>
      </c>
      <c r="B300" s="153">
        <f>Tableau3[[#This Row],[Corrections]]+B299</f>
        <v>944</v>
      </c>
    </row>
    <row r="301" spans="1:2" ht="19.95" customHeight="1" x14ac:dyDescent="0.3">
      <c r="A301" s="153">
        <v>0</v>
      </c>
      <c r="B301" s="153">
        <f>Tableau3[[#This Row],[Corrections]]+B300</f>
        <v>944</v>
      </c>
    </row>
    <row r="302" spans="1:2" ht="19.95" customHeight="1" x14ac:dyDescent="0.3">
      <c r="A302" s="153">
        <v>0</v>
      </c>
      <c r="B302" s="153">
        <f>Tableau3[[#This Row],[Corrections]]+B301</f>
        <v>944</v>
      </c>
    </row>
    <row r="303" spans="1:2" ht="19.95" customHeight="1" x14ac:dyDescent="0.3">
      <c r="A303" s="153">
        <v>1</v>
      </c>
      <c r="B303" s="153">
        <f>Tableau3[[#This Row],[Corrections]]+B302</f>
        <v>945</v>
      </c>
    </row>
    <row r="304" spans="1:2" ht="19.95" customHeight="1" x14ac:dyDescent="0.3">
      <c r="A304" s="153">
        <v>0</v>
      </c>
      <c r="B304" s="153">
        <f>Tableau3[[#This Row],[Corrections]]+B303</f>
        <v>945</v>
      </c>
    </row>
    <row r="305" spans="1:2" ht="19.95" customHeight="1" x14ac:dyDescent="0.3">
      <c r="A305" s="153">
        <v>0</v>
      </c>
      <c r="B305" s="153">
        <f>Tableau3[[#This Row],[Corrections]]+B304</f>
        <v>945</v>
      </c>
    </row>
    <row r="306" spans="1:2" ht="19.95" customHeight="1" x14ac:dyDescent="0.3">
      <c r="A306" s="153">
        <v>0</v>
      </c>
      <c r="B306" s="153">
        <f>Tableau3[[#This Row],[Corrections]]+B305</f>
        <v>945</v>
      </c>
    </row>
    <row r="307" spans="1:2" ht="19.95" customHeight="1" x14ac:dyDescent="0.3">
      <c r="A307" s="153">
        <v>1</v>
      </c>
      <c r="B307" s="153">
        <f>Tableau3[[#This Row],[Corrections]]+B306</f>
        <v>946</v>
      </c>
    </row>
    <row r="308" spans="1:2" ht="19.95" customHeight="1" x14ac:dyDescent="0.3">
      <c r="A308" s="153">
        <v>2</v>
      </c>
      <c r="B308" s="153">
        <f>Tableau3[[#This Row],[Corrections]]+B307</f>
        <v>948</v>
      </c>
    </row>
    <row r="309" spans="1:2" ht="19.95" customHeight="1" x14ac:dyDescent="0.3">
      <c r="A309" s="153">
        <v>0</v>
      </c>
      <c r="B309" s="153">
        <f>Tableau3[[#This Row],[Corrections]]+B308</f>
        <v>948</v>
      </c>
    </row>
    <row r="310" spans="1:2" ht="19.95" customHeight="1" x14ac:dyDescent="0.3">
      <c r="A310" s="153">
        <v>3</v>
      </c>
      <c r="B310" s="153">
        <f>Tableau3[[#This Row],[Corrections]]+B309</f>
        <v>951</v>
      </c>
    </row>
    <row r="311" spans="1:2" ht="19.95" customHeight="1" x14ac:dyDescent="0.3">
      <c r="A311" s="153">
        <v>1</v>
      </c>
      <c r="B311" s="153">
        <f>Tableau3[[#This Row],[Corrections]]+B310</f>
        <v>952</v>
      </c>
    </row>
    <row r="312" spans="1:2" ht="19.95" customHeight="1" x14ac:dyDescent="0.3">
      <c r="A312" s="153">
        <v>0</v>
      </c>
      <c r="B312" s="153">
        <f>Tableau3[[#This Row],[Corrections]]+B311</f>
        <v>952</v>
      </c>
    </row>
    <row r="313" spans="1:2" ht="19.95" customHeight="1" x14ac:dyDescent="0.3">
      <c r="A313" s="153">
        <v>0</v>
      </c>
      <c r="B313" s="153">
        <f>Tableau3[[#This Row],[Corrections]]+B312</f>
        <v>952</v>
      </c>
    </row>
    <row r="314" spans="1:2" ht="19.95" customHeight="1" x14ac:dyDescent="0.3">
      <c r="A314" s="153">
        <v>0</v>
      </c>
      <c r="B314" s="153">
        <f>Tableau3[[#This Row],[Corrections]]+B313</f>
        <v>952</v>
      </c>
    </row>
    <row r="315" spans="1:2" ht="19.95" customHeight="1" x14ac:dyDescent="0.3">
      <c r="A315" s="153">
        <v>2</v>
      </c>
      <c r="B315" s="153">
        <f>Tableau3[[#This Row],[Corrections]]+B314</f>
        <v>954</v>
      </c>
    </row>
    <row r="316" spans="1:2" ht="19.95" customHeight="1" x14ac:dyDescent="0.3">
      <c r="A316" s="153">
        <v>0</v>
      </c>
      <c r="B316" s="153">
        <f>Tableau3[[#This Row],[Corrections]]+B315</f>
        <v>954</v>
      </c>
    </row>
    <row r="317" spans="1:2" ht="19.95" customHeight="1" x14ac:dyDescent="0.3">
      <c r="A317" s="153">
        <v>0</v>
      </c>
      <c r="B317" s="153">
        <f>Tableau3[[#This Row],[Corrections]]+B316</f>
        <v>954</v>
      </c>
    </row>
    <row r="318" spans="1:2" ht="19.95" customHeight="1" x14ac:dyDescent="0.3">
      <c r="A318" s="153">
        <v>0</v>
      </c>
      <c r="B318" s="153">
        <f>Tableau3[[#This Row],[Corrections]]+B317</f>
        <v>954</v>
      </c>
    </row>
    <row r="319" spans="1:2" ht="19.95" customHeight="1" x14ac:dyDescent="0.3">
      <c r="A319" s="153">
        <v>0</v>
      </c>
      <c r="B319" s="153">
        <f>Tableau3[[#This Row],[Corrections]]+B318</f>
        <v>954</v>
      </c>
    </row>
    <row r="320" spans="1:2" ht="19.95" customHeight="1" x14ac:dyDescent="0.3">
      <c r="A320" s="153">
        <v>0</v>
      </c>
      <c r="B320" s="153">
        <f>Tableau3[[#This Row],[Corrections]]+B319</f>
        <v>954</v>
      </c>
    </row>
    <row r="321" spans="1:2" ht="19.95" customHeight="1" x14ac:dyDescent="0.3">
      <c r="A321" s="153">
        <v>3</v>
      </c>
      <c r="B321" s="153">
        <f>Tableau3[[#This Row],[Corrections]]+B320</f>
        <v>957</v>
      </c>
    </row>
    <row r="322" spans="1:2" ht="19.95" customHeight="1" x14ac:dyDescent="0.3">
      <c r="A322" s="153">
        <v>1</v>
      </c>
      <c r="B322" s="153">
        <f>Tableau3[[#This Row],[Corrections]]+B321</f>
        <v>958</v>
      </c>
    </row>
    <row r="323" spans="1:2" ht="19.95" customHeight="1" x14ac:dyDescent="0.3">
      <c r="A323" s="153">
        <v>1</v>
      </c>
      <c r="B323" s="153">
        <f>Tableau3[[#This Row],[Corrections]]+B322</f>
        <v>959</v>
      </c>
    </row>
    <row r="324" spans="1:2" ht="19.95" customHeight="1" x14ac:dyDescent="0.3">
      <c r="A324" s="153">
        <v>0</v>
      </c>
      <c r="B324" s="153">
        <f>Tableau3[[#This Row],[Corrections]]+B323</f>
        <v>959</v>
      </c>
    </row>
    <row r="325" spans="1:2" ht="19.95" customHeight="1" x14ac:dyDescent="0.3">
      <c r="A325" s="153">
        <v>0</v>
      </c>
      <c r="B325" s="153">
        <f>Tableau3[[#This Row],[Corrections]]+B324</f>
        <v>959</v>
      </c>
    </row>
    <row r="326" spans="1:2" ht="19.95" customHeight="1" x14ac:dyDescent="0.3">
      <c r="A326" s="153">
        <v>2</v>
      </c>
      <c r="B326" s="153">
        <f>Tableau3[[#This Row],[Corrections]]+B325</f>
        <v>961</v>
      </c>
    </row>
    <row r="327" spans="1:2" ht="19.95" customHeight="1" x14ac:dyDescent="0.3">
      <c r="A327" s="153">
        <v>2</v>
      </c>
      <c r="B327" s="153">
        <f>Tableau3[[#This Row],[Corrections]]+B326</f>
        <v>963</v>
      </c>
    </row>
    <row r="328" spans="1:2" ht="19.95" customHeight="1" x14ac:dyDescent="0.3">
      <c r="A328" s="153">
        <v>1</v>
      </c>
      <c r="B328" s="153">
        <f>Tableau3[[#This Row],[Corrections]]+B327</f>
        <v>964</v>
      </c>
    </row>
    <row r="329" spans="1:2" ht="19.95" customHeight="1" x14ac:dyDescent="0.3">
      <c r="A329" s="153">
        <v>3</v>
      </c>
      <c r="B329" s="153">
        <f>Tableau3[[#This Row],[Corrections]]+B328</f>
        <v>967</v>
      </c>
    </row>
    <row r="330" spans="1:2" ht="19.95" customHeight="1" x14ac:dyDescent="0.3">
      <c r="A330" s="153">
        <v>0</v>
      </c>
      <c r="B330" s="153">
        <f>Tableau3[[#This Row],[Corrections]]+B329</f>
        <v>967</v>
      </c>
    </row>
    <row r="331" spans="1:2" ht="19.95" customHeight="1" x14ac:dyDescent="0.3">
      <c r="A331" s="153">
        <v>0</v>
      </c>
      <c r="B331" s="153">
        <f>Tableau3[[#This Row],[Corrections]]+B330</f>
        <v>967</v>
      </c>
    </row>
    <row r="332" spans="1:2" ht="19.95" customHeight="1" x14ac:dyDescent="0.3">
      <c r="A332" s="153">
        <v>1</v>
      </c>
      <c r="B332" s="153">
        <f>Tableau3[[#This Row],[Corrections]]+B331</f>
        <v>968</v>
      </c>
    </row>
    <row r="333" spans="1:2" ht="19.95" customHeight="1" x14ac:dyDescent="0.3">
      <c r="A333" s="153">
        <v>1</v>
      </c>
      <c r="B333" s="153">
        <f>Tableau3[[#This Row],[Corrections]]+B332</f>
        <v>969</v>
      </c>
    </row>
    <row r="334" spans="1:2" ht="19.95" customHeight="1" x14ac:dyDescent="0.3">
      <c r="A334" s="153">
        <v>0</v>
      </c>
      <c r="B334" s="153">
        <f>Tableau3[[#This Row],[Corrections]]+B333</f>
        <v>969</v>
      </c>
    </row>
    <row r="335" spans="1:2" ht="19.95" customHeight="1" x14ac:dyDescent="0.3">
      <c r="A335" s="153">
        <v>0</v>
      </c>
      <c r="B335" s="153">
        <f>Tableau3[[#This Row],[Corrections]]+B334</f>
        <v>969</v>
      </c>
    </row>
    <row r="336" spans="1:2" ht="19.95" customHeight="1" x14ac:dyDescent="0.3">
      <c r="A336" s="153">
        <v>1</v>
      </c>
      <c r="B336" s="153">
        <f>Tableau3[[#This Row],[Corrections]]+B335</f>
        <v>970</v>
      </c>
    </row>
    <row r="337" spans="1:2" ht="19.95" customHeight="1" x14ac:dyDescent="0.3">
      <c r="A337" s="153">
        <v>0</v>
      </c>
      <c r="B337" s="153">
        <f>Tableau3[[#This Row],[Corrections]]+B336</f>
        <v>970</v>
      </c>
    </row>
    <row r="338" spans="1:2" ht="19.95" customHeight="1" x14ac:dyDescent="0.3">
      <c r="A338" s="153">
        <v>0</v>
      </c>
      <c r="B338" s="153">
        <f>Tableau3[[#This Row],[Corrections]]+B337</f>
        <v>970</v>
      </c>
    </row>
    <row r="339" spans="1:2" ht="19.95" customHeight="1" x14ac:dyDescent="0.3">
      <c r="A339" s="153">
        <v>3</v>
      </c>
      <c r="B339" s="153">
        <f>Tableau3[[#This Row],[Corrections]]+B338</f>
        <v>973</v>
      </c>
    </row>
    <row r="340" spans="1:2" ht="19.95" customHeight="1" x14ac:dyDescent="0.3">
      <c r="A340" s="153">
        <v>0</v>
      </c>
      <c r="B340" s="153">
        <f>Tableau3[[#This Row],[Corrections]]+B339</f>
        <v>973</v>
      </c>
    </row>
    <row r="341" spans="1:2" ht="19.95" customHeight="1" x14ac:dyDescent="0.3">
      <c r="A341" s="153">
        <v>1</v>
      </c>
      <c r="B341" s="153">
        <f>Tableau3[[#This Row],[Corrections]]+B340</f>
        <v>974</v>
      </c>
    </row>
    <row r="342" spans="1:2" ht="19.95" customHeight="1" x14ac:dyDescent="0.3">
      <c r="A342" s="153">
        <v>0</v>
      </c>
      <c r="B342" s="153">
        <f>Tableau3[[#This Row],[Corrections]]+B341</f>
        <v>974</v>
      </c>
    </row>
    <row r="343" spans="1:2" ht="19.95" customHeight="1" x14ac:dyDescent="0.3">
      <c r="A343" s="153">
        <v>0</v>
      </c>
      <c r="B343" s="153">
        <f>Tableau3[[#This Row],[Corrections]]+B342</f>
        <v>974</v>
      </c>
    </row>
    <row r="344" spans="1:2" ht="19.95" customHeight="1" x14ac:dyDescent="0.3">
      <c r="A344" s="153">
        <v>2</v>
      </c>
      <c r="B344" s="153">
        <f>Tableau3[[#This Row],[Corrections]]+B343</f>
        <v>976</v>
      </c>
    </row>
    <row r="345" spans="1:2" ht="19.95" customHeight="1" x14ac:dyDescent="0.3">
      <c r="A345" s="153">
        <v>1</v>
      </c>
      <c r="B345" s="153">
        <f>Tableau3[[#This Row],[Corrections]]+B344</f>
        <v>977</v>
      </c>
    </row>
    <row r="346" spans="1:2" ht="19.95" customHeight="1" x14ac:dyDescent="0.3">
      <c r="A346" s="153">
        <v>1</v>
      </c>
      <c r="B346" s="153">
        <f>Tableau3[[#This Row],[Corrections]]+B345</f>
        <v>978</v>
      </c>
    </row>
    <row r="347" spans="1:2" ht="19.95" customHeight="1" x14ac:dyDescent="0.3">
      <c r="A347" s="153">
        <v>1</v>
      </c>
      <c r="B347" s="153">
        <f>Tableau3[[#This Row],[Corrections]]+B346</f>
        <v>979</v>
      </c>
    </row>
    <row r="348" spans="1:2" ht="19.95" customHeight="1" x14ac:dyDescent="0.3">
      <c r="A348" s="153">
        <v>0</v>
      </c>
      <c r="B348" s="153">
        <f>Tableau3[[#This Row],[Corrections]]+B347</f>
        <v>979</v>
      </c>
    </row>
    <row r="349" spans="1:2" ht="19.95" customHeight="1" x14ac:dyDescent="0.3">
      <c r="A349" s="153">
        <v>1</v>
      </c>
      <c r="B349" s="153">
        <f>Tableau3[[#This Row],[Corrections]]+B348</f>
        <v>980</v>
      </c>
    </row>
    <row r="350" spans="1:2" ht="19.95" customHeight="1" x14ac:dyDescent="0.3">
      <c r="A350" s="153">
        <v>0</v>
      </c>
      <c r="B350" s="153">
        <f>Tableau3[[#This Row],[Corrections]]+B349</f>
        <v>980</v>
      </c>
    </row>
    <row r="351" spans="1:2" ht="19.95" customHeight="1" x14ac:dyDescent="0.3">
      <c r="A351" s="153">
        <v>0</v>
      </c>
      <c r="B351" s="153">
        <f>Tableau3[[#This Row],[Corrections]]+B350</f>
        <v>980</v>
      </c>
    </row>
    <row r="352" spans="1:2" ht="19.95" customHeight="1" x14ac:dyDescent="0.3">
      <c r="A352" s="153">
        <v>1</v>
      </c>
      <c r="B352" s="153">
        <f>Tableau3[[#This Row],[Corrections]]+B351</f>
        <v>981</v>
      </c>
    </row>
    <row r="353" spans="1:2" ht="19.95" customHeight="1" x14ac:dyDescent="0.3">
      <c r="A353" s="153">
        <v>1</v>
      </c>
      <c r="B353" s="153">
        <f>Tableau3[[#This Row],[Corrections]]+B352</f>
        <v>982</v>
      </c>
    </row>
    <row r="354" spans="1:2" ht="19.95" customHeight="1" x14ac:dyDescent="0.3">
      <c r="A354" s="153">
        <v>1</v>
      </c>
      <c r="B354" s="153">
        <f>Tableau3[[#This Row],[Corrections]]+B353</f>
        <v>983</v>
      </c>
    </row>
    <row r="355" spans="1:2" ht="19.95" customHeight="1" x14ac:dyDescent="0.3">
      <c r="A355" s="153">
        <v>1</v>
      </c>
      <c r="B355" s="153">
        <f>Tableau3[[#This Row],[Corrections]]+B354</f>
        <v>984</v>
      </c>
    </row>
    <row r="356" spans="1:2" ht="19.95" customHeight="1" x14ac:dyDescent="0.3">
      <c r="A356" s="153">
        <v>0</v>
      </c>
      <c r="B356" s="153">
        <f>Tableau3[[#This Row],[Corrections]]+B355</f>
        <v>984</v>
      </c>
    </row>
    <row r="357" spans="1:2" ht="19.95" customHeight="1" x14ac:dyDescent="0.3">
      <c r="A357" s="153">
        <v>0</v>
      </c>
      <c r="B357" s="153">
        <f>Tableau3[[#This Row],[Corrections]]+B356</f>
        <v>984</v>
      </c>
    </row>
    <row r="358" spans="1:2" ht="19.95" customHeight="1" x14ac:dyDescent="0.3">
      <c r="A358" s="153">
        <v>0</v>
      </c>
      <c r="B358" s="153">
        <f>Tableau3[[#This Row],[Corrections]]+B357</f>
        <v>984</v>
      </c>
    </row>
    <row r="359" spans="1:2" ht="19.95" customHeight="1" x14ac:dyDescent="0.3">
      <c r="A359" s="153">
        <v>0</v>
      </c>
      <c r="B359" s="153">
        <f>Tableau3[[#This Row],[Corrections]]+B358</f>
        <v>984</v>
      </c>
    </row>
    <row r="360" spans="1:2" ht="19.95" customHeight="1" x14ac:dyDescent="0.3">
      <c r="A360" s="153">
        <v>1</v>
      </c>
      <c r="B360" s="153">
        <f>Tableau3[[#This Row],[Corrections]]+B359</f>
        <v>985</v>
      </c>
    </row>
    <row r="361" spans="1:2" ht="19.95" customHeight="1" x14ac:dyDescent="0.3">
      <c r="A361" s="153">
        <v>0</v>
      </c>
      <c r="B361" s="153">
        <f>Tableau3[[#This Row],[Corrections]]+B360</f>
        <v>985</v>
      </c>
    </row>
    <row r="362" spans="1:2" ht="19.95" customHeight="1" x14ac:dyDescent="0.3">
      <c r="A362" s="153">
        <v>0</v>
      </c>
      <c r="B362" s="153">
        <f>Tableau3[[#This Row],[Corrections]]+B361</f>
        <v>985</v>
      </c>
    </row>
    <row r="363" spans="1:2" ht="19.95" customHeight="1" x14ac:dyDescent="0.3">
      <c r="A363" s="153">
        <v>2</v>
      </c>
      <c r="B363" s="153">
        <f>Tableau3[[#This Row],[Corrections]]+B362</f>
        <v>987</v>
      </c>
    </row>
    <row r="364" spans="1:2" ht="19.95" customHeight="1" x14ac:dyDescent="0.3">
      <c r="A364" s="153">
        <v>1</v>
      </c>
      <c r="B364" s="153">
        <f>Tableau3[[#This Row],[Corrections]]+B363</f>
        <v>988</v>
      </c>
    </row>
    <row r="365" spans="1:2" ht="19.95" customHeight="1" x14ac:dyDescent="0.3">
      <c r="A365" s="153">
        <v>1</v>
      </c>
      <c r="B365" s="153">
        <f>Tableau3[[#This Row],[Corrections]]+B364</f>
        <v>989</v>
      </c>
    </row>
    <row r="366" spans="1:2" ht="19.95" customHeight="1" x14ac:dyDescent="0.3">
      <c r="A366" s="153">
        <v>0</v>
      </c>
      <c r="B366" s="153">
        <f>Tableau3[[#This Row],[Corrections]]+B365</f>
        <v>989</v>
      </c>
    </row>
    <row r="367" spans="1:2" ht="19.95" customHeight="1" x14ac:dyDescent="0.3">
      <c r="A367" s="153">
        <v>1</v>
      </c>
      <c r="B367" s="153">
        <f>Tableau3[[#This Row],[Corrections]]+B366</f>
        <v>990</v>
      </c>
    </row>
    <row r="368" spans="1:2" ht="19.95" customHeight="1" x14ac:dyDescent="0.3">
      <c r="A368" s="153">
        <v>2</v>
      </c>
      <c r="B368" s="153">
        <f>Tableau3[[#This Row],[Corrections]]+B367</f>
        <v>992</v>
      </c>
    </row>
    <row r="369" spans="1:2" ht="19.95" customHeight="1" x14ac:dyDescent="0.3">
      <c r="A369" s="153">
        <v>1</v>
      </c>
      <c r="B369" s="153">
        <f>Tableau3[[#This Row],[Corrections]]+B368</f>
        <v>993</v>
      </c>
    </row>
    <row r="370" spans="1:2" ht="19.95" customHeight="1" x14ac:dyDescent="0.3">
      <c r="A370" s="153">
        <v>1</v>
      </c>
      <c r="B370" s="153">
        <f>Tableau3[[#This Row],[Corrections]]+B369</f>
        <v>994</v>
      </c>
    </row>
    <row r="371" spans="1:2" ht="19.95" customHeight="1" x14ac:dyDescent="0.3">
      <c r="A371" s="153">
        <v>0</v>
      </c>
      <c r="B371" s="153">
        <f>Tableau3[[#This Row],[Corrections]]+B370</f>
        <v>994</v>
      </c>
    </row>
    <row r="372" spans="1:2" ht="19.95" customHeight="1" x14ac:dyDescent="0.3">
      <c r="A372" s="153">
        <v>1</v>
      </c>
      <c r="B372" s="153">
        <f>Tableau3[[#This Row],[Corrections]]+B371</f>
        <v>995</v>
      </c>
    </row>
    <row r="373" spans="1:2" ht="19.95" customHeight="1" x14ac:dyDescent="0.3">
      <c r="A373" s="153">
        <v>0</v>
      </c>
      <c r="B373" s="153">
        <f>Tableau3[[#This Row],[Corrections]]+B372</f>
        <v>995</v>
      </c>
    </row>
    <row r="374" spans="1:2" ht="19.95" customHeight="1" x14ac:dyDescent="0.3">
      <c r="A374" s="153">
        <v>1</v>
      </c>
      <c r="B374" s="153">
        <f>Tableau3[[#This Row],[Corrections]]+B373</f>
        <v>996</v>
      </c>
    </row>
    <row r="375" spans="1:2" ht="19.95" customHeight="1" x14ac:dyDescent="0.3">
      <c r="A375" s="153">
        <v>1</v>
      </c>
      <c r="B375" s="153">
        <f>Tableau3[[#This Row],[Corrections]]+B374</f>
        <v>997</v>
      </c>
    </row>
    <row r="376" spans="1:2" ht="19.95" customHeight="1" x14ac:dyDescent="0.3">
      <c r="A376" s="153">
        <v>1</v>
      </c>
      <c r="B376" s="153">
        <f>Tableau3[[#This Row],[Corrections]]+B375</f>
        <v>998</v>
      </c>
    </row>
    <row r="377" spans="1:2" ht="19.95" customHeight="1" x14ac:dyDescent="0.3">
      <c r="A377" s="153">
        <v>0</v>
      </c>
      <c r="B377" s="153">
        <f>Tableau3[[#This Row],[Corrections]]+B376</f>
        <v>998</v>
      </c>
    </row>
    <row r="378" spans="1:2" ht="19.95" customHeight="1" x14ac:dyDescent="0.3">
      <c r="A378" s="153">
        <v>2</v>
      </c>
      <c r="B378" s="153">
        <f>Tableau3[[#This Row],[Corrections]]+B377</f>
        <v>1000</v>
      </c>
    </row>
    <row r="379" spans="1:2" ht="19.95" customHeight="1" x14ac:dyDescent="0.3">
      <c r="A379" s="153">
        <v>0</v>
      </c>
      <c r="B379" s="153">
        <f>Tableau3[[#This Row],[Corrections]]+B378</f>
        <v>1000</v>
      </c>
    </row>
    <row r="380" spans="1:2" ht="19.95" customHeight="1" x14ac:dyDescent="0.3">
      <c r="A380" s="153">
        <v>1</v>
      </c>
      <c r="B380" s="153">
        <f>Tableau3[[#This Row],[Corrections]]+B379</f>
        <v>1001</v>
      </c>
    </row>
    <row r="381" spans="1:2" ht="19.95" customHeight="1" x14ac:dyDescent="0.3">
      <c r="A381" s="153">
        <v>0</v>
      </c>
      <c r="B381" s="153">
        <f>Tableau3[[#This Row],[Corrections]]+B380</f>
        <v>1001</v>
      </c>
    </row>
    <row r="382" spans="1:2" ht="19.95" customHeight="1" x14ac:dyDescent="0.3">
      <c r="A382" s="153">
        <v>0</v>
      </c>
      <c r="B382" s="153">
        <f>Tableau3[[#This Row],[Corrections]]+B381</f>
        <v>1001</v>
      </c>
    </row>
    <row r="383" spans="1:2" ht="19.95" customHeight="1" x14ac:dyDescent="0.3">
      <c r="A383" s="153">
        <v>0</v>
      </c>
      <c r="B383" s="153">
        <f>Tableau3[[#This Row],[Corrections]]+B382</f>
        <v>1001</v>
      </c>
    </row>
    <row r="384" spans="1:2" ht="19.95" customHeight="1" x14ac:dyDescent="0.3">
      <c r="A384" s="153">
        <v>0</v>
      </c>
      <c r="B384" s="153">
        <f>Tableau3[[#This Row],[Corrections]]+B383</f>
        <v>1001</v>
      </c>
    </row>
    <row r="385" spans="1:2" ht="19.95" customHeight="1" x14ac:dyDescent="0.3">
      <c r="A385" s="153">
        <v>1</v>
      </c>
      <c r="B385" s="153">
        <f>Tableau3[[#This Row],[Corrections]]+B384</f>
        <v>1002</v>
      </c>
    </row>
    <row r="386" spans="1:2" ht="19.95" customHeight="1" x14ac:dyDescent="0.3">
      <c r="A386" s="153">
        <v>2</v>
      </c>
      <c r="B386" s="153">
        <f>Tableau3[[#This Row],[Corrections]]+B385</f>
        <v>1004</v>
      </c>
    </row>
    <row r="387" spans="1:2" ht="19.95" customHeight="1" x14ac:dyDescent="0.3">
      <c r="A387" s="153">
        <v>1</v>
      </c>
      <c r="B387" s="153">
        <f>Tableau3[[#This Row],[Corrections]]+B386</f>
        <v>1005</v>
      </c>
    </row>
    <row r="388" spans="1:2" ht="19.95" customHeight="1" x14ac:dyDescent="0.3">
      <c r="A388" s="153">
        <v>1</v>
      </c>
      <c r="B388" s="153">
        <f>Tableau3[[#This Row],[Corrections]]+B387</f>
        <v>1006</v>
      </c>
    </row>
    <row r="389" spans="1:2" ht="19.95" customHeight="1" x14ac:dyDescent="0.3">
      <c r="A389" s="153">
        <v>3</v>
      </c>
      <c r="B389" s="153">
        <f>Tableau3[[#This Row],[Corrections]]+B388</f>
        <v>1009</v>
      </c>
    </row>
    <row r="390" spans="1:2" ht="19.95" customHeight="1" x14ac:dyDescent="0.3">
      <c r="A390" s="153">
        <v>0</v>
      </c>
      <c r="B390" s="153">
        <f>Tableau3[[#This Row],[Corrections]]+B389</f>
        <v>1009</v>
      </c>
    </row>
    <row r="391" spans="1:2" ht="19.95" customHeight="1" x14ac:dyDescent="0.3">
      <c r="A391" s="153">
        <v>0</v>
      </c>
      <c r="B391" s="153">
        <f>Tableau3[[#This Row],[Corrections]]+B390</f>
        <v>1009</v>
      </c>
    </row>
    <row r="392" spans="1:2" ht="19.95" customHeight="1" x14ac:dyDescent="0.3">
      <c r="A392" s="153">
        <v>1</v>
      </c>
      <c r="B392" s="153">
        <f>Tableau3[[#This Row],[Corrections]]+B391</f>
        <v>1010</v>
      </c>
    </row>
    <row r="393" spans="1:2" ht="19.95" customHeight="1" x14ac:dyDescent="0.3">
      <c r="A393" s="153">
        <v>0</v>
      </c>
      <c r="B393" s="153">
        <f>Tableau3[[#This Row],[Corrections]]+B392</f>
        <v>1010</v>
      </c>
    </row>
    <row r="394" spans="1:2" ht="19.95" customHeight="1" x14ac:dyDescent="0.3">
      <c r="A394" s="153">
        <v>0</v>
      </c>
      <c r="B394" s="153">
        <f>Tableau3[[#This Row],[Corrections]]+B393</f>
        <v>1010</v>
      </c>
    </row>
    <row r="395" spans="1:2" ht="19.95" customHeight="1" x14ac:dyDescent="0.3">
      <c r="A395" s="153">
        <v>0</v>
      </c>
      <c r="B395" s="153">
        <f>Tableau3[[#This Row],[Corrections]]+B394</f>
        <v>1010</v>
      </c>
    </row>
    <row r="396" spans="1:2" ht="19.95" customHeight="1" x14ac:dyDescent="0.3">
      <c r="A396" s="153">
        <v>3</v>
      </c>
      <c r="B396" s="153">
        <f>Tableau3[[#This Row],[Corrections]]+B395</f>
        <v>1013</v>
      </c>
    </row>
    <row r="397" spans="1:2" ht="19.95" customHeight="1" x14ac:dyDescent="0.3">
      <c r="A397" s="153">
        <v>0</v>
      </c>
      <c r="B397" s="153">
        <f>Tableau3[[#This Row],[Corrections]]+B396</f>
        <v>1013</v>
      </c>
    </row>
    <row r="398" spans="1:2" ht="19.95" customHeight="1" x14ac:dyDescent="0.3">
      <c r="A398" s="153">
        <v>1</v>
      </c>
      <c r="B398" s="153">
        <f>Tableau3[[#This Row],[Corrections]]+B397</f>
        <v>1014</v>
      </c>
    </row>
    <row r="399" spans="1:2" ht="19.95" customHeight="1" x14ac:dyDescent="0.3">
      <c r="A399" s="153">
        <v>5</v>
      </c>
      <c r="B399" s="153">
        <f>Tableau3[[#This Row],[Corrections]]+B398</f>
        <v>1019</v>
      </c>
    </row>
    <row r="400" spans="1:2" ht="19.95" customHeight="1" x14ac:dyDescent="0.3">
      <c r="A400" s="153">
        <v>0</v>
      </c>
      <c r="B400" s="153">
        <f>Tableau3[[#This Row],[Corrections]]+B399</f>
        <v>1019</v>
      </c>
    </row>
    <row r="401" spans="1:2" ht="19.95" customHeight="1" x14ac:dyDescent="0.3">
      <c r="A401" s="153">
        <v>0</v>
      </c>
      <c r="B401" s="153">
        <f>Tableau3[[#This Row],[Corrections]]+B400</f>
        <v>1019</v>
      </c>
    </row>
    <row r="402" spans="1:2" ht="19.95" customHeight="1" x14ac:dyDescent="0.3">
      <c r="A402" s="153">
        <v>0</v>
      </c>
      <c r="B402" s="153">
        <f>Tableau3[[#This Row],[Corrections]]+B401</f>
        <v>1019</v>
      </c>
    </row>
    <row r="403" spans="1:2" ht="19.95" customHeight="1" x14ac:dyDescent="0.3">
      <c r="A403" s="153">
        <v>0</v>
      </c>
      <c r="B403" s="153">
        <f>Tableau3[[#This Row],[Corrections]]+B402</f>
        <v>1019</v>
      </c>
    </row>
    <row r="404" spans="1:2" ht="19.95" customHeight="1" x14ac:dyDescent="0.3">
      <c r="A404" s="153">
        <v>0</v>
      </c>
      <c r="B404" s="153">
        <f>Tableau3[[#This Row],[Corrections]]+B403</f>
        <v>1019</v>
      </c>
    </row>
    <row r="405" spans="1:2" ht="19.95" customHeight="1" x14ac:dyDescent="0.3">
      <c r="A405" s="153">
        <v>1</v>
      </c>
      <c r="B405" s="153">
        <f>Tableau3[[#This Row],[Corrections]]+B404</f>
        <v>1020</v>
      </c>
    </row>
    <row r="406" spans="1:2" ht="19.95" customHeight="1" x14ac:dyDescent="0.3">
      <c r="A406" s="153">
        <v>2</v>
      </c>
      <c r="B406" s="153">
        <f>Tableau3[[#This Row],[Corrections]]+B405</f>
        <v>1022</v>
      </c>
    </row>
    <row r="407" spans="1:2" ht="19.95" customHeight="1" x14ac:dyDescent="0.3">
      <c r="A407" s="153">
        <v>2</v>
      </c>
      <c r="B407" s="153">
        <f>Tableau3[[#This Row],[Corrections]]+B406</f>
        <v>1024</v>
      </c>
    </row>
    <row r="408" spans="1:2" ht="19.95" customHeight="1" x14ac:dyDescent="0.3">
      <c r="A408" s="153">
        <v>0</v>
      </c>
      <c r="B408" s="153">
        <f>Tableau3[[#This Row],[Corrections]]+B407</f>
        <v>1024</v>
      </c>
    </row>
    <row r="409" spans="1:2" ht="19.95" customHeight="1" x14ac:dyDescent="0.3">
      <c r="A409" s="153">
        <v>0</v>
      </c>
      <c r="B409" s="153">
        <f>Tableau3[[#This Row],[Corrections]]+B408</f>
        <v>1024</v>
      </c>
    </row>
    <row r="410" spans="1:2" ht="19.95" customHeight="1" x14ac:dyDescent="0.3">
      <c r="A410" s="153">
        <v>0</v>
      </c>
      <c r="B410" s="153">
        <f>Tableau3[[#This Row],[Corrections]]+B409</f>
        <v>1024</v>
      </c>
    </row>
    <row r="411" spans="1:2" ht="19.95" customHeight="1" x14ac:dyDescent="0.3">
      <c r="A411" s="153">
        <v>0</v>
      </c>
      <c r="B411" s="153">
        <f>Tableau3[[#This Row],[Corrections]]+B410</f>
        <v>1024</v>
      </c>
    </row>
    <row r="412" spans="1:2" ht="19.95" customHeight="1" x14ac:dyDescent="0.3">
      <c r="A412" s="153">
        <v>1</v>
      </c>
      <c r="B412" s="153">
        <f>Tableau3[[#This Row],[Corrections]]+B411</f>
        <v>1025</v>
      </c>
    </row>
    <row r="413" spans="1:2" ht="19.95" customHeight="1" x14ac:dyDescent="0.3">
      <c r="A413" s="153">
        <v>1</v>
      </c>
      <c r="B413" s="153">
        <f>Tableau3[[#This Row],[Corrections]]+B412</f>
        <v>1026</v>
      </c>
    </row>
    <row r="414" spans="1:2" ht="19.95" customHeight="1" x14ac:dyDescent="0.3">
      <c r="A414" s="153">
        <v>0</v>
      </c>
      <c r="B414" s="153">
        <f>Tableau3[[#This Row],[Corrections]]+B413</f>
        <v>1026</v>
      </c>
    </row>
    <row r="415" spans="1:2" ht="19.95" customHeight="1" x14ac:dyDescent="0.3">
      <c r="A415" s="153">
        <v>2</v>
      </c>
      <c r="B415" s="153">
        <f>Tableau3[[#This Row],[Corrections]]+B414</f>
        <v>1028</v>
      </c>
    </row>
    <row r="416" spans="1:2" ht="19.95" customHeight="1" x14ac:dyDescent="0.3">
      <c r="A416" s="153">
        <v>0</v>
      </c>
      <c r="B416" s="153">
        <f>Tableau3[[#This Row],[Corrections]]+B415</f>
        <v>1028</v>
      </c>
    </row>
    <row r="417" spans="1:2" ht="19.95" customHeight="1" x14ac:dyDescent="0.3">
      <c r="A417" s="153">
        <v>0</v>
      </c>
      <c r="B417" s="153">
        <f>Tableau3[[#This Row],[Corrections]]+B416</f>
        <v>1028</v>
      </c>
    </row>
    <row r="418" spans="1:2" ht="19.95" customHeight="1" x14ac:dyDescent="0.3">
      <c r="A418" s="153">
        <v>1</v>
      </c>
      <c r="B418" s="153">
        <f>Tableau3[[#This Row],[Corrections]]+B417</f>
        <v>1029</v>
      </c>
    </row>
    <row r="419" spans="1:2" ht="19.95" customHeight="1" x14ac:dyDescent="0.3">
      <c r="A419" s="153">
        <v>0</v>
      </c>
      <c r="B419" s="153">
        <f>Tableau3[[#This Row],[Corrections]]+B418</f>
        <v>1029</v>
      </c>
    </row>
    <row r="420" spans="1:2" ht="19.95" customHeight="1" x14ac:dyDescent="0.3">
      <c r="A420" s="153">
        <v>0</v>
      </c>
      <c r="B420" s="153">
        <f>Tableau3[[#This Row],[Corrections]]+B419</f>
        <v>1029</v>
      </c>
    </row>
    <row r="421" spans="1:2" ht="19.95" customHeight="1" x14ac:dyDescent="0.3">
      <c r="A421" s="153">
        <v>0</v>
      </c>
      <c r="B421" s="153">
        <f>Tableau3[[#This Row],[Corrections]]+B420</f>
        <v>1029</v>
      </c>
    </row>
    <row r="422" spans="1:2" ht="19.95" customHeight="1" x14ac:dyDescent="0.3">
      <c r="A422" s="153">
        <v>1</v>
      </c>
      <c r="B422" s="153">
        <f>Tableau3[[#This Row],[Corrections]]+B421</f>
        <v>1030</v>
      </c>
    </row>
    <row r="423" spans="1:2" ht="19.95" customHeight="1" x14ac:dyDescent="0.3">
      <c r="A423" s="153">
        <v>1</v>
      </c>
      <c r="B423" s="153">
        <f>Tableau3[[#This Row],[Corrections]]+B422</f>
        <v>1031</v>
      </c>
    </row>
    <row r="424" spans="1:2" ht="19.95" customHeight="1" x14ac:dyDescent="0.3">
      <c r="A424" s="153">
        <v>0</v>
      </c>
      <c r="B424" s="153">
        <f>Tableau3[[#This Row],[Corrections]]+B423</f>
        <v>1031</v>
      </c>
    </row>
    <row r="425" spans="1:2" ht="19.95" customHeight="1" x14ac:dyDescent="0.3">
      <c r="A425" s="153">
        <v>0</v>
      </c>
      <c r="B425" s="153">
        <f>Tableau3[[#This Row],[Corrections]]+B424</f>
        <v>1031</v>
      </c>
    </row>
    <row r="426" spans="1:2" ht="19.95" customHeight="1" x14ac:dyDescent="0.3">
      <c r="A426" s="153">
        <v>1</v>
      </c>
      <c r="B426" s="153">
        <f>Tableau3[[#This Row],[Corrections]]+B425</f>
        <v>1032</v>
      </c>
    </row>
    <row r="427" spans="1:2" ht="19.95" customHeight="1" x14ac:dyDescent="0.3">
      <c r="A427" s="153">
        <v>0</v>
      </c>
      <c r="B427" s="153">
        <f>Tableau3[[#This Row],[Corrections]]+B426</f>
        <v>1032</v>
      </c>
    </row>
    <row r="428" spans="1:2" ht="19.95" customHeight="1" x14ac:dyDescent="0.3">
      <c r="A428" s="153">
        <v>0</v>
      </c>
      <c r="B428" s="153">
        <f>Tableau3[[#This Row],[Corrections]]+B427</f>
        <v>1032</v>
      </c>
    </row>
    <row r="429" spans="1:2" ht="19.95" customHeight="1" x14ac:dyDescent="0.3">
      <c r="A429" s="153">
        <v>1</v>
      </c>
      <c r="B429" s="153">
        <f>Tableau3[[#This Row],[Corrections]]+B428</f>
        <v>1033</v>
      </c>
    </row>
    <row r="430" spans="1:2" ht="19.95" customHeight="1" x14ac:dyDescent="0.3">
      <c r="A430" s="153">
        <v>0</v>
      </c>
      <c r="B430" s="153">
        <f>Tableau3[[#This Row],[Corrections]]+B429</f>
        <v>1033</v>
      </c>
    </row>
    <row r="431" spans="1:2" ht="19.95" customHeight="1" x14ac:dyDescent="0.3">
      <c r="A431" s="153">
        <v>0</v>
      </c>
      <c r="B431" s="153">
        <f>Tableau3[[#This Row],[Corrections]]+B430</f>
        <v>1033</v>
      </c>
    </row>
    <row r="432" spans="1:2" ht="19.95" customHeight="1" x14ac:dyDescent="0.3">
      <c r="A432" s="153">
        <v>0</v>
      </c>
      <c r="B432" s="153">
        <f>Tableau3[[#This Row],[Corrections]]+B431</f>
        <v>1033</v>
      </c>
    </row>
    <row r="433" spans="1:2" ht="19.95" customHeight="1" x14ac:dyDescent="0.3">
      <c r="A433" s="153">
        <v>1</v>
      </c>
      <c r="B433" s="153">
        <f>Tableau3[[#This Row],[Corrections]]+B432</f>
        <v>1034</v>
      </c>
    </row>
    <row r="434" spans="1:2" ht="19.95" customHeight="1" x14ac:dyDescent="0.3">
      <c r="A434" s="153">
        <v>0</v>
      </c>
      <c r="B434" s="153">
        <f>Tableau3[[#This Row],[Corrections]]+B433</f>
        <v>1034</v>
      </c>
    </row>
    <row r="435" spans="1:2" ht="19.95" customHeight="1" x14ac:dyDescent="0.3">
      <c r="A435" s="153">
        <v>0</v>
      </c>
      <c r="B435" s="153">
        <f>Tableau3[[#This Row],[Corrections]]+B434</f>
        <v>1034</v>
      </c>
    </row>
    <row r="436" spans="1:2" ht="19.95" customHeight="1" x14ac:dyDescent="0.3">
      <c r="A436" s="153">
        <v>0</v>
      </c>
      <c r="B436" s="153">
        <f>Tableau3[[#This Row],[Corrections]]+B435</f>
        <v>1034</v>
      </c>
    </row>
    <row r="437" spans="1:2" ht="19.95" customHeight="1" x14ac:dyDescent="0.3">
      <c r="A437" s="153">
        <v>1</v>
      </c>
      <c r="B437" s="153">
        <f>Tableau3[[#This Row],[Corrections]]+B436</f>
        <v>1035</v>
      </c>
    </row>
    <row r="438" spans="1:2" ht="19.95" customHeight="1" x14ac:dyDescent="0.3">
      <c r="A438" s="153">
        <v>0</v>
      </c>
      <c r="B438" s="153">
        <f>Tableau3[[#This Row],[Corrections]]+B437</f>
        <v>1035</v>
      </c>
    </row>
    <row r="439" spans="1:2" ht="19.95" customHeight="1" x14ac:dyDescent="0.3">
      <c r="A439" s="153">
        <v>0</v>
      </c>
      <c r="B439" s="153">
        <f>Tableau3[[#This Row],[Corrections]]+B438</f>
        <v>1035</v>
      </c>
    </row>
    <row r="440" spans="1:2" ht="19.95" customHeight="1" x14ac:dyDescent="0.3">
      <c r="A440" s="153">
        <v>1</v>
      </c>
      <c r="B440" s="153">
        <f>Tableau3[[#This Row],[Corrections]]+B439</f>
        <v>1036</v>
      </c>
    </row>
    <row r="441" spans="1:2" ht="19.95" customHeight="1" x14ac:dyDescent="0.3">
      <c r="A441" s="153">
        <v>0</v>
      </c>
      <c r="B441" s="153">
        <f>Tableau3[[#This Row],[Corrections]]+B440</f>
        <v>1036</v>
      </c>
    </row>
    <row r="442" spans="1:2" ht="19.95" customHeight="1" x14ac:dyDescent="0.3">
      <c r="A442" s="153">
        <v>2</v>
      </c>
      <c r="B442" s="153">
        <f>Tableau3[[#This Row],[Corrections]]+B441</f>
        <v>1038</v>
      </c>
    </row>
    <row r="443" spans="1:2" ht="19.95" customHeight="1" x14ac:dyDescent="0.3">
      <c r="A443" s="153">
        <v>0</v>
      </c>
      <c r="B443" s="153">
        <f>Tableau3[[#This Row],[Corrections]]+B442</f>
        <v>1038</v>
      </c>
    </row>
    <row r="444" spans="1:2" ht="19.95" customHeight="1" x14ac:dyDescent="0.3">
      <c r="A444" s="153">
        <v>0</v>
      </c>
      <c r="B444" s="153">
        <f>Tableau3[[#This Row],[Corrections]]+B443</f>
        <v>1038</v>
      </c>
    </row>
    <row r="445" spans="1:2" ht="19.95" customHeight="1" x14ac:dyDescent="0.3">
      <c r="A445" s="153">
        <v>1</v>
      </c>
      <c r="B445" s="153">
        <f>Tableau3[[#This Row],[Corrections]]+B444</f>
        <v>1039</v>
      </c>
    </row>
    <row r="446" spans="1:2" ht="19.95" customHeight="1" x14ac:dyDescent="0.3">
      <c r="A446" s="153">
        <v>0</v>
      </c>
      <c r="B446" s="153">
        <f>Tableau3[[#This Row],[Corrections]]+B445</f>
        <v>1039</v>
      </c>
    </row>
    <row r="447" spans="1:2" ht="19.95" customHeight="1" x14ac:dyDescent="0.3">
      <c r="A447" s="153">
        <v>1</v>
      </c>
      <c r="B447" s="153">
        <f>Tableau3[[#This Row],[Corrections]]+B446</f>
        <v>1040</v>
      </c>
    </row>
    <row r="448" spans="1:2" ht="19.95" customHeight="1" x14ac:dyDescent="0.3">
      <c r="A448" s="153">
        <v>2</v>
      </c>
      <c r="B448" s="153">
        <f>Tableau3[[#This Row],[Corrections]]+B447</f>
        <v>1042</v>
      </c>
    </row>
    <row r="449" spans="1:2" ht="19.95" customHeight="1" x14ac:dyDescent="0.3">
      <c r="A449" s="153">
        <v>1</v>
      </c>
      <c r="B449" s="153">
        <f>Tableau3[[#This Row],[Corrections]]+B448</f>
        <v>1043</v>
      </c>
    </row>
    <row r="450" spans="1:2" ht="19.95" customHeight="1" x14ac:dyDescent="0.3">
      <c r="A450" s="153">
        <v>0</v>
      </c>
      <c r="B450" s="153">
        <f>Tableau3[[#This Row],[Corrections]]+B449</f>
        <v>1043</v>
      </c>
    </row>
    <row r="451" spans="1:2" ht="19.95" customHeight="1" x14ac:dyDescent="0.3">
      <c r="A451" s="153">
        <v>1</v>
      </c>
      <c r="B451" s="153">
        <f>Tableau3[[#This Row],[Corrections]]+B450</f>
        <v>1044</v>
      </c>
    </row>
    <row r="452" spans="1:2" ht="19.95" customHeight="1" x14ac:dyDescent="0.3">
      <c r="A452" s="153">
        <v>1</v>
      </c>
      <c r="B452" s="153">
        <f>Tableau3[[#This Row],[Corrections]]+B451</f>
        <v>1045</v>
      </c>
    </row>
    <row r="453" spans="1:2" ht="19.95" customHeight="1" x14ac:dyDescent="0.3">
      <c r="A453" s="153">
        <v>1</v>
      </c>
      <c r="B453" s="153">
        <f>Tableau3[[#This Row],[Corrections]]+B452</f>
        <v>1046</v>
      </c>
    </row>
    <row r="454" spans="1:2" ht="19.95" customHeight="1" x14ac:dyDescent="0.3">
      <c r="A454" s="153">
        <v>0</v>
      </c>
      <c r="B454" s="153">
        <f>Tableau3[[#This Row],[Corrections]]+B453</f>
        <v>1046</v>
      </c>
    </row>
    <row r="455" spans="1:2" ht="19.95" customHeight="1" x14ac:dyDescent="0.3">
      <c r="A455" s="153">
        <v>0</v>
      </c>
      <c r="B455" s="153">
        <f>Tableau3[[#This Row],[Corrections]]+B454</f>
        <v>1046</v>
      </c>
    </row>
    <row r="456" spans="1:2" ht="19.95" customHeight="1" x14ac:dyDescent="0.3">
      <c r="A456" s="153">
        <v>3</v>
      </c>
      <c r="B456" s="153">
        <f>Tableau3[[#This Row],[Corrections]]+B455</f>
        <v>1049</v>
      </c>
    </row>
    <row r="457" spans="1:2" ht="19.95" customHeight="1" x14ac:dyDescent="0.3">
      <c r="A457" s="153">
        <v>2</v>
      </c>
      <c r="B457" s="153">
        <f>Tableau3[[#This Row],[Corrections]]+B456</f>
        <v>1051</v>
      </c>
    </row>
    <row r="458" spans="1:2" ht="19.95" customHeight="1" x14ac:dyDescent="0.3">
      <c r="A458" s="153">
        <v>0</v>
      </c>
      <c r="B458" s="153">
        <f>Tableau3[[#This Row],[Corrections]]+B457</f>
        <v>1051</v>
      </c>
    </row>
    <row r="459" spans="1:2" ht="19.95" customHeight="1" x14ac:dyDescent="0.3">
      <c r="A459" s="153">
        <v>0</v>
      </c>
      <c r="B459" s="153">
        <f>Tableau3[[#This Row],[Corrections]]+B458</f>
        <v>1051</v>
      </c>
    </row>
    <row r="460" spans="1:2" ht="19.95" customHeight="1" x14ac:dyDescent="0.3">
      <c r="A460" s="153">
        <v>0</v>
      </c>
      <c r="B460" s="153">
        <f>Tableau3[[#This Row],[Corrections]]+B459</f>
        <v>1051</v>
      </c>
    </row>
    <row r="461" spans="1:2" ht="19.95" customHeight="1" x14ac:dyDescent="0.3">
      <c r="A461" s="153">
        <v>0</v>
      </c>
      <c r="B461" s="153">
        <f>Tableau3[[#This Row],[Corrections]]+B460</f>
        <v>1051</v>
      </c>
    </row>
    <row r="462" spans="1:2" ht="19.95" customHeight="1" x14ac:dyDescent="0.3">
      <c r="A462" s="153">
        <v>1</v>
      </c>
      <c r="B462" s="153">
        <f>Tableau3[[#This Row],[Corrections]]+B461</f>
        <v>1052</v>
      </c>
    </row>
    <row r="463" spans="1:2" ht="19.95" customHeight="1" x14ac:dyDescent="0.3">
      <c r="A463" s="153">
        <v>2</v>
      </c>
      <c r="B463" s="153">
        <f>Tableau3[[#This Row],[Corrections]]+B462</f>
        <v>1054</v>
      </c>
    </row>
    <row r="464" spans="1:2" ht="19.95" customHeight="1" x14ac:dyDescent="0.3">
      <c r="A464" s="153">
        <v>1</v>
      </c>
      <c r="B464" s="153">
        <f>Tableau3[[#This Row],[Corrections]]+B463</f>
        <v>1055</v>
      </c>
    </row>
    <row r="465" spans="1:2" ht="19.95" customHeight="1" x14ac:dyDescent="0.3">
      <c r="A465" s="153">
        <v>0</v>
      </c>
      <c r="B465" s="153">
        <f>Tableau3[[#This Row],[Corrections]]+B464</f>
        <v>1055</v>
      </c>
    </row>
    <row r="466" spans="1:2" ht="19.95" customHeight="1" x14ac:dyDescent="0.3">
      <c r="A466" s="153">
        <v>0</v>
      </c>
      <c r="B466" s="153">
        <f>Tableau3[[#This Row],[Corrections]]+B465</f>
        <v>1055</v>
      </c>
    </row>
    <row r="467" spans="1:2" ht="19.95" customHeight="1" x14ac:dyDescent="0.3">
      <c r="A467" s="153">
        <v>0</v>
      </c>
      <c r="B467" s="153">
        <f>Tableau3[[#This Row],[Corrections]]+B466</f>
        <v>1055</v>
      </c>
    </row>
    <row r="468" spans="1:2" ht="19.95" customHeight="1" x14ac:dyDescent="0.3">
      <c r="A468" s="153">
        <v>0</v>
      </c>
      <c r="B468" s="153">
        <f>Tableau3[[#This Row],[Corrections]]+B467</f>
        <v>1055</v>
      </c>
    </row>
    <row r="469" spans="1:2" ht="19.95" customHeight="1" x14ac:dyDescent="0.3">
      <c r="A469" s="153">
        <v>0</v>
      </c>
      <c r="B469" s="153">
        <f>Tableau3[[#This Row],[Corrections]]+B468</f>
        <v>1055</v>
      </c>
    </row>
    <row r="470" spans="1:2" ht="19.95" customHeight="1" x14ac:dyDescent="0.3">
      <c r="A470" s="153">
        <v>0</v>
      </c>
      <c r="B470" s="153">
        <f>Tableau3[[#This Row],[Corrections]]+B469</f>
        <v>1055</v>
      </c>
    </row>
    <row r="471" spans="1:2" ht="19.95" customHeight="1" x14ac:dyDescent="0.3">
      <c r="A471" s="153">
        <v>1</v>
      </c>
      <c r="B471" s="153">
        <f>Tableau3[[#This Row],[Corrections]]+B470</f>
        <v>1056</v>
      </c>
    </row>
    <row r="472" spans="1:2" ht="19.95" customHeight="1" x14ac:dyDescent="0.3">
      <c r="A472" s="153">
        <v>0</v>
      </c>
      <c r="B472" s="153">
        <f>Tableau3[[#This Row],[Corrections]]+B471</f>
        <v>1056</v>
      </c>
    </row>
    <row r="473" spans="1:2" ht="19.95" customHeight="1" x14ac:dyDescent="0.3">
      <c r="A473" s="153">
        <v>0</v>
      </c>
      <c r="B473" s="153">
        <f>Tableau3[[#This Row],[Corrections]]+B472</f>
        <v>1056</v>
      </c>
    </row>
    <row r="474" spans="1:2" ht="19.95" customHeight="1" x14ac:dyDescent="0.3">
      <c r="A474" s="153">
        <v>0</v>
      </c>
      <c r="B474" s="153">
        <f>Tableau3[[#This Row],[Corrections]]+B473</f>
        <v>1056</v>
      </c>
    </row>
    <row r="475" spans="1:2" ht="19.95" customHeight="1" x14ac:dyDescent="0.3">
      <c r="A475" s="153">
        <v>0</v>
      </c>
      <c r="B475" s="153">
        <f>Tableau3[[#This Row],[Corrections]]+B474</f>
        <v>1056</v>
      </c>
    </row>
    <row r="476" spans="1:2" ht="19.95" customHeight="1" x14ac:dyDescent="0.3">
      <c r="A476" s="153">
        <v>1</v>
      </c>
      <c r="B476" s="153">
        <f>Tableau3[[#This Row],[Corrections]]+B475</f>
        <v>1057</v>
      </c>
    </row>
    <row r="477" spans="1:2" ht="19.95" customHeight="1" x14ac:dyDescent="0.3">
      <c r="A477" s="153">
        <v>0</v>
      </c>
      <c r="B477" s="153">
        <f>Tableau3[[#This Row],[Corrections]]+B476</f>
        <v>1057</v>
      </c>
    </row>
    <row r="478" spans="1:2" ht="19.95" customHeight="1" x14ac:dyDescent="0.3">
      <c r="A478" s="153">
        <v>2</v>
      </c>
      <c r="B478" s="153">
        <f>Tableau3[[#This Row],[Corrections]]+B477</f>
        <v>1059</v>
      </c>
    </row>
    <row r="479" spans="1:2" ht="19.95" customHeight="1" x14ac:dyDescent="0.3">
      <c r="A479" s="153">
        <v>0</v>
      </c>
      <c r="B479" s="153">
        <f>Tableau3[[#This Row],[Corrections]]+B478</f>
        <v>1059</v>
      </c>
    </row>
    <row r="480" spans="1:2" ht="19.95" customHeight="1" x14ac:dyDescent="0.3">
      <c r="A480" s="153">
        <v>0</v>
      </c>
      <c r="B480" s="153">
        <f>Tableau3[[#This Row],[Corrections]]+B479</f>
        <v>1059</v>
      </c>
    </row>
    <row r="481" spans="1:2" ht="19.95" customHeight="1" x14ac:dyDescent="0.3">
      <c r="A481" s="153">
        <v>1</v>
      </c>
      <c r="B481" s="153">
        <f>Tableau3[[#This Row],[Corrections]]+B480</f>
        <v>1060</v>
      </c>
    </row>
    <row r="482" spans="1:2" ht="19.95" customHeight="1" x14ac:dyDescent="0.3">
      <c r="A482" s="153">
        <v>2</v>
      </c>
      <c r="B482" s="153">
        <f>Tableau3[[#This Row],[Corrections]]+B481</f>
        <v>1062</v>
      </c>
    </row>
    <row r="483" spans="1:2" ht="19.95" customHeight="1" x14ac:dyDescent="0.3">
      <c r="A483" s="153">
        <v>0</v>
      </c>
      <c r="B483" s="153">
        <f>Tableau3[[#This Row],[Corrections]]+B482</f>
        <v>1062</v>
      </c>
    </row>
    <row r="484" spans="1:2" ht="19.95" customHeight="1" x14ac:dyDescent="0.3">
      <c r="A484" s="153">
        <v>1</v>
      </c>
      <c r="B484" s="153">
        <f>Tableau3[[#This Row],[Corrections]]+B483</f>
        <v>1063</v>
      </c>
    </row>
    <row r="485" spans="1:2" ht="19.95" customHeight="1" x14ac:dyDescent="0.3">
      <c r="A485" s="153">
        <v>0</v>
      </c>
      <c r="B485" s="153">
        <f>Tableau3[[#This Row],[Corrections]]+B484</f>
        <v>1063</v>
      </c>
    </row>
    <row r="486" spans="1:2" ht="19.95" customHeight="1" x14ac:dyDescent="0.3">
      <c r="A486" s="153">
        <v>0</v>
      </c>
      <c r="B486" s="153">
        <f>Tableau3[[#This Row],[Corrections]]+B485</f>
        <v>1063</v>
      </c>
    </row>
    <row r="487" spans="1:2" ht="19.95" customHeight="1" x14ac:dyDescent="0.3">
      <c r="A487" s="153">
        <v>0</v>
      </c>
      <c r="B487" s="153">
        <f>Tableau3[[#This Row],[Corrections]]+B486</f>
        <v>1063</v>
      </c>
    </row>
    <row r="488" spans="1:2" ht="19.95" customHeight="1" x14ac:dyDescent="0.3">
      <c r="A488" s="153">
        <v>0</v>
      </c>
      <c r="B488" s="153">
        <f>Tableau3[[#This Row],[Corrections]]+B487</f>
        <v>1063</v>
      </c>
    </row>
    <row r="489" spans="1:2" ht="19.95" customHeight="1" x14ac:dyDescent="0.3">
      <c r="A489" s="153">
        <v>0</v>
      </c>
      <c r="B489" s="153">
        <f>Tableau3[[#This Row],[Corrections]]+B488</f>
        <v>1063</v>
      </c>
    </row>
    <row r="490" spans="1:2" ht="19.95" customHeight="1" x14ac:dyDescent="0.3">
      <c r="A490" s="153">
        <v>0</v>
      </c>
      <c r="B490" s="153">
        <f>Tableau3[[#This Row],[Corrections]]+B489</f>
        <v>1063</v>
      </c>
    </row>
    <row r="491" spans="1:2" ht="19.95" customHeight="1" x14ac:dyDescent="0.3">
      <c r="A491" s="153">
        <v>0</v>
      </c>
      <c r="B491" s="153">
        <f>Tableau3[[#This Row],[Corrections]]+B490</f>
        <v>1063</v>
      </c>
    </row>
    <row r="492" spans="1:2" ht="19.95" customHeight="1" x14ac:dyDescent="0.3">
      <c r="A492" s="153">
        <v>2</v>
      </c>
      <c r="B492" s="153">
        <f>Tableau3[[#This Row],[Corrections]]+B491</f>
        <v>1065</v>
      </c>
    </row>
    <row r="493" spans="1:2" ht="19.95" customHeight="1" x14ac:dyDescent="0.3">
      <c r="A493" s="153">
        <v>0</v>
      </c>
      <c r="B493" s="153">
        <f>Tableau3[[#This Row],[Corrections]]+B492</f>
        <v>1065</v>
      </c>
    </row>
    <row r="494" spans="1:2" ht="19.95" customHeight="1" x14ac:dyDescent="0.3">
      <c r="A494" s="153">
        <v>1</v>
      </c>
      <c r="B494" s="153">
        <f>Tableau3[[#This Row],[Corrections]]+B493</f>
        <v>1066</v>
      </c>
    </row>
    <row r="495" spans="1:2" ht="19.95" customHeight="1" x14ac:dyDescent="0.3">
      <c r="A495" s="153">
        <v>1</v>
      </c>
      <c r="B495" s="153">
        <f>Tableau3[[#This Row],[Corrections]]+B494</f>
        <v>1067</v>
      </c>
    </row>
    <row r="496" spans="1:2" ht="19.95" customHeight="1" x14ac:dyDescent="0.3">
      <c r="A496" s="153">
        <v>1</v>
      </c>
      <c r="B496" s="153">
        <f>Tableau3[[#This Row],[Corrections]]+B495</f>
        <v>1068</v>
      </c>
    </row>
    <row r="497" spans="1:2" ht="19.95" customHeight="1" x14ac:dyDescent="0.3">
      <c r="A497" s="153">
        <v>1</v>
      </c>
      <c r="B497" s="153">
        <f>Tableau3[[#This Row],[Corrections]]+B496</f>
        <v>1069</v>
      </c>
    </row>
    <row r="498" spans="1:2" ht="19.95" customHeight="1" x14ac:dyDescent="0.3">
      <c r="A498" s="153">
        <v>0</v>
      </c>
      <c r="B498" s="153">
        <f>Tableau3[[#This Row],[Corrections]]+B497</f>
        <v>1069</v>
      </c>
    </row>
    <row r="499" spans="1:2" ht="19.95" customHeight="1" x14ac:dyDescent="0.3">
      <c r="A499" s="153">
        <v>0</v>
      </c>
      <c r="B499" s="153">
        <f>Tableau3[[#This Row],[Corrections]]+B498</f>
        <v>1069</v>
      </c>
    </row>
    <row r="500" spans="1:2" ht="19.95" customHeight="1" x14ac:dyDescent="0.3">
      <c r="A500" s="153">
        <v>1</v>
      </c>
      <c r="B500" s="153">
        <f>Tableau3[[#This Row],[Corrections]]+B499</f>
        <v>1070</v>
      </c>
    </row>
    <row r="501" spans="1:2" ht="19.95" customHeight="1" x14ac:dyDescent="0.3">
      <c r="A501" s="153">
        <v>2</v>
      </c>
      <c r="B501" s="153">
        <f>Tableau3[[#This Row],[Corrections]]+B500</f>
        <v>1072</v>
      </c>
    </row>
    <row r="502" spans="1:2" ht="19.95" customHeight="1" x14ac:dyDescent="0.3">
      <c r="A502" s="153">
        <v>1</v>
      </c>
      <c r="B502" s="153">
        <f>Tableau3[[#This Row],[Corrections]]+B501</f>
        <v>1073</v>
      </c>
    </row>
    <row r="503" spans="1:2" ht="19.95" customHeight="1" x14ac:dyDescent="0.3">
      <c r="A503" s="153">
        <v>0</v>
      </c>
      <c r="B503" s="153">
        <f>Tableau3[[#This Row],[Corrections]]+B502</f>
        <v>1073</v>
      </c>
    </row>
    <row r="504" spans="1:2" ht="19.95" customHeight="1" x14ac:dyDescent="0.3">
      <c r="A504" s="153">
        <v>0</v>
      </c>
      <c r="B504" s="153">
        <f>Tableau3[[#This Row],[Corrections]]+B503</f>
        <v>1073</v>
      </c>
    </row>
    <row r="505" spans="1:2" ht="19.95" customHeight="1" x14ac:dyDescent="0.3">
      <c r="A505" s="153">
        <v>0</v>
      </c>
      <c r="B505" s="153">
        <f>Tableau3[[#This Row],[Corrections]]+B504</f>
        <v>1073</v>
      </c>
    </row>
    <row r="506" spans="1:2" ht="19.95" customHeight="1" x14ac:dyDescent="0.3">
      <c r="A506" s="153">
        <v>1</v>
      </c>
      <c r="B506" s="153">
        <f>Tableau3[[#This Row],[Corrections]]+B505</f>
        <v>1074</v>
      </c>
    </row>
    <row r="507" spans="1:2" ht="19.95" customHeight="1" x14ac:dyDescent="0.3">
      <c r="A507" s="153">
        <v>0</v>
      </c>
      <c r="B507" s="153">
        <f>Tableau3[[#This Row],[Corrections]]+B506</f>
        <v>1074</v>
      </c>
    </row>
    <row r="508" spans="1:2" ht="19.95" customHeight="1" x14ac:dyDescent="0.3">
      <c r="A508" s="153">
        <v>2</v>
      </c>
      <c r="B508" s="153">
        <f>Tableau3[[#This Row],[Corrections]]+B507</f>
        <v>1076</v>
      </c>
    </row>
    <row r="509" spans="1:2" ht="19.95" customHeight="1" x14ac:dyDescent="0.3">
      <c r="A509" s="153">
        <v>1</v>
      </c>
      <c r="B509" s="153">
        <f>Tableau3[[#This Row],[Corrections]]+B508</f>
        <v>1077</v>
      </c>
    </row>
    <row r="510" spans="1:2" ht="19.95" customHeight="1" x14ac:dyDescent="0.3">
      <c r="A510" s="153">
        <v>0</v>
      </c>
      <c r="B510" s="153">
        <f>Tableau3[[#This Row],[Corrections]]+B509</f>
        <v>1077</v>
      </c>
    </row>
    <row r="511" spans="1:2" ht="19.95" customHeight="1" x14ac:dyDescent="0.3">
      <c r="A511" s="153">
        <v>0</v>
      </c>
      <c r="B511" s="153">
        <f>Tableau3[[#This Row],[Corrections]]+B510</f>
        <v>1077</v>
      </c>
    </row>
    <row r="512" spans="1:2" ht="19.95" customHeight="1" x14ac:dyDescent="0.3">
      <c r="A512" s="153">
        <v>0</v>
      </c>
      <c r="B512" s="153">
        <f>Tableau3[[#This Row],[Corrections]]+B511</f>
        <v>1077</v>
      </c>
    </row>
    <row r="513" spans="1:2" ht="19.95" customHeight="1" x14ac:dyDescent="0.3">
      <c r="A513" s="153">
        <v>1</v>
      </c>
      <c r="B513" s="153">
        <f>Tableau3[[#This Row],[Corrections]]+B512</f>
        <v>1078</v>
      </c>
    </row>
    <row r="514" spans="1:2" ht="19.95" customHeight="1" x14ac:dyDescent="0.3">
      <c r="A514" s="153">
        <v>2</v>
      </c>
      <c r="B514" s="153">
        <f>Tableau3[[#This Row],[Corrections]]+B513</f>
        <v>1080</v>
      </c>
    </row>
    <row r="515" spans="1:2" ht="19.95" customHeight="1" x14ac:dyDescent="0.3">
      <c r="A515" s="153">
        <v>1</v>
      </c>
      <c r="B515" s="153">
        <f>Tableau3[[#This Row],[Corrections]]+B514</f>
        <v>1081</v>
      </c>
    </row>
    <row r="516" spans="1:2" ht="19.95" customHeight="1" x14ac:dyDescent="0.3">
      <c r="A516" s="153">
        <v>0</v>
      </c>
      <c r="B516" s="153">
        <f>Tableau3[[#This Row],[Corrections]]+B515</f>
        <v>1081</v>
      </c>
    </row>
    <row r="517" spans="1:2" ht="19.95" customHeight="1" x14ac:dyDescent="0.3">
      <c r="A517" s="153">
        <v>0</v>
      </c>
      <c r="B517" s="153">
        <f>Tableau3[[#This Row],[Corrections]]+B516</f>
        <v>1081</v>
      </c>
    </row>
    <row r="518" spans="1:2" ht="19.95" customHeight="1" x14ac:dyDescent="0.3">
      <c r="A518" s="153">
        <v>1</v>
      </c>
      <c r="B518" s="153">
        <f>Tableau3[[#This Row],[Corrections]]+B517</f>
        <v>1082</v>
      </c>
    </row>
    <row r="519" spans="1:2" ht="19.95" customHeight="1" x14ac:dyDescent="0.3">
      <c r="A519" s="153">
        <v>0</v>
      </c>
      <c r="B519" s="153">
        <f>Tableau3[[#This Row],[Corrections]]+B518</f>
        <v>1082</v>
      </c>
    </row>
    <row r="520" spans="1:2" ht="19.95" customHeight="1" x14ac:dyDescent="0.3">
      <c r="A520" s="153">
        <v>1</v>
      </c>
      <c r="B520" s="153">
        <f>Tableau3[[#This Row],[Corrections]]+B519</f>
        <v>1083</v>
      </c>
    </row>
    <row r="521" spans="1:2" ht="19.95" customHeight="1" x14ac:dyDescent="0.3">
      <c r="A521" s="153">
        <v>1</v>
      </c>
      <c r="B521" s="153">
        <f>Tableau3[[#This Row],[Corrections]]+B520</f>
        <v>1084</v>
      </c>
    </row>
    <row r="522" spans="1:2" ht="19.95" customHeight="1" x14ac:dyDescent="0.3">
      <c r="A522" s="153">
        <v>1</v>
      </c>
      <c r="B522" s="153">
        <f>Tableau3[[#This Row],[Corrections]]+B521</f>
        <v>1085</v>
      </c>
    </row>
    <row r="523" spans="1:2" ht="19.95" customHeight="1" x14ac:dyDescent="0.3">
      <c r="A523" s="153">
        <v>1</v>
      </c>
      <c r="B523" s="153">
        <f>Tableau3[[#This Row],[Corrections]]+B522</f>
        <v>1086</v>
      </c>
    </row>
    <row r="524" spans="1:2" ht="19.95" customHeight="1" x14ac:dyDescent="0.3">
      <c r="A524" s="153">
        <v>2</v>
      </c>
      <c r="B524" s="153">
        <f>Tableau3[[#This Row],[Corrections]]+B523</f>
        <v>1088</v>
      </c>
    </row>
    <row r="525" spans="1:2" ht="19.95" customHeight="1" x14ac:dyDescent="0.3">
      <c r="A525" s="153">
        <v>1</v>
      </c>
      <c r="B525" s="153">
        <f>Tableau3[[#This Row],[Corrections]]+B524</f>
        <v>1089</v>
      </c>
    </row>
    <row r="526" spans="1:2" ht="19.95" customHeight="1" x14ac:dyDescent="0.3">
      <c r="A526" s="153">
        <v>1</v>
      </c>
      <c r="B526" s="153">
        <f>Tableau3[[#This Row],[Corrections]]+B525</f>
        <v>1090</v>
      </c>
    </row>
    <row r="527" spans="1:2" ht="19.95" customHeight="1" x14ac:dyDescent="0.3">
      <c r="A527" s="153">
        <v>2</v>
      </c>
      <c r="B527" s="153">
        <f>Tableau3[[#This Row],[Corrections]]+B526</f>
        <v>1092</v>
      </c>
    </row>
    <row r="528" spans="1:2" ht="19.95" customHeight="1" x14ac:dyDescent="0.3">
      <c r="A528" s="153">
        <v>1</v>
      </c>
      <c r="B528" s="153">
        <f>Tableau3[[#This Row],[Corrections]]+B527</f>
        <v>1093</v>
      </c>
    </row>
    <row r="529" spans="1:2" ht="19.95" customHeight="1" x14ac:dyDescent="0.3">
      <c r="A529" s="153">
        <v>3</v>
      </c>
      <c r="B529" s="153">
        <f>Tableau3[[#This Row],[Corrections]]+B528</f>
        <v>1096</v>
      </c>
    </row>
    <row r="530" spans="1:2" ht="19.95" customHeight="1" x14ac:dyDescent="0.3">
      <c r="A530" s="153">
        <v>0</v>
      </c>
      <c r="B530" s="153">
        <f>Tableau3[[#This Row],[Corrections]]+B529</f>
        <v>1096</v>
      </c>
    </row>
    <row r="531" spans="1:2" ht="19.95" customHeight="1" x14ac:dyDescent="0.3">
      <c r="A531" s="153">
        <v>1</v>
      </c>
      <c r="B531" s="153">
        <f>Tableau3[[#This Row],[Corrections]]+B530</f>
        <v>1097</v>
      </c>
    </row>
    <row r="532" spans="1:2" ht="19.95" customHeight="1" x14ac:dyDescent="0.3">
      <c r="A532" s="153">
        <v>0</v>
      </c>
      <c r="B532" s="153">
        <f>Tableau3[[#This Row],[Corrections]]+B531</f>
        <v>1097</v>
      </c>
    </row>
    <row r="533" spans="1:2" ht="19.95" customHeight="1" x14ac:dyDescent="0.3">
      <c r="A533" s="153">
        <v>0</v>
      </c>
      <c r="B533" s="153">
        <f>Tableau3[[#This Row],[Corrections]]+B532</f>
        <v>1097</v>
      </c>
    </row>
    <row r="534" spans="1:2" ht="19.95" customHeight="1" x14ac:dyDescent="0.3">
      <c r="A534" s="153">
        <v>0</v>
      </c>
      <c r="B534" s="153">
        <f>Tableau3[[#This Row],[Corrections]]+B533</f>
        <v>1097</v>
      </c>
    </row>
    <row r="535" spans="1:2" ht="19.95" customHeight="1" x14ac:dyDescent="0.3">
      <c r="A535" s="153">
        <v>0</v>
      </c>
      <c r="B535" s="153">
        <f>Tableau3[[#This Row],[Corrections]]+B534</f>
        <v>1097</v>
      </c>
    </row>
    <row r="536" spans="1:2" ht="19.95" customHeight="1" x14ac:dyDescent="0.3">
      <c r="A536" s="153">
        <v>2</v>
      </c>
      <c r="B536" s="153">
        <f>Tableau3[[#This Row],[Corrections]]+B535</f>
        <v>1099</v>
      </c>
    </row>
    <row r="537" spans="1:2" ht="19.95" customHeight="1" x14ac:dyDescent="0.3">
      <c r="A537" s="153">
        <v>1</v>
      </c>
      <c r="B537" s="153">
        <f>Tableau3[[#This Row],[Corrections]]+B536</f>
        <v>1100</v>
      </c>
    </row>
    <row r="538" spans="1:2" ht="19.95" customHeight="1" x14ac:dyDescent="0.3">
      <c r="A538" s="153">
        <v>0</v>
      </c>
      <c r="B538" s="153">
        <f>Tableau3[[#This Row],[Corrections]]+B537</f>
        <v>1100</v>
      </c>
    </row>
    <row r="539" spans="1:2" ht="19.95" customHeight="1" x14ac:dyDescent="0.3">
      <c r="A539" s="153">
        <v>0</v>
      </c>
      <c r="B539" s="153">
        <f>Tableau3[[#This Row],[Corrections]]+B538</f>
        <v>1100</v>
      </c>
    </row>
    <row r="540" spans="1:2" ht="19.95" customHeight="1" x14ac:dyDescent="0.3">
      <c r="A540" s="153">
        <v>1</v>
      </c>
      <c r="B540" s="153">
        <f>Tableau3[[#This Row],[Corrections]]+B539</f>
        <v>1101</v>
      </c>
    </row>
    <row r="541" spans="1:2" ht="19.95" customHeight="1" x14ac:dyDescent="0.3">
      <c r="A541" s="153">
        <v>1</v>
      </c>
      <c r="B541" s="153">
        <f>Tableau3[[#This Row],[Corrections]]+B540</f>
        <v>1102</v>
      </c>
    </row>
    <row r="542" spans="1:2" ht="19.95" customHeight="1" x14ac:dyDescent="0.3">
      <c r="A542" s="153">
        <v>2</v>
      </c>
      <c r="B542" s="153">
        <f>Tableau3[[#This Row],[Corrections]]+B541</f>
        <v>1104</v>
      </c>
    </row>
    <row r="543" spans="1:2" ht="19.95" customHeight="1" x14ac:dyDescent="0.3">
      <c r="A543" s="153">
        <v>0</v>
      </c>
      <c r="B543" s="153">
        <f>Tableau3[[#This Row],[Corrections]]+B542</f>
        <v>1104</v>
      </c>
    </row>
    <row r="544" spans="1:2" ht="19.95" customHeight="1" x14ac:dyDescent="0.3">
      <c r="A544" s="153">
        <v>0</v>
      </c>
      <c r="B544" s="153">
        <f>Tableau3[[#This Row],[Corrections]]+B543</f>
        <v>1104</v>
      </c>
    </row>
    <row r="545" spans="1:2" ht="19.95" customHeight="1" x14ac:dyDescent="0.3">
      <c r="A545" s="153">
        <v>1</v>
      </c>
      <c r="B545" s="153">
        <f>Tableau3[[#This Row],[Corrections]]+B544</f>
        <v>1105</v>
      </c>
    </row>
    <row r="546" spans="1:2" ht="19.95" customHeight="1" x14ac:dyDescent="0.3">
      <c r="A546" s="153">
        <v>0</v>
      </c>
      <c r="B546" s="153">
        <f>Tableau3[[#This Row],[Corrections]]+B545</f>
        <v>1105</v>
      </c>
    </row>
    <row r="547" spans="1:2" ht="19.95" customHeight="1" x14ac:dyDescent="0.3">
      <c r="A547" s="153">
        <v>4</v>
      </c>
      <c r="B547" s="153">
        <f>Tableau3[[#This Row],[Corrections]]+B546</f>
        <v>1109</v>
      </c>
    </row>
    <row r="548" spans="1:2" ht="19.95" customHeight="1" x14ac:dyDescent="0.3">
      <c r="A548" s="153">
        <v>1</v>
      </c>
      <c r="B548" s="153">
        <f>Tableau3[[#This Row],[Corrections]]+B547</f>
        <v>1110</v>
      </c>
    </row>
    <row r="549" spans="1:2" ht="19.95" customHeight="1" x14ac:dyDescent="0.3">
      <c r="A549" s="153">
        <v>2</v>
      </c>
      <c r="B549" s="153">
        <f>Tableau3[[#This Row],[Corrections]]+B548</f>
        <v>1112</v>
      </c>
    </row>
    <row r="550" spans="1:2" ht="19.95" customHeight="1" x14ac:dyDescent="0.3">
      <c r="A550" s="153">
        <v>0</v>
      </c>
      <c r="B550" s="153">
        <f>Tableau3[[#This Row],[Corrections]]+B549</f>
        <v>1112</v>
      </c>
    </row>
    <row r="551" spans="1:2" ht="19.95" customHeight="1" x14ac:dyDescent="0.3">
      <c r="A551" s="153">
        <v>1</v>
      </c>
      <c r="B551" s="153">
        <f>Tableau3[[#This Row],[Corrections]]+B550</f>
        <v>1113</v>
      </c>
    </row>
    <row r="552" spans="1:2" ht="19.95" customHeight="1" x14ac:dyDescent="0.3">
      <c r="A552" s="153">
        <v>0</v>
      </c>
      <c r="B552" s="153">
        <f>Tableau3[[#This Row],[Corrections]]+B551</f>
        <v>1113</v>
      </c>
    </row>
    <row r="553" spans="1:2" ht="19.95" customHeight="1" x14ac:dyDescent="0.3">
      <c r="A553" s="153">
        <v>1</v>
      </c>
      <c r="B553" s="153">
        <f>Tableau3[[#This Row],[Corrections]]+B552</f>
        <v>1114</v>
      </c>
    </row>
    <row r="554" spans="1:2" ht="19.95" customHeight="1" x14ac:dyDescent="0.3">
      <c r="A554" s="153">
        <v>1</v>
      </c>
      <c r="B554" s="153">
        <f>Tableau3[[#This Row],[Corrections]]+B553</f>
        <v>1115</v>
      </c>
    </row>
    <row r="555" spans="1:2" ht="19.95" customHeight="1" x14ac:dyDescent="0.3">
      <c r="A555" s="153">
        <v>0</v>
      </c>
      <c r="B555" s="153">
        <f>Tableau3[[#This Row],[Corrections]]+B554</f>
        <v>1115</v>
      </c>
    </row>
    <row r="556" spans="1:2" ht="19.95" customHeight="1" x14ac:dyDescent="0.3">
      <c r="A556" s="153">
        <v>0</v>
      </c>
      <c r="B556" s="153">
        <f>Tableau3[[#This Row],[Corrections]]+B555</f>
        <v>1115</v>
      </c>
    </row>
    <row r="557" spans="1:2" ht="19.95" customHeight="1" x14ac:dyDescent="0.3">
      <c r="A557" s="153">
        <v>1</v>
      </c>
      <c r="B557" s="153">
        <f>Tableau3[[#This Row],[Corrections]]+B556</f>
        <v>1116</v>
      </c>
    </row>
    <row r="558" spans="1:2" ht="19.95" customHeight="1" x14ac:dyDescent="0.3">
      <c r="A558" s="153">
        <v>0</v>
      </c>
      <c r="B558" s="153">
        <f>Tableau3[[#This Row],[Corrections]]+B557</f>
        <v>1116</v>
      </c>
    </row>
    <row r="559" spans="1:2" ht="19.95" customHeight="1" x14ac:dyDescent="0.3">
      <c r="A559" s="153">
        <v>0</v>
      </c>
      <c r="B559" s="153">
        <f>Tableau3[[#This Row],[Corrections]]+B558</f>
        <v>1116</v>
      </c>
    </row>
    <row r="560" spans="1:2" ht="19.95" customHeight="1" x14ac:dyDescent="0.3">
      <c r="A560" s="153">
        <v>0</v>
      </c>
      <c r="B560" s="153">
        <f>Tableau3[[#This Row],[Corrections]]+B559</f>
        <v>1116</v>
      </c>
    </row>
    <row r="561" spans="1:2" ht="19.95" customHeight="1" x14ac:dyDescent="0.3">
      <c r="A561" s="153">
        <v>0</v>
      </c>
      <c r="B561" s="153">
        <f>Tableau3[[#This Row],[Corrections]]+B560</f>
        <v>1116</v>
      </c>
    </row>
    <row r="562" spans="1:2" ht="19.95" customHeight="1" x14ac:dyDescent="0.3">
      <c r="A562" s="153">
        <v>0</v>
      </c>
      <c r="B562" s="153">
        <f>Tableau3[[#This Row],[Corrections]]+B561</f>
        <v>1116</v>
      </c>
    </row>
    <row r="563" spans="1:2" ht="19.95" customHeight="1" x14ac:dyDescent="0.3">
      <c r="A563" s="153">
        <v>0</v>
      </c>
      <c r="B563" s="153">
        <f>Tableau3[[#This Row],[Corrections]]+B562</f>
        <v>1116</v>
      </c>
    </row>
    <row r="564" spans="1:2" ht="19.95" customHeight="1" x14ac:dyDescent="0.3">
      <c r="A564" s="153">
        <v>0</v>
      </c>
      <c r="B564" s="153">
        <f>Tableau3[[#This Row],[Corrections]]+B563</f>
        <v>1116</v>
      </c>
    </row>
    <row r="565" spans="1:2" ht="19.95" customHeight="1" x14ac:dyDescent="0.3">
      <c r="A565" s="153">
        <v>1</v>
      </c>
      <c r="B565" s="153">
        <f>Tableau3[[#This Row],[Corrections]]+B564</f>
        <v>1117</v>
      </c>
    </row>
    <row r="566" spans="1:2" ht="19.95" customHeight="1" x14ac:dyDescent="0.3">
      <c r="A566" s="153">
        <v>2</v>
      </c>
      <c r="B566" s="153">
        <f>Tableau3[[#This Row],[Corrections]]+B565</f>
        <v>1119</v>
      </c>
    </row>
    <row r="567" spans="1:2" ht="19.95" customHeight="1" x14ac:dyDescent="0.3">
      <c r="A567" s="153">
        <v>0</v>
      </c>
      <c r="B567" s="153">
        <f>Tableau3[[#This Row],[Corrections]]+B566</f>
        <v>1119</v>
      </c>
    </row>
    <row r="568" spans="1:2" ht="19.95" customHeight="1" x14ac:dyDescent="0.3">
      <c r="A568" s="153">
        <v>0</v>
      </c>
      <c r="B568" s="153">
        <f>Tableau3[[#This Row],[Corrections]]+B567</f>
        <v>1119</v>
      </c>
    </row>
    <row r="569" spans="1:2" ht="19.95" customHeight="1" x14ac:dyDescent="0.3">
      <c r="A569" s="153">
        <v>0</v>
      </c>
      <c r="B569" s="153">
        <f>Tableau3[[#This Row],[Corrections]]+B568</f>
        <v>1119</v>
      </c>
    </row>
    <row r="570" spans="1:2" ht="19.95" customHeight="1" x14ac:dyDescent="0.3">
      <c r="A570" s="153">
        <v>2</v>
      </c>
      <c r="B570" s="153">
        <f>Tableau3[[#This Row],[Corrections]]+B569</f>
        <v>1121</v>
      </c>
    </row>
    <row r="571" spans="1:2" ht="19.95" customHeight="1" x14ac:dyDescent="0.3">
      <c r="A571" s="153">
        <v>0</v>
      </c>
      <c r="B571" s="153">
        <f>Tableau3[[#This Row],[Corrections]]+B570</f>
        <v>1121</v>
      </c>
    </row>
    <row r="572" spans="1:2" ht="19.95" customHeight="1" x14ac:dyDescent="0.3">
      <c r="A572" s="153">
        <v>0</v>
      </c>
      <c r="B572" s="153">
        <f>Tableau3[[#This Row],[Corrections]]+B571</f>
        <v>1121</v>
      </c>
    </row>
    <row r="573" spans="1:2" ht="19.95" customHeight="1" x14ac:dyDescent="0.3">
      <c r="A573" s="153">
        <v>0</v>
      </c>
      <c r="B573" s="153">
        <f>Tableau3[[#This Row],[Corrections]]+B572</f>
        <v>1121</v>
      </c>
    </row>
    <row r="574" spans="1:2" ht="19.95" customHeight="1" x14ac:dyDescent="0.3">
      <c r="A574" s="153">
        <v>0</v>
      </c>
      <c r="B574" s="153">
        <f>Tableau3[[#This Row],[Corrections]]+B573</f>
        <v>1121</v>
      </c>
    </row>
    <row r="575" spans="1:2" ht="19.95" customHeight="1" x14ac:dyDescent="0.3">
      <c r="A575" s="153">
        <v>0</v>
      </c>
      <c r="B575" s="153">
        <f>Tableau3[[#This Row],[Corrections]]+B574</f>
        <v>1121</v>
      </c>
    </row>
    <row r="576" spans="1:2" ht="19.95" customHeight="1" x14ac:dyDescent="0.3">
      <c r="A576" s="153">
        <v>0</v>
      </c>
      <c r="B576" s="153">
        <f>Tableau3[[#This Row],[Corrections]]+B575</f>
        <v>1121</v>
      </c>
    </row>
    <row r="577" spans="1:2" ht="19.95" customHeight="1" x14ac:dyDescent="0.3">
      <c r="A577" s="153">
        <v>0</v>
      </c>
      <c r="B577" s="153">
        <f>Tableau3[[#This Row],[Corrections]]+B576</f>
        <v>1121</v>
      </c>
    </row>
    <row r="578" spans="1:2" ht="19.95" customHeight="1" x14ac:dyDescent="0.3">
      <c r="A578" s="153">
        <v>0</v>
      </c>
      <c r="B578" s="153">
        <f>Tableau3[[#This Row],[Corrections]]+B577</f>
        <v>1121</v>
      </c>
    </row>
    <row r="579" spans="1:2" ht="19.95" customHeight="1" x14ac:dyDescent="0.3">
      <c r="A579" s="153">
        <v>1</v>
      </c>
      <c r="B579" s="153">
        <f>Tableau3[[#This Row],[Corrections]]+B578</f>
        <v>1122</v>
      </c>
    </row>
    <row r="580" spans="1:2" ht="19.95" customHeight="1" x14ac:dyDescent="0.3">
      <c r="A580" s="153">
        <v>0</v>
      </c>
      <c r="B580" s="153">
        <f>Tableau3[[#This Row],[Corrections]]+B579</f>
        <v>1122</v>
      </c>
    </row>
    <row r="581" spans="1:2" ht="19.95" customHeight="1" x14ac:dyDescent="0.3">
      <c r="A581" s="153">
        <v>2</v>
      </c>
      <c r="B581" s="153">
        <f>Tableau3[[#This Row],[Corrections]]+B580</f>
        <v>1124</v>
      </c>
    </row>
    <row r="582" spans="1:2" ht="19.95" customHeight="1" x14ac:dyDescent="0.3">
      <c r="A582" s="153">
        <v>0</v>
      </c>
      <c r="B582" s="153">
        <f>Tableau3[[#This Row],[Corrections]]+B581</f>
        <v>1124</v>
      </c>
    </row>
    <row r="583" spans="1:2" ht="19.95" customHeight="1" x14ac:dyDescent="0.3">
      <c r="A583" s="153">
        <v>1</v>
      </c>
      <c r="B583" s="153">
        <f>Tableau3[[#This Row],[Corrections]]+B582</f>
        <v>1125</v>
      </c>
    </row>
    <row r="584" spans="1:2" ht="19.95" customHeight="1" x14ac:dyDescent="0.3">
      <c r="A584" s="153">
        <v>1</v>
      </c>
      <c r="B584" s="153">
        <f>Tableau3[[#This Row],[Corrections]]+B583</f>
        <v>1126</v>
      </c>
    </row>
    <row r="585" spans="1:2" ht="19.95" customHeight="1" x14ac:dyDescent="0.3">
      <c r="A585" s="153">
        <v>0</v>
      </c>
      <c r="B585" s="153">
        <f>Tableau3[[#This Row],[Corrections]]+B584</f>
        <v>1126</v>
      </c>
    </row>
    <row r="586" spans="1:2" ht="19.95" customHeight="1" x14ac:dyDescent="0.3">
      <c r="A586" s="153">
        <v>1</v>
      </c>
      <c r="B586" s="153">
        <f>Tableau3[[#This Row],[Corrections]]+B585</f>
        <v>1127</v>
      </c>
    </row>
    <row r="587" spans="1:2" ht="19.95" customHeight="1" x14ac:dyDescent="0.3">
      <c r="A587" s="153">
        <v>0</v>
      </c>
      <c r="B587" s="153">
        <f>Tableau3[[#This Row],[Corrections]]+B586</f>
        <v>1127</v>
      </c>
    </row>
    <row r="588" spans="1:2" ht="19.95" customHeight="1" x14ac:dyDescent="0.3">
      <c r="A588" s="153">
        <v>0</v>
      </c>
      <c r="B588" s="153">
        <f>Tableau3[[#This Row],[Corrections]]+B587</f>
        <v>1127</v>
      </c>
    </row>
    <row r="589" spans="1:2" ht="19.95" customHeight="1" x14ac:dyDescent="0.3">
      <c r="A589" s="153">
        <v>2</v>
      </c>
      <c r="B589" s="153">
        <f>Tableau3[[#This Row],[Corrections]]+B588</f>
        <v>1129</v>
      </c>
    </row>
    <row r="590" spans="1:2" ht="19.95" customHeight="1" x14ac:dyDescent="0.3">
      <c r="A590" s="153">
        <v>1</v>
      </c>
      <c r="B590" s="153">
        <f>Tableau3[[#This Row],[Corrections]]+B589</f>
        <v>1130</v>
      </c>
    </row>
    <row r="591" spans="1:2" ht="19.95" customHeight="1" x14ac:dyDescent="0.3">
      <c r="A591" s="153">
        <v>1</v>
      </c>
      <c r="B591" s="153">
        <f>Tableau3[[#This Row],[Corrections]]+B590</f>
        <v>1131</v>
      </c>
    </row>
    <row r="592" spans="1:2" ht="19.95" customHeight="1" x14ac:dyDescent="0.3">
      <c r="A592" s="153">
        <v>0</v>
      </c>
      <c r="B592" s="153">
        <f>Tableau3[[#This Row],[Corrections]]+B591</f>
        <v>1131</v>
      </c>
    </row>
    <row r="593" spans="1:2" ht="19.95" customHeight="1" x14ac:dyDescent="0.3">
      <c r="A593" s="153">
        <v>0</v>
      </c>
      <c r="B593" s="153">
        <f>Tableau3[[#This Row],[Corrections]]+B592</f>
        <v>1131</v>
      </c>
    </row>
    <row r="594" spans="1:2" ht="19.95" customHeight="1" x14ac:dyDescent="0.3">
      <c r="A594" s="153">
        <v>0</v>
      </c>
      <c r="B594" s="153">
        <f>Tableau3[[#This Row],[Corrections]]+B593</f>
        <v>1131</v>
      </c>
    </row>
    <row r="595" spans="1:2" ht="19.95" customHeight="1" x14ac:dyDescent="0.3">
      <c r="A595" s="153">
        <v>0</v>
      </c>
      <c r="B595" s="153">
        <f>Tableau3[[#This Row],[Corrections]]+B594</f>
        <v>1131</v>
      </c>
    </row>
    <row r="596" spans="1:2" ht="19.95" customHeight="1" x14ac:dyDescent="0.3">
      <c r="A596" s="153">
        <v>0</v>
      </c>
      <c r="B596" s="153">
        <f>Tableau3[[#This Row],[Corrections]]+B595</f>
        <v>1131</v>
      </c>
    </row>
    <row r="597" spans="1:2" ht="19.95" customHeight="1" x14ac:dyDescent="0.3">
      <c r="A597" s="153">
        <v>0</v>
      </c>
      <c r="B597" s="153">
        <f>Tableau3[[#This Row],[Corrections]]+B596</f>
        <v>1131</v>
      </c>
    </row>
    <row r="598" spans="1:2" ht="19.95" customHeight="1" x14ac:dyDescent="0.3">
      <c r="A598" s="153">
        <v>0</v>
      </c>
      <c r="B598" s="153">
        <f>Tableau3[[#This Row],[Corrections]]+B597</f>
        <v>1131</v>
      </c>
    </row>
    <row r="599" spans="1:2" ht="19.95" customHeight="1" x14ac:dyDescent="0.3">
      <c r="A599" s="153">
        <v>1</v>
      </c>
      <c r="B599" s="153">
        <f>Tableau3[[#This Row],[Corrections]]+B598</f>
        <v>1132</v>
      </c>
    </row>
    <row r="600" spans="1:2" ht="19.95" customHeight="1" x14ac:dyDescent="0.3">
      <c r="A600" s="153">
        <v>0</v>
      </c>
      <c r="B600" s="153">
        <f>Tableau3[[#This Row],[Corrections]]+B599</f>
        <v>1132</v>
      </c>
    </row>
    <row r="601" spans="1:2" ht="19.95" customHeight="1" x14ac:dyDescent="0.3">
      <c r="A601" s="153">
        <v>1</v>
      </c>
      <c r="B601" s="153">
        <f>Tableau3[[#This Row],[Corrections]]+B600</f>
        <v>1133</v>
      </c>
    </row>
    <row r="602" spans="1:2" ht="19.95" customHeight="1" x14ac:dyDescent="0.3">
      <c r="A602" s="153">
        <v>0</v>
      </c>
      <c r="B602" s="153">
        <f>Tableau3[[#This Row],[Corrections]]+B601</f>
        <v>1133</v>
      </c>
    </row>
    <row r="603" spans="1:2" ht="19.95" customHeight="1" x14ac:dyDescent="0.3">
      <c r="A603" s="153">
        <v>1</v>
      </c>
      <c r="B603" s="153">
        <f>Tableau3[[#This Row],[Corrections]]+B602</f>
        <v>1134</v>
      </c>
    </row>
    <row r="604" spans="1:2" ht="19.95" customHeight="1" x14ac:dyDescent="0.3">
      <c r="A604" s="153">
        <v>0</v>
      </c>
      <c r="B604" s="153">
        <f>Tableau3[[#This Row],[Corrections]]+B603</f>
        <v>1134</v>
      </c>
    </row>
    <row r="605" spans="1:2" ht="19.95" customHeight="1" x14ac:dyDescent="0.3">
      <c r="A605" s="153">
        <v>0</v>
      </c>
      <c r="B605" s="153">
        <f>Tableau3[[#This Row],[Corrections]]+B604</f>
        <v>1134</v>
      </c>
    </row>
    <row r="606" spans="1:2" ht="19.95" customHeight="1" x14ac:dyDescent="0.3">
      <c r="A606" s="153">
        <v>3</v>
      </c>
      <c r="B606" s="153">
        <f>Tableau3[[#This Row],[Corrections]]+B605</f>
        <v>1137</v>
      </c>
    </row>
    <row r="607" spans="1:2" ht="19.95" customHeight="1" x14ac:dyDescent="0.3">
      <c r="A607" s="153">
        <v>1</v>
      </c>
      <c r="B607" s="153">
        <f>Tableau3[[#This Row],[Corrections]]+B606</f>
        <v>1138</v>
      </c>
    </row>
    <row r="608" spans="1:2" ht="19.95" customHeight="1" x14ac:dyDescent="0.3">
      <c r="A608" s="215">
        <v>1</v>
      </c>
      <c r="B608" s="215">
        <f>Tableau3[[#This Row],[Corrections]]+B607</f>
        <v>1139</v>
      </c>
    </row>
    <row r="609" spans="1:2" ht="19.95" customHeight="1" x14ac:dyDescent="0.3">
      <c r="A609" s="222">
        <v>1</v>
      </c>
      <c r="B609" s="222">
        <f>Tableau3[[#This Row],[Corrections]]+B608</f>
        <v>1140</v>
      </c>
    </row>
    <row r="610" spans="1:2" ht="19.95" customHeight="1" x14ac:dyDescent="0.3">
      <c r="A610" s="224">
        <v>2</v>
      </c>
      <c r="B610" s="224">
        <f>Tableau3[[#This Row],[Corrections]]+B609</f>
        <v>1142</v>
      </c>
    </row>
    <row r="611" spans="1:2" ht="19.95" customHeight="1" x14ac:dyDescent="0.3">
      <c r="A611" s="225">
        <v>0</v>
      </c>
      <c r="B611" s="225">
        <f>Tableau3[[#This Row],[Corrections]]+B610</f>
        <v>1142</v>
      </c>
    </row>
    <row r="612" spans="1:2" ht="19.95" customHeight="1" x14ac:dyDescent="0.3">
      <c r="A612" s="226">
        <v>0</v>
      </c>
      <c r="B612" s="226">
        <f>Tableau3[[#This Row],[Corrections]]+B611</f>
        <v>1142</v>
      </c>
    </row>
    <row r="613" spans="1:2" ht="19.95" customHeight="1" x14ac:dyDescent="0.3">
      <c r="A613" s="227">
        <v>0</v>
      </c>
      <c r="B613" s="227">
        <f>Tableau3[[#This Row],[Corrections]]+B612</f>
        <v>1142</v>
      </c>
    </row>
    <row r="614" spans="1:2" ht="19.95" customHeight="1" x14ac:dyDescent="0.3">
      <c r="A614" s="250">
        <v>0</v>
      </c>
      <c r="B614" s="250">
        <f>Tableau3[[#This Row],[Corrections]]+B613</f>
        <v>1142</v>
      </c>
    </row>
    <row r="615" spans="1:2" ht="19.95" customHeight="1" x14ac:dyDescent="0.3">
      <c r="A615" s="251">
        <v>0</v>
      </c>
      <c r="B615" s="251">
        <f>Tableau3[[#This Row],[Corrections]]+B614</f>
        <v>1142</v>
      </c>
    </row>
    <row r="616" spans="1:2" ht="19.95" customHeight="1" x14ac:dyDescent="0.3">
      <c r="A616" s="269">
        <v>0</v>
      </c>
      <c r="B616" s="269">
        <f>Tableau3[[#This Row],[Corrections]]+B615</f>
        <v>1142</v>
      </c>
    </row>
    <row r="617" spans="1:2" ht="19.95" customHeight="1" x14ac:dyDescent="0.3">
      <c r="A617" s="272">
        <v>1</v>
      </c>
      <c r="B617" s="272">
        <f>Tableau3[[#This Row],[Corrections]]+B616</f>
        <v>1143</v>
      </c>
    </row>
    <row r="618" spans="1:2" ht="19.95" customHeight="1" x14ac:dyDescent="0.3">
      <c r="A618" s="278">
        <v>0</v>
      </c>
      <c r="B618" s="278">
        <f>Tableau3[[#This Row],[Corrections]]+B617</f>
        <v>1143</v>
      </c>
    </row>
    <row r="619" spans="1:2" ht="19.95" customHeight="1" x14ac:dyDescent="0.3">
      <c r="A619" s="289">
        <v>2</v>
      </c>
      <c r="B619" s="289">
        <f>Tableau3[[#This Row],[Corrections]]+B618</f>
        <v>1145</v>
      </c>
    </row>
    <row r="620" spans="1:2" ht="19.95" customHeight="1" x14ac:dyDescent="0.3">
      <c r="A620" s="292">
        <v>1</v>
      </c>
      <c r="B620" s="292">
        <f>Tableau3[[#This Row],[Corrections]]+B619</f>
        <v>1146</v>
      </c>
    </row>
    <row r="621" spans="1:2" ht="19.95" customHeight="1" x14ac:dyDescent="0.3">
      <c r="A621" s="294">
        <v>0</v>
      </c>
      <c r="B621" s="294">
        <f>Tableau3[[#This Row],[Corrections]]+B620</f>
        <v>1146</v>
      </c>
    </row>
    <row r="622" spans="1:2" ht="19.95" customHeight="1" x14ac:dyDescent="0.3">
      <c r="A622" s="300">
        <v>0</v>
      </c>
      <c r="B622" s="300">
        <f>Tableau3[[#This Row],[Corrections]]+B621</f>
        <v>1146</v>
      </c>
    </row>
    <row r="623" spans="1:2" ht="19.95" customHeight="1" x14ac:dyDescent="0.3">
      <c r="A623" s="309">
        <v>0</v>
      </c>
      <c r="B623" s="309">
        <f>Tableau3[[#This Row],[Corrections]]+B622</f>
        <v>1146</v>
      </c>
    </row>
    <row r="624" spans="1:2" ht="19.95" customHeight="1" x14ac:dyDescent="0.3">
      <c r="A624" s="316">
        <v>0</v>
      </c>
      <c r="B624" s="316">
        <f>Tableau3[[#This Row],[Corrections]]+B623</f>
        <v>1146</v>
      </c>
    </row>
    <row r="625" spans="1:2" ht="19.95" customHeight="1" x14ac:dyDescent="0.3">
      <c r="A625" s="318">
        <v>0</v>
      </c>
      <c r="B625" s="318">
        <f>Tableau3[[#This Row],[Corrections]]+B624</f>
        <v>1146</v>
      </c>
    </row>
    <row r="626" spans="1:2" ht="19.95" customHeight="1" x14ac:dyDescent="0.3">
      <c r="A626" s="319">
        <v>0</v>
      </c>
      <c r="B626" s="319">
        <f>Tableau3[[#This Row],[Corrections]]+B625</f>
        <v>1146</v>
      </c>
    </row>
    <row r="627" spans="1:2" ht="19.95" customHeight="1" x14ac:dyDescent="0.3">
      <c r="A627" s="320">
        <v>0</v>
      </c>
      <c r="B627" s="320">
        <f>Tableau3[[#This Row],[Corrections]]+B626</f>
        <v>1146</v>
      </c>
    </row>
    <row r="628" spans="1:2" ht="19.95" customHeight="1" x14ac:dyDescent="0.3">
      <c r="A628" s="329">
        <v>2</v>
      </c>
      <c r="B628" s="329">
        <f>Tableau3[[#This Row],[Corrections]]+B627</f>
        <v>1148</v>
      </c>
    </row>
    <row r="629" spans="1:2" ht="19.95" customHeight="1" x14ac:dyDescent="0.3">
      <c r="A629" s="341">
        <v>1</v>
      </c>
      <c r="B629" s="341">
        <f>Tableau3[[#This Row],[Corrections]]+B628</f>
        <v>1149</v>
      </c>
    </row>
    <row r="630" spans="1:2" ht="19.95" customHeight="1" x14ac:dyDescent="0.3">
      <c r="A630" s="343">
        <v>1</v>
      </c>
      <c r="B630" s="343">
        <f>Tableau3[[#This Row],[Corrections]]+B629</f>
        <v>1150</v>
      </c>
    </row>
    <row r="631" spans="1:2" ht="19.95" customHeight="1" x14ac:dyDescent="0.3">
      <c r="A631" s="355">
        <v>1</v>
      </c>
      <c r="B631" s="355">
        <f>Tableau3[[#This Row],[Corrections]]+B630</f>
        <v>1151</v>
      </c>
    </row>
    <row r="632" spans="1:2" ht="19.95" customHeight="1" x14ac:dyDescent="0.3">
      <c r="A632" s="358">
        <v>0</v>
      </c>
      <c r="B632" s="358">
        <f>Tableau3[[#This Row],[Corrections]]+B631</f>
        <v>1151</v>
      </c>
    </row>
    <row r="633" spans="1:2" ht="19.95" customHeight="1" x14ac:dyDescent="0.3">
      <c r="A633" s="359">
        <v>0</v>
      </c>
      <c r="B633" s="359">
        <f>Tableau3[[#This Row],[Corrections]]+B632</f>
        <v>1151</v>
      </c>
    </row>
    <row r="634" spans="1:2" ht="19.95" customHeight="1" x14ac:dyDescent="0.3">
      <c r="A634" s="360">
        <v>0</v>
      </c>
      <c r="B634" s="360">
        <f>Tableau3[[#This Row],[Corrections]]+B633</f>
        <v>1151</v>
      </c>
    </row>
    <row r="635" spans="1:2" ht="19.95" customHeight="1" x14ac:dyDescent="0.3">
      <c r="A635" s="362">
        <v>0</v>
      </c>
      <c r="B635" s="362">
        <f>Tableau3[[#This Row],[Corrections]]+B634</f>
        <v>1151</v>
      </c>
    </row>
    <row r="636" spans="1:2" ht="19.95" customHeight="1" x14ac:dyDescent="0.3">
      <c r="A636" s="375">
        <v>1</v>
      </c>
      <c r="B636" s="375">
        <f>Tableau3[[#This Row],[Corrections]]+B635</f>
        <v>1152</v>
      </c>
    </row>
    <row r="637" spans="1:2" ht="19.95" customHeight="1" x14ac:dyDescent="0.3">
      <c r="A637" s="382">
        <v>1</v>
      </c>
      <c r="B637" s="382">
        <f>Tableau3[[#This Row],[Corrections]]+B636</f>
        <v>1153</v>
      </c>
    </row>
    <row r="638" spans="1:2" ht="19.95" customHeight="1" x14ac:dyDescent="0.3">
      <c r="A638" s="389">
        <v>1</v>
      </c>
      <c r="B638" s="389">
        <f>Tableau3[[#This Row],[Corrections]]+B637</f>
        <v>1154</v>
      </c>
    </row>
    <row r="639" spans="1:2" ht="19.95" customHeight="1" x14ac:dyDescent="0.3">
      <c r="A639" s="400">
        <v>0</v>
      </c>
      <c r="B639" s="400">
        <f>Tableau3[[#This Row],[Corrections]]+B638</f>
        <v>1154</v>
      </c>
    </row>
    <row r="640" spans="1:2" ht="19.95" customHeight="1" x14ac:dyDescent="0.3">
      <c r="A640" s="408">
        <v>2</v>
      </c>
      <c r="B640" s="408">
        <f>Tableau3[[#This Row],[Corrections]]+B639</f>
        <v>1156</v>
      </c>
    </row>
    <row r="641" spans="1:2" ht="19.95" customHeight="1" x14ac:dyDescent="0.3">
      <c r="A641" s="415">
        <v>3</v>
      </c>
      <c r="B641" s="415">
        <f>Tableau3[[#This Row],[Corrections]]+B640</f>
        <v>1159</v>
      </c>
    </row>
    <row r="642" spans="1:2" ht="19.95" customHeight="1" x14ac:dyDescent="0.3">
      <c r="A642" s="427">
        <v>1</v>
      </c>
      <c r="B642" s="427">
        <f>Tableau3[[#This Row],[Corrections]]+B641</f>
        <v>1160</v>
      </c>
    </row>
    <row r="643" spans="1:2" ht="19.95" customHeight="1" x14ac:dyDescent="0.3">
      <c r="A643" s="428">
        <v>0</v>
      </c>
      <c r="B643" s="428">
        <f>Tableau3[[#This Row],[Corrections]]+B642</f>
        <v>1160</v>
      </c>
    </row>
    <row r="644" spans="1:2" ht="19.95" customHeight="1" x14ac:dyDescent="0.3">
      <c r="A644" s="436">
        <v>1</v>
      </c>
      <c r="B644" s="436">
        <f>Tableau3[[#This Row],[Corrections]]+B643</f>
        <v>1161</v>
      </c>
    </row>
    <row r="645" spans="1:2" ht="19.95" customHeight="1" x14ac:dyDescent="0.3">
      <c r="A645" s="438">
        <v>1</v>
      </c>
      <c r="B645" s="438">
        <f>Tableau3[[#This Row],[Corrections]]+B644</f>
        <v>1162</v>
      </c>
    </row>
    <row r="646" spans="1:2" ht="19.95" customHeight="1" x14ac:dyDescent="0.3">
      <c r="A646" s="445">
        <v>0</v>
      </c>
      <c r="B646" s="445">
        <f>Tableau3[[#This Row],[Corrections]]+B645</f>
        <v>1162</v>
      </c>
    </row>
    <row r="647" spans="1:2" ht="19.95" customHeight="1" x14ac:dyDescent="0.3">
      <c r="A647" s="451">
        <v>0</v>
      </c>
      <c r="B647" s="451">
        <f>Tableau3[[#This Row],[Corrections]]+B646</f>
        <v>1162</v>
      </c>
    </row>
    <row r="648" spans="1:2" ht="19.95" customHeight="1" x14ac:dyDescent="0.3">
      <c r="A648" s="458">
        <v>0</v>
      </c>
      <c r="B648" s="458">
        <f>Tableau3[[#This Row],[Corrections]]+B647</f>
        <v>1162</v>
      </c>
    </row>
    <row r="649" spans="1:2" ht="19.95" customHeight="1" x14ac:dyDescent="0.3">
      <c r="A649" s="459">
        <v>0</v>
      </c>
      <c r="B649" s="459">
        <f>Tableau3[[#This Row],[Corrections]]+B648</f>
        <v>1162</v>
      </c>
    </row>
    <row r="650" spans="1:2" ht="19.95" customHeight="1" x14ac:dyDescent="0.3">
      <c r="A650" s="460">
        <v>0</v>
      </c>
      <c r="B650" s="460">
        <f>Tableau3[[#This Row],[Corrections]]+B649</f>
        <v>1162</v>
      </c>
    </row>
    <row r="651" spans="1:2" ht="19.95" customHeight="1" x14ac:dyDescent="0.3">
      <c r="A651" s="482">
        <v>0</v>
      </c>
      <c r="B651" s="482">
        <f>Tableau3[[#This Row],[Corrections]]+B650</f>
        <v>1162</v>
      </c>
    </row>
    <row r="652" spans="1:2" ht="19.95" customHeight="1" x14ac:dyDescent="0.3">
      <c r="A652" s="484">
        <v>0</v>
      </c>
      <c r="B652" s="484">
        <f>Tableau3[[#This Row],[Corrections]]+B651</f>
        <v>1162</v>
      </c>
    </row>
    <row r="653" spans="1:2" ht="19.95" customHeight="1" x14ac:dyDescent="0.3">
      <c r="A653" s="493">
        <v>3</v>
      </c>
      <c r="B653" s="493">
        <f>Tableau3[[#This Row],[Corrections]]+B652</f>
        <v>1165</v>
      </c>
    </row>
    <row r="654" spans="1:2" ht="19.95" customHeight="1" x14ac:dyDescent="0.3">
      <c r="A654" s="495">
        <v>1</v>
      </c>
      <c r="B654" s="495">
        <f>Tableau3[[#This Row],[Corrections]]+B653</f>
        <v>1166</v>
      </c>
    </row>
    <row r="655" spans="1:2" ht="19.95" customHeight="1" x14ac:dyDescent="0.3">
      <c r="A655" s="522">
        <v>0</v>
      </c>
      <c r="B655" s="522">
        <f>Tableau3[[#This Row],[Corrections]]+B654</f>
        <v>1166</v>
      </c>
    </row>
    <row r="656" spans="1:2" ht="19.95" customHeight="1" x14ac:dyDescent="0.3">
      <c r="A656" s="524">
        <v>1</v>
      </c>
      <c r="B656" s="524">
        <f>Tableau3[[#This Row],[Corrections]]+B655</f>
        <v>1167</v>
      </c>
    </row>
    <row r="657" spans="1:2" ht="19.95" customHeight="1" x14ac:dyDescent="0.3">
      <c r="A657" s="525">
        <v>0</v>
      </c>
      <c r="B657" s="525">
        <f>Tableau3[[#This Row],[Corrections]]+B656</f>
        <v>1167</v>
      </c>
    </row>
    <row r="658" spans="1:2" ht="19.95" customHeight="1" x14ac:dyDescent="0.3">
      <c r="A658" s="526">
        <v>0</v>
      </c>
      <c r="B658" s="526">
        <f>Tableau3[[#This Row],[Corrections]]+B657</f>
        <v>1167</v>
      </c>
    </row>
    <row r="659" spans="1:2" ht="19.95" customHeight="1" x14ac:dyDescent="0.3">
      <c r="A659" s="529">
        <v>2</v>
      </c>
      <c r="B659" s="529">
        <f>Tableau3[[#This Row],[Corrections]]+B658</f>
        <v>1169</v>
      </c>
    </row>
    <row r="660" spans="1:2" ht="19.95" customHeight="1" x14ac:dyDescent="0.3">
      <c r="A660" s="534">
        <v>0</v>
      </c>
      <c r="B660" s="534">
        <f>Tableau3[[#This Row],[Corrections]]+B659</f>
        <v>1169</v>
      </c>
    </row>
    <row r="661" spans="1:2" ht="19.95" customHeight="1" x14ac:dyDescent="0.3">
      <c r="A661" s="545">
        <v>0</v>
      </c>
      <c r="B661" s="545">
        <f>Tableau3[[#This Row],[Corrections]]+B660</f>
        <v>1169</v>
      </c>
    </row>
    <row r="662" spans="1:2" ht="19.95" customHeight="1" x14ac:dyDescent="0.3">
      <c r="A662" s="557">
        <v>0</v>
      </c>
      <c r="B662" s="557">
        <f>Tableau3[[#This Row],[Corrections]]+B661</f>
        <v>1169</v>
      </c>
    </row>
    <row r="663" spans="1:2" ht="19.95" customHeight="1" x14ac:dyDescent="0.3">
      <c r="A663" s="558">
        <v>0</v>
      </c>
      <c r="B663" s="558">
        <f>Tableau3[[#This Row],[Corrections]]+B662</f>
        <v>1169</v>
      </c>
    </row>
    <row r="664" spans="1:2" ht="19.95" customHeight="1" x14ac:dyDescent="0.3">
      <c r="A664" s="559">
        <v>0</v>
      </c>
      <c r="B664" s="559">
        <f>Tableau3[[#This Row],[Corrections]]+B663</f>
        <v>1169</v>
      </c>
    </row>
    <row r="665" spans="1:2" ht="19.95" customHeight="1" x14ac:dyDescent="0.3">
      <c r="A665" s="560">
        <v>0</v>
      </c>
      <c r="B665" s="560">
        <f>Tableau3[[#This Row],[Corrections]]+B664</f>
        <v>1169</v>
      </c>
    </row>
    <row r="666" spans="1:2" ht="19.95" customHeight="1" x14ac:dyDescent="0.3">
      <c r="A666" s="561">
        <v>0</v>
      </c>
      <c r="B666" s="561">
        <f>Tableau3[[#This Row],[Corrections]]+B665</f>
        <v>1169</v>
      </c>
    </row>
    <row r="667" spans="1:2" ht="19.95" customHeight="1" x14ac:dyDescent="0.3">
      <c r="A667" s="569">
        <v>0</v>
      </c>
      <c r="B667" s="569">
        <f>Tableau3[[#This Row],[Corrections]]+B666</f>
        <v>1169</v>
      </c>
    </row>
    <row r="668" spans="1:2" ht="19.95" customHeight="1" x14ac:dyDescent="0.3">
      <c r="A668" s="581">
        <v>1</v>
      </c>
      <c r="B668" s="581">
        <f>Tableau3[[#This Row],[Corrections]]+B667</f>
        <v>1170</v>
      </c>
    </row>
    <row r="669" spans="1:2" ht="19.95" customHeight="1" x14ac:dyDescent="0.3">
      <c r="A669" s="588">
        <v>0</v>
      </c>
      <c r="B669" s="588">
        <f>Tableau3[[#This Row],[Corrections]]+B668</f>
        <v>1170</v>
      </c>
    </row>
    <row r="670" spans="1:2" ht="19.95" customHeight="1" x14ac:dyDescent="0.3">
      <c r="A670" s="592">
        <v>0</v>
      </c>
      <c r="B670" s="592">
        <f>Tableau3[[#This Row],[Corrections]]+B669</f>
        <v>1170</v>
      </c>
    </row>
    <row r="671" spans="1:2" ht="19.95" customHeight="1" x14ac:dyDescent="0.3">
      <c r="A671" s="596">
        <v>0</v>
      </c>
      <c r="B671" s="596">
        <f>Tableau3[[#This Row],[Corrections]]+B670</f>
        <v>1170</v>
      </c>
    </row>
    <row r="672" spans="1:2" ht="19.95" customHeight="1" x14ac:dyDescent="0.3">
      <c r="A672" s="608">
        <v>0</v>
      </c>
      <c r="B672" s="608">
        <f>Tableau3[[#This Row],[Corrections]]+B671</f>
        <v>1170</v>
      </c>
    </row>
    <row r="673" spans="1:2" ht="19.95" customHeight="1" x14ac:dyDescent="0.3">
      <c r="A673" s="614">
        <v>0</v>
      </c>
      <c r="B673" s="614">
        <f>Tableau3[[#This Row],[Corrections]]+B672</f>
        <v>1170</v>
      </c>
    </row>
    <row r="674" spans="1:2" ht="19.95" customHeight="1" x14ac:dyDescent="0.3">
      <c r="A674" s="616">
        <v>0</v>
      </c>
      <c r="B674" s="616">
        <f>Tableau3[[#This Row],[Corrections]]+B673</f>
        <v>1170</v>
      </c>
    </row>
    <row r="675" spans="1:2" ht="19.95" customHeight="1" x14ac:dyDescent="0.3">
      <c r="A675" s="631">
        <v>1</v>
      </c>
      <c r="B675" s="631">
        <f>Tableau3[[#This Row],[Corrections]]+B674</f>
        <v>1171</v>
      </c>
    </row>
    <row r="676" spans="1:2" ht="19.95" customHeight="1" x14ac:dyDescent="0.3">
      <c r="A676" s="644">
        <v>0</v>
      </c>
      <c r="B676" s="644">
        <f>Tableau3[[#This Row],[Corrections]]+B675</f>
        <v>1171</v>
      </c>
    </row>
    <row r="677" spans="1:2" ht="19.95" customHeight="1" x14ac:dyDescent="0.3">
      <c r="A677" s="648">
        <v>1</v>
      </c>
      <c r="B677" s="648">
        <f>Tableau3[[#This Row],[Corrections]]+B676</f>
        <v>1172</v>
      </c>
    </row>
    <row r="678" spans="1:2" ht="19.95" customHeight="1" x14ac:dyDescent="0.3">
      <c r="A678" s="652">
        <v>0</v>
      </c>
      <c r="B678" s="653">
        <f>Tableau3[[#This Row],[Corrections]]+B677</f>
        <v>1172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4CD4E-7943-49B4-A270-D11FEE472A3C}">
  <sheetPr codeName="Feuil5"/>
  <dimension ref="A1:Y290"/>
  <sheetViews>
    <sheetView showGridLines="0" zoomScaleNormal="100" workbookViewId="0"/>
  </sheetViews>
  <sheetFormatPr baseColWidth="10" defaultColWidth="11.5546875" defaultRowHeight="15" customHeight="1" x14ac:dyDescent="0.25"/>
  <cols>
    <col min="1" max="1" width="5.6640625" style="150" customWidth="1"/>
    <col min="2" max="5" width="11.6640625" style="150" customWidth="1"/>
    <col min="6" max="6" width="2.33203125" style="150" customWidth="1"/>
    <col min="7" max="7" width="24.21875" style="150" bestFit="1" customWidth="1"/>
    <col min="8" max="8" width="20.77734375" style="150" bestFit="1" customWidth="1"/>
    <col min="9" max="10" width="11.6640625" style="150" customWidth="1"/>
    <col min="11" max="11" width="20.5546875" style="150" bestFit="1" customWidth="1"/>
    <col min="12" max="12" width="17.44140625" style="150" bestFit="1" customWidth="1"/>
    <col min="13" max="13" width="15.6640625" style="150" customWidth="1"/>
    <col min="14" max="16" width="0.5546875" style="150" customWidth="1"/>
    <col min="17" max="17" width="15.6640625" style="150" customWidth="1"/>
    <col min="18" max="18" width="10.109375" style="150" bestFit="1" customWidth="1"/>
    <col min="19" max="25" width="11.5546875" style="150"/>
    <col min="26" max="221" width="10.109375" style="150" bestFit="1" customWidth="1"/>
    <col min="222" max="222" width="12.33203125" style="150" bestFit="1" customWidth="1"/>
    <col min="223" max="16384" width="11.5546875" style="150"/>
  </cols>
  <sheetData>
    <row r="1" spans="1:25" ht="15" customHeight="1" x14ac:dyDescent="0.25">
      <c r="A1" s="216"/>
      <c r="B1" s="155"/>
      <c r="C1" s="155"/>
      <c r="D1" s="155"/>
      <c r="E1" s="155"/>
      <c r="F1" s="166"/>
      <c r="G1" s="166"/>
      <c r="H1" s="166"/>
      <c r="I1" s="166"/>
      <c r="J1" s="166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</row>
    <row r="2" spans="1:25" ht="15" customHeight="1" x14ac:dyDescent="0.25">
      <c r="F2" s="166"/>
      <c r="G2" s="166"/>
      <c r="H2" s="166"/>
      <c r="I2" s="166"/>
      <c r="J2" s="166"/>
      <c r="L2" s="155" t="s">
        <v>5592</v>
      </c>
    </row>
    <row r="3" spans="1:25" ht="15.6" x14ac:dyDescent="0.3">
      <c r="F3" s="166"/>
      <c r="G3" s="573" t="s">
        <v>1461</v>
      </c>
      <c r="H3" s="574" t="s">
        <v>2799</v>
      </c>
      <c r="I3" s="166"/>
      <c r="J3" s="166"/>
      <c r="N3" s="157"/>
      <c r="O3" s="158"/>
      <c r="P3" s="159"/>
    </row>
    <row r="4" spans="1:25" ht="15.6" x14ac:dyDescent="0.3">
      <c r="F4" s="166"/>
      <c r="G4" s="575">
        <v>0</v>
      </c>
      <c r="H4" s="660">
        <v>29</v>
      </c>
      <c r="I4" s="166"/>
      <c r="J4" s="166"/>
      <c r="N4" s="160"/>
      <c r="O4" s="161"/>
      <c r="P4" s="162"/>
    </row>
    <row r="5" spans="1:25" ht="15.6" x14ac:dyDescent="0.3">
      <c r="F5" s="166"/>
      <c r="G5" s="575">
        <v>1</v>
      </c>
      <c r="H5" s="660">
        <v>24</v>
      </c>
      <c r="I5" s="166"/>
      <c r="J5" s="166"/>
      <c r="N5" s="160"/>
      <c r="O5" s="161"/>
      <c r="P5" s="162"/>
    </row>
    <row r="6" spans="1:25" ht="15.6" x14ac:dyDescent="0.3">
      <c r="F6" s="166"/>
      <c r="G6" s="575">
        <v>2</v>
      </c>
      <c r="H6" s="660">
        <v>39</v>
      </c>
      <c r="I6" s="166"/>
      <c r="J6" s="166"/>
      <c r="N6" s="160"/>
      <c r="O6" s="161"/>
      <c r="P6" s="162"/>
    </row>
    <row r="7" spans="1:25" ht="15.6" x14ac:dyDescent="0.3">
      <c r="F7" s="166"/>
      <c r="G7" s="575">
        <v>3</v>
      </c>
      <c r="H7" s="660">
        <v>23</v>
      </c>
      <c r="I7" s="166"/>
      <c r="J7" s="166"/>
      <c r="N7" s="160"/>
      <c r="O7" s="161"/>
      <c r="P7" s="162"/>
    </row>
    <row r="8" spans="1:25" ht="15.6" x14ac:dyDescent="0.3">
      <c r="F8" s="166"/>
      <c r="G8" s="575">
        <v>4</v>
      </c>
      <c r="H8" s="660">
        <v>41</v>
      </c>
      <c r="I8" s="166"/>
      <c r="J8" s="166"/>
      <c r="N8" s="160"/>
      <c r="O8" s="161"/>
      <c r="P8" s="162"/>
    </row>
    <row r="9" spans="1:25" ht="15.6" x14ac:dyDescent="0.3">
      <c r="F9" s="166"/>
      <c r="G9" s="575">
        <v>5</v>
      </c>
      <c r="H9" s="660">
        <v>35</v>
      </c>
      <c r="I9" s="166"/>
      <c r="J9" s="166"/>
      <c r="N9" s="160"/>
      <c r="O9" s="161"/>
      <c r="P9" s="162"/>
    </row>
    <row r="10" spans="1:25" ht="15.6" x14ac:dyDescent="0.3">
      <c r="G10" s="658">
        <v>6</v>
      </c>
      <c r="H10" s="659">
        <v>37</v>
      </c>
      <c r="I10" s="166"/>
      <c r="J10" s="166"/>
      <c r="N10" s="160"/>
      <c r="O10" s="161"/>
      <c r="P10" s="162"/>
    </row>
    <row r="11" spans="1:25" ht="15.6" x14ac:dyDescent="0.3">
      <c r="G11" s="658">
        <v>7</v>
      </c>
      <c r="H11" s="659">
        <v>38</v>
      </c>
      <c r="I11" s="166"/>
      <c r="J11" s="166"/>
      <c r="N11" s="160"/>
      <c r="O11" s="161"/>
      <c r="P11" s="162"/>
    </row>
    <row r="12" spans="1:25" ht="15.6" x14ac:dyDescent="0.3">
      <c r="G12" s="658">
        <v>8</v>
      </c>
      <c r="H12" s="659">
        <v>51</v>
      </c>
      <c r="I12" s="166"/>
      <c r="J12" s="166"/>
      <c r="N12" s="160"/>
      <c r="O12" s="161"/>
      <c r="P12" s="162"/>
    </row>
    <row r="13" spans="1:25" ht="15.6" x14ac:dyDescent="0.3">
      <c r="G13" s="658">
        <v>9</v>
      </c>
      <c r="H13" s="659">
        <v>47</v>
      </c>
      <c r="I13" s="166"/>
      <c r="J13" s="166"/>
      <c r="N13" s="160"/>
      <c r="O13" s="161"/>
      <c r="P13" s="162"/>
    </row>
    <row r="14" spans="1:25" ht="15.6" x14ac:dyDescent="0.3">
      <c r="G14" s="658">
        <v>10</v>
      </c>
      <c r="H14" s="659">
        <v>53</v>
      </c>
      <c r="I14" s="166"/>
      <c r="J14" s="166"/>
      <c r="N14" s="160"/>
      <c r="O14" s="161"/>
      <c r="P14" s="162"/>
    </row>
    <row r="15" spans="1:25" ht="15.6" x14ac:dyDescent="0.3">
      <c r="G15" s="658">
        <v>11</v>
      </c>
      <c r="H15" s="659">
        <v>51</v>
      </c>
      <c r="I15" s="166"/>
      <c r="J15" s="166"/>
      <c r="N15" s="160"/>
      <c r="O15" s="161"/>
      <c r="P15" s="162"/>
    </row>
    <row r="16" spans="1:25" ht="15.6" x14ac:dyDescent="0.3">
      <c r="G16" s="658">
        <v>12</v>
      </c>
      <c r="H16" s="659">
        <v>63</v>
      </c>
      <c r="I16" s="166"/>
      <c r="J16" s="166"/>
      <c r="N16" s="160"/>
      <c r="O16" s="161"/>
      <c r="P16" s="162"/>
    </row>
    <row r="17" spans="7:16" ht="15.6" x14ac:dyDescent="0.3">
      <c r="G17" s="658">
        <v>13</v>
      </c>
      <c r="H17" s="659">
        <v>83</v>
      </c>
      <c r="I17" s="166"/>
      <c r="J17" s="166"/>
      <c r="N17" s="160"/>
      <c r="O17" s="161"/>
      <c r="P17" s="162"/>
    </row>
    <row r="18" spans="7:16" ht="15.6" x14ac:dyDescent="0.3">
      <c r="G18" s="658">
        <v>14</v>
      </c>
      <c r="H18" s="659">
        <v>86</v>
      </c>
      <c r="I18" s="166"/>
      <c r="J18" s="166"/>
      <c r="N18" s="160"/>
      <c r="O18" s="161"/>
      <c r="P18" s="162"/>
    </row>
    <row r="19" spans="7:16" ht="15.6" x14ac:dyDescent="0.3">
      <c r="G19" s="658">
        <v>15</v>
      </c>
      <c r="H19" s="659">
        <v>92</v>
      </c>
      <c r="I19" s="166"/>
      <c r="J19" s="166"/>
      <c r="N19" s="160"/>
      <c r="O19" s="161"/>
      <c r="P19" s="162"/>
    </row>
    <row r="20" spans="7:16" ht="15.6" x14ac:dyDescent="0.3">
      <c r="G20" s="658">
        <v>16</v>
      </c>
      <c r="H20" s="659">
        <v>124</v>
      </c>
      <c r="I20" s="166"/>
      <c r="J20" s="166"/>
      <c r="N20" s="163"/>
      <c r="O20" s="164"/>
      <c r="P20" s="165"/>
    </row>
    <row r="21" spans="7:16" ht="15.6" x14ac:dyDescent="0.3">
      <c r="G21" s="658">
        <v>17</v>
      </c>
      <c r="H21" s="659">
        <v>162</v>
      </c>
      <c r="I21" s="166"/>
      <c r="J21" s="166"/>
      <c r="N21"/>
      <c r="O21"/>
    </row>
    <row r="22" spans="7:16" ht="15.6" x14ac:dyDescent="0.3">
      <c r="G22" s="658">
        <v>18</v>
      </c>
      <c r="H22" s="659">
        <v>153</v>
      </c>
      <c r="I22" s="166"/>
      <c r="J22" s="166"/>
      <c r="N22"/>
      <c r="O22"/>
    </row>
    <row r="23" spans="7:16" ht="15.6" x14ac:dyDescent="0.3">
      <c r="G23" s="658">
        <v>19</v>
      </c>
      <c r="H23" s="659">
        <v>172</v>
      </c>
      <c r="I23" s="166"/>
      <c r="J23" s="166"/>
      <c r="N23"/>
      <c r="O23"/>
    </row>
    <row r="24" spans="7:16" ht="15.6" x14ac:dyDescent="0.3">
      <c r="G24" s="658">
        <v>20</v>
      </c>
      <c r="H24" s="659">
        <v>164</v>
      </c>
      <c r="I24" s="166"/>
      <c r="J24" s="166"/>
      <c r="N24"/>
      <c r="O24"/>
    </row>
    <row r="25" spans="7:16" ht="15.6" x14ac:dyDescent="0.3">
      <c r="G25" s="658">
        <v>21</v>
      </c>
      <c r="H25" s="659">
        <v>203</v>
      </c>
      <c r="I25" s="166"/>
      <c r="J25" s="166"/>
      <c r="N25"/>
      <c r="O25"/>
    </row>
    <row r="26" spans="7:16" ht="15.6" x14ac:dyDescent="0.3">
      <c r="G26" s="658">
        <v>22</v>
      </c>
      <c r="H26" s="659">
        <v>200</v>
      </c>
      <c r="I26" s="166"/>
      <c r="J26" s="166"/>
      <c r="N26"/>
      <c r="O26"/>
    </row>
    <row r="27" spans="7:16" ht="15.6" x14ac:dyDescent="0.3">
      <c r="G27" s="658">
        <v>23</v>
      </c>
      <c r="H27" s="659">
        <v>161</v>
      </c>
      <c r="I27" s="166"/>
      <c r="J27" s="166"/>
      <c r="N27"/>
      <c r="O27"/>
    </row>
    <row r="28" spans="7:16" ht="15.6" x14ac:dyDescent="0.3">
      <c r="G28" s="658">
        <v>24</v>
      </c>
      <c r="H28" s="659">
        <v>119</v>
      </c>
      <c r="I28" s="166"/>
      <c r="J28" s="166"/>
      <c r="N28"/>
      <c r="O28"/>
    </row>
    <row r="29" spans="7:16" ht="15.6" x14ac:dyDescent="0.3">
      <c r="G29" s="658">
        <v>25</v>
      </c>
      <c r="H29" s="659">
        <v>110</v>
      </c>
      <c r="I29" s="166"/>
      <c r="J29" s="166"/>
      <c r="N29"/>
      <c r="O29"/>
    </row>
    <row r="30" spans="7:16" ht="15.6" x14ac:dyDescent="0.3">
      <c r="G30" s="658">
        <v>26</v>
      </c>
      <c r="H30" s="659">
        <v>103</v>
      </c>
      <c r="I30" s="166"/>
      <c r="J30" s="166"/>
      <c r="N30"/>
      <c r="O30"/>
    </row>
    <row r="31" spans="7:16" ht="15.6" x14ac:dyDescent="0.3">
      <c r="G31" s="658">
        <v>27</v>
      </c>
      <c r="H31" s="659">
        <v>93</v>
      </c>
      <c r="I31" s="166"/>
      <c r="J31" s="166"/>
      <c r="N31"/>
      <c r="O31"/>
    </row>
    <row r="32" spans="7:16" ht="15.6" x14ac:dyDescent="0.3">
      <c r="G32" s="658">
        <v>28</v>
      </c>
      <c r="H32" s="659">
        <v>71</v>
      </c>
      <c r="I32" s="166"/>
      <c r="J32" s="166"/>
      <c r="N32"/>
      <c r="O32"/>
    </row>
    <row r="33" spans="7:15" ht="15.6" x14ac:dyDescent="0.3">
      <c r="G33" s="658">
        <v>29</v>
      </c>
      <c r="H33" s="659">
        <v>54</v>
      </c>
      <c r="I33" s="166"/>
      <c r="J33" s="166"/>
      <c r="N33"/>
      <c r="O33"/>
    </row>
    <row r="34" spans="7:15" ht="15.6" x14ac:dyDescent="0.3">
      <c r="G34" s="658">
        <v>30</v>
      </c>
      <c r="H34" s="659">
        <v>25</v>
      </c>
      <c r="I34" s="166"/>
      <c r="J34" s="166"/>
      <c r="N34"/>
      <c r="O34"/>
    </row>
    <row r="35" spans="7:15" ht="15.6" x14ac:dyDescent="0.3">
      <c r="G35" s="658">
        <v>31</v>
      </c>
      <c r="H35" s="659">
        <v>25</v>
      </c>
      <c r="I35" s="166"/>
      <c r="J35" s="166"/>
      <c r="N35"/>
      <c r="O35"/>
    </row>
    <row r="36" spans="7:15" ht="15.6" x14ac:dyDescent="0.3">
      <c r="G36" s="658">
        <v>32</v>
      </c>
      <c r="H36" s="659">
        <v>18</v>
      </c>
      <c r="I36" s="166"/>
      <c r="J36" s="166"/>
      <c r="N36"/>
      <c r="O36"/>
    </row>
    <row r="37" spans="7:15" ht="15.6" x14ac:dyDescent="0.3">
      <c r="G37" s="658">
        <v>33</v>
      </c>
      <c r="H37" s="659">
        <v>9</v>
      </c>
      <c r="I37" s="166"/>
      <c r="J37" s="166"/>
      <c r="N37"/>
      <c r="O37"/>
    </row>
    <row r="38" spans="7:15" ht="15.6" x14ac:dyDescent="0.3">
      <c r="G38" s="658">
        <v>34</v>
      </c>
      <c r="H38" s="659">
        <v>13</v>
      </c>
      <c r="I38" s="166"/>
      <c r="N38"/>
      <c r="O38"/>
    </row>
    <row r="39" spans="7:15" ht="15.6" x14ac:dyDescent="0.3">
      <c r="G39" s="658">
        <v>35</v>
      </c>
      <c r="H39" s="659">
        <v>9</v>
      </c>
      <c r="I39" s="166"/>
      <c r="N39"/>
      <c r="O39"/>
    </row>
    <row r="40" spans="7:15" ht="15.6" x14ac:dyDescent="0.3">
      <c r="G40" s="658">
        <v>36</v>
      </c>
      <c r="H40" s="659">
        <v>5</v>
      </c>
      <c r="I40" s="166"/>
      <c r="J40" s="166"/>
      <c r="N40"/>
      <c r="O40"/>
    </row>
    <row r="41" spans="7:15" ht="15.6" x14ac:dyDescent="0.3">
      <c r="G41" s="658">
        <v>38</v>
      </c>
      <c r="H41" s="659">
        <v>1</v>
      </c>
      <c r="I41" s="166"/>
      <c r="J41" s="166"/>
      <c r="N41"/>
      <c r="O41"/>
    </row>
    <row r="42" spans="7:15" ht="15.6" x14ac:dyDescent="0.3">
      <c r="G42" s="658">
        <v>42</v>
      </c>
      <c r="H42" s="659">
        <v>1</v>
      </c>
      <c r="N42"/>
      <c r="O42"/>
    </row>
    <row r="43" spans="7:15" ht="15.6" x14ac:dyDescent="0.3">
      <c r="G43" s="658" t="s">
        <v>1462</v>
      </c>
      <c r="H43" s="659">
        <v>2787</v>
      </c>
      <c r="N43"/>
      <c r="O43"/>
    </row>
    <row r="44" spans="7:15" ht="15.6" x14ac:dyDescent="0.3">
      <c r="G44"/>
      <c r="H44"/>
      <c r="N44"/>
      <c r="O44"/>
    </row>
    <row r="45" spans="7:15" ht="15.6" x14ac:dyDescent="0.3">
      <c r="G45"/>
      <c r="H45"/>
      <c r="N45"/>
      <c r="O45"/>
    </row>
    <row r="46" spans="7:15" ht="15" customHeight="1" x14ac:dyDescent="0.3">
      <c r="N46"/>
      <c r="O46"/>
    </row>
    <row r="47" spans="7:15" ht="15" customHeight="1" x14ac:dyDescent="0.3">
      <c r="N47"/>
      <c r="O47"/>
    </row>
    <row r="48" spans="7:15" ht="15" customHeight="1" x14ac:dyDescent="0.3">
      <c r="N48"/>
      <c r="O48"/>
    </row>
    <row r="49" spans="14:15" ht="15" customHeight="1" x14ac:dyDescent="0.3">
      <c r="N49"/>
      <c r="O49"/>
    </row>
    <row r="50" spans="14:15" ht="15" customHeight="1" x14ac:dyDescent="0.3">
      <c r="N50"/>
      <c r="O50"/>
    </row>
    <row r="51" spans="14:15" ht="15" customHeight="1" x14ac:dyDescent="0.3">
      <c r="N51"/>
      <c r="O51"/>
    </row>
    <row r="52" spans="14:15" ht="15" customHeight="1" x14ac:dyDescent="0.3">
      <c r="N52"/>
      <c r="O52"/>
    </row>
    <row r="53" spans="14:15" ht="15" customHeight="1" x14ac:dyDescent="0.3">
      <c r="N53"/>
      <c r="O53"/>
    </row>
    <row r="54" spans="14:15" ht="15" customHeight="1" x14ac:dyDescent="0.3">
      <c r="N54"/>
      <c r="O54"/>
    </row>
    <row r="55" spans="14:15" ht="15" customHeight="1" x14ac:dyDescent="0.3">
      <c r="N55"/>
      <c r="O55"/>
    </row>
    <row r="56" spans="14:15" ht="15" customHeight="1" x14ac:dyDescent="0.3">
      <c r="N56"/>
      <c r="O56"/>
    </row>
    <row r="57" spans="14:15" ht="15" customHeight="1" x14ac:dyDescent="0.3">
      <c r="N57"/>
      <c r="O57"/>
    </row>
    <row r="58" spans="14:15" ht="15" customHeight="1" x14ac:dyDescent="0.3">
      <c r="N58"/>
      <c r="O58"/>
    </row>
    <row r="59" spans="14:15" ht="15" customHeight="1" x14ac:dyDescent="0.3">
      <c r="N59"/>
      <c r="O59"/>
    </row>
    <row r="60" spans="14:15" ht="15" customHeight="1" x14ac:dyDescent="0.3">
      <c r="N60"/>
      <c r="O60"/>
    </row>
    <row r="61" spans="14:15" ht="15" customHeight="1" x14ac:dyDescent="0.3">
      <c r="N61"/>
      <c r="O61"/>
    </row>
    <row r="62" spans="14:15" ht="15" customHeight="1" x14ac:dyDescent="0.3">
      <c r="N62"/>
      <c r="O62"/>
    </row>
    <row r="63" spans="14:15" ht="15" customHeight="1" x14ac:dyDescent="0.3">
      <c r="N63"/>
      <c r="O63"/>
    </row>
    <row r="64" spans="14:15" ht="15" customHeight="1" x14ac:dyDescent="0.3">
      <c r="N64"/>
      <c r="O64"/>
    </row>
    <row r="65" spans="14:15" ht="15" customHeight="1" x14ac:dyDescent="0.3">
      <c r="N65"/>
      <c r="O65"/>
    </row>
    <row r="66" spans="14:15" ht="15" customHeight="1" x14ac:dyDescent="0.3">
      <c r="N66"/>
      <c r="O66"/>
    </row>
    <row r="67" spans="14:15" ht="15" customHeight="1" x14ac:dyDescent="0.3">
      <c r="N67"/>
      <c r="O67"/>
    </row>
    <row r="68" spans="14:15" ht="15" customHeight="1" x14ac:dyDescent="0.3">
      <c r="N68"/>
      <c r="O68"/>
    </row>
    <row r="69" spans="14:15" ht="15" customHeight="1" x14ac:dyDescent="0.3">
      <c r="N69"/>
      <c r="O69"/>
    </row>
    <row r="70" spans="14:15" ht="15" customHeight="1" x14ac:dyDescent="0.3">
      <c r="N70"/>
      <c r="O70"/>
    </row>
    <row r="71" spans="14:15" ht="15" customHeight="1" x14ac:dyDescent="0.3">
      <c r="N71"/>
      <c r="O71"/>
    </row>
    <row r="72" spans="14:15" ht="15" customHeight="1" x14ac:dyDescent="0.3">
      <c r="N72"/>
      <c r="O72"/>
    </row>
    <row r="73" spans="14:15" ht="15" customHeight="1" x14ac:dyDescent="0.3">
      <c r="N73"/>
      <c r="O73"/>
    </row>
    <row r="74" spans="14:15" ht="15" customHeight="1" x14ac:dyDescent="0.3">
      <c r="N74"/>
      <c r="O74"/>
    </row>
    <row r="75" spans="14:15" ht="15" customHeight="1" x14ac:dyDescent="0.3">
      <c r="N75"/>
      <c r="O75"/>
    </row>
    <row r="76" spans="14:15" ht="15" customHeight="1" x14ac:dyDescent="0.3">
      <c r="N76"/>
      <c r="O76"/>
    </row>
    <row r="77" spans="14:15" ht="15" customHeight="1" x14ac:dyDescent="0.3">
      <c r="N77"/>
      <c r="O77"/>
    </row>
    <row r="78" spans="14:15" ht="15" customHeight="1" x14ac:dyDescent="0.3">
      <c r="N78"/>
      <c r="O78"/>
    </row>
    <row r="79" spans="14:15" ht="15" customHeight="1" x14ac:dyDescent="0.3">
      <c r="N79"/>
      <c r="O79"/>
    </row>
    <row r="80" spans="14:15" ht="15" customHeight="1" x14ac:dyDescent="0.3">
      <c r="N80"/>
      <c r="O80"/>
    </row>
    <row r="81" spans="14:15" ht="15" customHeight="1" x14ac:dyDescent="0.3">
      <c r="N81"/>
      <c r="O81"/>
    </row>
    <row r="82" spans="14:15" ht="15" customHeight="1" x14ac:dyDescent="0.3">
      <c r="N82"/>
      <c r="O82"/>
    </row>
    <row r="83" spans="14:15" ht="15" customHeight="1" x14ac:dyDescent="0.3">
      <c r="N83"/>
      <c r="O83"/>
    </row>
    <row r="84" spans="14:15" ht="15" customHeight="1" x14ac:dyDescent="0.3">
      <c r="N84"/>
      <c r="O84"/>
    </row>
    <row r="85" spans="14:15" ht="15" customHeight="1" x14ac:dyDescent="0.3">
      <c r="N85"/>
      <c r="O85"/>
    </row>
    <row r="86" spans="14:15" ht="15" customHeight="1" x14ac:dyDescent="0.3">
      <c r="N86"/>
      <c r="O86"/>
    </row>
    <row r="87" spans="14:15" ht="15" customHeight="1" x14ac:dyDescent="0.3">
      <c r="N87"/>
      <c r="O87"/>
    </row>
    <row r="88" spans="14:15" ht="15" customHeight="1" x14ac:dyDescent="0.3">
      <c r="N88"/>
      <c r="O88"/>
    </row>
    <row r="89" spans="14:15" ht="15" customHeight="1" x14ac:dyDescent="0.3">
      <c r="N89"/>
      <c r="O89"/>
    </row>
    <row r="90" spans="14:15" ht="15" customHeight="1" x14ac:dyDescent="0.3">
      <c r="N90"/>
      <c r="O90"/>
    </row>
    <row r="91" spans="14:15" ht="15" customHeight="1" x14ac:dyDescent="0.3">
      <c r="N91"/>
      <c r="O91"/>
    </row>
    <row r="92" spans="14:15" ht="15" customHeight="1" x14ac:dyDescent="0.3">
      <c r="N92"/>
      <c r="O92"/>
    </row>
    <row r="93" spans="14:15" ht="15" customHeight="1" x14ac:dyDescent="0.3">
      <c r="N93"/>
      <c r="O93"/>
    </row>
    <row r="94" spans="14:15" ht="15" customHeight="1" x14ac:dyDescent="0.3">
      <c r="N94"/>
      <c r="O94"/>
    </row>
    <row r="95" spans="14:15" ht="15" customHeight="1" x14ac:dyDescent="0.3">
      <c r="N95"/>
      <c r="O95"/>
    </row>
    <row r="96" spans="14:15" ht="15" customHeight="1" x14ac:dyDescent="0.3">
      <c r="N96"/>
      <c r="O96"/>
    </row>
    <row r="97" spans="14:15" ht="15" customHeight="1" x14ac:dyDescent="0.3">
      <c r="N97"/>
      <c r="O97"/>
    </row>
    <row r="98" spans="14:15" ht="15" customHeight="1" x14ac:dyDescent="0.3">
      <c r="N98"/>
      <c r="O98"/>
    </row>
    <row r="99" spans="14:15" ht="15" customHeight="1" x14ac:dyDescent="0.3">
      <c r="N99"/>
      <c r="O99"/>
    </row>
    <row r="100" spans="14:15" ht="15" customHeight="1" x14ac:dyDescent="0.3">
      <c r="N100"/>
      <c r="O100"/>
    </row>
    <row r="101" spans="14:15" ht="15" customHeight="1" x14ac:dyDescent="0.3">
      <c r="N101"/>
      <c r="O101"/>
    </row>
    <row r="102" spans="14:15" ht="15" customHeight="1" x14ac:dyDescent="0.3">
      <c r="N102"/>
      <c r="O102"/>
    </row>
    <row r="103" spans="14:15" ht="15" customHeight="1" x14ac:dyDescent="0.3">
      <c r="N103"/>
      <c r="O103"/>
    </row>
    <row r="104" spans="14:15" ht="15" customHeight="1" x14ac:dyDescent="0.3">
      <c r="N104"/>
      <c r="O104"/>
    </row>
    <row r="105" spans="14:15" ht="15" customHeight="1" x14ac:dyDescent="0.3">
      <c r="N105"/>
      <c r="O105"/>
    </row>
    <row r="106" spans="14:15" ht="15" customHeight="1" x14ac:dyDescent="0.3">
      <c r="N106"/>
      <c r="O106"/>
    </row>
    <row r="107" spans="14:15" ht="15" customHeight="1" x14ac:dyDescent="0.3">
      <c r="N107"/>
      <c r="O107"/>
    </row>
    <row r="108" spans="14:15" ht="15" customHeight="1" x14ac:dyDescent="0.3">
      <c r="N108"/>
      <c r="O108"/>
    </row>
    <row r="109" spans="14:15" ht="15" customHeight="1" x14ac:dyDescent="0.3">
      <c r="N109"/>
      <c r="O109"/>
    </row>
    <row r="110" spans="14:15" ht="15" customHeight="1" x14ac:dyDescent="0.3">
      <c r="N110"/>
      <c r="O110"/>
    </row>
    <row r="111" spans="14:15" ht="15" customHeight="1" x14ac:dyDescent="0.3">
      <c r="N111"/>
      <c r="O111"/>
    </row>
    <row r="112" spans="14:15" ht="15" customHeight="1" x14ac:dyDescent="0.3">
      <c r="N112"/>
      <c r="O112"/>
    </row>
    <row r="113" spans="14:15" ht="15" customHeight="1" x14ac:dyDescent="0.3">
      <c r="N113"/>
      <c r="O113"/>
    </row>
    <row r="114" spans="14:15" ht="15" customHeight="1" x14ac:dyDescent="0.3">
      <c r="N114"/>
      <c r="O114"/>
    </row>
    <row r="115" spans="14:15" ht="15" customHeight="1" x14ac:dyDescent="0.3">
      <c r="N115"/>
      <c r="O115"/>
    </row>
    <row r="116" spans="14:15" ht="15" customHeight="1" x14ac:dyDescent="0.3">
      <c r="N116"/>
      <c r="O116"/>
    </row>
    <row r="117" spans="14:15" ht="15" customHeight="1" x14ac:dyDescent="0.3">
      <c r="N117"/>
      <c r="O117"/>
    </row>
    <row r="118" spans="14:15" ht="15" customHeight="1" x14ac:dyDescent="0.3">
      <c r="N118"/>
      <c r="O118"/>
    </row>
    <row r="119" spans="14:15" ht="15" customHeight="1" x14ac:dyDescent="0.3">
      <c r="N119"/>
      <c r="O119"/>
    </row>
    <row r="120" spans="14:15" ht="15" customHeight="1" x14ac:dyDescent="0.3">
      <c r="N120"/>
      <c r="O120"/>
    </row>
    <row r="121" spans="14:15" ht="15" customHeight="1" x14ac:dyDescent="0.3">
      <c r="N121"/>
      <c r="O121"/>
    </row>
    <row r="122" spans="14:15" ht="15" customHeight="1" x14ac:dyDescent="0.3">
      <c r="N122"/>
      <c r="O122"/>
    </row>
    <row r="123" spans="14:15" ht="15" customHeight="1" x14ac:dyDescent="0.3">
      <c r="N123"/>
      <c r="O123"/>
    </row>
    <row r="124" spans="14:15" ht="15" customHeight="1" x14ac:dyDescent="0.3">
      <c r="N124"/>
      <c r="O124"/>
    </row>
    <row r="125" spans="14:15" ht="15" customHeight="1" x14ac:dyDescent="0.3">
      <c r="N125"/>
      <c r="O125"/>
    </row>
    <row r="126" spans="14:15" ht="15" customHeight="1" x14ac:dyDescent="0.3">
      <c r="N126"/>
      <c r="O126"/>
    </row>
    <row r="127" spans="14:15" ht="15" customHeight="1" x14ac:dyDescent="0.3">
      <c r="N127"/>
      <c r="O127"/>
    </row>
    <row r="128" spans="14:15" ht="15" customHeight="1" x14ac:dyDescent="0.3">
      <c r="N128"/>
      <c r="O128"/>
    </row>
    <row r="129" spans="14:15" ht="15" customHeight="1" x14ac:dyDescent="0.3">
      <c r="N129"/>
      <c r="O129"/>
    </row>
    <row r="130" spans="14:15" ht="15" customHeight="1" x14ac:dyDescent="0.3">
      <c r="N130"/>
      <c r="O130"/>
    </row>
    <row r="131" spans="14:15" ht="15" customHeight="1" x14ac:dyDescent="0.3">
      <c r="N131"/>
      <c r="O131"/>
    </row>
    <row r="132" spans="14:15" ht="15" customHeight="1" x14ac:dyDescent="0.3">
      <c r="N132"/>
      <c r="O132"/>
    </row>
    <row r="133" spans="14:15" ht="15" customHeight="1" x14ac:dyDescent="0.3">
      <c r="N133"/>
      <c r="O133"/>
    </row>
    <row r="134" spans="14:15" ht="15" customHeight="1" x14ac:dyDescent="0.3">
      <c r="N134"/>
      <c r="O134"/>
    </row>
    <row r="135" spans="14:15" ht="15" customHeight="1" x14ac:dyDescent="0.3">
      <c r="N135"/>
      <c r="O135"/>
    </row>
    <row r="136" spans="14:15" ht="15" customHeight="1" x14ac:dyDescent="0.3">
      <c r="N136"/>
      <c r="O136"/>
    </row>
    <row r="137" spans="14:15" ht="15" customHeight="1" x14ac:dyDescent="0.3">
      <c r="N137"/>
      <c r="O137"/>
    </row>
    <row r="138" spans="14:15" ht="15" customHeight="1" x14ac:dyDescent="0.3">
      <c r="N138"/>
      <c r="O138"/>
    </row>
    <row r="139" spans="14:15" ht="15" customHeight="1" x14ac:dyDescent="0.3">
      <c r="N139"/>
      <c r="O139"/>
    </row>
    <row r="140" spans="14:15" ht="15" customHeight="1" x14ac:dyDescent="0.3">
      <c r="N140"/>
      <c r="O140"/>
    </row>
    <row r="141" spans="14:15" ht="15" customHeight="1" x14ac:dyDescent="0.3">
      <c r="N141"/>
      <c r="O141"/>
    </row>
    <row r="142" spans="14:15" ht="15" customHeight="1" x14ac:dyDescent="0.3">
      <c r="N142"/>
      <c r="O142"/>
    </row>
    <row r="143" spans="14:15" ht="15" customHeight="1" x14ac:dyDescent="0.3">
      <c r="N143"/>
      <c r="O143"/>
    </row>
    <row r="144" spans="14:15" ht="15" customHeight="1" x14ac:dyDescent="0.3">
      <c r="N144"/>
      <c r="O144"/>
    </row>
    <row r="145" spans="14:15" ht="15" customHeight="1" x14ac:dyDescent="0.3">
      <c r="N145"/>
      <c r="O145"/>
    </row>
    <row r="146" spans="14:15" ht="15" customHeight="1" x14ac:dyDescent="0.3">
      <c r="N146"/>
      <c r="O146"/>
    </row>
    <row r="147" spans="14:15" ht="15" customHeight="1" x14ac:dyDescent="0.3">
      <c r="N147"/>
      <c r="O147"/>
    </row>
    <row r="148" spans="14:15" ht="15" customHeight="1" x14ac:dyDescent="0.3">
      <c r="N148"/>
      <c r="O148"/>
    </row>
    <row r="149" spans="14:15" ht="15" customHeight="1" x14ac:dyDescent="0.3">
      <c r="N149"/>
      <c r="O149"/>
    </row>
    <row r="150" spans="14:15" ht="15" customHeight="1" x14ac:dyDescent="0.3">
      <c r="N150"/>
      <c r="O150"/>
    </row>
    <row r="151" spans="14:15" ht="15" customHeight="1" x14ac:dyDescent="0.3">
      <c r="N151"/>
      <c r="O151"/>
    </row>
    <row r="152" spans="14:15" ht="15" customHeight="1" x14ac:dyDescent="0.3">
      <c r="N152"/>
      <c r="O152"/>
    </row>
    <row r="153" spans="14:15" ht="15" customHeight="1" x14ac:dyDescent="0.3">
      <c r="N153"/>
      <c r="O153"/>
    </row>
    <row r="154" spans="14:15" ht="15" customHeight="1" x14ac:dyDescent="0.3">
      <c r="N154"/>
      <c r="O154"/>
    </row>
    <row r="155" spans="14:15" ht="15" customHeight="1" x14ac:dyDescent="0.3">
      <c r="N155"/>
      <c r="O155"/>
    </row>
    <row r="156" spans="14:15" ht="15" customHeight="1" x14ac:dyDescent="0.3">
      <c r="N156"/>
      <c r="O156"/>
    </row>
    <row r="157" spans="14:15" ht="15" customHeight="1" x14ac:dyDescent="0.3">
      <c r="N157"/>
      <c r="O157"/>
    </row>
    <row r="158" spans="14:15" ht="15" customHeight="1" x14ac:dyDescent="0.3">
      <c r="N158"/>
      <c r="O158"/>
    </row>
    <row r="159" spans="14:15" ht="15" customHeight="1" x14ac:dyDescent="0.3">
      <c r="N159"/>
      <c r="O159"/>
    </row>
    <row r="160" spans="14:15" ht="15" customHeight="1" x14ac:dyDescent="0.3">
      <c r="N160"/>
      <c r="O160"/>
    </row>
    <row r="161" spans="14:15" ht="15" customHeight="1" x14ac:dyDescent="0.3">
      <c r="N161"/>
      <c r="O161"/>
    </row>
    <row r="162" spans="14:15" ht="15" customHeight="1" x14ac:dyDescent="0.3">
      <c r="N162"/>
      <c r="O162"/>
    </row>
    <row r="163" spans="14:15" ht="15" customHeight="1" x14ac:dyDescent="0.3">
      <c r="N163"/>
      <c r="O163"/>
    </row>
    <row r="164" spans="14:15" ht="15" customHeight="1" x14ac:dyDescent="0.3">
      <c r="N164"/>
      <c r="O164"/>
    </row>
    <row r="165" spans="14:15" ht="15" customHeight="1" x14ac:dyDescent="0.3">
      <c r="N165"/>
      <c r="O165"/>
    </row>
    <row r="166" spans="14:15" ht="15" customHeight="1" x14ac:dyDescent="0.3">
      <c r="N166"/>
      <c r="O166"/>
    </row>
    <row r="167" spans="14:15" ht="15" customHeight="1" x14ac:dyDescent="0.3">
      <c r="N167"/>
      <c r="O167"/>
    </row>
    <row r="168" spans="14:15" ht="15" customHeight="1" x14ac:dyDescent="0.3">
      <c r="N168"/>
      <c r="O168"/>
    </row>
    <row r="169" spans="14:15" ht="15" customHeight="1" x14ac:dyDescent="0.3">
      <c r="N169"/>
      <c r="O169"/>
    </row>
    <row r="170" spans="14:15" ht="15" customHeight="1" x14ac:dyDescent="0.3">
      <c r="N170"/>
      <c r="O170"/>
    </row>
    <row r="171" spans="14:15" ht="15" customHeight="1" x14ac:dyDescent="0.3">
      <c r="N171"/>
      <c r="O171"/>
    </row>
    <row r="172" spans="14:15" ht="15" customHeight="1" x14ac:dyDescent="0.3">
      <c r="N172"/>
      <c r="O172"/>
    </row>
    <row r="173" spans="14:15" ht="15" customHeight="1" x14ac:dyDescent="0.3">
      <c r="N173"/>
      <c r="O173"/>
    </row>
    <row r="174" spans="14:15" ht="15" customHeight="1" x14ac:dyDescent="0.3">
      <c r="N174"/>
      <c r="O174"/>
    </row>
    <row r="175" spans="14:15" ht="15" customHeight="1" x14ac:dyDescent="0.3">
      <c r="N175"/>
      <c r="O175"/>
    </row>
    <row r="176" spans="14:15" ht="15" customHeight="1" x14ac:dyDescent="0.3">
      <c r="N176"/>
      <c r="O176"/>
    </row>
    <row r="177" spans="14:15" ht="15" customHeight="1" x14ac:dyDescent="0.3">
      <c r="N177"/>
      <c r="O177"/>
    </row>
    <row r="178" spans="14:15" ht="15" customHeight="1" x14ac:dyDescent="0.3">
      <c r="N178"/>
      <c r="O178"/>
    </row>
    <row r="179" spans="14:15" ht="15" customHeight="1" x14ac:dyDescent="0.3">
      <c r="N179"/>
      <c r="O179"/>
    </row>
    <row r="180" spans="14:15" ht="15" customHeight="1" x14ac:dyDescent="0.3">
      <c r="N180"/>
      <c r="O180"/>
    </row>
    <row r="181" spans="14:15" ht="15" customHeight="1" x14ac:dyDescent="0.3">
      <c r="N181"/>
      <c r="O181"/>
    </row>
    <row r="182" spans="14:15" ht="15" customHeight="1" x14ac:dyDescent="0.3">
      <c r="N182"/>
      <c r="O182"/>
    </row>
    <row r="183" spans="14:15" ht="15" customHeight="1" x14ac:dyDescent="0.3">
      <c r="N183"/>
      <c r="O183"/>
    </row>
    <row r="184" spans="14:15" ht="15" customHeight="1" x14ac:dyDescent="0.3">
      <c r="N184"/>
      <c r="O184"/>
    </row>
    <row r="185" spans="14:15" ht="15" customHeight="1" x14ac:dyDescent="0.3">
      <c r="N185"/>
      <c r="O185"/>
    </row>
    <row r="186" spans="14:15" ht="15" customHeight="1" x14ac:dyDescent="0.3">
      <c r="N186"/>
      <c r="O186"/>
    </row>
    <row r="187" spans="14:15" ht="15" customHeight="1" x14ac:dyDescent="0.3">
      <c r="N187"/>
      <c r="O187"/>
    </row>
    <row r="188" spans="14:15" ht="15" customHeight="1" x14ac:dyDescent="0.3">
      <c r="N188"/>
      <c r="O188"/>
    </row>
    <row r="189" spans="14:15" ht="15" customHeight="1" x14ac:dyDescent="0.3">
      <c r="N189"/>
      <c r="O189"/>
    </row>
    <row r="190" spans="14:15" ht="15" customHeight="1" x14ac:dyDescent="0.3">
      <c r="N190"/>
      <c r="O190"/>
    </row>
    <row r="191" spans="14:15" ht="15" customHeight="1" x14ac:dyDescent="0.3">
      <c r="N191"/>
      <c r="O191"/>
    </row>
    <row r="192" spans="14:15" ht="15" customHeight="1" x14ac:dyDescent="0.3">
      <c r="N192"/>
      <c r="O192"/>
    </row>
    <row r="193" spans="14:15" ht="15" customHeight="1" x14ac:dyDescent="0.3">
      <c r="N193"/>
      <c r="O193"/>
    </row>
    <row r="194" spans="14:15" ht="15" customHeight="1" x14ac:dyDescent="0.3">
      <c r="N194"/>
      <c r="O194"/>
    </row>
    <row r="195" spans="14:15" ht="15" customHeight="1" x14ac:dyDescent="0.3">
      <c r="N195"/>
      <c r="O195"/>
    </row>
    <row r="196" spans="14:15" ht="15" customHeight="1" x14ac:dyDescent="0.3">
      <c r="N196"/>
      <c r="O196"/>
    </row>
    <row r="197" spans="14:15" ht="15" customHeight="1" x14ac:dyDescent="0.3">
      <c r="N197"/>
      <c r="O197"/>
    </row>
    <row r="198" spans="14:15" ht="15" customHeight="1" x14ac:dyDescent="0.3">
      <c r="N198"/>
      <c r="O198"/>
    </row>
    <row r="199" spans="14:15" ht="15" customHeight="1" x14ac:dyDescent="0.3">
      <c r="N199"/>
      <c r="O199"/>
    </row>
    <row r="200" spans="14:15" ht="15" customHeight="1" x14ac:dyDescent="0.3">
      <c r="N200"/>
      <c r="O200"/>
    </row>
    <row r="201" spans="14:15" ht="15" customHeight="1" x14ac:dyDescent="0.3">
      <c r="N201"/>
      <c r="O201"/>
    </row>
    <row r="202" spans="14:15" ht="15" customHeight="1" x14ac:dyDescent="0.3">
      <c r="N202"/>
      <c r="O202"/>
    </row>
    <row r="203" spans="14:15" ht="15" customHeight="1" x14ac:dyDescent="0.3">
      <c r="N203"/>
      <c r="O203"/>
    </row>
    <row r="204" spans="14:15" ht="15" customHeight="1" x14ac:dyDescent="0.3">
      <c r="N204"/>
      <c r="O204"/>
    </row>
    <row r="205" spans="14:15" ht="15" customHeight="1" x14ac:dyDescent="0.3">
      <c r="N205"/>
      <c r="O205"/>
    </row>
    <row r="206" spans="14:15" ht="15" customHeight="1" x14ac:dyDescent="0.3">
      <c r="N206"/>
      <c r="O206"/>
    </row>
    <row r="207" spans="14:15" ht="15" customHeight="1" x14ac:dyDescent="0.3">
      <c r="N207"/>
      <c r="O207"/>
    </row>
    <row r="208" spans="14:15" ht="15" customHeight="1" x14ac:dyDescent="0.3">
      <c r="N208"/>
      <c r="O208"/>
    </row>
    <row r="209" spans="14:15" ht="15" customHeight="1" x14ac:dyDescent="0.3">
      <c r="N209"/>
      <c r="O209"/>
    </row>
    <row r="210" spans="14:15" ht="15" customHeight="1" x14ac:dyDescent="0.3">
      <c r="N210"/>
      <c r="O210"/>
    </row>
    <row r="211" spans="14:15" ht="15" customHeight="1" x14ac:dyDescent="0.3">
      <c r="N211"/>
      <c r="O211"/>
    </row>
    <row r="212" spans="14:15" ht="15" customHeight="1" x14ac:dyDescent="0.3">
      <c r="N212"/>
      <c r="O212"/>
    </row>
    <row r="213" spans="14:15" ht="15" customHeight="1" x14ac:dyDescent="0.3">
      <c r="N213"/>
      <c r="O213"/>
    </row>
    <row r="214" spans="14:15" ht="15" customHeight="1" x14ac:dyDescent="0.3">
      <c r="N214"/>
      <c r="O214"/>
    </row>
    <row r="215" spans="14:15" ht="15" customHeight="1" x14ac:dyDescent="0.3">
      <c r="N215"/>
      <c r="O215"/>
    </row>
    <row r="216" spans="14:15" ht="15" customHeight="1" x14ac:dyDescent="0.3">
      <c r="N216"/>
      <c r="O216"/>
    </row>
    <row r="217" spans="14:15" ht="15" customHeight="1" x14ac:dyDescent="0.3">
      <c r="N217"/>
      <c r="O217"/>
    </row>
    <row r="218" spans="14:15" ht="15" customHeight="1" x14ac:dyDescent="0.3">
      <c r="N218"/>
      <c r="O218"/>
    </row>
    <row r="219" spans="14:15" ht="15" customHeight="1" x14ac:dyDescent="0.3">
      <c r="N219"/>
      <c r="O219"/>
    </row>
    <row r="220" spans="14:15" ht="15" customHeight="1" x14ac:dyDescent="0.3">
      <c r="N220"/>
      <c r="O220"/>
    </row>
    <row r="221" spans="14:15" ht="15" customHeight="1" x14ac:dyDescent="0.3">
      <c r="N221"/>
      <c r="O221"/>
    </row>
    <row r="222" spans="14:15" ht="15" customHeight="1" x14ac:dyDescent="0.3">
      <c r="N222"/>
      <c r="O222"/>
    </row>
    <row r="223" spans="14:15" ht="15" customHeight="1" x14ac:dyDescent="0.3">
      <c r="N223"/>
      <c r="O223"/>
    </row>
    <row r="224" spans="14:15" ht="15" customHeight="1" x14ac:dyDescent="0.3">
      <c r="N224"/>
      <c r="O224"/>
    </row>
    <row r="225" spans="14:15" ht="15" customHeight="1" x14ac:dyDescent="0.3">
      <c r="N225"/>
      <c r="O225"/>
    </row>
    <row r="226" spans="14:15" ht="15" customHeight="1" x14ac:dyDescent="0.3">
      <c r="N226"/>
      <c r="O226"/>
    </row>
    <row r="227" spans="14:15" ht="15" customHeight="1" x14ac:dyDescent="0.3">
      <c r="N227"/>
      <c r="O227"/>
    </row>
    <row r="228" spans="14:15" ht="15" customHeight="1" x14ac:dyDescent="0.3">
      <c r="N228"/>
      <c r="O228"/>
    </row>
    <row r="229" spans="14:15" ht="15" customHeight="1" x14ac:dyDescent="0.3">
      <c r="N229"/>
      <c r="O229"/>
    </row>
    <row r="230" spans="14:15" ht="15" customHeight="1" x14ac:dyDescent="0.3">
      <c r="N230"/>
      <c r="O230"/>
    </row>
    <row r="231" spans="14:15" ht="15" customHeight="1" x14ac:dyDescent="0.3">
      <c r="N231"/>
      <c r="O231"/>
    </row>
    <row r="232" spans="14:15" ht="15" customHeight="1" x14ac:dyDescent="0.3">
      <c r="N232"/>
      <c r="O232"/>
    </row>
    <row r="233" spans="14:15" ht="15" customHeight="1" x14ac:dyDescent="0.3">
      <c r="N233"/>
      <c r="O233"/>
    </row>
    <row r="234" spans="14:15" ht="15" customHeight="1" x14ac:dyDescent="0.3">
      <c r="N234"/>
      <c r="O234"/>
    </row>
    <row r="235" spans="14:15" ht="15" customHeight="1" x14ac:dyDescent="0.3">
      <c r="N235"/>
      <c r="O235"/>
    </row>
    <row r="236" spans="14:15" ht="15" customHeight="1" x14ac:dyDescent="0.3">
      <c r="N236"/>
      <c r="O236"/>
    </row>
    <row r="237" spans="14:15" ht="15" customHeight="1" x14ac:dyDescent="0.3">
      <c r="N237"/>
      <c r="O237"/>
    </row>
    <row r="238" spans="14:15" ht="15" customHeight="1" x14ac:dyDescent="0.3">
      <c r="N238"/>
      <c r="O238"/>
    </row>
    <row r="239" spans="14:15" ht="15" customHeight="1" x14ac:dyDescent="0.3">
      <c r="N239"/>
      <c r="O239"/>
    </row>
    <row r="240" spans="14:15" ht="15" customHeight="1" x14ac:dyDescent="0.3">
      <c r="N240"/>
      <c r="O240"/>
    </row>
    <row r="241" spans="14:15" ht="15" customHeight="1" x14ac:dyDescent="0.3">
      <c r="N241"/>
      <c r="O241"/>
    </row>
    <row r="242" spans="14:15" ht="15" customHeight="1" x14ac:dyDescent="0.3">
      <c r="N242"/>
      <c r="O242"/>
    </row>
    <row r="243" spans="14:15" ht="15" customHeight="1" x14ac:dyDescent="0.3">
      <c r="N243"/>
      <c r="O243"/>
    </row>
    <row r="244" spans="14:15" ht="15" customHeight="1" x14ac:dyDescent="0.3">
      <c r="N244"/>
      <c r="O244"/>
    </row>
    <row r="245" spans="14:15" ht="15" customHeight="1" x14ac:dyDescent="0.3">
      <c r="N245"/>
      <c r="O245"/>
    </row>
    <row r="246" spans="14:15" ht="15" customHeight="1" x14ac:dyDescent="0.3">
      <c r="N246"/>
      <c r="O246"/>
    </row>
    <row r="247" spans="14:15" ht="15" customHeight="1" x14ac:dyDescent="0.3">
      <c r="N247"/>
      <c r="O247"/>
    </row>
    <row r="248" spans="14:15" ht="15" customHeight="1" x14ac:dyDescent="0.3">
      <c r="N248"/>
      <c r="O248"/>
    </row>
    <row r="249" spans="14:15" ht="15" customHeight="1" x14ac:dyDescent="0.3">
      <c r="N249"/>
      <c r="O249"/>
    </row>
    <row r="250" spans="14:15" ht="15" customHeight="1" x14ac:dyDescent="0.3">
      <c r="N250"/>
      <c r="O250"/>
    </row>
    <row r="251" spans="14:15" ht="15" customHeight="1" x14ac:dyDescent="0.3">
      <c r="N251"/>
      <c r="O251"/>
    </row>
    <row r="252" spans="14:15" ht="15" customHeight="1" x14ac:dyDescent="0.3">
      <c r="N252"/>
      <c r="O252"/>
    </row>
    <row r="253" spans="14:15" ht="15" customHeight="1" x14ac:dyDescent="0.3">
      <c r="N253"/>
      <c r="O253"/>
    </row>
    <row r="254" spans="14:15" ht="15" customHeight="1" x14ac:dyDescent="0.3">
      <c r="N254"/>
      <c r="O254"/>
    </row>
    <row r="255" spans="14:15" ht="15" customHeight="1" x14ac:dyDescent="0.3">
      <c r="N255"/>
      <c r="O255"/>
    </row>
    <row r="256" spans="14:15" ht="15" customHeight="1" x14ac:dyDescent="0.3">
      <c r="N256"/>
      <c r="O256"/>
    </row>
    <row r="257" spans="14:15" ht="15" customHeight="1" x14ac:dyDescent="0.3">
      <c r="N257"/>
      <c r="O257"/>
    </row>
    <row r="258" spans="14:15" ht="15" customHeight="1" x14ac:dyDescent="0.3">
      <c r="N258"/>
      <c r="O258"/>
    </row>
    <row r="259" spans="14:15" ht="15" customHeight="1" x14ac:dyDescent="0.3">
      <c r="N259"/>
      <c r="O259"/>
    </row>
    <row r="260" spans="14:15" ht="15" customHeight="1" x14ac:dyDescent="0.3">
      <c r="N260"/>
      <c r="O260"/>
    </row>
    <row r="261" spans="14:15" ht="15" customHeight="1" x14ac:dyDescent="0.3">
      <c r="N261"/>
      <c r="O261"/>
    </row>
    <row r="262" spans="14:15" ht="15" customHeight="1" x14ac:dyDescent="0.3">
      <c r="N262"/>
      <c r="O262"/>
    </row>
    <row r="263" spans="14:15" ht="15" customHeight="1" x14ac:dyDescent="0.3">
      <c r="N263"/>
      <c r="O263"/>
    </row>
    <row r="264" spans="14:15" ht="15" customHeight="1" x14ac:dyDescent="0.3">
      <c r="N264"/>
      <c r="O264"/>
    </row>
    <row r="265" spans="14:15" ht="15" customHeight="1" x14ac:dyDescent="0.3">
      <c r="N265"/>
      <c r="O265"/>
    </row>
    <row r="266" spans="14:15" ht="15" customHeight="1" x14ac:dyDescent="0.3">
      <c r="N266"/>
      <c r="O266"/>
    </row>
    <row r="267" spans="14:15" ht="15" customHeight="1" x14ac:dyDescent="0.3">
      <c r="N267"/>
      <c r="O267"/>
    </row>
    <row r="268" spans="14:15" ht="15" customHeight="1" x14ac:dyDescent="0.3">
      <c r="N268"/>
      <c r="O268"/>
    </row>
    <row r="269" spans="14:15" ht="15" customHeight="1" x14ac:dyDescent="0.3">
      <c r="N269"/>
      <c r="O269"/>
    </row>
    <row r="270" spans="14:15" ht="15" customHeight="1" x14ac:dyDescent="0.3">
      <c r="N270"/>
      <c r="O270"/>
    </row>
    <row r="271" spans="14:15" ht="15" customHeight="1" x14ac:dyDescent="0.3">
      <c r="N271"/>
      <c r="O271"/>
    </row>
    <row r="272" spans="14:15" ht="15" customHeight="1" x14ac:dyDescent="0.3">
      <c r="N272"/>
      <c r="O272"/>
    </row>
    <row r="273" spans="14:15" ht="15" customHeight="1" x14ac:dyDescent="0.3">
      <c r="N273"/>
      <c r="O273"/>
    </row>
    <row r="274" spans="14:15" ht="15" customHeight="1" x14ac:dyDescent="0.3">
      <c r="N274"/>
      <c r="O274"/>
    </row>
    <row r="275" spans="14:15" ht="15" customHeight="1" x14ac:dyDescent="0.3">
      <c r="N275"/>
      <c r="O275"/>
    </row>
    <row r="276" spans="14:15" ht="15" customHeight="1" x14ac:dyDescent="0.3">
      <c r="N276"/>
      <c r="O276"/>
    </row>
    <row r="277" spans="14:15" ht="15" customHeight="1" x14ac:dyDescent="0.3">
      <c r="N277"/>
      <c r="O277"/>
    </row>
    <row r="278" spans="14:15" ht="15" customHeight="1" x14ac:dyDescent="0.3">
      <c r="N278"/>
      <c r="O278"/>
    </row>
    <row r="279" spans="14:15" ht="15" customHeight="1" x14ac:dyDescent="0.3">
      <c r="N279"/>
      <c r="O279"/>
    </row>
    <row r="280" spans="14:15" ht="15" customHeight="1" x14ac:dyDescent="0.3">
      <c r="N280"/>
      <c r="O280"/>
    </row>
    <row r="281" spans="14:15" ht="15" customHeight="1" x14ac:dyDescent="0.3">
      <c r="N281"/>
      <c r="O281"/>
    </row>
    <row r="282" spans="14:15" ht="15" customHeight="1" x14ac:dyDescent="0.3">
      <c r="N282"/>
      <c r="O282"/>
    </row>
    <row r="283" spans="14:15" ht="15" customHeight="1" x14ac:dyDescent="0.3">
      <c r="N283"/>
      <c r="O283"/>
    </row>
    <row r="284" spans="14:15" ht="15" customHeight="1" x14ac:dyDescent="0.3">
      <c r="N284"/>
      <c r="O284"/>
    </row>
    <row r="285" spans="14:15" ht="15" customHeight="1" x14ac:dyDescent="0.3">
      <c r="N285"/>
      <c r="O285"/>
    </row>
    <row r="286" spans="14:15" ht="15" customHeight="1" x14ac:dyDescent="0.3">
      <c r="N286"/>
      <c r="O286"/>
    </row>
    <row r="287" spans="14:15" ht="15" customHeight="1" x14ac:dyDescent="0.3">
      <c r="N287"/>
      <c r="O287"/>
    </row>
    <row r="288" spans="14:15" ht="15" customHeight="1" x14ac:dyDescent="0.3">
      <c r="N288"/>
      <c r="O288"/>
    </row>
    <row r="289" spans="14:15" ht="15" customHeight="1" x14ac:dyDescent="0.3">
      <c r="N289"/>
      <c r="O289"/>
    </row>
    <row r="290" spans="14:15" ht="15" customHeight="1" x14ac:dyDescent="0.3">
      <c r="N290"/>
      <c r="O290"/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6869D-F048-483C-933B-D540CE3D4D83}">
  <dimension ref="A16:B42"/>
  <sheetViews>
    <sheetView showGridLines="0" workbookViewId="0">
      <pane ySplit="16" topLeftCell="A25" activePane="bottomLeft" state="frozen"/>
      <selection pane="bottomLeft" activeCell="A43" sqref="A43"/>
    </sheetView>
  </sheetViews>
  <sheetFormatPr baseColWidth="10" defaultRowHeight="19.95" customHeight="1" x14ac:dyDescent="0.3"/>
  <cols>
    <col min="1" max="1" width="12.109375" style="248" bestFit="1" customWidth="1"/>
    <col min="2" max="2" width="20.21875" style="248" customWidth="1"/>
    <col min="3" max="16384" width="11.5546875" style="248"/>
  </cols>
  <sheetData>
    <row r="16" spans="1:2" ht="19.95" customHeight="1" x14ac:dyDescent="0.3">
      <c r="A16" s="248" t="s">
        <v>0</v>
      </c>
      <c r="B16" s="248" t="s">
        <v>6445</v>
      </c>
    </row>
    <row r="17" spans="1:2" ht="19.95" customHeight="1" x14ac:dyDescent="0.3">
      <c r="A17" s="249">
        <v>44917</v>
      </c>
      <c r="B17" s="248">
        <v>2922</v>
      </c>
    </row>
    <row r="18" spans="1:2" ht="19.95" customHeight="1" x14ac:dyDescent="0.3">
      <c r="A18" s="249">
        <v>44918</v>
      </c>
      <c r="B18" s="248">
        <v>2935</v>
      </c>
    </row>
    <row r="19" spans="1:2" ht="19.95" customHeight="1" x14ac:dyDescent="0.3">
      <c r="A19" s="252">
        <v>44920</v>
      </c>
      <c r="B19" s="251">
        <v>2933</v>
      </c>
    </row>
    <row r="20" spans="1:2" ht="19.95" customHeight="1" x14ac:dyDescent="0.3">
      <c r="A20" s="270">
        <v>44921</v>
      </c>
      <c r="B20" s="269">
        <v>2934</v>
      </c>
    </row>
    <row r="21" spans="1:2" ht="19.95" customHeight="1" x14ac:dyDescent="0.3">
      <c r="A21" s="279">
        <v>44923</v>
      </c>
      <c r="B21" s="278">
        <v>2924</v>
      </c>
    </row>
    <row r="22" spans="1:2" ht="19.95" customHeight="1" x14ac:dyDescent="0.3">
      <c r="A22" s="290">
        <v>44924</v>
      </c>
      <c r="B22" s="289">
        <v>2915</v>
      </c>
    </row>
    <row r="23" spans="1:2" ht="19.95" customHeight="1" x14ac:dyDescent="0.3">
      <c r="A23" s="293">
        <v>44925</v>
      </c>
      <c r="B23" s="292">
        <v>2908</v>
      </c>
    </row>
    <row r="24" spans="1:2" ht="19.95" customHeight="1" x14ac:dyDescent="0.3">
      <c r="A24" s="301">
        <v>44927</v>
      </c>
      <c r="B24" s="300">
        <v>2903</v>
      </c>
    </row>
    <row r="25" spans="1:2" ht="19.95" customHeight="1" x14ac:dyDescent="0.3">
      <c r="A25" s="310">
        <v>44928</v>
      </c>
      <c r="B25" s="309">
        <v>2891</v>
      </c>
    </row>
    <row r="26" spans="1:2" ht="19.95" customHeight="1" x14ac:dyDescent="0.3">
      <c r="A26" s="317">
        <v>44929</v>
      </c>
      <c r="B26" s="316">
        <v>2887</v>
      </c>
    </row>
    <row r="27" spans="1:2" ht="19.95" customHeight="1" x14ac:dyDescent="0.3">
      <c r="A27" s="321">
        <v>44932</v>
      </c>
      <c r="B27" s="320">
        <v>2882</v>
      </c>
    </row>
    <row r="28" spans="1:2" ht="19.95" customHeight="1" x14ac:dyDescent="0.3">
      <c r="A28" s="330">
        <v>44933</v>
      </c>
      <c r="B28" s="329">
        <v>2878</v>
      </c>
    </row>
    <row r="29" spans="1:2" ht="19.95" customHeight="1" x14ac:dyDescent="0.3">
      <c r="A29" s="356">
        <v>44936</v>
      </c>
      <c r="B29" s="355">
        <v>2871</v>
      </c>
    </row>
    <row r="30" spans="1:2" ht="19.95" customHeight="1" x14ac:dyDescent="0.3">
      <c r="A30" s="361">
        <v>44941</v>
      </c>
      <c r="B30" s="360">
        <v>2853</v>
      </c>
    </row>
    <row r="31" spans="1:2" ht="19.95" customHeight="1" x14ac:dyDescent="0.3">
      <c r="A31" s="363">
        <v>44942</v>
      </c>
      <c r="B31" s="362">
        <v>2847</v>
      </c>
    </row>
    <row r="32" spans="1:2" ht="19.95" customHeight="1" x14ac:dyDescent="0.3">
      <c r="A32" s="376">
        <v>44943</v>
      </c>
      <c r="B32" s="375">
        <v>2829</v>
      </c>
    </row>
    <row r="33" spans="1:2" ht="19.95" customHeight="1" x14ac:dyDescent="0.3">
      <c r="A33" s="383">
        <v>44944</v>
      </c>
      <c r="B33" s="382">
        <v>2826</v>
      </c>
    </row>
    <row r="34" spans="1:2" ht="19.95" customHeight="1" x14ac:dyDescent="0.3">
      <c r="A34" s="416">
        <v>44948</v>
      </c>
      <c r="B34" s="415">
        <v>2826</v>
      </c>
    </row>
    <row r="35" spans="1:2" ht="19.95" customHeight="1" x14ac:dyDescent="0.3">
      <c r="A35" s="439">
        <v>44952</v>
      </c>
      <c r="B35" s="438">
        <v>2822</v>
      </c>
    </row>
    <row r="36" spans="1:2" ht="19.95" customHeight="1" x14ac:dyDescent="0.3">
      <c r="A36" s="452">
        <v>44955</v>
      </c>
      <c r="B36" s="451">
        <v>2815</v>
      </c>
    </row>
    <row r="37" spans="1:2" ht="19.95" customHeight="1" x14ac:dyDescent="0.3">
      <c r="A37" s="461">
        <v>44958</v>
      </c>
      <c r="B37" s="460">
        <v>2809</v>
      </c>
    </row>
    <row r="38" spans="1:2" ht="19.95" customHeight="1" x14ac:dyDescent="0.3">
      <c r="A38" s="485">
        <v>44960</v>
      </c>
      <c r="B38" s="484">
        <v>2807</v>
      </c>
    </row>
    <row r="39" spans="1:2" ht="19.95" customHeight="1" x14ac:dyDescent="0.3">
      <c r="A39" s="527">
        <v>44966</v>
      </c>
      <c r="B39" s="526">
        <v>2808</v>
      </c>
    </row>
    <row r="40" spans="1:2" ht="19.95" customHeight="1" x14ac:dyDescent="0.3">
      <c r="A40" s="546">
        <v>44969</v>
      </c>
      <c r="B40" s="545">
        <v>2800</v>
      </c>
    </row>
    <row r="41" spans="1:2" ht="19.95" customHeight="1" x14ac:dyDescent="0.3">
      <c r="A41" s="565">
        <v>44976</v>
      </c>
      <c r="B41" s="561">
        <v>2797</v>
      </c>
    </row>
    <row r="42" spans="1:2" ht="19.95" customHeight="1" x14ac:dyDescent="0.3">
      <c r="A42" s="632">
        <v>44983</v>
      </c>
      <c r="B42" s="631">
        <v>2794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B6640-68FD-4A93-99D7-F6DD887DFB46}">
  <sheetPr codeName="Feuil6"/>
  <dimension ref="A1:S683"/>
  <sheetViews>
    <sheetView showGridLines="0" zoomScaleNormal="100" workbookViewId="0">
      <pane ySplit="11" topLeftCell="A57" activePane="bottomLeft" state="frozen"/>
      <selection pane="bottomLeft" activeCell="D61" sqref="D61"/>
    </sheetView>
  </sheetViews>
  <sheetFormatPr baseColWidth="10" defaultColWidth="14.6640625" defaultRowHeight="30" customHeight="1" x14ac:dyDescent="0.3"/>
  <cols>
    <col min="1" max="1" width="14.6640625" style="168" customWidth="1"/>
    <col min="2" max="2" width="5.109375" style="3" bestFit="1" customWidth="1"/>
    <col min="3" max="4" width="14.6640625" style="3" customWidth="1"/>
    <col min="5" max="5" width="14.6640625" style="3"/>
    <col min="6" max="6" width="14.6640625" style="171"/>
    <col min="7" max="9" width="14.6640625" style="170"/>
    <col min="10" max="13" width="14.6640625" style="172"/>
    <col min="14" max="15" width="14.6640625" style="179"/>
    <col min="16" max="16384" width="14.6640625" style="3"/>
  </cols>
  <sheetData>
    <row r="1" spans="1:19" s="1" customFormat="1" ht="30" customHeight="1" x14ac:dyDescent="0.3">
      <c r="A1" s="209"/>
      <c r="F1" s="171"/>
      <c r="G1" s="170"/>
      <c r="H1" s="170"/>
      <c r="I1" s="170"/>
      <c r="J1" s="172"/>
      <c r="K1" s="172"/>
      <c r="L1" s="172"/>
      <c r="M1" s="172"/>
      <c r="N1" s="172"/>
      <c r="O1" s="172"/>
      <c r="Q1" s="13"/>
      <c r="R1" s="13"/>
    </row>
    <row r="2" spans="1:19" s="1" customFormat="1" ht="30" customHeight="1" x14ac:dyDescent="0.3">
      <c r="A2" s="209"/>
      <c r="C2" s="10" t="s">
        <v>3564</v>
      </c>
      <c r="F2" s="171"/>
      <c r="G2" s="170"/>
      <c r="H2" s="170"/>
      <c r="I2" s="170"/>
      <c r="J2" s="172"/>
      <c r="K2" s="172"/>
      <c r="L2" s="172"/>
      <c r="M2" s="172"/>
      <c r="N2" s="172"/>
      <c r="O2" s="172"/>
      <c r="S2" s="13"/>
    </row>
    <row r="3" spans="1:19" s="1" customFormat="1" ht="30" customHeight="1" x14ac:dyDescent="0.3">
      <c r="A3" s="209"/>
      <c r="C3" s="1">
        <v>49</v>
      </c>
      <c r="F3" s="171"/>
      <c r="G3" s="170"/>
      <c r="H3" s="170"/>
      <c r="I3" s="170"/>
      <c r="J3" s="172"/>
      <c r="K3" s="172"/>
      <c r="L3" s="172"/>
      <c r="M3" s="172"/>
      <c r="N3" s="172"/>
      <c r="O3" s="172"/>
    </row>
    <row r="4" spans="1:19" s="1" customFormat="1" ht="51" customHeight="1" x14ac:dyDescent="0.3">
      <c r="A4" s="209"/>
      <c r="F4" s="171"/>
      <c r="G4" s="170"/>
      <c r="H4" s="170"/>
      <c r="I4" s="170"/>
      <c r="J4" s="172"/>
      <c r="K4" s="172"/>
      <c r="L4" s="172"/>
      <c r="M4" s="172"/>
      <c r="N4" s="172"/>
      <c r="O4" s="172"/>
    </row>
    <row r="5" spans="1:19" s="1" customFormat="1" ht="51" customHeight="1" x14ac:dyDescent="0.3">
      <c r="A5" s="209"/>
      <c r="F5" s="171"/>
      <c r="G5" s="170"/>
      <c r="H5" s="170"/>
      <c r="I5" s="213"/>
      <c r="J5" s="172"/>
      <c r="K5" s="172"/>
      <c r="L5" s="172"/>
      <c r="M5" s="172"/>
      <c r="N5" s="172"/>
      <c r="O5" s="172"/>
    </row>
    <row r="6" spans="1:19" s="1" customFormat="1" ht="51" customHeight="1" x14ac:dyDescent="0.3">
      <c r="A6" s="209"/>
      <c r="B6" s="12"/>
      <c r="C6" s="12"/>
      <c r="D6" s="12"/>
      <c r="F6" s="171"/>
      <c r="G6" s="170" t="s">
        <v>3395</v>
      </c>
      <c r="H6" s="173" t="s">
        <v>3394</v>
      </c>
      <c r="I6" s="170" t="s">
        <v>1702</v>
      </c>
      <c r="J6" s="172" t="s">
        <v>1701</v>
      </c>
      <c r="K6" s="172"/>
      <c r="L6" s="172"/>
      <c r="M6" s="172"/>
      <c r="N6" s="172"/>
      <c r="O6" s="172"/>
    </row>
    <row r="7" spans="1:19" s="1" customFormat="1" ht="51" customHeight="1" x14ac:dyDescent="0.3">
      <c r="A7" s="209"/>
      <c r="F7" s="171"/>
      <c r="G7" s="170" t="s">
        <v>1284</v>
      </c>
      <c r="H7" s="170" t="s">
        <v>2422</v>
      </c>
      <c r="I7" s="170" t="s">
        <v>5358</v>
      </c>
      <c r="J7" s="172" t="s">
        <v>5357</v>
      </c>
      <c r="K7" s="172"/>
      <c r="L7" s="172"/>
      <c r="M7" s="172"/>
      <c r="N7" s="172"/>
      <c r="O7" s="172"/>
      <c r="S7" s="13"/>
    </row>
    <row r="8" spans="1:19" s="1" customFormat="1" ht="51" customHeight="1" x14ac:dyDescent="0.3">
      <c r="A8" s="209"/>
      <c r="F8" s="171"/>
      <c r="G8" s="170" t="s">
        <v>6270</v>
      </c>
      <c r="H8" s="170" t="s">
        <v>4572</v>
      </c>
      <c r="I8" s="170" t="s">
        <v>3385</v>
      </c>
      <c r="J8" s="172" t="s">
        <v>6214</v>
      </c>
      <c r="K8" s="172"/>
      <c r="L8" s="172"/>
      <c r="M8" s="172"/>
      <c r="N8" s="172"/>
      <c r="O8" s="172"/>
    </row>
    <row r="9" spans="1:19" s="1" customFormat="1" ht="51" customHeight="1" x14ac:dyDescent="0.3">
      <c r="A9" s="209"/>
      <c r="F9" s="171"/>
      <c r="G9" s="170" t="s">
        <v>630</v>
      </c>
      <c r="H9" s="170" t="s">
        <v>1019</v>
      </c>
      <c r="I9" s="170" t="s">
        <v>4134</v>
      </c>
      <c r="J9" s="172" t="s">
        <v>4135</v>
      </c>
      <c r="K9" s="172"/>
      <c r="L9" s="172"/>
      <c r="M9" s="172"/>
      <c r="N9" s="172"/>
      <c r="O9" s="172"/>
    </row>
    <row r="10" spans="1:19" s="1" customFormat="1" ht="51" customHeight="1" x14ac:dyDescent="0.3">
      <c r="A10" s="209"/>
      <c r="F10" s="171"/>
      <c r="G10" s="170" t="s">
        <v>412</v>
      </c>
      <c r="H10" s="170" t="s">
        <v>411</v>
      </c>
      <c r="I10" s="170" t="s">
        <v>3594</v>
      </c>
      <c r="J10" s="172" t="s">
        <v>3592</v>
      </c>
      <c r="K10" s="172"/>
      <c r="L10" s="172"/>
      <c r="M10" s="172"/>
      <c r="N10" s="172"/>
      <c r="O10" s="172"/>
    </row>
    <row r="11" spans="1:19" ht="30" customHeight="1" x14ac:dyDescent="0.3">
      <c r="A11" s="210" t="s">
        <v>0</v>
      </c>
      <c r="B11" s="2" t="s">
        <v>1</v>
      </c>
      <c r="C11" s="2" t="s">
        <v>5921</v>
      </c>
      <c r="D11" s="2" t="s">
        <v>2626</v>
      </c>
      <c r="E11" s="2" t="s">
        <v>2625</v>
      </c>
      <c r="F11" s="174"/>
      <c r="G11" s="170" t="s">
        <v>3445</v>
      </c>
      <c r="H11" s="175" t="s">
        <v>3444</v>
      </c>
      <c r="I11" s="170" t="s">
        <v>3265</v>
      </c>
      <c r="J11" s="172" t="s">
        <v>3266</v>
      </c>
      <c r="K11" s="176"/>
      <c r="L11" s="176"/>
      <c r="N11" s="176"/>
      <c r="O11" s="176"/>
    </row>
    <row r="12" spans="1:19" ht="30" customHeight="1" x14ac:dyDescent="0.3">
      <c r="A12" s="169">
        <v>44863</v>
      </c>
      <c r="B12" s="4">
        <v>1</v>
      </c>
      <c r="C12" s="4"/>
      <c r="D12" s="8"/>
      <c r="E12" s="8"/>
      <c r="F12" s="177"/>
      <c r="G12" s="170" t="s">
        <v>1925</v>
      </c>
      <c r="H12" s="170" t="s">
        <v>1924</v>
      </c>
      <c r="I12" s="170" t="s">
        <v>3187</v>
      </c>
      <c r="J12" s="178" t="s">
        <v>3188</v>
      </c>
      <c r="K12" s="178"/>
      <c r="L12" s="178"/>
      <c r="M12" s="178"/>
      <c r="N12" s="178"/>
      <c r="O12" s="178"/>
    </row>
    <row r="13" spans="1:19" ht="30" customHeight="1" x14ac:dyDescent="0.3">
      <c r="A13" s="168">
        <v>44863</v>
      </c>
      <c r="B13" s="3">
        <v>2</v>
      </c>
      <c r="D13" s="7">
        <v>83</v>
      </c>
      <c r="E13" s="7">
        <v>70.588235294117652</v>
      </c>
      <c r="F13" s="177"/>
      <c r="G13" s="170" t="s">
        <v>1733</v>
      </c>
      <c r="H13" s="170" t="s">
        <v>1732</v>
      </c>
      <c r="I13" s="170" t="s">
        <v>3644</v>
      </c>
      <c r="J13" s="178" t="s">
        <v>3645</v>
      </c>
      <c r="K13" s="178"/>
      <c r="L13" s="178"/>
      <c r="M13" s="178"/>
      <c r="N13" s="178"/>
      <c r="O13" s="178"/>
    </row>
    <row r="14" spans="1:19" ht="30" customHeight="1" x14ac:dyDescent="0.3">
      <c r="A14" s="169">
        <v>44863</v>
      </c>
      <c r="B14" s="4">
        <v>3</v>
      </c>
      <c r="C14" s="4"/>
      <c r="D14" s="8">
        <v>75</v>
      </c>
      <c r="E14" s="8">
        <v>100</v>
      </c>
      <c r="F14" s="177"/>
      <c r="G14" s="170" t="s">
        <v>1661</v>
      </c>
      <c r="H14" s="170" t="s">
        <v>1660</v>
      </c>
      <c r="J14" s="178"/>
      <c r="K14" s="178"/>
      <c r="L14" s="178"/>
      <c r="M14" s="178"/>
      <c r="N14" s="178"/>
      <c r="O14" s="178"/>
    </row>
    <row r="15" spans="1:19" ht="30" customHeight="1" x14ac:dyDescent="0.3">
      <c r="A15" s="168">
        <v>44864</v>
      </c>
      <c r="B15" s="3">
        <v>4</v>
      </c>
      <c r="D15" s="7">
        <v>55</v>
      </c>
      <c r="E15" s="7">
        <v>66.666666666666657</v>
      </c>
      <c r="F15" s="177"/>
      <c r="G15" s="170" t="s">
        <v>4674</v>
      </c>
      <c r="H15" s="170" t="s">
        <v>4675</v>
      </c>
      <c r="J15" s="178"/>
      <c r="K15" s="178"/>
      <c r="L15" s="178"/>
      <c r="M15" s="178"/>
      <c r="N15" s="178"/>
      <c r="O15" s="178"/>
    </row>
    <row r="16" spans="1:19" ht="30" customHeight="1" x14ac:dyDescent="0.3">
      <c r="A16" s="169">
        <v>44871</v>
      </c>
      <c r="B16" s="4">
        <v>5</v>
      </c>
      <c r="C16" s="4"/>
      <c r="D16" s="8">
        <f>16*5</f>
        <v>80</v>
      </c>
      <c r="E16" s="8">
        <v>100</v>
      </c>
      <c r="F16" s="177"/>
      <c r="G16" s="170" t="s">
        <v>3933</v>
      </c>
      <c r="H16" s="170" t="s">
        <v>3932</v>
      </c>
      <c r="J16" s="178"/>
      <c r="K16" s="178"/>
      <c r="L16" s="178"/>
      <c r="M16" s="178"/>
      <c r="N16" s="178"/>
      <c r="O16" s="178"/>
    </row>
    <row r="17" spans="1:15" ht="30" customHeight="1" x14ac:dyDescent="0.3">
      <c r="A17" s="168">
        <v>44878</v>
      </c>
      <c r="B17" s="3">
        <v>6</v>
      </c>
      <c r="D17" s="7">
        <v>50</v>
      </c>
      <c r="E17" s="7">
        <f>0.888888888888889*100</f>
        <v>88.8888888888889</v>
      </c>
      <c r="F17" s="177"/>
      <c r="G17" s="170" t="s">
        <v>4436</v>
      </c>
      <c r="H17" s="170" t="s">
        <v>4435</v>
      </c>
      <c r="J17" s="178"/>
      <c r="K17" s="178"/>
      <c r="L17" s="178"/>
      <c r="M17" s="178"/>
      <c r="N17" s="178"/>
      <c r="O17" s="178"/>
    </row>
    <row r="18" spans="1:15" ht="30" customHeight="1" x14ac:dyDescent="0.3">
      <c r="A18" s="169">
        <v>44878</v>
      </c>
      <c r="B18" s="4">
        <v>7</v>
      </c>
      <c r="C18" s="4"/>
      <c r="D18" s="8">
        <v>70</v>
      </c>
      <c r="E18" s="8">
        <v>100</v>
      </c>
      <c r="F18" s="177"/>
      <c r="G18" s="170" t="s">
        <v>1901</v>
      </c>
      <c r="H18" s="170" t="s">
        <v>1900</v>
      </c>
      <c r="J18" s="178"/>
      <c r="K18" s="178"/>
      <c r="L18" s="178"/>
      <c r="M18" s="178"/>
      <c r="N18" s="178"/>
      <c r="O18" s="178"/>
    </row>
    <row r="19" spans="1:15" ht="30" customHeight="1" x14ac:dyDescent="0.3">
      <c r="A19" s="168">
        <v>44885</v>
      </c>
      <c r="B19" s="3">
        <v>8</v>
      </c>
      <c r="D19" s="7">
        <v>80</v>
      </c>
      <c r="E19" s="7">
        <v>100</v>
      </c>
      <c r="F19" s="177"/>
      <c r="G19" s="170" t="s">
        <v>3001</v>
      </c>
      <c r="H19" s="170" t="s">
        <v>3000</v>
      </c>
      <c r="J19" s="178"/>
      <c r="K19" s="178"/>
      <c r="L19" s="178"/>
      <c r="M19" s="178"/>
      <c r="N19" s="178"/>
      <c r="O19" s="178"/>
    </row>
    <row r="20" spans="1:15" ht="30" customHeight="1" x14ac:dyDescent="0.3">
      <c r="A20" s="169">
        <v>44885</v>
      </c>
      <c r="B20" s="4">
        <v>9</v>
      </c>
      <c r="C20" s="4"/>
      <c r="D20" s="8">
        <v>80</v>
      </c>
      <c r="E20" s="8">
        <v>100</v>
      </c>
      <c r="F20" s="177"/>
      <c r="G20" s="170" t="s">
        <v>5528</v>
      </c>
      <c r="H20" s="170" t="s">
        <v>5527</v>
      </c>
      <c r="J20" s="178"/>
      <c r="K20" s="178"/>
      <c r="L20" s="178"/>
      <c r="M20" s="178"/>
      <c r="N20" s="178"/>
      <c r="O20" s="178"/>
    </row>
    <row r="21" spans="1:15" ht="30" customHeight="1" x14ac:dyDescent="0.3">
      <c r="A21" s="168">
        <v>44891</v>
      </c>
      <c r="B21" s="3">
        <v>10</v>
      </c>
      <c r="D21" s="7">
        <v>80</v>
      </c>
      <c r="E21" s="7">
        <v>87.5</v>
      </c>
      <c r="F21" s="177"/>
      <c r="G21" s="170" t="s">
        <v>6397</v>
      </c>
      <c r="H21" s="170" t="s">
        <v>1636</v>
      </c>
      <c r="J21" s="178"/>
      <c r="K21" s="178"/>
      <c r="L21" s="178"/>
      <c r="M21" s="178"/>
      <c r="N21" s="178"/>
      <c r="O21" s="178"/>
    </row>
    <row r="22" spans="1:15" ht="30" customHeight="1" x14ac:dyDescent="0.3">
      <c r="A22" s="169">
        <v>44892</v>
      </c>
      <c r="B22" s="4">
        <v>11</v>
      </c>
      <c r="C22" s="4"/>
      <c r="D22" s="8">
        <v>80</v>
      </c>
      <c r="E22" s="8">
        <v>100</v>
      </c>
      <c r="F22" s="177"/>
      <c r="G22" s="170" t="s">
        <v>1754</v>
      </c>
      <c r="H22" s="170" t="s">
        <v>1753</v>
      </c>
      <c r="J22" s="178"/>
      <c r="K22" s="178"/>
      <c r="L22" s="178"/>
      <c r="M22" s="178"/>
      <c r="N22" s="178"/>
      <c r="O22" s="178"/>
    </row>
    <row r="23" spans="1:15" ht="30" customHeight="1" x14ac:dyDescent="0.3">
      <c r="A23" s="168">
        <v>44899</v>
      </c>
      <c r="B23" s="3">
        <v>12</v>
      </c>
      <c r="D23" s="7">
        <v>77.5</v>
      </c>
      <c r="E23" s="7">
        <v>100</v>
      </c>
      <c r="F23" s="177"/>
      <c r="G23" s="170" t="s">
        <v>3336</v>
      </c>
      <c r="H23" s="170" t="s">
        <v>3333</v>
      </c>
      <c r="J23" s="178"/>
      <c r="K23" s="178"/>
      <c r="L23" s="178"/>
      <c r="M23" s="178"/>
      <c r="N23" s="178"/>
      <c r="O23" s="178"/>
    </row>
    <row r="24" spans="1:15" ht="30" customHeight="1" x14ac:dyDescent="0.3">
      <c r="A24" s="169">
        <v>44906</v>
      </c>
      <c r="B24" s="4">
        <v>13</v>
      </c>
      <c r="C24" s="4"/>
      <c r="D24" s="8">
        <v>75</v>
      </c>
      <c r="E24" s="8">
        <v>90</v>
      </c>
      <c r="F24" s="177"/>
      <c r="G24" s="170" t="s">
        <v>5456</v>
      </c>
      <c r="H24" s="170" t="s">
        <v>5457</v>
      </c>
      <c r="J24" s="178"/>
      <c r="K24" s="178"/>
      <c r="L24" s="178"/>
      <c r="M24" s="178"/>
      <c r="N24" s="178"/>
      <c r="O24" s="178"/>
    </row>
    <row r="25" spans="1:15" ht="30" customHeight="1" x14ac:dyDescent="0.3">
      <c r="A25" s="168">
        <v>44913</v>
      </c>
      <c r="B25" s="3">
        <v>14</v>
      </c>
      <c r="D25" s="7">
        <v>72.5</v>
      </c>
      <c r="E25" s="7">
        <v>90.909090909090907</v>
      </c>
      <c r="F25" s="177"/>
      <c r="G25" s="170" t="s">
        <v>4274</v>
      </c>
      <c r="H25" s="170" t="s">
        <v>4275</v>
      </c>
      <c r="J25" s="178"/>
      <c r="K25" s="178"/>
      <c r="L25" s="178"/>
      <c r="M25" s="178"/>
      <c r="N25" s="178"/>
      <c r="O25" s="178"/>
    </row>
    <row r="26" spans="1:15" ht="30" customHeight="1" x14ac:dyDescent="0.3">
      <c r="A26" s="169">
        <v>44920</v>
      </c>
      <c r="B26" s="4">
        <v>15</v>
      </c>
      <c r="C26" s="4"/>
      <c r="D26" s="8">
        <v>70</v>
      </c>
      <c r="E26" s="8">
        <v>91.666666666666657</v>
      </c>
      <c r="F26" s="177"/>
      <c r="G26" s="170" t="s">
        <v>1595</v>
      </c>
      <c r="H26" s="170" t="s">
        <v>6075</v>
      </c>
      <c r="J26" s="178"/>
      <c r="K26" s="178"/>
      <c r="L26" s="178"/>
      <c r="M26" s="178"/>
      <c r="N26" s="178"/>
      <c r="O26" s="178"/>
    </row>
    <row r="27" spans="1:15" ht="30" customHeight="1" x14ac:dyDescent="0.3">
      <c r="A27" s="168">
        <v>44927</v>
      </c>
      <c r="B27" s="3">
        <v>16</v>
      </c>
      <c r="D27" s="7">
        <v>82</v>
      </c>
      <c r="E27" s="7">
        <v>83.333333333333343</v>
      </c>
      <c r="F27" s="177"/>
      <c r="G27" s="170" t="s">
        <v>5369</v>
      </c>
      <c r="H27" s="170" t="s">
        <v>6050</v>
      </c>
      <c r="J27" s="178"/>
      <c r="K27" s="178"/>
      <c r="L27" s="178"/>
      <c r="M27" s="178"/>
      <c r="N27" s="178"/>
      <c r="O27" s="178"/>
    </row>
    <row r="28" spans="1:15" ht="30" customHeight="1" x14ac:dyDescent="0.3">
      <c r="A28" s="169">
        <v>44928</v>
      </c>
      <c r="B28" s="4">
        <v>17</v>
      </c>
      <c r="C28" s="4"/>
      <c r="D28" s="8">
        <v>85</v>
      </c>
      <c r="E28" s="8">
        <v>100</v>
      </c>
      <c r="F28" s="177"/>
      <c r="G28" s="170" t="s">
        <v>1564</v>
      </c>
      <c r="H28" s="170" t="s">
        <v>1565</v>
      </c>
      <c r="J28" s="178"/>
      <c r="K28" s="178"/>
      <c r="L28" s="178"/>
      <c r="M28" s="178"/>
      <c r="N28" s="178"/>
      <c r="O28" s="178"/>
    </row>
    <row r="29" spans="1:15" ht="30" customHeight="1" x14ac:dyDescent="0.3">
      <c r="A29" s="168">
        <v>44934</v>
      </c>
      <c r="B29" s="3">
        <v>18</v>
      </c>
      <c r="D29" s="7">
        <v>66</v>
      </c>
      <c r="E29" s="7">
        <v>90</v>
      </c>
      <c r="F29" s="177"/>
      <c r="G29" s="170" t="s">
        <v>2978</v>
      </c>
      <c r="H29" s="170" t="s">
        <v>2979</v>
      </c>
      <c r="J29" s="178"/>
      <c r="K29" s="178"/>
      <c r="L29" s="178"/>
      <c r="M29" s="178"/>
      <c r="N29" s="178"/>
      <c r="O29" s="178"/>
    </row>
    <row r="30" spans="1:15" ht="30" customHeight="1" x14ac:dyDescent="0.3">
      <c r="A30" s="169">
        <v>44936</v>
      </c>
      <c r="B30" s="4">
        <v>19</v>
      </c>
      <c r="C30" s="4"/>
      <c r="D30" s="8">
        <v>90</v>
      </c>
      <c r="E30" s="8">
        <v>75</v>
      </c>
      <c r="F30" s="177"/>
      <c r="G30" s="170" t="s">
        <v>2820</v>
      </c>
      <c r="H30" s="170" t="s">
        <v>2821</v>
      </c>
      <c r="J30" s="178"/>
      <c r="K30" s="178"/>
      <c r="L30" s="178"/>
      <c r="M30" s="178"/>
      <c r="N30" s="178"/>
      <c r="O30" s="178"/>
    </row>
    <row r="31" spans="1:15" ht="30" customHeight="1" x14ac:dyDescent="0.3">
      <c r="A31" s="168">
        <v>44942</v>
      </c>
      <c r="B31" s="3">
        <v>20</v>
      </c>
      <c r="D31" s="7">
        <v>70</v>
      </c>
      <c r="E31" s="7">
        <v>100</v>
      </c>
      <c r="F31" s="177"/>
      <c r="J31" s="178"/>
      <c r="K31" s="178"/>
      <c r="L31" s="178"/>
      <c r="M31" s="178"/>
      <c r="N31" s="178"/>
      <c r="O31" s="178"/>
    </row>
    <row r="32" spans="1:15" ht="30" customHeight="1" x14ac:dyDescent="0.3">
      <c r="A32" s="169">
        <v>44948</v>
      </c>
      <c r="B32" s="4">
        <v>21</v>
      </c>
      <c r="C32" s="4"/>
      <c r="D32" s="8">
        <v>72.5</v>
      </c>
      <c r="E32" s="8">
        <v>100</v>
      </c>
      <c r="F32" s="177"/>
      <c r="J32" s="178"/>
      <c r="K32" s="178"/>
      <c r="L32" s="178"/>
      <c r="M32" s="178"/>
      <c r="N32" s="178"/>
      <c r="O32" s="178"/>
    </row>
    <row r="33" spans="1:15" ht="30" customHeight="1" x14ac:dyDescent="0.3">
      <c r="A33" s="168">
        <v>44955</v>
      </c>
      <c r="B33" s="3">
        <v>22</v>
      </c>
      <c r="D33" s="7">
        <v>82.5</v>
      </c>
      <c r="E33" s="7">
        <v>100</v>
      </c>
      <c r="F33" s="177"/>
      <c r="J33" s="178"/>
      <c r="K33" s="178"/>
      <c r="L33" s="178"/>
      <c r="M33" s="178"/>
      <c r="N33" s="178"/>
      <c r="O33" s="178"/>
    </row>
    <row r="34" spans="1:15" ht="30" customHeight="1" x14ac:dyDescent="0.3">
      <c r="A34" s="169">
        <v>44958</v>
      </c>
      <c r="B34" s="4">
        <v>23</v>
      </c>
      <c r="C34" s="4"/>
      <c r="D34" s="8">
        <v>82.5</v>
      </c>
      <c r="E34" s="8">
        <v>85.714285714285722</v>
      </c>
      <c r="F34" s="177"/>
      <c r="J34" s="178"/>
      <c r="K34" s="178"/>
      <c r="L34" s="178"/>
      <c r="M34" s="178"/>
      <c r="N34" s="178"/>
      <c r="O34" s="178"/>
    </row>
    <row r="35" spans="1:15" ht="30" customHeight="1" x14ac:dyDescent="0.3">
      <c r="A35" s="168">
        <v>44960</v>
      </c>
      <c r="B35" s="3">
        <v>24</v>
      </c>
      <c r="D35" s="7">
        <v>76</v>
      </c>
      <c r="E35" s="7">
        <v>87.5</v>
      </c>
      <c r="F35" s="177"/>
      <c r="J35" s="178"/>
      <c r="K35" s="178"/>
      <c r="L35" s="178"/>
      <c r="M35" s="178"/>
      <c r="N35" s="178"/>
      <c r="O35" s="178"/>
    </row>
    <row r="36" spans="1:15" ht="30" customHeight="1" x14ac:dyDescent="0.3">
      <c r="A36" s="169">
        <v>44961</v>
      </c>
      <c r="B36" s="4">
        <v>25</v>
      </c>
      <c r="C36" s="4"/>
      <c r="D36" s="8">
        <v>80</v>
      </c>
      <c r="E36" s="8">
        <v>87.5</v>
      </c>
      <c r="F36" s="177"/>
      <c r="J36" s="178"/>
      <c r="K36" s="178"/>
      <c r="L36" s="178"/>
      <c r="M36" s="178"/>
      <c r="N36" s="178"/>
      <c r="O36" s="178"/>
    </row>
    <row r="37" spans="1:15" ht="30" customHeight="1" x14ac:dyDescent="0.3">
      <c r="A37" s="168">
        <v>44962</v>
      </c>
      <c r="B37" s="3">
        <v>26</v>
      </c>
      <c r="D37" s="7">
        <v>76</v>
      </c>
      <c r="E37" s="7">
        <v>87</v>
      </c>
      <c r="F37" s="177"/>
      <c r="J37" s="178"/>
      <c r="K37" s="178"/>
      <c r="L37" s="178"/>
      <c r="M37" s="178"/>
      <c r="N37" s="178"/>
      <c r="O37" s="178"/>
    </row>
    <row r="38" spans="1:15" ht="30" customHeight="1" x14ac:dyDescent="0.3">
      <c r="A38" s="169">
        <v>44963</v>
      </c>
      <c r="B38" s="4">
        <v>27</v>
      </c>
      <c r="C38" s="4"/>
      <c r="D38" s="8">
        <v>86</v>
      </c>
      <c r="E38" s="8">
        <v>100</v>
      </c>
      <c r="F38" s="177"/>
      <c r="J38" s="178"/>
      <c r="K38" s="178"/>
      <c r="L38" s="178"/>
      <c r="M38" s="178"/>
      <c r="N38" s="178"/>
      <c r="O38" s="178"/>
    </row>
    <row r="39" spans="1:15" ht="30" customHeight="1" x14ac:dyDescent="0.3">
      <c r="A39" s="168">
        <v>44964</v>
      </c>
      <c r="B39" s="3">
        <v>28</v>
      </c>
      <c r="D39" s="7">
        <v>72.5</v>
      </c>
      <c r="E39" s="7">
        <v>81.818181818181813</v>
      </c>
      <c r="F39" s="177"/>
      <c r="J39" s="178"/>
      <c r="K39" s="178"/>
      <c r="L39" s="178"/>
      <c r="M39" s="178"/>
      <c r="N39" s="178"/>
      <c r="O39" s="178"/>
    </row>
    <row r="40" spans="1:15" ht="30" customHeight="1" x14ac:dyDescent="0.3">
      <c r="A40" s="169">
        <v>44965</v>
      </c>
      <c r="B40" s="4">
        <v>29</v>
      </c>
      <c r="C40" s="4"/>
      <c r="D40" s="8">
        <v>74</v>
      </c>
      <c r="E40" s="8">
        <v>100</v>
      </c>
      <c r="F40" s="177"/>
      <c r="J40" s="178"/>
      <c r="K40" s="178"/>
      <c r="L40" s="178"/>
      <c r="M40" s="178"/>
      <c r="N40" s="178"/>
      <c r="O40" s="178"/>
    </row>
    <row r="41" spans="1:15" ht="30" customHeight="1" x14ac:dyDescent="0.3">
      <c r="A41" s="168">
        <v>44966</v>
      </c>
      <c r="B41" s="3">
        <v>30</v>
      </c>
      <c r="D41" s="7">
        <v>82</v>
      </c>
      <c r="E41" s="7">
        <v>77.777777777777786</v>
      </c>
      <c r="F41" s="177"/>
      <c r="J41" s="178"/>
      <c r="K41" s="178"/>
      <c r="L41" s="178"/>
      <c r="M41" s="178"/>
      <c r="N41" s="178"/>
      <c r="O41" s="178"/>
    </row>
    <row r="42" spans="1:15" ht="30" customHeight="1" x14ac:dyDescent="0.3">
      <c r="A42" s="169">
        <v>44967</v>
      </c>
      <c r="B42" s="4">
        <v>31</v>
      </c>
      <c r="C42" s="4"/>
      <c r="D42" s="8">
        <v>91</v>
      </c>
      <c r="E42" s="8">
        <v>50</v>
      </c>
      <c r="F42" s="177"/>
      <c r="J42" s="178"/>
      <c r="K42" s="178"/>
      <c r="L42" s="178"/>
      <c r="M42" s="178"/>
      <c r="N42" s="178"/>
      <c r="O42" s="178"/>
    </row>
    <row r="43" spans="1:15" ht="30" customHeight="1" x14ac:dyDescent="0.3">
      <c r="A43" s="168">
        <v>44968</v>
      </c>
      <c r="B43" s="3">
        <v>32</v>
      </c>
      <c r="D43" s="7">
        <v>85</v>
      </c>
      <c r="E43" s="7">
        <v>100</v>
      </c>
      <c r="F43" s="177"/>
      <c r="J43" s="178"/>
      <c r="K43" s="178"/>
      <c r="L43" s="178"/>
      <c r="M43" s="178"/>
      <c r="N43" s="178"/>
      <c r="O43" s="178"/>
    </row>
    <row r="44" spans="1:15" ht="30" customHeight="1" x14ac:dyDescent="0.3">
      <c r="A44" s="169">
        <v>44969</v>
      </c>
      <c r="B44" s="4">
        <v>33</v>
      </c>
      <c r="C44" s="4"/>
      <c r="D44" s="8">
        <v>72.5</v>
      </c>
      <c r="E44" s="8">
        <v>90.909090909090907</v>
      </c>
      <c r="F44" s="177"/>
      <c r="J44" s="178"/>
      <c r="K44" s="178"/>
      <c r="L44" s="178"/>
      <c r="M44" s="178"/>
      <c r="N44" s="178"/>
      <c r="O44" s="178"/>
    </row>
    <row r="45" spans="1:15" ht="30" customHeight="1" x14ac:dyDescent="0.3">
      <c r="A45" s="168">
        <v>44970</v>
      </c>
      <c r="B45" s="3">
        <v>34</v>
      </c>
      <c r="D45" s="7">
        <v>77</v>
      </c>
      <c r="E45" s="7">
        <v>90.909090909090907</v>
      </c>
      <c r="F45" s="177"/>
      <c r="J45" s="178"/>
      <c r="K45" s="178"/>
      <c r="L45" s="178"/>
      <c r="M45" s="178"/>
      <c r="N45" s="178"/>
      <c r="O45" s="178"/>
    </row>
    <row r="46" spans="1:15" ht="30" customHeight="1" x14ac:dyDescent="0.3">
      <c r="A46" s="169">
        <v>44971</v>
      </c>
      <c r="B46" s="4">
        <v>35</v>
      </c>
      <c r="C46" s="4"/>
      <c r="D46" s="8">
        <v>95</v>
      </c>
      <c r="E46" s="8">
        <v>100</v>
      </c>
      <c r="F46" s="177"/>
      <c r="J46" s="178"/>
      <c r="K46" s="178"/>
      <c r="L46" s="178"/>
      <c r="M46" s="178"/>
      <c r="N46" s="178"/>
      <c r="O46" s="178"/>
    </row>
    <row r="47" spans="1:15" ht="30" customHeight="1" x14ac:dyDescent="0.3">
      <c r="A47" s="168">
        <v>44972</v>
      </c>
      <c r="B47" s="3">
        <v>36</v>
      </c>
      <c r="D47" s="7">
        <v>76</v>
      </c>
      <c r="E47" s="7">
        <v>75</v>
      </c>
      <c r="F47" s="177"/>
      <c r="J47" s="178"/>
      <c r="K47" s="178"/>
      <c r="L47" s="178"/>
      <c r="M47" s="178"/>
      <c r="N47" s="178"/>
      <c r="O47" s="178"/>
    </row>
    <row r="48" spans="1:15" ht="30" customHeight="1" x14ac:dyDescent="0.3">
      <c r="A48" s="169">
        <v>44975</v>
      </c>
      <c r="B48" s="4">
        <v>37</v>
      </c>
      <c r="C48" s="4"/>
      <c r="D48" s="8">
        <v>95</v>
      </c>
      <c r="E48" s="8">
        <v>100</v>
      </c>
      <c r="F48" s="177"/>
      <c r="J48" s="178"/>
      <c r="K48" s="178"/>
      <c r="L48" s="178"/>
      <c r="M48" s="178"/>
      <c r="N48" s="178"/>
      <c r="O48" s="178"/>
    </row>
    <row r="49" spans="1:15" ht="30" customHeight="1" x14ac:dyDescent="0.3">
      <c r="A49" s="168">
        <v>44975</v>
      </c>
      <c r="B49" s="3">
        <v>38</v>
      </c>
      <c r="D49" s="7">
        <v>80</v>
      </c>
      <c r="E49" s="7">
        <v>85</v>
      </c>
      <c r="F49" s="177"/>
      <c r="J49" s="178"/>
      <c r="K49" s="178"/>
      <c r="L49" s="178"/>
      <c r="M49" s="178"/>
      <c r="N49" s="178"/>
      <c r="O49" s="178"/>
    </row>
    <row r="50" spans="1:15" ht="30" customHeight="1" x14ac:dyDescent="0.3">
      <c r="A50" s="169">
        <v>44976</v>
      </c>
      <c r="B50" s="4">
        <v>39</v>
      </c>
      <c r="C50" s="4"/>
      <c r="D50" s="8">
        <v>87.5</v>
      </c>
      <c r="E50" s="8">
        <v>100</v>
      </c>
      <c r="F50" s="177"/>
      <c r="J50" s="178"/>
      <c r="K50" s="178"/>
      <c r="L50" s="178"/>
      <c r="M50" s="178"/>
      <c r="N50" s="178"/>
      <c r="O50" s="178"/>
    </row>
    <row r="51" spans="1:15" ht="30" customHeight="1" x14ac:dyDescent="0.3">
      <c r="A51" s="168">
        <v>44977</v>
      </c>
      <c r="B51" s="3">
        <v>40</v>
      </c>
      <c r="D51" s="7">
        <v>77</v>
      </c>
      <c r="E51" s="7">
        <v>83.333333333333343</v>
      </c>
      <c r="F51" s="177"/>
      <c r="J51" s="178"/>
      <c r="K51" s="178"/>
      <c r="L51" s="178"/>
      <c r="M51" s="178"/>
      <c r="N51" s="178"/>
      <c r="O51" s="178"/>
    </row>
    <row r="52" spans="1:15" ht="30" customHeight="1" x14ac:dyDescent="0.3">
      <c r="A52" s="169">
        <v>44978</v>
      </c>
      <c r="B52" s="4">
        <v>41</v>
      </c>
      <c r="C52" s="4"/>
      <c r="D52" s="8">
        <v>69</v>
      </c>
      <c r="E52" s="8">
        <v>100</v>
      </c>
      <c r="F52" s="177"/>
      <c r="J52" s="178"/>
      <c r="K52" s="178"/>
      <c r="L52" s="178"/>
      <c r="M52" s="178"/>
      <c r="N52" s="178"/>
      <c r="O52" s="178"/>
    </row>
    <row r="53" spans="1:15" ht="30" customHeight="1" x14ac:dyDescent="0.3">
      <c r="A53" s="168">
        <v>44979</v>
      </c>
      <c r="B53" s="3">
        <v>42</v>
      </c>
      <c r="D53" s="7">
        <v>87.5</v>
      </c>
      <c r="E53" s="7">
        <v>100</v>
      </c>
      <c r="F53" s="177"/>
      <c r="J53" s="178"/>
      <c r="K53" s="178"/>
      <c r="L53" s="178"/>
      <c r="M53" s="178"/>
      <c r="N53" s="178"/>
      <c r="O53" s="178"/>
    </row>
    <row r="54" spans="1:15" ht="30" customHeight="1" x14ac:dyDescent="0.3">
      <c r="A54" s="169">
        <v>44980</v>
      </c>
      <c r="B54" s="4">
        <v>43</v>
      </c>
      <c r="C54" s="4"/>
      <c r="D54" s="8">
        <v>95</v>
      </c>
      <c r="E54" s="8">
        <v>100</v>
      </c>
      <c r="F54" s="177"/>
      <c r="J54" s="178"/>
      <c r="K54" s="178"/>
      <c r="L54" s="178"/>
      <c r="M54" s="178"/>
      <c r="N54" s="178"/>
      <c r="O54" s="178"/>
    </row>
    <row r="55" spans="1:15" ht="30" customHeight="1" x14ac:dyDescent="0.3">
      <c r="A55" s="168">
        <v>44981</v>
      </c>
      <c r="B55" s="3">
        <v>44</v>
      </c>
      <c r="D55" s="7">
        <v>87.5</v>
      </c>
      <c r="E55" s="7">
        <v>100</v>
      </c>
      <c r="F55" s="177"/>
      <c r="J55" s="178"/>
      <c r="K55" s="178"/>
      <c r="L55" s="178"/>
      <c r="M55" s="178"/>
      <c r="N55" s="178"/>
      <c r="O55" s="178"/>
    </row>
    <row r="56" spans="1:15" ht="30" customHeight="1" x14ac:dyDescent="0.3">
      <c r="A56" s="169">
        <v>44982</v>
      </c>
      <c r="B56" s="4">
        <v>45</v>
      </c>
      <c r="C56" s="4"/>
      <c r="D56" s="8">
        <v>80</v>
      </c>
      <c r="E56" s="8">
        <v>100</v>
      </c>
      <c r="F56" s="177"/>
      <c r="J56" s="178"/>
      <c r="K56" s="178"/>
      <c r="L56" s="178"/>
      <c r="M56" s="178"/>
      <c r="N56" s="178"/>
      <c r="O56" s="178"/>
    </row>
    <row r="57" spans="1:15" ht="30" customHeight="1" x14ac:dyDescent="0.3">
      <c r="A57" s="168">
        <v>44983</v>
      </c>
      <c r="B57" s="3">
        <v>46</v>
      </c>
      <c r="D57" s="7">
        <v>90</v>
      </c>
      <c r="E57" s="7">
        <v>75</v>
      </c>
      <c r="F57" s="177"/>
      <c r="J57" s="178"/>
      <c r="K57" s="178"/>
      <c r="L57" s="178"/>
      <c r="M57" s="178"/>
      <c r="N57" s="178"/>
      <c r="O57" s="178"/>
    </row>
    <row r="58" spans="1:15" ht="30" customHeight="1" x14ac:dyDescent="0.3">
      <c r="A58" s="169">
        <v>44984</v>
      </c>
      <c r="B58" s="4">
        <v>47</v>
      </c>
      <c r="C58" s="4"/>
      <c r="D58" s="8">
        <v>82.5</v>
      </c>
      <c r="E58" s="8">
        <v>100</v>
      </c>
      <c r="F58" s="177"/>
      <c r="J58" s="178"/>
      <c r="K58" s="178"/>
      <c r="L58" s="178"/>
      <c r="M58" s="178"/>
      <c r="N58" s="178"/>
      <c r="O58" s="178"/>
    </row>
    <row r="59" spans="1:15" ht="30" customHeight="1" x14ac:dyDescent="0.3">
      <c r="A59" s="168">
        <v>44985</v>
      </c>
      <c r="B59" s="3">
        <v>48</v>
      </c>
      <c r="D59" s="7">
        <v>80</v>
      </c>
      <c r="E59" s="7">
        <v>87.5</v>
      </c>
      <c r="F59" s="177"/>
      <c r="J59" s="178"/>
      <c r="K59" s="178"/>
      <c r="L59" s="178"/>
      <c r="M59" s="178"/>
      <c r="N59" s="178"/>
      <c r="O59" s="178"/>
    </row>
    <row r="60" spans="1:15" ht="30" customHeight="1" x14ac:dyDescent="0.3">
      <c r="A60" s="169">
        <v>44986</v>
      </c>
      <c r="B60" s="4">
        <v>49</v>
      </c>
      <c r="C60" s="4"/>
      <c r="D60" s="8">
        <v>67</v>
      </c>
      <c r="E60" s="8">
        <v>100</v>
      </c>
      <c r="F60" s="177"/>
      <c r="J60" s="178"/>
      <c r="K60" s="178"/>
      <c r="L60" s="178"/>
      <c r="M60" s="178"/>
      <c r="N60" s="178"/>
      <c r="O60" s="178"/>
    </row>
    <row r="61" spans="1:15" ht="30" customHeight="1" x14ac:dyDescent="0.3">
      <c r="D61" s="7"/>
      <c r="E61" s="7"/>
      <c r="F61" s="177"/>
      <c r="J61" s="178"/>
      <c r="K61" s="178"/>
      <c r="L61" s="178"/>
      <c r="M61" s="178"/>
      <c r="N61" s="178"/>
      <c r="O61" s="178"/>
    </row>
    <row r="62" spans="1:15" ht="30" customHeight="1" x14ac:dyDescent="0.3">
      <c r="A62" s="169"/>
      <c r="B62" s="4"/>
      <c r="C62" s="4"/>
      <c r="D62" s="8"/>
      <c r="E62" s="8"/>
      <c r="F62" s="177"/>
      <c r="J62" s="178"/>
      <c r="K62" s="178"/>
      <c r="L62" s="178"/>
      <c r="M62" s="178"/>
      <c r="N62" s="178"/>
      <c r="O62" s="178"/>
    </row>
    <row r="63" spans="1:15" ht="30" customHeight="1" x14ac:dyDescent="0.3">
      <c r="D63" s="7"/>
      <c r="E63" s="7"/>
      <c r="F63" s="177"/>
      <c r="J63" s="178"/>
      <c r="K63" s="178"/>
      <c r="L63" s="178"/>
      <c r="M63" s="178"/>
      <c r="N63" s="178"/>
      <c r="O63" s="178"/>
    </row>
    <row r="64" spans="1:15" ht="30" customHeight="1" x14ac:dyDescent="0.3">
      <c r="A64" s="169"/>
      <c r="B64" s="4"/>
      <c r="C64" s="4"/>
      <c r="D64" s="8"/>
      <c r="E64" s="8"/>
      <c r="F64" s="177"/>
      <c r="J64" s="178"/>
      <c r="K64" s="178"/>
      <c r="L64" s="178"/>
      <c r="M64" s="178"/>
      <c r="N64" s="178"/>
      <c r="O64" s="178"/>
    </row>
    <row r="65" spans="1:15" ht="30" customHeight="1" x14ac:dyDescent="0.3">
      <c r="D65" s="7"/>
      <c r="E65" s="7"/>
      <c r="F65" s="177"/>
      <c r="J65" s="178"/>
      <c r="K65" s="178"/>
      <c r="L65" s="178"/>
      <c r="M65" s="178"/>
      <c r="N65" s="178"/>
      <c r="O65" s="178"/>
    </row>
    <row r="66" spans="1:15" ht="30" customHeight="1" x14ac:dyDescent="0.3">
      <c r="A66" s="169"/>
      <c r="B66" s="4"/>
      <c r="C66" s="4"/>
      <c r="D66" s="8"/>
      <c r="E66" s="8"/>
      <c r="F66" s="177"/>
      <c r="J66" s="178"/>
      <c r="K66" s="178"/>
      <c r="L66" s="178"/>
      <c r="M66" s="178"/>
      <c r="N66" s="178"/>
      <c r="O66" s="178"/>
    </row>
    <row r="67" spans="1:15" ht="30" customHeight="1" x14ac:dyDescent="0.3">
      <c r="D67" s="7"/>
      <c r="E67" s="7"/>
      <c r="F67" s="177"/>
      <c r="J67" s="178"/>
      <c r="K67" s="178"/>
      <c r="L67" s="178"/>
      <c r="M67" s="178"/>
      <c r="N67" s="178"/>
      <c r="O67" s="178"/>
    </row>
    <row r="68" spans="1:15" ht="30" customHeight="1" x14ac:dyDescent="0.3">
      <c r="A68" s="169"/>
      <c r="B68" s="4"/>
      <c r="C68" s="4"/>
      <c r="D68" s="8"/>
      <c r="E68" s="8"/>
      <c r="F68" s="177"/>
      <c r="J68" s="178"/>
      <c r="K68" s="178"/>
      <c r="L68" s="178"/>
      <c r="M68" s="178"/>
      <c r="N68" s="178"/>
      <c r="O68" s="178"/>
    </row>
    <row r="69" spans="1:15" ht="30" customHeight="1" x14ac:dyDescent="0.3">
      <c r="D69" s="7"/>
      <c r="E69" s="7"/>
      <c r="F69" s="177"/>
      <c r="J69" s="178"/>
      <c r="K69" s="178"/>
      <c r="L69" s="178"/>
      <c r="M69" s="178"/>
      <c r="N69" s="178"/>
      <c r="O69" s="178"/>
    </row>
    <row r="70" spans="1:15" ht="30" customHeight="1" x14ac:dyDescent="0.3">
      <c r="A70" s="169"/>
      <c r="B70" s="4"/>
      <c r="C70" s="4"/>
      <c r="D70" s="8"/>
      <c r="E70" s="8"/>
      <c r="F70" s="177"/>
      <c r="J70" s="178"/>
      <c r="K70" s="178"/>
      <c r="L70" s="178"/>
      <c r="M70" s="178"/>
      <c r="N70" s="178"/>
      <c r="O70" s="178"/>
    </row>
    <row r="71" spans="1:15" ht="30" customHeight="1" x14ac:dyDescent="0.3">
      <c r="D71" s="7"/>
      <c r="E71" s="7"/>
      <c r="F71" s="177"/>
      <c r="J71" s="178"/>
      <c r="K71" s="178"/>
      <c r="L71" s="178"/>
      <c r="M71" s="178"/>
      <c r="N71" s="178"/>
      <c r="O71" s="178"/>
    </row>
    <row r="72" spans="1:15" ht="30" customHeight="1" x14ac:dyDescent="0.3">
      <c r="A72" s="169"/>
      <c r="B72" s="4"/>
      <c r="C72" s="4"/>
      <c r="D72" s="8"/>
      <c r="E72" s="8"/>
      <c r="F72" s="177"/>
      <c r="J72" s="178"/>
      <c r="K72" s="178"/>
      <c r="L72" s="178"/>
      <c r="M72" s="178"/>
      <c r="N72" s="178"/>
      <c r="O72" s="178"/>
    </row>
    <row r="73" spans="1:15" ht="30" customHeight="1" x14ac:dyDescent="0.3">
      <c r="D73" s="7"/>
      <c r="E73" s="7"/>
      <c r="F73" s="177"/>
      <c r="J73" s="178"/>
      <c r="K73" s="178"/>
      <c r="L73" s="178"/>
      <c r="M73" s="178"/>
      <c r="N73" s="178"/>
      <c r="O73" s="178"/>
    </row>
    <row r="74" spans="1:15" ht="30" customHeight="1" x14ac:dyDescent="0.3">
      <c r="A74" s="169"/>
      <c r="B74" s="4"/>
      <c r="C74" s="4"/>
      <c r="D74" s="8"/>
      <c r="E74" s="8"/>
      <c r="F74" s="177"/>
      <c r="J74" s="178"/>
      <c r="K74" s="178"/>
      <c r="L74" s="178"/>
      <c r="M74" s="178"/>
      <c r="N74" s="178"/>
      <c r="O74" s="178"/>
    </row>
    <row r="75" spans="1:15" ht="30" customHeight="1" x14ac:dyDescent="0.3">
      <c r="D75" s="7"/>
      <c r="E75" s="7"/>
      <c r="F75" s="177"/>
      <c r="J75" s="178"/>
      <c r="K75" s="178"/>
      <c r="L75" s="178"/>
      <c r="M75" s="178"/>
      <c r="N75" s="178"/>
      <c r="O75" s="178"/>
    </row>
    <row r="76" spans="1:15" ht="30" customHeight="1" x14ac:dyDescent="0.3">
      <c r="A76" s="169"/>
      <c r="B76" s="4"/>
      <c r="C76" s="4"/>
      <c r="D76" s="8"/>
      <c r="E76" s="8"/>
      <c r="F76" s="177"/>
      <c r="J76" s="178"/>
      <c r="K76" s="178"/>
      <c r="L76" s="178"/>
      <c r="M76" s="178"/>
      <c r="N76" s="178"/>
      <c r="O76" s="178"/>
    </row>
    <row r="77" spans="1:15" ht="30" customHeight="1" x14ac:dyDescent="0.3">
      <c r="D77" s="7"/>
      <c r="E77" s="7"/>
      <c r="F77" s="177"/>
      <c r="J77" s="178"/>
      <c r="K77" s="178"/>
      <c r="L77" s="178"/>
      <c r="M77" s="178"/>
      <c r="N77" s="178"/>
      <c r="O77" s="178"/>
    </row>
    <row r="78" spans="1:15" ht="30" customHeight="1" x14ac:dyDescent="0.3">
      <c r="A78" s="169"/>
      <c r="B78" s="4"/>
      <c r="C78" s="4"/>
      <c r="D78" s="8"/>
      <c r="E78" s="8"/>
      <c r="F78" s="177"/>
      <c r="J78" s="178"/>
      <c r="K78" s="178"/>
      <c r="L78" s="178"/>
      <c r="M78" s="178"/>
      <c r="N78" s="178"/>
      <c r="O78" s="178"/>
    </row>
    <row r="79" spans="1:15" ht="30" customHeight="1" x14ac:dyDescent="0.3">
      <c r="D79" s="7"/>
      <c r="E79" s="7"/>
      <c r="F79" s="177"/>
      <c r="J79" s="178"/>
      <c r="K79" s="178"/>
      <c r="L79" s="178"/>
      <c r="M79" s="178"/>
      <c r="N79" s="178"/>
      <c r="O79" s="178"/>
    </row>
    <row r="80" spans="1:15" ht="30" customHeight="1" x14ac:dyDescent="0.3">
      <c r="A80" s="169"/>
      <c r="B80" s="4"/>
      <c r="C80" s="4"/>
      <c r="D80" s="8"/>
      <c r="E80" s="8"/>
      <c r="F80" s="177"/>
      <c r="J80" s="178"/>
      <c r="K80" s="178"/>
      <c r="L80" s="178"/>
      <c r="M80" s="178"/>
      <c r="N80" s="178"/>
      <c r="O80" s="178"/>
    </row>
    <row r="81" spans="1:15" ht="30" customHeight="1" x14ac:dyDescent="0.3">
      <c r="D81" s="7"/>
      <c r="E81" s="7"/>
      <c r="F81" s="177"/>
      <c r="J81" s="178"/>
      <c r="K81" s="178"/>
      <c r="L81" s="178"/>
      <c r="M81" s="178"/>
      <c r="N81" s="178"/>
      <c r="O81" s="178"/>
    </row>
    <row r="82" spans="1:15" ht="30" customHeight="1" x14ac:dyDescent="0.3">
      <c r="A82" s="169"/>
      <c r="B82" s="4"/>
      <c r="C82" s="4"/>
      <c r="D82" s="8"/>
      <c r="E82" s="8"/>
      <c r="F82" s="177"/>
      <c r="J82" s="178"/>
      <c r="K82" s="178"/>
      <c r="L82" s="178"/>
      <c r="M82" s="178"/>
      <c r="N82" s="178"/>
      <c r="O82" s="178"/>
    </row>
    <row r="83" spans="1:15" ht="30" customHeight="1" x14ac:dyDescent="0.3">
      <c r="D83" s="7"/>
      <c r="E83" s="7"/>
      <c r="F83" s="177"/>
      <c r="J83" s="178"/>
      <c r="K83" s="178"/>
      <c r="L83" s="178"/>
      <c r="M83" s="178"/>
      <c r="N83" s="178"/>
      <c r="O83" s="178"/>
    </row>
    <row r="84" spans="1:15" ht="30" customHeight="1" x14ac:dyDescent="0.3">
      <c r="A84" s="169"/>
      <c r="B84" s="4"/>
      <c r="C84" s="4"/>
      <c r="D84" s="8"/>
      <c r="E84" s="8"/>
      <c r="F84" s="177"/>
      <c r="J84" s="178"/>
      <c r="K84" s="178"/>
      <c r="L84" s="178"/>
      <c r="M84" s="178"/>
      <c r="N84" s="178"/>
      <c r="O84" s="178"/>
    </row>
    <row r="85" spans="1:15" ht="30" customHeight="1" x14ac:dyDescent="0.3">
      <c r="D85" s="7"/>
      <c r="E85" s="7"/>
      <c r="F85" s="177"/>
      <c r="J85" s="178"/>
      <c r="K85" s="178"/>
      <c r="L85" s="178"/>
      <c r="M85" s="178"/>
      <c r="N85" s="178"/>
      <c r="O85" s="178"/>
    </row>
    <row r="86" spans="1:15" ht="30" customHeight="1" x14ac:dyDescent="0.3">
      <c r="A86" s="169"/>
      <c r="B86" s="4"/>
      <c r="C86" s="4"/>
      <c r="D86" s="8"/>
      <c r="E86" s="8"/>
      <c r="F86" s="177"/>
      <c r="J86" s="178"/>
      <c r="K86" s="178"/>
      <c r="L86" s="178"/>
      <c r="M86" s="178"/>
      <c r="N86" s="178"/>
      <c r="O86" s="178"/>
    </row>
    <row r="87" spans="1:15" ht="30" customHeight="1" x14ac:dyDescent="0.3">
      <c r="D87" s="7"/>
      <c r="E87" s="7"/>
      <c r="F87" s="177"/>
      <c r="J87" s="178"/>
      <c r="K87" s="178"/>
      <c r="L87" s="178"/>
      <c r="M87" s="178"/>
      <c r="N87" s="178"/>
      <c r="O87" s="178"/>
    </row>
    <row r="88" spans="1:15" ht="30" customHeight="1" x14ac:dyDescent="0.3">
      <c r="A88" s="169"/>
      <c r="B88" s="4"/>
      <c r="C88" s="4"/>
      <c r="D88" s="8"/>
      <c r="E88" s="8"/>
      <c r="F88" s="177"/>
      <c r="J88" s="178"/>
      <c r="K88" s="178"/>
      <c r="L88" s="178"/>
      <c r="M88" s="178"/>
      <c r="N88" s="178"/>
      <c r="O88" s="178"/>
    </row>
    <row r="89" spans="1:15" ht="30" customHeight="1" x14ac:dyDescent="0.3">
      <c r="D89" s="7"/>
      <c r="E89" s="7"/>
      <c r="F89" s="177"/>
      <c r="J89" s="178"/>
      <c r="K89" s="178"/>
      <c r="L89" s="178"/>
      <c r="M89" s="178"/>
      <c r="N89" s="178"/>
      <c r="O89" s="178"/>
    </row>
    <row r="90" spans="1:15" ht="30" customHeight="1" x14ac:dyDescent="0.3">
      <c r="A90" s="169"/>
      <c r="B90" s="4"/>
      <c r="C90" s="4"/>
      <c r="D90" s="8"/>
      <c r="E90" s="8"/>
      <c r="F90" s="177"/>
      <c r="J90" s="178"/>
      <c r="K90" s="178"/>
      <c r="L90" s="178"/>
      <c r="M90" s="178"/>
      <c r="N90" s="178"/>
      <c r="O90" s="178"/>
    </row>
    <row r="91" spans="1:15" ht="30" customHeight="1" x14ac:dyDescent="0.3">
      <c r="D91" s="7"/>
      <c r="E91" s="7"/>
      <c r="F91" s="177"/>
      <c r="J91" s="178"/>
      <c r="K91" s="178"/>
      <c r="L91" s="178"/>
      <c r="M91" s="178"/>
      <c r="N91" s="178"/>
      <c r="O91" s="178"/>
    </row>
    <row r="92" spans="1:15" ht="30" customHeight="1" x14ac:dyDescent="0.3">
      <c r="A92" s="169"/>
      <c r="B92" s="4"/>
      <c r="C92" s="4"/>
      <c r="D92" s="8"/>
      <c r="E92" s="8"/>
      <c r="F92" s="177"/>
      <c r="J92" s="178"/>
      <c r="K92" s="178"/>
      <c r="L92" s="178"/>
      <c r="M92" s="178"/>
      <c r="N92" s="178"/>
      <c r="O92" s="178"/>
    </row>
    <row r="93" spans="1:15" ht="30" customHeight="1" x14ac:dyDescent="0.3">
      <c r="D93" s="7"/>
      <c r="E93" s="7"/>
      <c r="F93" s="177"/>
      <c r="J93" s="178"/>
      <c r="K93" s="178"/>
      <c r="L93" s="178"/>
      <c r="M93" s="178"/>
      <c r="N93" s="178"/>
      <c r="O93" s="178"/>
    </row>
    <row r="94" spans="1:15" ht="30" customHeight="1" x14ac:dyDescent="0.3">
      <c r="A94" s="169"/>
      <c r="B94" s="4"/>
      <c r="C94" s="4"/>
      <c r="D94" s="8"/>
      <c r="E94" s="8"/>
      <c r="F94" s="177"/>
      <c r="J94" s="178"/>
      <c r="K94" s="178"/>
      <c r="L94" s="178"/>
      <c r="M94" s="178"/>
      <c r="N94" s="178"/>
      <c r="O94" s="178"/>
    </row>
    <row r="95" spans="1:15" ht="30" customHeight="1" x14ac:dyDescent="0.3">
      <c r="D95" s="7"/>
      <c r="E95" s="7"/>
      <c r="F95" s="177"/>
      <c r="J95" s="178"/>
      <c r="K95" s="178"/>
      <c r="L95" s="178"/>
      <c r="M95" s="178"/>
      <c r="N95" s="178"/>
      <c r="O95" s="178"/>
    </row>
    <row r="96" spans="1:15" ht="30" customHeight="1" x14ac:dyDescent="0.3">
      <c r="A96" s="169"/>
      <c r="B96" s="4"/>
      <c r="C96" s="4"/>
      <c r="D96" s="8"/>
      <c r="E96" s="8"/>
      <c r="F96" s="177"/>
      <c r="J96" s="178"/>
      <c r="K96" s="178"/>
      <c r="L96" s="178"/>
      <c r="M96" s="178"/>
      <c r="N96" s="178"/>
      <c r="O96" s="178"/>
    </row>
    <row r="97" spans="1:15" ht="30" customHeight="1" x14ac:dyDescent="0.3">
      <c r="D97" s="7"/>
      <c r="E97" s="7"/>
      <c r="F97" s="177"/>
      <c r="J97" s="178"/>
      <c r="K97" s="178"/>
      <c r="L97" s="178"/>
      <c r="M97" s="178"/>
      <c r="N97" s="178"/>
      <c r="O97" s="178"/>
    </row>
    <row r="98" spans="1:15" ht="30" customHeight="1" x14ac:dyDescent="0.3">
      <c r="A98" s="169"/>
      <c r="B98" s="4"/>
      <c r="C98" s="4"/>
      <c r="D98" s="8"/>
      <c r="E98" s="8"/>
      <c r="F98" s="177"/>
      <c r="J98" s="178"/>
      <c r="K98" s="178"/>
      <c r="L98" s="178"/>
      <c r="M98" s="178"/>
      <c r="N98" s="178"/>
      <c r="O98" s="178"/>
    </row>
    <row r="99" spans="1:15" ht="30" customHeight="1" x14ac:dyDescent="0.3">
      <c r="D99" s="7"/>
      <c r="E99" s="7"/>
      <c r="F99" s="177"/>
      <c r="J99" s="178"/>
      <c r="K99" s="178"/>
      <c r="L99" s="178"/>
      <c r="M99" s="178"/>
      <c r="N99" s="178"/>
      <c r="O99" s="178"/>
    </row>
    <row r="100" spans="1:15" ht="30" customHeight="1" x14ac:dyDescent="0.3">
      <c r="A100" s="169"/>
      <c r="B100" s="4"/>
      <c r="C100" s="4"/>
      <c r="D100" s="8"/>
      <c r="E100" s="8"/>
      <c r="F100" s="177"/>
      <c r="J100" s="178"/>
      <c r="K100" s="178"/>
      <c r="L100" s="178"/>
      <c r="M100" s="178"/>
      <c r="N100" s="178"/>
      <c r="O100" s="178"/>
    </row>
    <row r="101" spans="1:15" ht="30" customHeight="1" x14ac:dyDescent="0.3">
      <c r="D101" s="7"/>
      <c r="E101" s="7"/>
      <c r="F101" s="177"/>
      <c r="J101" s="178"/>
      <c r="K101" s="178"/>
      <c r="L101" s="178"/>
      <c r="M101" s="178"/>
      <c r="N101" s="178"/>
      <c r="O101" s="178"/>
    </row>
    <row r="102" spans="1:15" ht="30" customHeight="1" x14ac:dyDescent="0.3">
      <c r="A102" s="169"/>
      <c r="B102" s="4"/>
      <c r="C102" s="4"/>
      <c r="D102" s="8"/>
      <c r="E102" s="8"/>
      <c r="F102" s="177"/>
      <c r="J102" s="178"/>
      <c r="K102" s="178"/>
      <c r="L102" s="178"/>
      <c r="M102" s="178"/>
      <c r="N102" s="178"/>
      <c r="O102" s="178"/>
    </row>
    <row r="103" spans="1:15" ht="30" customHeight="1" x14ac:dyDescent="0.3">
      <c r="D103" s="7"/>
      <c r="E103" s="7"/>
      <c r="F103" s="177"/>
      <c r="J103" s="178"/>
      <c r="K103" s="178"/>
      <c r="L103" s="178"/>
      <c r="M103" s="178"/>
      <c r="N103" s="178"/>
      <c r="O103" s="178"/>
    </row>
    <row r="104" spans="1:15" ht="30" customHeight="1" x14ac:dyDescent="0.3">
      <c r="A104" s="169"/>
      <c r="B104" s="4"/>
      <c r="C104" s="4"/>
      <c r="D104" s="8"/>
      <c r="E104" s="8"/>
      <c r="F104" s="177"/>
      <c r="J104" s="178"/>
      <c r="K104" s="178"/>
      <c r="L104" s="178"/>
      <c r="M104" s="178"/>
      <c r="N104" s="178"/>
      <c r="O104" s="178"/>
    </row>
    <row r="105" spans="1:15" ht="30" customHeight="1" x14ac:dyDescent="0.3">
      <c r="D105" s="7"/>
      <c r="E105" s="7"/>
      <c r="F105" s="177"/>
      <c r="J105" s="178"/>
      <c r="K105" s="178"/>
      <c r="L105" s="178"/>
      <c r="M105" s="178"/>
      <c r="N105" s="178"/>
      <c r="O105" s="178"/>
    </row>
    <row r="106" spans="1:15" ht="30" customHeight="1" x14ac:dyDescent="0.3">
      <c r="A106" s="169"/>
      <c r="B106" s="4"/>
      <c r="C106" s="4"/>
      <c r="D106" s="8"/>
      <c r="E106" s="8"/>
      <c r="F106" s="177"/>
      <c r="J106" s="178"/>
      <c r="K106" s="178"/>
      <c r="L106" s="178"/>
      <c r="M106" s="178"/>
      <c r="N106" s="178"/>
      <c r="O106" s="178"/>
    </row>
    <row r="107" spans="1:15" ht="30" customHeight="1" x14ac:dyDescent="0.3">
      <c r="D107" s="7"/>
      <c r="E107" s="7"/>
      <c r="F107" s="177"/>
      <c r="J107" s="178"/>
      <c r="K107" s="178"/>
      <c r="L107" s="178"/>
      <c r="M107" s="178"/>
      <c r="N107" s="178"/>
      <c r="O107" s="178"/>
    </row>
    <row r="108" spans="1:15" ht="30" customHeight="1" x14ac:dyDescent="0.3">
      <c r="A108" s="169"/>
      <c r="B108" s="4"/>
      <c r="C108" s="4"/>
      <c r="D108" s="8"/>
      <c r="E108" s="8"/>
      <c r="F108" s="177"/>
      <c r="J108" s="178"/>
      <c r="K108" s="178"/>
      <c r="L108" s="178"/>
      <c r="M108" s="178"/>
      <c r="N108" s="178"/>
      <c r="O108" s="178"/>
    </row>
    <row r="109" spans="1:15" ht="30" customHeight="1" x14ac:dyDescent="0.3">
      <c r="D109" s="7"/>
      <c r="E109" s="7"/>
      <c r="F109" s="177"/>
      <c r="J109" s="178"/>
      <c r="K109" s="178"/>
      <c r="L109" s="178"/>
      <c r="M109" s="178"/>
      <c r="N109" s="178"/>
      <c r="O109" s="178"/>
    </row>
    <row r="110" spans="1:15" ht="30" customHeight="1" x14ac:dyDescent="0.3">
      <c r="A110" s="169"/>
      <c r="B110" s="4"/>
      <c r="C110" s="4"/>
      <c r="D110" s="8"/>
      <c r="E110" s="8"/>
      <c r="F110" s="177"/>
      <c r="J110" s="178"/>
      <c r="K110" s="178"/>
      <c r="L110" s="178"/>
      <c r="M110" s="178"/>
      <c r="N110" s="178"/>
      <c r="O110" s="178"/>
    </row>
    <row r="111" spans="1:15" ht="30" customHeight="1" x14ac:dyDescent="0.3">
      <c r="D111" s="7"/>
      <c r="E111" s="7"/>
      <c r="F111" s="177"/>
      <c r="J111" s="178"/>
      <c r="K111" s="178"/>
      <c r="L111" s="178"/>
      <c r="M111" s="178"/>
      <c r="N111" s="178"/>
      <c r="O111" s="178"/>
    </row>
    <row r="112" spans="1:15" ht="30" customHeight="1" x14ac:dyDescent="0.3">
      <c r="A112" s="169"/>
      <c r="B112" s="4"/>
      <c r="C112" s="4"/>
      <c r="D112" s="8"/>
      <c r="E112" s="8"/>
      <c r="F112" s="177"/>
      <c r="J112" s="178"/>
      <c r="K112" s="178"/>
      <c r="L112" s="178"/>
      <c r="M112" s="178"/>
      <c r="N112" s="178"/>
      <c r="O112" s="178"/>
    </row>
    <row r="113" spans="1:15" ht="30" customHeight="1" x14ac:dyDescent="0.3">
      <c r="D113" s="7"/>
      <c r="E113" s="7"/>
      <c r="F113" s="177"/>
      <c r="J113" s="178"/>
      <c r="K113" s="178"/>
      <c r="L113" s="178"/>
      <c r="M113" s="178"/>
      <c r="N113" s="178"/>
      <c r="O113" s="178"/>
    </row>
    <row r="114" spans="1:15" ht="30" customHeight="1" x14ac:dyDescent="0.3">
      <c r="A114" s="169"/>
      <c r="B114" s="4"/>
      <c r="C114" s="4"/>
      <c r="D114" s="8"/>
      <c r="E114" s="8"/>
      <c r="F114" s="177"/>
      <c r="J114" s="178"/>
      <c r="K114" s="178"/>
      <c r="L114" s="178"/>
      <c r="M114" s="178"/>
      <c r="N114" s="178"/>
      <c r="O114" s="178"/>
    </row>
    <row r="115" spans="1:15" ht="30" customHeight="1" x14ac:dyDescent="0.3">
      <c r="D115" s="7"/>
      <c r="E115" s="7"/>
      <c r="F115" s="177"/>
      <c r="J115" s="178"/>
      <c r="K115" s="178"/>
      <c r="L115" s="178"/>
      <c r="M115" s="178"/>
      <c r="N115" s="178"/>
      <c r="O115" s="178"/>
    </row>
    <row r="116" spans="1:15" ht="30" customHeight="1" x14ac:dyDescent="0.3">
      <c r="A116" s="169"/>
      <c r="B116" s="4"/>
      <c r="C116" s="4"/>
      <c r="D116" s="8"/>
      <c r="E116" s="8"/>
      <c r="F116" s="177"/>
      <c r="J116" s="178"/>
      <c r="K116" s="178"/>
      <c r="L116" s="178"/>
      <c r="M116" s="178"/>
      <c r="N116" s="178"/>
      <c r="O116" s="178"/>
    </row>
    <row r="117" spans="1:15" ht="30" customHeight="1" x14ac:dyDescent="0.3">
      <c r="D117" s="7"/>
      <c r="E117" s="7"/>
      <c r="F117" s="177"/>
      <c r="J117" s="178"/>
      <c r="K117" s="178"/>
      <c r="L117" s="178"/>
      <c r="M117" s="178"/>
      <c r="N117" s="178"/>
      <c r="O117" s="178"/>
    </row>
    <row r="118" spans="1:15" ht="30" customHeight="1" x14ac:dyDescent="0.3">
      <c r="A118" s="169"/>
      <c r="B118" s="4"/>
      <c r="C118" s="4"/>
      <c r="D118" s="8"/>
      <c r="E118" s="8"/>
      <c r="F118" s="177"/>
      <c r="J118" s="178"/>
      <c r="K118" s="178"/>
      <c r="L118" s="178"/>
      <c r="M118" s="178"/>
      <c r="N118" s="178"/>
      <c r="O118" s="178"/>
    </row>
    <row r="119" spans="1:15" ht="30" customHeight="1" x14ac:dyDescent="0.3">
      <c r="D119" s="7"/>
      <c r="E119" s="7"/>
      <c r="F119" s="177"/>
      <c r="J119" s="178"/>
      <c r="K119" s="178"/>
      <c r="L119" s="178"/>
      <c r="M119" s="178"/>
      <c r="N119" s="178"/>
      <c r="O119" s="178"/>
    </row>
    <row r="120" spans="1:15" ht="30" customHeight="1" x14ac:dyDescent="0.3">
      <c r="A120" s="169"/>
      <c r="B120" s="4"/>
      <c r="C120" s="4"/>
      <c r="D120" s="8"/>
      <c r="E120" s="8"/>
      <c r="F120" s="177"/>
      <c r="J120" s="178"/>
      <c r="K120" s="178"/>
      <c r="L120" s="178"/>
      <c r="M120" s="178"/>
      <c r="N120" s="178"/>
      <c r="O120" s="178"/>
    </row>
    <row r="121" spans="1:15" ht="30" customHeight="1" x14ac:dyDescent="0.3">
      <c r="D121" s="7"/>
      <c r="E121" s="7"/>
      <c r="F121" s="177"/>
      <c r="J121" s="178"/>
      <c r="K121" s="178"/>
      <c r="L121" s="178"/>
      <c r="M121" s="178"/>
      <c r="N121" s="178"/>
      <c r="O121" s="178"/>
    </row>
    <row r="122" spans="1:15" ht="30" customHeight="1" x14ac:dyDescent="0.3">
      <c r="A122" s="169"/>
      <c r="B122" s="4"/>
      <c r="C122" s="4"/>
      <c r="D122" s="8"/>
      <c r="E122" s="8"/>
      <c r="F122" s="177"/>
      <c r="J122" s="178"/>
      <c r="K122" s="178"/>
      <c r="L122" s="178"/>
      <c r="M122" s="178"/>
      <c r="N122" s="178"/>
      <c r="O122" s="178"/>
    </row>
    <row r="123" spans="1:15" ht="30" customHeight="1" x14ac:dyDescent="0.3">
      <c r="D123" s="7"/>
      <c r="E123" s="7"/>
      <c r="F123" s="177"/>
      <c r="J123" s="178"/>
      <c r="K123" s="178"/>
      <c r="L123" s="178"/>
      <c r="M123" s="178"/>
      <c r="N123" s="178"/>
      <c r="O123" s="178"/>
    </row>
    <row r="124" spans="1:15" ht="30" customHeight="1" x14ac:dyDescent="0.3">
      <c r="A124" s="169"/>
      <c r="B124" s="4"/>
      <c r="C124" s="4"/>
      <c r="D124" s="8"/>
      <c r="E124" s="8"/>
      <c r="F124" s="177"/>
      <c r="J124" s="178"/>
      <c r="K124" s="178"/>
      <c r="L124" s="178"/>
      <c r="M124" s="178"/>
      <c r="N124" s="178"/>
      <c r="O124" s="178"/>
    </row>
    <row r="125" spans="1:15" ht="30" customHeight="1" x14ac:dyDescent="0.3">
      <c r="D125" s="7"/>
      <c r="E125" s="7"/>
      <c r="F125" s="177"/>
      <c r="J125" s="178"/>
      <c r="K125" s="178"/>
      <c r="L125" s="178"/>
      <c r="M125" s="178"/>
      <c r="N125" s="178"/>
      <c r="O125" s="178"/>
    </row>
    <row r="126" spans="1:15" ht="30" customHeight="1" x14ac:dyDescent="0.3">
      <c r="A126" s="169"/>
      <c r="B126" s="4"/>
      <c r="C126" s="4"/>
      <c r="D126" s="8"/>
      <c r="E126" s="8"/>
      <c r="F126" s="177"/>
      <c r="J126" s="178"/>
      <c r="K126" s="178"/>
      <c r="L126" s="178"/>
      <c r="M126" s="178"/>
      <c r="N126" s="178"/>
      <c r="O126" s="178"/>
    </row>
    <row r="127" spans="1:15" ht="30" customHeight="1" x14ac:dyDescent="0.3">
      <c r="D127" s="7"/>
      <c r="E127" s="7"/>
      <c r="F127" s="177"/>
      <c r="J127" s="178"/>
      <c r="K127" s="178"/>
      <c r="L127" s="178"/>
      <c r="M127" s="178"/>
      <c r="N127" s="178"/>
      <c r="O127" s="178"/>
    </row>
    <row r="128" spans="1:15" ht="30" customHeight="1" x14ac:dyDescent="0.3">
      <c r="A128" s="169"/>
      <c r="B128" s="4"/>
      <c r="C128" s="4"/>
      <c r="D128" s="8"/>
      <c r="E128" s="8"/>
      <c r="F128" s="177"/>
      <c r="J128" s="178"/>
      <c r="K128" s="178"/>
      <c r="L128" s="178"/>
      <c r="M128" s="178"/>
      <c r="N128" s="178"/>
      <c r="O128" s="178"/>
    </row>
    <row r="129" spans="1:15" ht="30" customHeight="1" x14ac:dyDescent="0.3">
      <c r="D129" s="7"/>
      <c r="E129" s="7"/>
      <c r="F129" s="177"/>
      <c r="J129" s="178"/>
      <c r="K129" s="178"/>
      <c r="L129" s="178"/>
      <c r="M129" s="178"/>
      <c r="N129" s="178"/>
      <c r="O129" s="178"/>
    </row>
    <row r="130" spans="1:15" ht="30" customHeight="1" x14ac:dyDescent="0.3">
      <c r="A130" s="169"/>
      <c r="B130" s="4"/>
      <c r="C130" s="4"/>
      <c r="D130" s="8"/>
      <c r="E130" s="8"/>
      <c r="F130" s="177"/>
      <c r="J130" s="178"/>
      <c r="K130" s="178"/>
      <c r="L130" s="178"/>
      <c r="M130" s="178"/>
      <c r="N130" s="178"/>
      <c r="O130" s="178"/>
    </row>
    <row r="131" spans="1:15" ht="30" customHeight="1" x14ac:dyDescent="0.3">
      <c r="D131" s="7"/>
      <c r="E131" s="7"/>
      <c r="F131" s="177"/>
      <c r="J131" s="178"/>
      <c r="K131" s="178"/>
      <c r="L131" s="178"/>
      <c r="M131" s="178"/>
      <c r="N131" s="178"/>
      <c r="O131" s="178"/>
    </row>
    <row r="132" spans="1:15" ht="30" customHeight="1" x14ac:dyDescent="0.3">
      <c r="A132" s="169"/>
      <c r="B132" s="4"/>
      <c r="C132" s="4"/>
      <c r="D132" s="8"/>
      <c r="E132" s="8"/>
      <c r="F132" s="177"/>
      <c r="J132" s="178"/>
      <c r="K132" s="178"/>
      <c r="L132" s="178"/>
      <c r="M132" s="178"/>
      <c r="N132" s="178"/>
      <c r="O132" s="178"/>
    </row>
    <row r="133" spans="1:15" ht="30" customHeight="1" x14ac:dyDescent="0.3">
      <c r="D133" s="7"/>
      <c r="E133" s="7"/>
      <c r="F133" s="177"/>
      <c r="J133" s="178"/>
      <c r="K133" s="178"/>
      <c r="L133" s="178"/>
      <c r="M133" s="178"/>
      <c r="N133" s="178"/>
      <c r="O133" s="178"/>
    </row>
    <row r="134" spans="1:15" ht="30" customHeight="1" x14ac:dyDescent="0.3">
      <c r="A134" s="169"/>
      <c r="B134" s="4"/>
      <c r="C134" s="4"/>
      <c r="D134" s="8"/>
      <c r="E134" s="8"/>
      <c r="F134" s="177"/>
      <c r="J134" s="178"/>
      <c r="K134" s="178"/>
      <c r="L134" s="178"/>
      <c r="M134" s="178"/>
      <c r="N134" s="178"/>
      <c r="O134" s="178"/>
    </row>
    <row r="135" spans="1:15" ht="30" customHeight="1" x14ac:dyDescent="0.3">
      <c r="D135" s="7"/>
      <c r="E135" s="7"/>
      <c r="F135" s="177"/>
      <c r="J135" s="178"/>
      <c r="K135" s="178"/>
      <c r="L135" s="178"/>
      <c r="M135" s="178"/>
      <c r="N135" s="178"/>
      <c r="O135" s="178"/>
    </row>
    <row r="136" spans="1:15" ht="30" customHeight="1" x14ac:dyDescent="0.3">
      <c r="A136" s="169"/>
      <c r="B136" s="4"/>
      <c r="C136" s="4"/>
      <c r="D136" s="8"/>
      <c r="E136" s="8"/>
      <c r="F136" s="177"/>
      <c r="J136" s="178"/>
      <c r="K136" s="178"/>
      <c r="L136" s="178"/>
      <c r="M136" s="178"/>
      <c r="N136" s="178"/>
      <c r="O136" s="178"/>
    </row>
    <row r="137" spans="1:15" ht="30" customHeight="1" x14ac:dyDescent="0.3">
      <c r="D137" s="7"/>
      <c r="E137" s="7"/>
      <c r="F137" s="177"/>
      <c r="J137" s="178"/>
      <c r="K137" s="178"/>
      <c r="L137" s="178"/>
      <c r="M137" s="178"/>
      <c r="N137" s="178"/>
      <c r="O137" s="178"/>
    </row>
    <row r="138" spans="1:15" ht="30" customHeight="1" x14ac:dyDescent="0.3">
      <c r="A138" s="169"/>
      <c r="B138" s="4"/>
      <c r="C138" s="4"/>
      <c r="D138" s="8"/>
      <c r="E138" s="8"/>
      <c r="F138" s="177"/>
      <c r="J138" s="178"/>
      <c r="K138" s="178"/>
      <c r="L138" s="178"/>
      <c r="M138" s="178"/>
      <c r="N138" s="178"/>
      <c r="O138" s="178"/>
    </row>
    <row r="139" spans="1:15" ht="30" customHeight="1" x14ac:dyDescent="0.3">
      <c r="D139" s="7"/>
      <c r="E139" s="7"/>
      <c r="F139" s="177"/>
      <c r="J139" s="178"/>
      <c r="K139" s="178"/>
      <c r="L139" s="178"/>
      <c r="M139" s="178"/>
      <c r="N139" s="178"/>
      <c r="O139" s="178"/>
    </row>
    <row r="140" spans="1:15" ht="30" customHeight="1" x14ac:dyDescent="0.3">
      <c r="A140" s="169"/>
      <c r="B140" s="4"/>
      <c r="C140" s="4"/>
      <c r="D140" s="8"/>
      <c r="E140" s="8"/>
      <c r="F140" s="177"/>
      <c r="J140" s="178"/>
      <c r="K140" s="178"/>
      <c r="L140" s="178"/>
      <c r="M140" s="178"/>
      <c r="N140" s="178"/>
      <c r="O140" s="178"/>
    </row>
    <row r="141" spans="1:15" ht="30" customHeight="1" x14ac:dyDescent="0.3">
      <c r="D141" s="7"/>
      <c r="E141" s="7"/>
      <c r="F141" s="177"/>
      <c r="J141" s="178"/>
      <c r="K141" s="178"/>
      <c r="L141" s="178"/>
      <c r="M141" s="178"/>
      <c r="N141" s="178"/>
      <c r="O141" s="178"/>
    </row>
    <row r="142" spans="1:15" ht="30" customHeight="1" x14ac:dyDescent="0.3">
      <c r="A142" s="169"/>
      <c r="B142" s="4"/>
      <c r="C142" s="4"/>
      <c r="D142" s="8"/>
      <c r="E142" s="8"/>
      <c r="F142" s="177"/>
      <c r="J142" s="178"/>
      <c r="K142" s="178"/>
      <c r="L142" s="178"/>
      <c r="M142" s="178"/>
      <c r="N142" s="178"/>
      <c r="O142" s="178"/>
    </row>
    <row r="143" spans="1:15" ht="30" customHeight="1" x14ac:dyDescent="0.3">
      <c r="D143" s="7"/>
      <c r="E143" s="7"/>
      <c r="F143" s="177"/>
      <c r="J143" s="178"/>
      <c r="K143" s="178"/>
      <c r="L143" s="178"/>
      <c r="M143" s="178"/>
      <c r="N143" s="178"/>
      <c r="O143" s="178"/>
    </row>
    <row r="144" spans="1:15" ht="30" customHeight="1" x14ac:dyDescent="0.3">
      <c r="A144" s="169"/>
      <c r="B144" s="4"/>
      <c r="C144" s="4"/>
      <c r="D144" s="8"/>
      <c r="E144" s="8"/>
      <c r="F144" s="177"/>
      <c r="J144" s="178"/>
      <c r="K144" s="178"/>
      <c r="L144" s="178"/>
      <c r="M144" s="178"/>
      <c r="N144" s="178"/>
      <c r="O144" s="178"/>
    </row>
    <row r="145" spans="1:15" ht="30" customHeight="1" x14ac:dyDescent="0.3">
      <c r="D145" s="7"/>
      <c r="E145" s="7"/>
      <c r="F145" s="177"/>
      <c r="J145" s="178"/>
      <c r="K145" s="178"/>
      <c r="L145" s="178"/>
      <c r="M145" s="178"/>
      <c r="N145" s="178"/>
      <c r="O145" s="178"/>
    </row>
    <row r="146" spans="1:15" ht="30" customHeight="1" x14ac:dyDescent="0.3">
      <c r="A146" s="169"/>
      <c r="B146" s="4"/>
      <c r="C146" s="4"/>
      <c r="D146" s="8"/>
      <c r="E146" s="8"/>
      <c r="F146" s="177"/>
      <c r="J146" s="178"/>
      <c r="K146" s="178"/>
      <c r="L146" s="178"/>
      <c r="M146" s="178"/>
      <c r="N146" s="178"/>
      <c r="O146" s="178"/>
    </row>
    <row r="147" spans="1:15" ht="30" customHeight="1" x14ac:dyDescent="0.3">
      <c r="D147" s="7"/>
      <c r="E147" s="7"/>
      <c r="F147" s="177"/>
      <c r="J147" s="178"/>
      <c r="K147" s="178"/>
      <c r="L147" s="178"/>
      <c r="M147" s="178"/>
      <c r="N147" s="178"/>
      <c r="O147" s="178"/>
    </row>
    <row r="148" spans="1:15" ht="30" customHeight="1" x14ac:dyDescent="0.3">
      <c r="A148" s="169"/>
      <c r="B148" s="4"/>
      <c r="C148" s="4"/>
      <c r="D148" s="8"/>
      <c r="E148" s="8"/>
      <c r="F148" s="177"/>
      <c r="J148" s="178"/>
      <c r="K148" s="178"/>
      <c r="L148" s="178"/>
      <c r="M148" s="178"/>
      <c r="N148" s="178"/>
      <c r="O148" s="178"/>
    </row>
    <row r="149" spans="1:15" ht="30" customHeight="1" x14ac:dyDescent="0.3">
      <c r="D149" s="7"/>
      <c r="E149" s="7"/>
      <c r="F149" s="177"/>
      <c r="J149" s="178"/>
      <c r="K149" s="178"/>
      <c r="L149" s="178"/>
      <c r="M149" s="178"/>
      <c r="N149" s="178"/>
      <c r="O149" s="178"/>
    </row>
    <row r="150" spans="1:15" ht="30" customHeight="1" x14ac:dyDescent="0.3">
      <c r="A150" s="169"/>
      <c r="B150" s="4"/>
      <c r="C150" s="4"/>
      <c r="D150" s="8"/>
      <c r="E150" s="8"/>
      <c r="F150" s="177"/>
      <c r="J150" s="178"/>
      <c r="K150" s="178"/>
      <c r="L150" s="178"/>
      <c r="M150" s="178"/>
      <c r="N150" s="178"/>
      <c r="O150" s="178"/>
    </row>
    <row r="151" spans="1:15" ht="30" customHeight="1" x14ac:dyDescent="0.3">
      <c r="D151" s="7"/>
      <c r="E151" s="7"/>
      <c r="F151" s="177"/>
      <c r="J151" s="178"/>
      <c r="K151" s="178"/>
      <c r="L151" s="178"/>
      <c r="M151" s="178"/>
      <c r="N151" s="178"/>
      <c r="O151" s="178"/>
    </row>
    <row r="152" spans="1:15" ht="30" customHeight="1" x14ac:dyDescent="0.3">
      <c r="A152" s="169"/>
      <c r="B152" s="4"/>
      <c r="C152" s="4"/>
      <c r="D152" s="8"/>
      <c r="E152" s="8"/>
      <c r="F152" s="177"/>
      <c r="J152" s="178"/>
      <c r="K152" s="178"/>
      <c r="L152" s="178"/>
      <c r="M152" s="178"/>
      <c r="N152" s="178"/>
      <c r="O152" s="178"/>
    </row>
    <row r="153" spans="1:15" ht="30" customHeight="1" x14ac:dyDescent="0.3">
      <c r="D153" s="7"/>
      <c r="E153" s="7"/>
      <c r="F153" s="177"/>
      <c r="J153" s="178"/>
      <c r="K153" s="178"/>
      <c r="L153" s="178"/>
      <c r="M153" s="178"/>
      <c r="N153" s="178"/>
      <c r="O153" s="178"/>
    </row>
    <row r="154" spans="1:15" ht="30" customHeight="1" x14ac:dyDescent="0.3">
      <c r="A154" s="169"/>
      <c r="B154" s="4"/>
      <c r="C154" s="4"/>
      <c r="D154" s="8"/>
      <c r="E154" s="8"/>
      <c r="F154" s="177"/>
      <c r="J154" s="178"/>
      <c r="K154" s="178"/>
      <c r="L154" s="178"/>
      <c r="M154" s="178"/>
      <c r="N154" s="178"/>
      <c r="O154" s="178"/>
    </row>
    <row r="155" spans="1:15" ht="30" customHeight="1" x14ac:dyDescent="0.3">
      <c r="D155" s="7"/>
      <c r="E155" s="7"/>
      <c r="F155" s="177"/>
      <c r="J155" s="178"/>
      <c r="K155" s="178"/>
      <c r="L155" s="178"/>
      <c r="M155" s="178"/>
      <c r="N155" s="178"/>
      <c r="O155" s="178"/>
    </row>
    <row r="156" spans="1:15" ht="30" customHeight="1" x14ac:dyDescent="0.3">
      <c r="A156" s="169"/>
      <c r="B156" s="4"/>
      <c r="C156" s="4"/>
      <c r="D156" s="8"/>
      <c r="E156" s="8"/>
      <c r="F156" s="177"/>
      <c r="J156" s="178"/>
      <c r="K156" s="178"/>
      <c r="L156" s="178"/>
      <c r="M156" s="178"/>
      <c r="N156" s="178"/>
      <c r="O156" s="178"/>
    </row>
    <row r="157" spans="1:15" ht="30" customHeight="1" x14ac:dyDescent="0.3">
      <c r="D157" s="7"/>
      <c r="E157" s="7"/>
      <c r="F157" s="177"/>
      <c r="J157" s="178"/>
      <c r="K157" s="178"/>
      <c r="L157" s="178"/>
      <c r="M157" s="178"/>
      <c r="N157" s="178"/>
      <c r="O157" s="178"/>
    </row>
    <row r="158" spans="1:15" ht="30" customHeight="1" x14ac:dyDescent="0.3">
      <c r="A158" s="169"/>
      <c r="B158" s="4"/>
      <c r="C158" s="4"/>
      <c r="D158" s="8"/>
      <c r="E158" s="8"/>
      <c r="F158" s="177"/>
      <c r="J158" s="178"/>
      <c r="K158" s="178"/>
      <c r="L158" s="178"/>
      <c r="M158" s="178"/>
      <c r="N158" s="178"/>
      <c r="O158" s="178"/>
    </row>
    <row r="159" spans="1:15" ht="30" customHeight="1" x14ac:dyDescent="0.3">
      <c r="D159" s="7"/>
      <c r="E159" s="7"/>
      <c r="F159" s="177"/>
      <c r="J159" s="178"/>
      <c r="K159" s="178"/>
      <c r="L159" s="178"/>
      <c r="M159" s="178"/>
      <c r="N159" s="178"/>
      <c r="O159" s="178"/>
    </row>
    <row r="160" spans="1:15" ht="30" customHeight="1" x14ac:dyDescent="0.3">
      <c r="A160" s="169"/>
      <c r="B160" s="4"/>
      <c r="C160" s="4"/>
      <c r="D160" s="8"/>
      <c r="E160" s="8"/>
      <c r="F160" s="177"/>
      <c r="J160" s="178"/>
      <c r="K160" s="178"/>
      <c r="L160" s="178"/>
      <c r="M160" s="178"/>
      <c r="N160" s="178"/>
      <c r="O160" s="178"/>
    </row>
    <row r="161" spans="1:15" ht="30" customHeight="1" x14ac:dyDescent="0.3">
      <c r="D161" s="7"/>
      <c r="E161" s="7"/>
      <c r="F161" s="177"/>
      <c r="J161" s="178"/>
      <c r="K161" s="178"/>
      <c r="L161" s="178"/>
      <c r="M161" s="178"/>
      <c r="N161" s="178"/>
      <c r="O161" s="178"/>
    </row>
    <row r="162" spans="1:15" ht="30" customHeight="1" x14ac:dyDescent="0.3">
      <c r="A162" s="169"/>
      <c r="B162" s="4"/>
      <c r="C162" s="4"/>
      <c r="D162" s="8"/>
      <c r="E162" s="8"/>
      <c r="F162" s="177"/>
      <c r="J162" s="178"/>
      <c r="K162" s="178"/>
      <c r="L162" s="178"/>
      <c r="M162" s="178"/>
      <c r="N162" s="178"/>
      <c r="O162" s="178"/>
    </row>
    <row r="163" spans="1:15" ht="30" customHeight="1" x14ac:dyDescent="0.3">
      <c r="D163" s="7"/>
      <c r="E163" s="7"/>
      <c r="F163" s="177"/>
      <c r="J163" s="178"/>
      <c r="K163" s="178"/>
      <c r="L163" s="178"/>
      <c r="M163" s="178"/>
      <c r="N163" s="178"/>
      <c r="O163" s="178"/>
    </row>
    <row r="164" spans="1:15" ht="30" customHeight="1" x14ac:dyDescent="0.3">
      <c r="A164" s="169"/>
      <c r="B164" s="4"/>
      <c r="C164" s="4"/>
      <c r="D164" s="8"/>
      <c r="E164" s="8"/>
      <c r="F164" s="177"/>
      <c r="J164" s="178"/>
      <c r="K164" s="178"/>
      <c r="L164" s="178"/>
      <c r="M164" s="178"/>
      <c r="N164" s="178"/>
      <c r="O164" s="178"/>
    </row>
    <row r="165" spans="1:15" ht="30" customHeight="1" x14ac:dyDescent="0.3">
      <c r="D165" s="7"/>
      <c r="E165" s="7"/>
      <c r="F165" s="177"/>
      <c r="J165" s="178"/>
      <c r="K165" s="178"/>
      <c r="L165" s="178"/>
      <c r="M165" s="178"/>
      <c r="N165" s="178"/>
      <c r="O165" s="178"/>
    </row>
    <row r="166" spans="1:15" ht="30" customHeight="1" x14ac:dyDescent="0.3">
      <c r="A166" s="169"/>
      <c r="B166" s="4"/>
      <c r="C166" s="4"/>
      <c r="D166" s="8"/>
      <c r="E166" s="8"/>
      <c r="F166" s="177"/>
      <c r="J166" s="178"/>
      <c r="K166" s="178"/>
      <c r="L166" s="178"/>
      <c r="M166" s="178"/>
      <c r="N166" s="178"/>
      <c r="O166" s="178"/>
    </row>
    <row r="167" spans="1:15" ht="30" customHeight="1" x14ac:dyDescent="0.3">
      <c r="D167" s="7"/>
      <c r="E167" s="7"/>
      <c r="F167" s="177"/>
      <c r="J167" s="178"/>
      <c r="K167" s="178"/>
      <c r="L167" s="178"/>
      <c r="M167" s="178"/>
      <c r="N167" s="178"/>
      <c r="O167" s="178"/>
    </row>
    <row r="168" spans="1:15" ht="30" customHeight="1" x14ac:dyDescent="0.3">
      <c r="A168" s="169"/>
      <c r="B168" s="4"/>
      <c r="C168" s="4"/>
      <c r="D168" s="8"/>
      <c r="E168" s="8"/>
      <c r="F168" s="177"/>
      <c r="J168" s="178"/>
      <c r="K168" s="178"/>
      <c r="L168" s="178"/>
      <c r="M168" s="178"/>
      <c r="N168" s="178"/>
      <c r="O168" s="178"/>
    </row>
    <row r="169" spans="1:15" ht="30" customHeight="1" x14ac:dyDescent="0.3">
      <c r="D169" s="7"/>
      <c r="E169" s="7"/>
      <c r="F169" s="177"/>
      <c r="J169" s="178"/>
      <c r="K169" s="178"/>
      <c r="L169" s="178"/>
      <c r="M169" s="178"/>
      <c r="N169" s="178"/>
      <c r="O169" s="178"/>
    </row>
    <row r="170" spans="1:15" ht="30" customHeight="1" x14ac:dyDescent="0.3">
      <c r="A170" s="169"/>
      <c r="B170" s="4"/>
      <c r="C170" s="4"/>
      <c r="D170" s="8"/>
      <c r="E170" s="8"/>
      <c r="F170" s="177"/>
      <c r="J170" s="178"/>
      <c r="K170" s="178"/>
      <c r="L170" s="178"/>
      <c r="M170" s="178"/>
      <c r="N170" s="178"/>
      <c r="O170" s="178"/>
    </row>
    <row r="171" spans="1:15" ht="30" customHeight="1" x14ac:dyDescent="0.3">
      <c r="D171" s="7"/>
      <c r="E171" s="7"/>
      <c r="F171" s="177"/>
      <c r="J171" s="178"/>
      <c r="K171" s="178"/>
      <c r="L171" s="178"/>
      <c r="M171" s="178"/>
      <c r="N171" s="178"/>
      <c r="O171" s="178"/>
    </row>
    <row r="172" spans="1:15" ht="30" customHeight="1" x14ac:dyDescent="0.3">
      <c r="A172" s="169"/>
      <c r="B172" s="4"/>
      <c r="C172" s="4"/>
      <c r="D172" s="8"/>
      <c r="E172" s="8"/>
      <c r="F172" s="177"/>
      <c r="J172" s="178"/>
      <c r="K172" s="178"/>
      <c r="L172" s="178"/>
      <c r="M172" s="178"/>
      <c r="N172" s="178"/>
      <c r="O172" s="178"/>
    </row>
    <row r="173" spans="1:15" ht="30" customHeight="1" x14ac:dyDescent="0.3">
      <c r="D173" s="7"/>
      <c r="E173" s="7"/>
      <c r="F173" s="177"/>
      <c r="J173" s="178"/>
      <c r="K173" s="178"/>
      <c r="L173" s="178"/>
      <c r="M173" s="178"/>
      <c r="N173" s="178"/>
      <c r="O173" s="178"/>
    </row>
    <row r="174" spans="1:15" ht="30" customHeight="1" x14ac:dyDescent="0.3">
      <c r="A174" s="169"/>
      <c r="B174" s="4"/>
      <c r="C174" s="4"/>
      <c r="D174" s="8"/>
      <c r="E174" s="8"/>
      <c r="F174" s="177"/>
      <c r="J174" s="178"/>
      <c r="K174" s="178"/>
      <c r="L174" s="178"/>
      <c r="M174" s="178"/>
      <c r="N174" s="178"/>
      <c r="O174" s="178"/>
    </row>
    <row r="175" spans="1:15" ht="30" customHeight="1" x14ac:dyDescent="0.3">
      <c r="D175" s="7"/>
      <c r="E175" s="7"/>
      <c r="F175" s="177"/>
      <c r="J175" s="178"/>
      <c r="K175" s="178"/>
      <c r="L175" s="178"/>
      <c r="M175" s="178"/>
      <c r="N175" s="178"/>
      <c r="O175" s="178"/>
    </row>
    <row r="176" spans="1:15" ht="30" customHeight="1" x14ac:dyDescent="0.3">
      <c r="A176" s="169"/>
      <c r="B176" s="4"/>
      <c r="C176" s="4"/>
      <c r="D176" s="8"/>
      <c r="E176" s="8"/>
      <c r="F176" s="177"/>
      <c r="J176" s="178"/>
      <c r="K176" s="178"/>
      <c r="L176" s="178"/>
      <c r="M176" s="178"/>
      <c r="N176" s="178"/>
      <c r="O176" s="178"/>
    </row>
    <row r="177" spans="1:15" ht="30" customHeight="1" x14ac:dyDescent="0.3">
      <c r="D177" s="7"/>
      <c r="E177" s="7"/>
      <c r="F177" s="177"/>
      <c r="J177" s="178"/>
      <c r="K177" s="178"/>
      <c r="L177" s="178"/>
      <c r="M177" s="178"/>
      <c r="N177" s="178"/>
      <c r="O177" s="178"/>
    </row>
    <row r="178" spans="1:15" ht="30" customHeight="1" x14ac:dyDescent="0.3">
      <c r="A178" s="169"/>
      <c r="B178" s="4"/>
      <c r="C178" s="4"/>
      <c r="D178" s="8"/>
      <c r="E178" s="8"/>
      <c r="F178" s="177"/>
      <c r="J178" s="178"/>
      <c r="K178" s="178"/>
      <c r="L178" s="178"/>
      <c r="M178" s="178"/>
      <c r="N178" s="178"/>
      <c r="O178" s="178"/>
    </row>
    <row r="179" spans="1:15" ht="30" customHeight="1" x14ac:dyDescent="0.3">
      <c r="D179" s="7"/>
      <c r="E179" s="7"/>
      <c r="F179" s="177"/>
      <c r="J179" s="178"/>
      <c r="K179" s="178"/>
      <c r="L179" s="178"/>
      <c r="M179" s="178"/>
      <c r="N179" s="178"/>
      <c r="O179" s="178"/>
    </row>
    <row r="180" spans="1:15" ht="30" customHeight="1" x14ac:dyDescent="0.3">
      <c r="A180" s="169"/>
      <c r="B180" s="4"/>
      <c r="C180" s="4"/>
      <c r="D180" s="8"/>
      <c r="E180" s="8"/>
      <c r="F180" s="177"/>
      <c r="J180" s="178"/>
      <c r="K180" s="178"/>
      <c r="L180" s="178"/>
      <c r="M180" s="178"/>
      <c r="N180" s="178"/>
      <c r="O180" s="178"/>
    </row>
    <row r="181" spans="1:15" ht="30" customHeight="1" x14ac:dyDescent="0.3">
      <c r="D181" s="7"/>
      <c r="E181" s="7"/>
      <c r="F181" s="177"/>
      <c r="J181" s="178"/>
      <c r="K181" s="178"/>
      <c r="L181" s="178"/>
      <c r="M181" s="178"/>
      <c r="N181" s="178"/>
      <c r="O181" s="178"/>
    </row>
    <row r="182" spans="1:15" ht="30" customHeight="1" x14ac:dyDescent="0.3">
      <c r="A182" s="169"/>
      <c r="B182" s="4"/>
      <c r="C182" s="4"/>
      <c r="D182" s="8"/>
      <c r="E182" s="8"/>
      <c r="F182" s="177"/>
      <c r="J182" s="178"/>
      <c r="K182" s="178"/>
      <c r="L182" s="178"/>
      <c r="M182" s="178"/>
      <c r="N182" s="178"/>
      <c r="O182" s="178"/>
    </row>
    <row r="183" spans="1:15" ht="30" customHeight="1" x14ac:dyDescent="0.3">
      <c r="D183" s="7"/>
      <c r="E183" s="7"/>
      <c r="F183" s="177"/>
      <c r="J183" s="178"/>
      <c r="K183" s="178"/>
      <c r="L183" s="178"/>
      <c r="M183" s="178"/>
      <c r="N183" s="178"/>
      <c r="O183" s="178"/>
    </row>
    <row r="184" spans="1:15" ht="30" customHeight="1" x14ac:dyDescent="0.3">
      <c r="A184" s="169"/>
      <c r="B184" s="4"/>
      <c r="C184" s="4"/>
      <c r="D184" s="8"/>
      <c r="E184" s="8"/>
      <c r="F184" s="177"/>
      <c r="J184" s="178"/>
      <c r="K184" s="178"/>
      <c r="L184" s="178"/>
      <c r="M184" s="178"/>
      <c r="N184" s="178"/>
      <c r="O184" s="178"/>
    </row>
    <row r="185" spans="1:15" ht="30" customHeight="1" x14ac:dyDescent="0.3">
      <c r="D185" s="7"/>
      <c r="E185" s="7"/>
      <c r="F185" s="177"/>
      <c r="J185" s="178"/>
      <c r="K185" s="178"/>
      <c r="L185" s="178"/>
      <c r="M185" s="178"/>
      <c r="N185" s="178"/>
      <c r="O185" s="178"/>
    </row>
    <row r="186" spans="1:15" ht="30" customHeight="1" x14ac:dyDescent="0.3">
      <c r="A186" s="169"/>
      <c r="B186" s="4"/>
      <c r="C186" s="4"/>
      <c r="D186" s="8"/>
      <c r="E186" s="8"/>
      <c r="F186" s="177"/>
      <c r="J186" s="178"/>
      <c r="K186" s="178"/>
      <c r="L186" s="178"/>
      <c r="M186" s="178"/>
      <c r="N186" s="178"/>
      <c r="O186" s="178"/>
    </row>
    <row r="187" spans="1:15" ht="30" customHeight="1" x14ac:dyDescent="0.3">
      <c r="D187" s="7"/>
      <c r="E187" s="7"/>
      <c r="F187" s="177"/>
      <c r="J187" s="178"/>
      <c r="K187" s="178"/>
      <c r="L187" s="178"/>
      <c r="M187" s="178"/>
      <c r="N187" s="178"/>
      <c r="O187" s="178"/>
    </row>
    <row r="188" spans="1:15" ht="30" customHeight="1" x14ac:dyDescent="0.3">
      <c r="A188" s="169"/>
      <c r="B188" s="4"/>
      <c r="C188" s="4"/>
      <c r="D188" s="8"/>
      <c r="E188" s="8"/>
      <c r="F188" s="177"/>
      <c r="J188" s="178"/>
      <c r="K188" s="178"/>
      <c r="L188" s="178"/>
      <c r="M188" s="178"/>
      <c r="N188" s="178"/>
      <c r="O188" s="178"/>
    </row>
    <row r="189" spans="1:15" ht="30" customHeight="1" x14ac:dyDescent="0.3">
      <c r="D189" s="7"/>
      <c r="E189" s="7"/>
      <c r="F189" s="177"/>
      <c r="J189" s="178"/>
      <c r="K189" s="178"/>
      <c r="L189" s="178"/>
      <c r="M189" s="178"/>
      <c r="N189" s="178"/>
      <c r="O189" s="178"/>
    </row>
    <row r="190" spans="1:15" ht="30" customHeight="1" x14ac:dyDescent="0.3">
      <c r="A190" s="169"/>
      <c r="B190" s="4"/>
      <c r="C190" s="4"/>
      <c r="D190" s="8"/>
      <c r="E190" s="8"/>
      <c r="F190" s="177"/>
      <c r="J190" s="178"/>
      <c r="K190" s="178"/>
      <c r="L190" s="178"/>
      <c r="M190" s="178"/>
      <c r="N190" s="178"/>
      <c r="O190" s="178"/>
    </row>
    <row r="191" spans="1:15" ht="30" customHeight="1" x14ac:dyDescent="0.3">
      <c r="D191" s="7"/>
      <c r="E191" s="7"/>
      <c r="F191" s="177"/>
      <c r="J191" s="178"/>
      <c r="K191" s="178"/>
      <c r="L191" s="178"/>
      <c r="M191" s="178"/>
      <c r="N191" s="178"/>
      <c r="O191" s="178"/>
    </row>
    <row r="192" spans="1:15" ht="30" customHeight="1" x14ac:dyDescent="0.3">
      <c r="A192" s="169"/>
      <c r="B192" s="4"/>
      <c r="C192" s="4"/>
      <c r="D192" s="8"/>
      <c r="E192" s="8"/>
      <c r="F192" s="177"/>
      <c r="J192" s="178"/>
      <c r="K192" s="178"/>
      <c r="L192" s="178"/>
      <c r="M192" s="178"/>
      <c r="N192" s="178"/>
      <c r="O192" s="178"/>
    </row>
    <row r="193" spans="1:15" ht="30" customHeight="1" x14ac:dyDescent="0.3">
      <c r="D193" s="7"/>
      <c r="E193" s="7"/>
      <c r="F193" s="177"/>
      <c r="J193" s="178"/>
      <c r="K193" s="178"/>
      <c r="L193" s="178"/>
      <c r="M193" s="178"/>
      <c r="N193" s="178"/>
      <c r="O193" s="178"/>
    </row>
    <row r="194" spans="1:15" ht="30" customHeight="1" x14ac:dyDescent="0.3">
      <c r="A194" s="169"/>
      <c r="B194" s="4"/>
      <c r="C194" s="4"/>
      <c r="D194" s="8"/>
      <c r="E194" s="8"/>
      <c r="F194" s="177"/>
      <c r="J194" s="178"/>
      <c r="K194" s="178"/>
      <c r="L194" s="178"/>
      <c r="M194" s="178"/>
      <c r="N194" s="178"/>
      <c r="O194" s="178"/>
    </row>
    <row r="195" spans="1:15" ht="30" customHeight="1" x14ac:dyDescent="0.3">
      <c r="D195" s="7"/>
      <c r="E195" s="7"/>
      <c r="F195" s="177"/>
      <c r="J195" s="178"/>
      <c r="K195" s="178"/>
      <c r="L195" s="178"/>
      <c r="M195" s="178"/>
      <c r="N195" s="178"/>
      <c r="O195" s="178"/>
    </row>
    <row r="196" spans="1:15" ht="30" customHeight="1" x14ac:dyDescent="0.3">
      <c r="A196" s="169"/>
      <c r="B196" s="4"/>
      <c r="C196" s="4"/>
      <c r="D196" s="8"/>
      <c r="E196" s="8"/>
      <c r="F196" s="177"/>
      <c r="J196" s="178"/>
      <c r="K196" s="178"/>
      <c r="L196" s="178"/>
      <c r="M196" s="178"/>
      <c r="N196" s="178"/>
      <c r="O196" s="178"/>
    </row>
    <row r="197" spans="1:15" ht="30" customHeight="1" x14ac:dyDescent="0.3">
      <c r="D197" s="7"/>
      <c r="E197" s="7"/>
      <c r="F197" s="177"/>
      <c r="J197" s="178"/>
      <c r="K197" s="178"/>
      <c r="L197" s="178"/>
      <c r="M197" s="178"/>
      <c r="N197" s="178"/>
      <c r="O197" s="178"/>
    </row>
    <row r="198" spans="1:15" ht="30" customHeight="1" x14ac:dyDescent="0.3">
      <c r="A198" s="169"/>
      <c r="B198" s="4"/>
      <c r="C198" s="4"/>
      <c r="D198" s="8"/>
      <c r="E198" s="8"/>
      <c r="F198" s="177"/>
      <c r="J198" s="178"/>
      <c r="K198" s="178"/>
      <c r="L198" s="178"/>
      <c r="M198" s="178"/>
      <c r="N198" s="178"/>
      <c r="O198" s="178"/>
    </row>
    <row r="199" spans="1:15" ht="30" customHeight="1" x14ac:dyDescent="0.3">
      <c r="D199" s="7"/>
      <c r="E199" s="7"/>
      <c r="F199" s="177"/>
      <c r="J199" s="178"/>
      <c r="K199" s="178"/>
      <c r="L199" s="178"/>
      <c r="M199" s="178"/>
      <c r="N199" s="178"/>
      <c r="O199" s="178"/>
    </row>
    <row r="200" spans="1:15" ht="30" customHeight="1" x14ac:dyDescent="0.3">
      <c r="A200" s="169"/>
      <c r="B200" s="4"/>
      <c r="C200" s="4"/>
      <c r="D200" s="8"/>
      <c r="E200" s="8"/>
      <c r="F200" s="177"/>
      <c r="J200" s="178"/>
      <c r="K200" s="178"/>
      <c r="L200" s="178"/>
      <c r="M200" s="178"/>
      <c r="N200" s="178"/>
      <c r="O200" s="178"/>
    </row>
    <row r="201" spans="1:15" ht="30" customHeight="1" x14ac:dyDescent="0.3">
      <c r="D201" s="7"/>
      <c r="E201" s="7"/>
      <c r="F201" s="177"/>
      <c r="J201" s="178"/>
      <c r="K201" s="178"/>
      <c r="L201" s="178"/>
      <c r="M201" s="178"/>
      <c r="N201" s="178"/>
      <c r="O201" s="178"/>
    </row>
    <row r="202" spans="1:15" ht="30" customHeight="1" x14ac:dyDescent="0.3">
      <c r="A202" s="169"/>
      <c r="B202" s="4"/>
      <c r="C202" s="4"/>
      <c r="D202" s="8"/>
      <c r="E202" s="8"/>
      <c r="F202" s="177"/>
      <c r="J202" s="178"/>
      <c r="K202" s="178"/>
      <c r="L202" s="178"/>
      <c r="M202" s="178"/>
      <c r="N202" s="178"/>
      <c r="O202" s="178"/>
    </row>
    <row r="203" spans="1:15" ht="30" customHeight="1" x14ac:dyDescent="0.3">
      <c r="D203" s="7"/>
      <c r="E203" s="7"/>
      <c r="F203" s="177"/>
      <c r="J203" s="178"/>
      <c r="K203" s="178"/>
      <c r="L203" s="178"/>
      <c r="M203" s="178"/>
      <c r="N203" s="178"/>
      <c r="O203" s="178"/>
    </row>
    <row r="204" spans="1:15" ht="30" customHeight="1" x14ac:dyDescent="0.3">
      <c r="A204" s="169"/>
      <c r="B204" s="4"/>
      <c r="C204" s="4"/>
      <c r="D204" s="8"/>
      <c r="E204" s="8"/>
      <c r="F204" s="177"/>
      <c r="J204" s="178"/>
      <c r="K204" s="178"/>
      <c r="L204" s="178"/>
      <c r="M204" s="178"/>
      <c r="N204" s="178"/>
      <c r="O204" s="178"/>
    </row>
    <row r="205" spans="1:15" ht="30" customHeight="1" x14ac:dyDescent="0.3">
      <c r="D205" s="7"/>
      <c r="E205" s="7"/>
      <c r="F205" s="177"/>
      <c r="J205" s="178"/>
      <c r="K205" s="178"/>
      <c r="L205" s="178"/>
      <c r="M205" s="178"/>
      <c r="N205" s="178"/>
      <c r="O205" s="178"/>
    </row>
    <row r="206" spans="1:15" ht="30" customHeight="1" x14ac:dyDescent="0.3">
      <c r="A206" s="169"/>
      <c r="B206" s="4"/>
      <c r="C206" s="4"/>
      <c r="D206" s="8"/>
      <c r="E206" s="8"/>
      <c r="F206" s="177"/>
      <c r="J206" s="178"/>
      <c r="K206" s="178"/>
      <c r="L206" s="178"/>
      <c r="M206" s="178"/>
      <c r="N206" s="178"/>
      <c r="O206" s="178"/>
    </row>
    <row r="207" spans="1:15" ht="30" customHeight="1" x14ac:dyDescent="0.3">
      <c r="D207" s="7"/>
      <c r="E207" s="7"/>
      <c r="F207" s="177"/>
      <c r="J207" s="178"/>
      <c r="K207" s="178"/>
      <c r="L207" s="178"/>
      <c r="M207" s="178"/>
      <c r="N207" s="178"/>
      <c r="O207" s="178"/>
    </row>
    <row r="208" spans="1:15" ht="30" customHeight="1" x14ac:dyDescent="0.3">
      <c r="A208" s="169"/>
      <c r="B208" s="4"/>
      <c r="C208" s="4"/>
      <c r="D208" s="8"/>
      <c r="E208" s="8"/>
      <c r="F208" s="177"/>
      <c r="J208" s="178"/>
      <c r="K208" s="178"/>
      <c r="L208" s="178"/>
      <c r="M208" s="178"/>
      <c r="N208" s="178"/>
      <c r="O208" s="178"/>
    </row>
    <row r="209" spans="1:15" ht="30" customHeight="1" x14ac:dyDescent="0.3">
      <c r="D209" s="7"/>
      <c r="E209" s="7"/>
      <c r="F209" s="177"/>
      <c r="J209" s="178"/>
      <c r="K209" s="178"/>
      <c r="L209" s="178"/>
      <c r="M209" s="178"/>
      <c r="N209" s="178"/>
      <c r="O209" s="178"/>
    </row>
    <row r="210" spans="1:15" ht="30" customHeight="1" x14ac:dyDescent="0.3">
      <c r="A210" s="169"/>
      <c r="B210" s="4"/>
      <c r="C210" s="4"/>
      <c r="D210" s="8"/>
      <c r="E210" s="8"/>
      <c r="F210" s="177"/>
      <c r="J210" s="178"/>
      <c r="K210" s="178"/>
      <c r="L210" s="178"/>
      <c r="M210" s="178"/>
      <c r="N210" s="178"/>
      <c r="O210" s="178"/>
    </row>
    <row r="211" spans="1:15" ht="30" customHeight="1" x14ac:dyDescent="0.3">
      <c r="D211" s="7"/>
      <c r="E211" s="7"/>
      <c r="F211" s="177"/>
      <c r="J211" s="178"/>
      <c r="K211" s="178"/>
      <c r="L211" s="178"/>
      <c r="M211" s="178"/>
      <c r="N211" s="178"/>
      <c r="O211" s="178"/>
    </row>
    <row r="212" spans="1:15" ht="30" customHeight="1" x14ac:dyDescent="0.3">
      <c r="A212" s="169"/>
      <c r="B212" s="4"/>
      <c r="C212" s="4"/>
      <c r="D212" s="8"/>
      <c r="E212" s="8"/>
      <c r="F212" s="177"/>
      <c r="J212" s="178"/>
      <c r="K212" s="178"/>
      <c r="L212" s="178"/>
      <c r="M212" s="178"/>
      <c r="N212" s="178"/>
      <c r="O212" s="178"/>
    </row>
    <row r="213" spans="1:15" ht="30" customHeight="1" x14ac:dyDescent="0.3">
      <c r="D213" s="7"/>
      <c r="E213" s="7"/>
      <c r="F213" s="177"/>
      <c r="J213" s="178"/>
      <c r="K213" s="178"/>
      <c r="L213" s="178"/>
      <c r="M213" s="178"/>
      <c r="N213" s="178"/>
      <c r="O213" s="178"/>
    </row>
    <row r="214" spans="1:15" ht="30" customHeight="1" x14ac:dyDescent="0.3">
      <c r="A214" s="169"/>
      <c r="B214" s="4"/>
      <c r="C214" s="4"/>
      <c r="D214" s="8"/>
      <c r="E214" s="8"/>
      <c r="F214" s="177"/>
      <c r="J214" s="178"/>
      <c r="K214" s="178"/>
      <c r="L214" s="178"/>
      <c r="M214" s="178"/>
      <c r="N214" s="178"/>
      <c r="O214" s="178"/>
    </row>
    <row r="215" spans="1:15" ht="30" customHeight="1" x14ac:dyDescent="0.3">
      <c r="D215" s="7"/>
      <c r="E215" s="7"/>
      <c r="F215" s="177"/>
      <c r="J215" s="178"/>
      <c r="K215" s="178"/>
      <c r="L215" s="178"/>
      <c r="M215" s="178"/>
      <c r="N215" s="178"/>
      <c r="O215" s="178"/>
    </row>
    <row r="216" spans="1:15" ht="30" customHeight="1" x14ac:dyDescent="0.3">
      <c r="A216" s="169"/>
      <c r="B216" s="4"/>
      <c r="C216" s="4"/>
      <c r="D216" s="8"/>
      <c r="E216" s="8"/>
      <c r="F216" s="177"/>
      <c r="J216" s="178"/>
      <c r="K216" s="178"/>
      <c r="L216" s="178"/>
      <c r="M216" s="178"/>
      <c r="N216" s="178"/>
      <c r="O216" s="178"/>
    </row>
    <row r="217" spans="1:15" ht="30" customHeight="1" x14ac:dyDescent="0.3">
      <c r="D217" s="7"/>
      <c r="E217" s="7"/>
      <c r="F217" s="177"/>
      <c r="J217" s="178"/>
      <c r="K217" s="178"/>
      <c r="L217" s="178"/>
      <c r="M217" s="178"/>
      <c r="N217" s="178"/>
      <c r="O217" s="178"/>
    </row>
    <row r="218" spans="1:15" ht="30" customHeight="1" x14ac:dyDescent="0.3">
      <c r="A218" s="169"/>
      <c r="B218" s="4"/>
      <c r="C218" s="4"/>
      <c r="D218" s="8"/>
      <c r="E218" s="8"/>
      <c r="F218" s="177"/>
      <c r="J218" s="178"/>
      <c r="K218" s="178"/>
      <c r="L218" s="178"/>
      <c r="M218" s="178"/>
      <c r="N218" s="178"/>
      <c r="O218" s="178"/>
    </row>
    <row r="219" spans="1:15" ht="30" customHeight="1" x14ac:dyDescent="0.3">
      <c r="D219" s="7"/>
      <c r="E219" s="7"/>
      <c r="F219" s="177"/>
      <c r="J219" s="178"/>
      <c r="K219" s="178"/>
      <c r="L219" s="178"/>
      <c r="M219" s="178"/>
      <c r="N219" s="178"/>
      <c r="O219" s="178"/>
    </row>
    <row r="220" spans="1:15" ht="30" customHeight="1" x14ac:dyDescent="0.3">
      <c r="A220" s="169"/>
      <c r="B220" s="4"/>
      <c r="C220" s="4"/>
      <c r="D220" s="8"/>
      <c r="E220" s="8"/>
      <c r="F220" s="177"/>
      <c r="J220" s="178"/>
      <c r="K220" s="178"/>
      <c r="L220" s="178"/>
      <c r="M220" s="178"/>
      <c r="N220" s="178"/>
      <c r="O220" s="178"/>
    </row>
    <row r="221" spans="1:15" ht="30" customHeight="1" x14ac:dyDescent="0.3">
      <c r="D221" s="7"/>
      <c r="E221" s="7"/>
      <c r="F221" s="177"/>
      <c r="J221" s="178"/>
      <c r="K221" s="178"/>
      <c r="L221" s="178"/>
      <c r="M221" s="178"/>
      <c r="N221" s="178"/>
      <c r="O221" s="178"/>
    </row>
    <row r="222" spans="1:15" ht="30" customHeight="1" x14ac:dyDescent="0.3">
      <c r="A222" s="169"/>
      <c r="B222" s="4"/>
      <c r="C222" s="4"/>
      <c r="D222" s="8"/>
      <c r="E222" s="8"/>
      <c r="F222" s="177"/>
      <c r="J222" s="178"/>
      <c r="K222" s="178"/>
      <c r="L222" s="178"/>
      <c r="M222" s="178"/>
      <c r="N222" s="178"/>
      <c r="O222" s="178"/>
    </row>
    <row r="223" spans="1:15" ht="30" customHeight="1" x14ac:dyDescent="0.3">
      <c r="D223" s="7"/>
      <c r="E223" s="7"/>
      <c r="F223" s="177"/>
      <c r="J223" s="178"/>
      <c r="K223" s="178"/>
      <c r="L223" s="178"/>
      <c r="M223" s="178"/>
      <c r="N223" s="178"/>
      <c r="O223" s="178"/>
    </row>
    <row r="224" spans="1:15" ht="30" customHeight="1" x14ac:dyDescent="0.3">
      <c r="A224" s="169"/>
      <c r="B224" s="4"/>
      <c r="C224" s="4"/>
      <c r="D224" s="8"/>
      <c r="E224" s="8"/>
      <c r="F224" s="177"/>
      <c r="J224" s="178"/>
      <c r="K224" s="178"/>
      <c r="L224" s="178"/>
      <c r="M224" s="178"/>
      <c r="N224" s="178"/>
      <c r="O224" s="178"/>
    </row>
    <row r="225" spans="1:15" ht="30" customHeight="1" x14ac:dyDescent="0.3">
      <c r="D225" s="7"/>
      <c r="E225" s="7"/>
      <c r="F225" s="177"/>
      <c r="J225" s="178"/>
      <c r="K225" s="178"/>
      <c r="L225" s="178"/>
      <c r="M225" s="178"/>
      <c r="N225" s="178"/>
      <c r="O225" s="178"/>
    </row>
    <row r="226" spans="1:15" ht="30" customHeight="1" x14ac:dyDescent="0.3">
      <c r="A226" s="169"/>
      <c r="B226" s="4"/>
      <c r="C226" s="4"/>
      <c r="D226" s="8"/>
      <c r="E226" s="8"/>
      <c r="F226" s="177"/>
      <c r="J226" s="178"/>
      <c r="K226" s="178"/>
      <c r="L226" s="178"/>
      <c r="M226" s="178"/>
      <c r="N226" s="178"/>
      <c r="O226" s="178"/>
    </row>
    <row r="227" spans="1:15" ht="30" customHeight="1" x14ac:dyDescent="0.3">
      <c r="D227" s="7"/>
      <c r="E227" s="7"/>
      <c r="F227" s="177"/>
      <c r="J227" s="178"/>
      <c r="K227" s="178"/>
      <c r="L227" s="178"/>
      <c r="M227" s="178"/>
      <c r="N227" s="178"/>
      <c r="O227" s="178"/>
    </row>
    <row r="228" spans="1:15" ht="30" customHeight="1" x14ac:dyDescent="0.3">
      <c r="A228" s="169"/>
      <c r="B228" s="4"/>
      <c r="C228" s="4"/>
      <c r="D228" s="8"/>
      <c r="E228" s="8"/>
      <c r="F228" s="177"/>
      <c r="J228" s="178"/>
      <c r="K228" s="178"/>
      <c r="L228" s="178"/>
      <c r="M228" s="178"/>
      <c r="N228" s="178"/>
      <c r="O228" s="178"/>
    </row>
    <row r="229" spans="1:15" ht="30" customHeight="1" x14ac:dyDescent="0.3">
      <c r="D229" s="7"/>
      <c r="E229" s="7"/>
      <c r="F229" s="177"/>
      <c r="J229" s="178"/>
      <c r="K229" s="178"/>
      <c r="L229" s="178"/>
      <c r="M229" s="178"/>
      <c r="N229" s="178"/>
      <c r="O229" s="178"/>
    </row>
    <row r="230" spans="1:15" ht="30" customHeight="1" x14ac:dyDescent="0.3">
      <c r="A230" s="169"/>
      <c r="B230" s="4"/>
      <c r="C230" s="4"/>
      <c r="D230" s="8"/>
      <c r="E230" s="8"/>
      <c r="F230" s="177"/>
      <c r="J230" s="178"/>
      <c r="K230" s="178"/>
      <c r="L230" s="178"/>
      <c r="M230" s="178"/>
      <c r="N230" s="178"/>
      <c r="O230" s="178"/>
    </row>
    <row r="231" spans="1:15" ht="30" customHeight="1" x14ac:dyDescent="0.3">
      <c r="D231" s="7"/>
      <c r="E231" s="7"/>
      <c r="F231" s="177"/>
      <c r="J231" s="178"/>
      <c r="K231" s="178"/>
      <c r="L231" s="178"/>
      <c r="M231" s="178"/>
      <c r="N231" s="178"/>
      <c r="O231" s="178"/>
    </row>
    <row r="232" spans="1:15" ht="30" customHeight="1" x14ac:dyDescent="0.3">
      <c r="A232" s="169"/>
      <c r="B232" s="4"/>
      <c r="C232" s="4"/>
      <c r="D232" s="8"/>
      <c r="E232" s="8"/>
      <c r="F232" s="177"/>
      <c r="J232" s="178"/>
      <c r="K232" s="178"/>
      <c r="L232" s="178"/>
      <c r="M232" s="178"/>
      <c r="N232" s="178"/>
      <c r="O232" s="178"/>
    </row>
    <row r="233" spans="1:15" ht="30" customHeight="1" x14ac:dyDescent="0.3">
      <c r="D233" s="7"/>
      <c r="E233" s="7"/>
      <c r="F233" s="177"/>
      <c r="J233" s="178"/>
      <c r="K233" s="178"/>
      <c r="L233" s="178"/>
      <c r="M233" s="178"/>
      <c r="N233" s="178"/>
      <c r="O233" s="178"/>
    </row>
    <row r="234" spans="1:15" ht="30" customHeight="1" x14ac:dyDescent="0.3">
      <c r="A234" s="169"/>
      <c r="B234" s="4"/>
      <c r="C234" s="4"/>
      <c r="D234" s="8"/>
      <c r="E234" s="8"/>
      <c r="F234" s="177"/>
      <c r="J234" s="178"/>
      <c r="K234" s="178"/>
      <c r="L234" s="178"/>
      <c r="M234" s="178"/>
      <c r="N234" s="178"/>
      <c r="O234" s="178"/>
    </row>
    <row r="235" spans="1:15" ht="30" customHeight="1" x14ac:dyDescent="0.3">
      <c r="D235" s="7"/>
      <c r="E235" s="7"/>
      <c r="F235" s="177"/>
      <c r="J235" s="178"/>
      <c r="K235" s="178"/>
      <c r="L235" s="178"/>
      <c r="M235" s="178"/>
      <c r="N235" s="178"/>
      <c r="O235" s="178"/>
    </row>
    <row r="236" spans="1:15" ht="30" customHeight="1" x14ac:dyDescent="0.3">
      <c r="A236" s="169"/>
      <c r="B236" s="4"/>
      <c r="C236" s="4"/>
      <c r="D236" s="8"/>
      <c r="E236" s="8"/>
      <c r="F236" s="177"/>
      <c r="J236" s="178"/>
      <c r="K236" s="178"/>
      <c r="L236" s="178"/>
      <c r="M236" s="178"/>
      <c r="N236" s="178"/>
      <c r="O236" s="178"/>
    </row>
    <row r="237" spans="1:15" ht="30" customHeight="1" x14ac:dyDescent="0.3">
      <c r="D237" s="7"/>
      <c r="E237" s="7"/>
      <c r="F237" s="177"/>
      <c r="J237" s="178"/>
      <c r="K237" s="178"/>
      <c r="L237" s="178"/>
      <c r="M237" s="178"/>
      <c r="N237" s="178"/>
      <c r="O237" s="178"/>
    </row>
    <row r="238" spans="1:15" ht="30" customHeight="1" x14ac:dyDescent="0.3">
      <c r="A238" s="169"/>
      <c r="B238" s="4"/>
      <c r="C238" s="4"/>
      <c r="D238" s="8"/>
      <c r="E238" s="8"/>
      <c r="F238" s="177"/>
      <c r="J238" s="178"/>
      <c r="K238" s="178"/>
      <c r="L238" s="178"/>
      <c r="M238" s="178"/>
      <c r="N238" s="178"/>
      <c r="O238" s="178"/>
    </row>
    <row r="239" spans="1:15" ht="30" customHeight="1" x14ac:dyDescent="0.3">
      <c r="D239" s="7"/>
      <c r="E239" s="7"/>
      <c r="F239" s="177"/>
      <c r="J239" s="178"/>
      <c r="K239" s="178"/>
      <c r="L239" s="178"/>
      <c r="M239" s="178"/>
      <c r="N239" s="178"/>
      <c r="O239" s="178"/>
    </row>
    <row r="240" spans="1:15" ht="30" customHeight="1" x14ac:dyDescent="0.3">
      <c r="A240" s="169"/>
      <c r="B240" s="4"/>
      <c r="C240" s="4"/>
      <c r="D240" s="8"/>
      <c r="E240" s="8"/>
      <c r="F240" s="177"/>
      <c r="J240" s="178"/>
      <c r="K240" s="178"/>
      <c r="L240" s="178"/>
      <c r="M240" s="178"/>
      <c r="N240" s="178"/>
      <c r="O240" s="178"/>
    </row>
    <row r="241" spans="1:15" ht="30" customHeight="1" x14ac:dyDescent="0.3">
      <c r="D241" s="7"/>
      <c r="E241" s="7"/>
      <c r="F241" s="177"/>
      <c r="J241" s="178"/>
      <c r="K241" s="178"/>
      <c r="L241" s="178"/>
      <c r="M241" s="178"/>
      <c r="N241" s="178"/>
      <c r="O241" s="178"/>
    </row>
    <row r="242" spans="1:15" ht="30" customHeight="1" x14ac:dyDescent="0.3">
      <c r="A242" s="169"/>
      <c r="B242" s="4"/>
      <c r="C242" s="4"/>
      <c r="D242" s="8"/>
      <c r="E242" s="8"/>
      <c r="F242" s="177"/>
      <c r="J242" s="178"/>
      <c r="K242" s="178"/>
      <c r="L242" s="178"/>
      <c r="M242" s="178"/>
      <c r="N242" s="178"/>
      <c r="O242" s="178"/>
    </row>
    <row r="243" spans="1:15" ht="30" customHeight="1" x14ac:dyDescent="0.3">
      <c r="D243" s="7"/>
      <c r="E243" s="7"/>
      <c r="F243" s="177"/>
      <c r="J243" s="178"/>
      <c r="K243" s="178"/>
      <c r="L243" s="178"/>
      <c r="M243" s="178"/>
      <c r="N243" s="178"/>
      <c r="O243" s="178"/>
    </row>
    <row r="244" spans="1:15" ht="30" customHeight="1" x14ac:dyDescent="0.3">
      <c r="A244" s="169"/>
      <c r="B244" s="4"/>
      <c r="C244" s="4"/>
      <c r="D244" s="8"/>
      <c r="E244" s="8"/>
      <c r="F244" s="177"/>
      <c r="J244" s="178"/>
      <c r="K244" s="178"/>
      <c r="L244" s="178"/>
      <c r="M244" s="178"/>
      <c r="N244" s="178"/>
      <c r="O244" s="178"/>
    </row>
    <row r="245" spans="1:15" ht="30" customHeight="1" x14ac:dyDescent="0.3">
      <c r="D245" s="7"/>
      <c r="E245" s="7"/>
      <c r="F245" s="177"/>
      <c r="J245" s="178"/>
      <c r="K245" s="178"/>
      <c r="L245" s="178"/>
      <c r="M245" s="178"/>
      <c r="N245" s="178"/>
      <c r="O245" s="178"/>
    </row>
    <row r="246" spans="1:15" ht="30" customHeight="1" x14ac:dyDescent="0.3">
      <c r="A246" s="169"/>
      <c r="B246" s="4"/>
      <c r="C246" s="4"/>
      <c r="D246" s="8"/>
      <c r="E246" s="8"/>
      <c r="F246" s="177"/>
      <c r="J246" s="178"/>
      <c r="K246" s="178"/>
      <c r="L246" s="178"/>
      <c r="M246" s="178"/>
      <c r="N246" s="178"/>
      <c r="O246" s="178"/>
    </row>
    <row r="247" spans="1:15" ht="30" customHeight="1" x14ac:dyDescent="0.3">
      <c r="D247" s="7"/>
      <c r="E247" s="7"/>
      <c r="F247" s="177"/>
      <c r="J247" s="178"/>
      <c r="K247" s="178"/>
      <c r="L247" s="178"/>
      <c r="M247" s="178"/>
      <c r="N247" s="178"/>
      <c r="O247" s="178"/>
    </row>
    <row r="248" spans="1:15" ht="30" customHeight="1" x14ac:dyDescent="0.3">
      <c r="A248" s="169"/>
      <c r="B248" s="4"/>
      <c r="C248" s="4"/>
      <c r="D248" s="8"/>
      <c r="E248" s="8"/>
      <c r="F248" s="177"/>
      <c r="J248" s="178"/>
      <c r="K248" s="178"/>
      <c r="L248" s="178"/>
      <c r="M248" s="178"/>
      <c r="N248" s="178"/>
      <c r="O248" s="178"/>
    </row>
    <row r="249" spans="1:15" ht="30" customHeight="1" x14ac:dyDescent="0.3">
      <c r="D249" s="7"/>
      <c r="E249" s="7"/>
      <c r="F249" s="177"/>
      <c r="J249" s="178"/>
      <c r="K249" s="178"/>
      <c r="L249" s="178"/>
      <c r="M249" s="178"/>
      <c r="N249" s="178"/>
      <c r="O249" s="178"/>
    </row>
    <row r="250" spans="1:15" ht="30" customHeight="1" x14ac:dyDescent="0.3">
      <c r="A250" s="169"/>
      <c r="B250" s="4"/>
      <c r="C250" s="4"/>
      <c r="D250" s="8"/>
      <c r="E250" s="8"/>
      <c r="F250" s="177"/>
      <c r="J250" s="178"/>
      <c r="K250" s="178"/>
      <c r="L250" s="178"/>
      <c r="M250" s="178"/>
      <c r="N250" s="178"/>
      <c r="O250" s="178"/>
    </row>
    <row r="251" spans="1:15" ht="30" customHeight="1" x14ac:dyDescent="0.3">
      <c r="D251" s="7"/>
      <c r="E251" s="7"/>
      <c r="F251" s="177"/>
      <c r="J251" s="178"/>
      <c r="K251" s="178"/>
      <c r="L251" s="178"/>
      <c r="M251" s="178"/>
      <c r="N251" s="178"/>
      <c r="O251" s="178"/>
    </row>
    <row r="252" spans="1:15" ht="30" customHeight="1" x14ac:dyDescent="0.3">
      <c r="A252" s="169"/>
      <c r="B252" s="4"/>
      <c r="C252" s="4"/>
      <c r="D252" s="8"/>
      <c r="E252" s="8"/>
      <c r="F252" s="177"/>
      <c r="J252" s="178"/>
      <c r="K252" s="178"/>
      <c r="L252" s="178"/>
      <c r="M252" s="178"/>
      <c r="N252" s="178"/>
      <c r="O252" s="178"/>
    </row>
    <row r="253" spans="1:15" ht="30" customHeight="1" x14ac:dyDescent="0.3">
      <c r="D253" s="7"/>
      <c r="E253" s="7"/>
      <c r="F253" s="177"/>
      <c r="J253" s="178"/>
      <c r="K253" s="178"/>
      <c r="L253" s="178"/>
      <c r="M253" s="178"/>
      <c r="N253" s="178"/>
      <c r="O253" s="178"/>
    </row>
    <row r="254" spans="1:15" ht="30" customHeight="1" x14ac:dyDescent="0.3">
      <c r="A254" s="169"/>
      <c r="B254" s="4"/>
      <c r="C254" s="4"/>
      <c r="D254" s="8"/>
      <c r="E254" s="8"/>
      <c r="F254" s="177"/>
      <c r="J254" s="178"/>
      <c r="K254" s="178"/>
      <c r="L254" s="178"/>
      <c r="M254" s="178"/>
      <c r="N254" s="178"/>
      <c r="O254" s="178"/>
    </row>
    <row r="255" spans="1:15" ht="30" customHeight="1" x14ac:dyDescent="0.3">
      <c r="D255" s="7"/>
      <c r="E255" s="7"/>
      <c r="F255" s="177"/>
      <c r="J255" s="178"/>
      <c r="K255" s="178"/>
      <c r="L255" s="178"/>
      <c r="M255" s="178"/>
      <c r="N255" s="178"/>
      <c r="O255" s="178"/>
    </row>
    <row r="256" spans="1:15" ht="30" customHeight="1" x14ac:dyDescent="0.3">
      <c r="A256" s="169"/>
      <c r="B256" s="4"/>
      <c r="C256" s="4"/>
      <c r="D256" s="8"/>
      <c r="E256" s="8"/>
      <c r="F256" s="177"/>
      <c r="J256" s="178"/>
      <c r="K256" s="178"/>
      <c r="L256" s="178"/>
      <c r="M256" s="178"/>
      <c r="N256" s="178"/>
      <c r="O256" s="178"/>
    </row>
    <row r="257" spans="1:15" ht="30" customHeight="1" x14ac:dyDescent="0.3">
      <c r="D257" s="7"/>
      <c r="E257" s="7"/>
      <c r="F257" s="177"/>
      <c r="J257" s="178"/>
      <c r="K257" s="178"/>
      <c r="L257" s="178"/>
      <c r="M257" s="178"/>
      <c r="N257" s="178"/>
      <c r="O257" s="178"/>
    </row>
    <row r="258" spans="1:15" ht="30" customHeight="1" x14ac:dyDescent="0.3">
      <c r="A258" s="169"/>
      <c r="B258" s="4"/>
      <c r="C258" s="4"/>
      <c r="D258" s="8"/>
      <c r="E258" s="8"/>
      <c r="F258" s="177"/>
      <c r="J258" s="178"/>
      <c r="K258" s="178"/>
      <c r="L258" s="178"/>
      <c r="M258" s="178"/>
      <c r="N258" s="178"/>
      <c r="O258" s="178"/>
    </row>
    <row r="259" spans="1:15" ht="30" customHeight="1" x14ac:dyDescent="0.3">
      <c r="D259" s="7"/>
      <c r="E259" s="7"/>
      <c r="F259" s="177"/>
      <c r="J259" s="178"/>
      <c r="K259" s="178"/>
      <c r="L259" s="178"/>
      <c r="M259" s="178"/>
      <c r="N259" s="178"/>
      <c r="O259" s="178"/>
    </row>
    <row r="260" spans="1:15" ht="30" customHeight="1" x14ac:dyDescent="0.3">
      <c r="A260" s="169"/>
      <c r="B260" s="4"/>
      <c r="C260" s="4"/>
      <c r="D260" s="8"/>
      <c r="E260" s="8"/>
      <c r="F260" s="177"/>
    </row>
    <row r="261" spans="1:15" ht="30" customHeight="1" x14ac:dyDescent="0.3">
      <c r="D261" s="7"/>
      <c r="E261" s="7"/>
      <c r="F261" s="177"/>
    </row>
    <row r="262" spans="1:15" ht="30" customHeight="1" x14ac:dyDescent="0.3">
      <c r="A262" s="169"/>
      <c r="B262" s="4"/>
      <c r="C262" s="4"/>
      <c r="D262" s="8"/>
      <c r="E262" s="8"/>
      <c r="F262" s="177"/>
    </row>
    <row r="263" spans="1:15" ht="30" customHeight="1" x14ac:dyDescent="0.3">
      <c r="D263" s="7"/>
      <c r="E263" s="7"/>
      <c r="F263" s="177"/>
    </row>
    <row r="264" spans="1:15" ht="30" customHeight="1" x14ac:dyDescent="0.3">
      <c r="A264" s="169"/>
      <c r="B264" s="4"/>
      <c r="C264" s="4"/>
      <c r="D264" s="8"/>
      <c r="E264" s="8"/>
      <c r="F264" s="177"/>
    </row>
    <row r="265" spans="1:15" ht="30" customHeight="1" x14ac:dyDescent="0.3">
      <c r="D265" s="7"/>
      <c r="E265" s="7"/>
      <c r="F265" s="177"/>
    </row>
    <row r="266" spans="1:15" ht="30" customHeight="1" x14ac:dyDescent="0.3">
      <c r="A266" s="169"/>
      <c r="B266" s="4"/>
      <c r="C266" s="4"/>
      <c r="D266" s="8"/>
      <c r="E266" s="8"/>
      <c r="F266" s="177"/>
    </row>
    <row r="267" spans="1:15" ht="30" customHeight="1" x14ac:dyDescent="0.3">
      <c r="D267" s="7"/>
      <c r="E267" s="7"/>
      <c r="F267" s="177"/>
    </row>
    <row r="268" spans="1:15" ht="30" customHeight="1" x14ac:dyDescent="0.3">
      <c r="A268" s="169"/>
      <c r="B268" s="4"/>
      <c r="C268" s="4"/>
      <c r="D268" s="8"/>
      <c r="E268" s="8"/>
      <c r="F268" s="177"/>
    </row>
    <row r="269" spans="1:15" ht="30" customHeight="1" x14ac:dyDescent="0.3">
      <c r="D269" s="7"/>
      <c r="E269" s="7"/>
      <c r="F269" s="177"/>
    </row>
    <row r="270" spans="1:15" ht="30" customHeight="1" x14ac:dyDescent="0.3">
      <c r="A270" s="169"/>
      <c r="B270" s="4"/>
      <c r="C270" s="4"/>
      <c r="D270" s="8"/>
      <c r="E270" s="8"/>
      <c r="F270" s="177"/>
    </row>
    <row r="271" spans="1:15" ht="30" customHeight="1" x14ac:dyDescent="0.3">
      <c r="D271" s="7"/>
      <c r="E271" s="7"/>
      <c r="F271" s="177"/>
    </row>
    <row r="272" spans="1:15" ht="30" customHeight="1" x14ac:dyDescent="0.3">
      <c r="A272" s="169"/>
      <c r="B272" s="4"/>
      <c r="C272" s="4"/>
      <c r="D272" s="8"/>
      <c r="E272" s="8"/>
      <c r="F272" s="177"/>
    </row>
    <row r="273" spans="1:6" ht="30" customHeight="1" x14ac:dyDescent="0.3">
      <c r="D273" s="7"/>
      <c r="E273" s="7"/>
      <c r="F273" s="177"/>
    </row>
    <row r="274" spans="1:6" ht="30" customHeight="1" x14ac:dyDescent="0.3">
      <c r="A274" s="169"/>
      <c r="B274" s="4"/>
      <c r="C274" s="4"/>
      <c r="D274" s="8"/>
      <c r="E274" s="8"/>
      <c r="F274" s="177"/>
    </row>
    <row r="275" spans="1:6" ht="30" customHeight="1" x14ac:dyDescent="0.3">
      <c r="D275" s="7"/>
      <c r="E275" s="7"/>
      <c r="F275" s="177"/>
    </row>
    <row r="276" spans="1:6" ht="30" customHeight="1" x14ac:dyDescent="0.3">
      <c r="A276" s="169"/>
      <c r="B276" s="4"/>
      <c r="C276" s="4"/>
      <c r="D276" s="8"/>
      <c r="E276" s="8"/>
      <c r="F276" s="177"/>
    </row>
    <row r="277" spans="1:6" ht="30" customHeight="1" x14ac:dyDescent="0.3">
      <c r="D277" s="7"/>
      <c r="E277" s="7"/>
      <c r="F277" s="177"/>
    </row>
    <row r="278" spans="1:6" ht="30" customHeight="1" x14ac:dyDescent="0.3">
      <c r="A278" s="169"/>
      <c r="B278" s="4"/>
      <c r="C278" s="4"/>
      <c r="D278" s="8"/>
      <c r="E278" s="8"/>
      <c r="F278" s="177"/>
    </row>
    <row r="279" spans="1:6" ht="30" customHeight="1" x14ac:dyDescent="0.3">
      <c r="D279" s="7"/>
      <c r="E279" s="7"/>
      <c r="F279" s="177"/>
    </row>
    <row r="280" spans="1:6" ht="30" customHeight="1" x14ac:dyDescent="0.3">
      <c r="A280" s="169"/>
      <c r="B280" s="4"/>
      <c r="C280" s="4"/>
      <c r="D280" s="8"/>
      <c r="E280" s="8"/>
      <c r="F280" s="177"/>
    </row>
    <row r="281" spans="1:6" ht="30" customHeight="1" x14ac:dyDescent="0.3">
      <c r="D281" s="7"/>
      <c r="E281" s="7"/>
      <c r="F281" s="177"/>
    </row>
    <row r="282" spans="1:6" ht="30" customHeight="1" x14ac:dyDescent="0.3">
      <c r="A282" s="169"/>
      <c r="B282" s="4"/>
      <c r="C282" s="4"/>
      <c r="D282" s="8"/>
      <c r="E282" s="8"/>
      <c r="F282" s="177"/>
    </row>
    <row r="283" spans="1:6" ht="30" customHeight="1" x14ac:dyDescent="0.3">
      <c r="D283" s="7"/>
      <c r="E283" s="7"/>
      <c r="F283" s="177"/>
    </row>
    <row r="284" spans="1:6" ht="30" customHeight="1" x14ac:dyDescent="0.3">
      <c r="A284" s="169"/>
      <c r="B284" s="4"/>
      <c r="C284" s="4"/>
      <c r="D284" s="8"/>
      <c r="E284" s="8"/>
      <c r="F284" s="177"/>
    </row>
    <row r="285" spans="1:6" ht="30" customHeight="1" x14ac:dyDescent="0.3">
      <c r="D285" s="7"/>
      <c r="E285" s="7"/>
    </row>
    <row r="286" spans="1:6" ht="30" customHeight="1" x14ac:dyDescent="0.3">
      <c r="A286" s="169"/>
      <c r="B286" s="4"/>
      <c r="C286" s="4"/>
      <c r="D286" s="8"/>
      <c r="E286" s="8"/>
    </row>
    <row r="287" spans="1:6" ht="30" customHeight="1" x14ac:dyDescent="0.3">
      <c r="D287" s="7"/>
      <c r="E287" s="7"/>
    </row>
    <row r="288" spans="1:6" ht="30" customHeight="1" x14ac:dyDescent="0.3">
      <c r="A288" s="169"/>
      <c r="B288" s="4"/>
      <c r="C288" s="4"/>
      <c r="D288" s="8"/>
      <c r="E288" s="8"/>
    </row>
    <row r="289" spans="1:5" ht="30" customHeight="1" x14ac:dyDescent="0.3">
      <c r="D289" s="7"/>
      <c r="E289" s="7"/>
    </row>
    <row r="290" spans="1:5" ht="30" customHeight="1" x14ac:dyDescent="0.3">
      <c r="A290" s="169"/>
      <c r="B290" s="4"/>
      <c r="C290" s="4"/>
      <c r="D290" s="8"/>
      <c r="E290" s="8"/>
    </row>
    <row r="291" spans="1:5" ht="30" customHeight="1" x14ac:dyDescent="0.3">
      <c r="D291" s="7"/>
      <c r="E291" s="7"/>
    </row>
    <row r="292" spans="1:5" ht="30" customHeight="1" x14ac:dyDescent="0.3">
      <c r="A292" s="169"/>
      <c r="B292" s="4"/>
      <c r="C292" s="4"/>
      <c r="D292" s="8"/>
      <c r="E292" s="8"/>
    </row>
    <row r="293" spans="1:5" ht="30" customHeight="1" x14ac:dyDescent="0.3">
      <c r="D293" s="7"/>
      <c r="E293" s="7"/>
    </row>
    <row r="294" spans="1:5" ht="30" customHeight="1" x14ac:dyDescent="0.3">
      <c r="A294" s="169"/>
      <c r="B294" s="4"/>
      <c r="C294" s="4"/>
      <c r="D294" s="8"/>
      <c r="E294" s="8"/>
    </row>
    <row r="295" spans="1:5" ht="30" customHeight="1" x14ac:dyDescent="0.3">
      <c r="D295" s="7"/>
      <c r="E295" s="7"/>
    </row>
    <row r="296" spans="1:5" ht="30" customHeight="1" x14ac:dyDescent="0.3">
      <c r="A296" s="169"/>
      <c r="B296" s="4"/>
      <c r="C296" s="4"/>
      <c r="D296" s="8"/>
      <c r="E296" s="8"/>
    </row>
    <row r="297" spans="1:5" ht="30" customHeight="1" x14ac:dyDescent="0.3">
      <c r="D297" s="7"/>
      <c r="E297" s="7"/>
    </row>
    <row r="298" spans="1:5" ht="30" customHeight="1" x14ac:dyDescent="0.3">
      <c r="A298" s="169"/>
      <c r="B298" s="4"/>
      <c r="C298" s="4"/>
      <c r="D298" s="8"/>
      <c r="E298" s="8"/>
    </row>
    <row r="299" spans="1:5" ht="30" customHeight="1" x14ac:dyDescent="0.3">
      <c r="D299" s="7"/>
      <c r="E299" s="7"/>
    </row>
    <row r="300" spans="1:5" ht="30" customHeight="1" x14ac:dyDescent="0.3">
      <c r="A300" s="169"/>
      <c r="B300" s="4"/>
      <c r="C300" s="4"/>
      <c r="D300" s="8"/>
      <c r="E300" s="8"/>
    </row>
    <row r="301" spans="1:5" ht="30" customHeight="1" x14ac:dyDescent="0.3">
      <c r="D301" s="7"/>
      <c r="E301" s="7"/>
    </row>
    <row r="302" spans="1:5" ht="30" customHeight="1" x14ac:dyDescent="0.3">
      <c r="A302" s="169"/>
      <c r="B302" s="4"/>
      <c r="C302" s="4"/>
      <c r="D302" s="8"/>
      <c r="E302" s="8"/>
    </row>
    <row r="303" spans="1:5" ht="30" customHeight="1" x14ac:dyDescent="0.3">
      <c r="D303" s="7"/>
      <c r="E303" s="7"/>
    </row>
    <row r="304" spans="1:5" ht="30" customHeight="1" x14ac:dyDescent="0.3">
      <c r="A304" s="169"/>
      <c r="B304" s="4"/>
      <c r="C304" s="4"/>
      <c r="D304" s="8"/>
      <c r="E304" s="8"/>
    </row>
    <row r="305" spans="1:5" ht="30" customHeight="1" x14ac:dyDescent="0.3">
      <c r="D305" s="7"/>
      <c r="E305" s="7"/>
    </row>
    <row r="306" spans="1:5" ht="30" customHeight="1" x14ac:dyDescent="0.3">
      <c r="A306" s="169"/>
      <c r="B306" s="4"/>
      <c r="C306" s="4"/>
      <c r="D306" s="8"/>
      <c r="E306" s="8"/>
    </row>
    <row r="307" spans="1:5" ht="30" customHeight="1" x14ac:dyDescent="0.3">
      <c r="D307" s="7"/>
      <c r="E307" s="7"/>
    </row>
    <row r="308" spans="1:5" ht="30" customHeight="1" x14ac:dyDescent="0.3">
      <c r="A308" s="169"/>
      <c r="B308" s="4"/>
      <c r="C308" s="4"/>
      <c r="D308" s="8"/>
      <c r="E308" s="8"/>
    </row>
    <row r="309" spans="1:5" ht="30" customHeight="1" x14ac:dyDescent="0.3">
      <c r="D309" s="7"/>
      <c r="E309" s="7"/>
    </row>
    <row r="310" spans="1:5" ht="30" customHeight="1" x14ac:dyDescent="0.3">
      <c r="A310" s="169"/>
      <c r="B310" s="4"/>
      <c r="C310" s="4"/>
      <c r="D310" s="8"/>
      <c r="E310" s="8"/>
    </row>
    <row r="311" spans="1:5" ht="30" customHeight="1" x14ac:dyDescent="0.3">
      <c r="D311" s="7"/>
      <c r="E311" s="7"/>
    </row>
    <row r="312" spans="1:5" ht="30" customHeight="1" x14ac:dyDescent="0.3">
      <c r="A312" s="169"/>
      <c r="B312" s="4"/>
      <c r="C312" s="4"/>
      <c r="D312" s="8"/>
      <c r="E312" s="8"/>
    </row>
    <row r="313" spans="1:5" ht="30" customHeight="1" x14ac:dyDescent="0.3">
      <c r="D313" s="7"/>
      <c r="E313" s="7"/>
    </row>
    <row r="314" spans="1:5" ht="30" customHeight="1" x14ac:dyDescent="0.3">
      <c r="A314" s="169"/>
      <c r="B314" s="4"/>
      <c r="C314" s="4"/>
      <c r="D314" s="8"/>
      <c r="E314" s="8"/>
    </row>
    <row r="315" spans="1:5" ht="30" customHeight="1" x14ac:dyDescent="0.3">
      <c r="D315" s="7"/>
      <c r="E315" s="7"/>
    </row>
    <row r="316" spans="1:5" ht="30" customHeight="1" x14ac:dyDescent="0.3">
      <c r="A316" s="169"/>
      <c r="B316" s="4"/>
      <c r="C316" s="4"/>
      <c r="D316" s="8"/>
      <c r="E316" s="8"/>
    </row>
    <row r="317" spans="1:5" ht="30" customHeight="1" x14ac:dyDescent="0.3">
      <c r="D317" s="7"/>
      <c r="E317" s="7"/>
    </row>
    <row r="318" spans="1:5" ht="30" customHeight="1" x14ac:dyDescent="0.3">
      <c r="A318" s="169"/>
      <c r="B318" s="4"/>
      <c r="C318" s="4"/>
      <c r="D318" s="8"/>
      <c r="E318" s="8"/>
    </row>
    <row r="319" spans="1:5" ht="30" customHeight="1" x14ac:dyDescent="0.3">
      <c r="D319" s="7"/>
      <c r="E319" s="7"/>
    </row>
    <row r="320" spans="1:5" ht="30" customHeight="1" x14ac:dyDescent="0.3">
      <c r="A320" s="169"/>
      <c r="B320" s="4"/>
      <c r="C320" s="4"/>
      <c r="D320" s="8"/>
      <c r="E320" s="8"/>
    </row>
    <row r="321" spans="1:5" ht="30" customHeight="1" x14ac:dyDescent="0.3">
      <c r="D321" s="7"/>
      <c r="E321" s="7"/>
    </row>
    <row r="322" spans="1:5" ht="30" customHeight="1" x14ac:dyDescent="0.3">
      <c r="A322" s="169"/>
      <c r="B322" s="4"/>
      <c r="C322" s="4"/>
      <c r="D322" s="8"/>
      <c r="E322" s="8"/>
    </row>
    <row r="323" spans="1:5" ht="30" customHeight="1" x14ac:dyDescent="0.3">
      <c r="D323" s="7"/>
      <c r="E323" s="7"/>
    </row>
    <row r="324" spans="1:5" ht="30" customHeight="1" x14ac:dyDescent="0.3">
      <c r="A324" s="169"/>
      <c r="B324" s="4"/>
      <c r="C324" s="4"/>
      <c r="D324" s="8"/>
      <c r="E324" s="8"/>
    </row>
    <row r="325" spans="1:5" ht="30" customHeight="1" x14ac:dyDescent="0.3">
      <c r="D325" s="7"/>
      <c r="E325" s="7"/>
    </row>
    <row r="326" spans="1:5" ht="30" customHeight="1" x14ac:dyDescent="0.3">
      <c r="A326" s="169"/>
      <c r="B326" s="4"/>
      <c r="C326" s="4"/>
      <c r="D326" s="8"/>
      <c r="E326" s="8"/>
    </row>
    <row r="327" spans="1:5" ht="30" customHeight="1" x14ac:dyDescent="0.3">
      <c r="D327" s="7"/>
      <c r="E327" s="7"/>
    </row>
    <row r="328" spans="1:5" ht="30" customHeight="1" x14ac:dyDescent="0.3">
      <c r="A328" s="169"/>
      <c r="B328" s="4"/>
      <c r="C328" s="4"/>
      <c r="D328" s="8"/>
      <c r="E328" s="8"/>
    </row>
    <row r="329" spans="1:5" ht="30" customHeight="1" x14ac:dyDescent="0.3">
      <c r="D329" s="7"/>
      <c r="E329" s="7"/>
    </row>
    <row r="330" spans="1:5" ht="30" customHeight="1" x14ac:dyDescent="0.3">
      <c r="A330" s="169"/>
      <c r="B330" s="4"/>
      <c r="C330" s="4"/>
      <c r="D330" s="8"/>
      <c r="E330" s="8"/>
    </row>
    <row r="331" spans="1:5" ht="30" customHeight="1" x14ac:dyDescent="0.3">
      <c r="D331" s="7"/>
      <c r="E331" s="7"/>
    </row>
    <row r="332" spans="1:5" ht="30" customHeight="1" x14ac:dyDescent="0.3">
      <c r="A332" s="169"/>
      <c r="B332" s="4"/>
      <c r="C332" s="4"/>
      <c r="D332" s="8"/>
      <c r="E332" s="8"/>
    </row>
    <row r="333" spans="1:5" ht="30" customHeight="1" x14ac:dyDescent="0.3">
      <c r="D333" s="7"/>
      <c r="E333" s="7"/>
    </row>
    <row r="334" spans="1:5" ht="30" customHeight="1" x14ac:dyDescent="0.3">
      <c r="A334" s="169"/>
      <c r="B334" s="4"/>
      <c r="C334" s="4"/>
      <c r="D334" s="8"/>
      <c r="E334" s="8"/>
    </row>
    <row r="335" spans="1:5" ht="30" customHeight="1" x14ac:dyDescent="0.3">
      <c r="D335" s="7"/>
      <c r="E335" s="7"/>
    </row>
    <row r="336" spans="1:5" ht="30" customHeight="1" x14ac:dyDescent="0.3">
      <c r="A336" s="169"/>
      <c r="B336" s="4"/>
      <c r="C336" s="4"/>
      <c r="D336" s="8"/>
      <c r="E336" s="8"/>
    </row>
    <row r="337" spans="1:5" ht="30" customHeight="1" x14ac:dyDescent="0.3">
      <c r="D337" s="7"/>
      <c r="E337" s="7"/>
    </row>
    <row r="338" spans="1:5" ht="30" customHeight="1" x14ac:dyDescent="0.3">
      <c r="A338" s="169"/>
      <c r="B338" s="4"/>
      <c r="C338" s="4"/>
      <c r="D338" s="8"/>
      <c r="E338" s="8"/>
    </row>
    <row r="339" spans="1:5" ht="30" customHeight="1" x14ac:dyDescent="0.3">
      <c r="D339" s="7"/>
      <c r="E339" s="7"/>
    </row>
    <row r="340" spans="1:5" ht="30" customHeight="1" x14ac:dyDescent="0.3">
      <c r="A340" s="169"/>
      <c r="B340" s="4"/>
      <c r="C340" s="4"/>
      <c r="D340" s="8"/>
      <c r="E340" s="8"/>
    </row>
    <row r="341" spans="1:5" ht="30" customHeight="1" x14ac:dyDescent="0.3">
      <c r="D341" s="7"/>
      <c r="E341" s="7"/>
    </row>
    <row r="342" spans="1:5" ht="30" customHeight="1" x14ac:dyDescent="0.3">
      <c r="A342" s="169"/>
      <c r="B342" s="4"/>
      <c r="C342" s="4"/>
      <c r="D342" s="8"/>
      <c r="E342" s="8"/>
    </row>
    <row r="343" spans="1:5" ht="30" customHeight="1" x14ac:dyDescent="0.3">
      <c r="D343" s="7"/>
      <c r="E343" s="7"/>
    </row>
    <row r="344" spans="1:5" ht="30" customHeight="1" x14ac:dyDescent="0.3">
      <c r="A344" s="169"/>
      <c r="B344" s="4"/>
      <c r="C344" s="4"/>
      <c r="D344" s="8"/>
      <c r="E344" s="8"/>
    </row>
    <row r="345" spans="1:5" ht="30" customHeight="1" x14ac:dyDescent="0.3">
      <c r="D345" s="7"/>
      <c r="E345" s="7"/>
    </row>
    <row r="346" spans="1:5" ht="30" customHeight="1" x14ac:dyDescent="0.3">
      <c r="A346" s="169"/>
      <c r="B346" s="4"/>
      <c r="C346" s="4"/>
      <c r="D346" s="8"/>
      <c r="E346" s="8"/>
    </row>
    <row r="347" spans="1:5" ht="30" customHeight="1" x14ac:dyDescent="0.3">
      <c r="D347" s="7"/>
      <c r="E347" s="7"/>
    </row>
    <row r="348" spans="1:5" ht="30" customHeight="1" x14ac:dyDescent="0.3">
      <c r="A348" s="169"/>
      <c r="B348" s="4"/>
      <c r="C348" s="4"/>
      <c r="D348" s="8"/>
      <c r="E348" s="8"/>
    </row>
    <row r="349" spans="1:5" ht="30" customHeight="1" x14ac:dyDescent="0.3">
      <c r="D349" s="7"/>
      <c r="E349" s="7"/>
    </row>
    <row r="350" spans="1:5" ht="30" customHeight="1" x14ac:dyDescent="0.3">
      <c r="A350" s="169"/>
      <c r="B350" s="4"/>
      <c r="C350" s="4"/>
      <c r="D350" s="8"/>
      <c r="E350" s="8"/>
    </row>
    <row r="351" spans="1:5" ht="30" customHeight="1" x14ac:dyDescent="0.3">
      <c r="D351" s="7"/>
      <c r="E351" s="7"/>
    </row>
    <row r="352" spans="1:5" ht="30" customHeight="1" x14ac:dyDescent="0.3">
      <c r="A352" s="169"/>
      <c r="B352" s="4"/>
      <c r="C352" s="4"/>
      <c r="D352" s="8"/>
      <c r="E352" s="8"/>
    </row>
    <row r="353" spans="1:5" ht="30" customHeight="1" x14ac:dyDescent="0.3">
      <c r="D353" s="7"/>
      <c r="E353" s="7"/>
    </row>
    <row r="354" spans="1:5" ht="30" customHeight="1" x14ac:dyDescent="0.3">
      <c r="A354" s="169"/>
      <c r="B354" s="4"/>
      <c r="C354" s="4"/>
      <c r="D354" s="8"/>
      <c r="E354" s="8"/>
    </row>
    <row r="355" spans="1:5" ht="30" customHeight="1" x14ac:dyDescent="0.3">
      <c r="D355" s="7"/>
      <c r="E355" s="7"/>
    </row>
    <row r="356" spans="1:5" ht="30" customHeight="1" x14ac:dyDescent="0.3">
      <c r="A356" s="169"/>
      <c r="B356" s="4"/>
      <c r="C356" s="4"/>
      <c r="D356" s="8"/>
      <c r="E356" s="8"/>
    </row>
    <row r="357" spans="1:5" ht="30" customHeight="1" x14ac:dyDescent="0.3">
      <c r="D357" s="7"/>
      <c r="E357" s="7"/>
    </row>
    <row r="358" spans="1:5" ht="30" customHeight="1" x14ac:dyDescent="0.3">
      <c r="A358" s="169"/>
      <c r="B358" s="4"/>
      <c r="C358" s="4"/>
      <c r="D358" s="8"/>
      <c r="E358" s="8"/>
    </row>
    <row r="359" spans="1:5" ht="30" customHeight="1" x14ac:dyDescent="0.3">
      <c r="D359" s="7"/>
      <c r="E359" s="7"/>
    </row>
    <row r="360" spans="1:5" ht="30" customHeight="1" x14ac:dyDescent="0.3">
      <c r="A360" s="169"/>
      <c r="B360" s="4"/>
      <c r="C360" s="4"/>
      <c r="D360" s="8"/>
      <c r="E360" s="8"/>
    </row>
    <row r="361" spans="1:5" ht="30" customHeight="1" x14ac:dyDescent="0.3">
      <c r="D361" s="7"/>
      <c r="E361" s="7"/>
    </row>
    <row r="362" spans="1:5" ht="30" customHeight="1" x14ac:dyDescent="0.3">
      <c r="A362" s="169"/>
      <c r="B362" s="4"/>
      <c r="C362" s="4"/>
      <c r="D362" s="8"/>
      <c r="E362" s="8"/>
    </row>
    <row r="363" spans="1:5" ht="30" customHeight="1" x14ac:dyDescent="0.3">
      <c r="D363" s="7"/>
      <c r="E363" s="7"/>
    </row>
    <row r="364" spans="1:5" ht="30" customHeight="1" x14ac:dyDescent="0.3">
      <c r="A364" s="169"/>
      <c r="B364" s="4"/>
      <c r="C364" s="4"/>
      <c r="D364" s="8"/>
      <c r="E364" s="8"/>
    </row>
    <row r="365" spans="1:5" ht="30" customHeight="1" x14ac:dyDescent="0.3">
      <c r="D365" s="7"/>
      <c r="E365" s="7"/>
    </row>
    <row r="366" spans="1:5" ht="30" customHeight="1" x14ac:dyDescent="0.3">
      <c r="A366" s="169"/>
      <c r="B366" s="4"/>
      <c r="C366" s="4"/>
      <c r="D366" s="8"/>
      <c r="E366" s="8"/>
    </row>
    <row r="367" spans="1:5" ht="30" customHeight="1" x14ac:dyDescent="0.3">
      <c r="D367" s="7"/>
      <c r="E367" s="7"/>
    </row>
    <row r="368" spans="1:5" ht="30" customHeight="1" x14ac:dyDescent="0.3">
      <c r="A368" s="169"/>
      <c r="B368" s="4"/>
      <c r="C368" s="4"/>
      <c r="D368" s="8"/>
      <c r="E368" s="8"/>
    </row>
    <row r="369" spans="1:5" ht="30" customHeight="1" x14ac:dyDescent="0.3">
      <c r="D369" s="7"/>
      <c r="E369" s="7"/>
    </row>
    <row r="370" spans="1:5" ht="30" customHeight="1" x14ac:dyDescent="0.3">
      <c r="A370" s="169"/>
      <c r="B370" s="4"/>
      <c r="C370" s="4"/>
      <c r="D370" s="8"/>
      <c r="E370" s="8"/>
    </row>
    <row r="371" spans="1:5" ht="30" customHeight="1" x14ac:dyDescent="0.3">
      <c r="D371" s="7"/>
      <c r="E371" s="7"/>
    </row>
    <row r="372" spans="1:5" ht="30" customHeight="1" x14ac:dyDescent="0.3">
      <c r="A372" s="169"/>
      <c r="B372" s="4"/>
      <c r="C372" s="4"/>
      <c r="D372" s="8"/>
      <c r="E372" s="8"/>
    </row>
    <row r="373" spans="1:5" ht="30" customHeight="1" x14ac:dyDescent="0.3">
      <c r="D373" s="7"/>
      <c r="E373" s="7"/>
    </row>
    <row r="374" spans="1:5" ht="30" customHeight="1" x14ac:dyDescent="0.3">
      <c r="A374" s="169"/>
      <c r="B374" s="4"/>
      <c r="C374" s="4"/>
      <c r="D374" s="8"/>
      <c r="E374" s="8"/>
    </row>
    <row r="375" spans="1:5" ht="30" customHeight="1" x14ac:dyDescent="0.3">
      <c r="D375" s="7"/>
      <c r="E375" s="7"/>
    </row>
    <row r="376" spans="1:5" ht="30" customHeight="1" x14ac:dyDescent="0.3">
      <c r="A376" s="169"/>
      <c r="B376" s="4"/>
      <c r="C376" s="4"/>
      <c r="D376" s="8"/>
      <c r="E376" s="8"/>
    </row>
    <row r="377" spans="1:5" ht="30" customHeight="1" x14ac:dyDescent="0.3">
      <c r="D377" s="7"/>
      <c r="E377" s="7"/>
    </row>
    <row r="378" spans="1:5" ht="30" customHeight="1" x14ac:dyDescent="0.3">
      <c r="A378" s="169"/>
      <c r="B378" s="4"/>
      <c r="C378" s="4"/>
      <c r="D378" s="8"/>
      <c r="E378" s="8"/>
    </row>
    <row r="379" spans="1:5" ht="30" customHeight="1" x14ac:dyDescent="0.3">
      <c r="D379" s="7"/>
      <c r="E379" s="7"/>
    </row>
    <row r="380" spans="1:5" ht="30" customHeight="1" x14ac:dyDescent="0.3">
      <c r="A380" s="169"/>
      <c r="B380" s="4"/>
      <c r="C380" s="4"/>
      <c r="D380" s="8"/>
      <c r="E380" s="8"/>
    </row>
    <row r="381" spans="1:5" ht="30" customHeight="1" x14ac:dyDescent="0.3">
      <c r="D381" s="7"/>
      <c r="E381" s="7"/>
    </row>
    <row r="382" spans="1:5" ht="30" customHeight="1" x14ac:dyDescent="0.3">
      <c r="A382" s="169"/>
      <c r="B382" s="4"/>
      <c r="C382" s="4"/>
      <c r="D382" s="8"/>
      <c r="E382" s="8"/>
    </row>
    <row r="383" spans="1:5" ht="30" customHeight="1" x14ac:dyDescent="0.3">
      <c r="D383" s="7"/>
      <c r="E383" s="7"/>
    </row>
    <row r="384" spans="1:5" ht="30" customHeight="1" x14ac:dyDescent="0.3">
      <c r="A384" s="169"/>
      <c r="B384" s="4"/>
      <c r="C384" s="4"/>
      <c r="D384" s="8"/>
      <c r="E384" s="8"/>
    </row>
    <row r="385" spans="1:5" ht="30" customHeight="1" x14ac:dyDescent="0.3">
      <c r="D385" s="7"/>
      <c r="E385" s="7"/>
    </row>
    <row r="386" spans="1:5" ht="30" customHeight="1" x14ac:dyDescent="0.3">
      <c r="A386" s="169"/>
      <c r="B386" s="4"/>
      <c r="C386" s="4"/>
      <c r="D386" s="8"/>
      <c r="E386" s="8"/>
    </row>
    <row r="387" spans="1:5" ht="30" customHeight="1" x14ac:dyDescent="0.3">
      <c r="D387" s="7"/>
      <c r="E387" s="7"/>
    </row>
    <row r="388" spans="1:5" ht="30" customHeight="1" x14ac:dyDescent="0.3">
      <c r="A388" s="169"/>
      <c r="B388" s="4"/>
      <c r="C388" s="4"/>
      <c r="D388" s="8"/>
      <c r="E388" s="8"/>
    </row>
    <row r="389" spans="1:5" ht="30" customHeight="1" x14ac:dyDescent="0.3">
      <c r="D389" s="7"/>
      <c r="E389" s="7"/>
    </row>
    <row r="390" spans="1:5" ht="30" customHeight="1" x14ac:dyDescent="0.3">
      <c r="A390" s="169"/>
      <c r="B390" s="4"/>
      <c r="C390" s="4"/>
      <c r="D390" s="8"/>
      <c r="E390" s="8"/>
    </row>
    <row r="391" spans="1:5" ht="30" customHeight="1" x14ac:dyDescent="0.3">
      <c r="D391" s="7"/>
      <c r="E391" s="7"/>
    </row>
    <row r="392" spans="1:5" ht="30" customHeight="1" x14ac:dyDescent="0.3">
      <c r="A392" s="169"/>
      <c r="B392" s="4"/>
      <c r="C392" s="4"/>
      <c r="D392" s="8"/>
      <c r="E392" s="8"/>
    </row>
    <row r="393" spans="1:5" ht="30" customHeight="1" x14ac:dyDescent="0.3">
      <c r="D393" s="7"/>
      <c r="E393" s="7"/>
    </row>
    <row r="394" spans="1:5" ht="30" customHeight="1" x14ac:dyDescent="0.3">
      <c r="A394" s="169"/>
      <c r="B394" s="4"/>
      <c r="C394" s="4"/>
      <c r="D394" s="8"/>
      <c r="E394" s="8"/>
    </row>
    <row r="395" spans="1:5" ht="30" customHeight="1" x14ac:dyDescent="0.3">
      <c r="D395" s="7"/>
      <c r="E395" s="7"/>
    </row>
    <row r="396" spans="1:5" ht="30" customHeight="1" x14ac:dyDescent="0.3">
      <c r="A396" s="169"/>
      <c r="B396" s="4"/>
      <c r="C396" s="4"/>
      <c r="D396" s="8"/>
      <c r="E396" s="8"/>
    </row>
    <row r="397" spans="1:5" ht="30" customHeight="1" x14ac:dyDescent="0.3">
      <c r="D397" s="7"/>
      <c r="E397" s="7"/>
    </row>
    <row r="398" spans="1:5" ht="30" customHeight="1" x14ac:dyDescent="0.3">
      <c r="A398" s="169"/>
      <c r="B398" s="4"/>
      <c r="C398" s="4"/>
      <c r="D398" s="8"/>
      <c r="E398" s="8"/>
    </row>
    <row r="399" spans="1:5" ht="30" customHeight="1" x14ac:dyDescent="0.3">
      <c r="D399" s="7"/>
      <c r="E399" s="7"/>
    </row>
    <row r="400" spans="1:5" ht="30" customHeight="1" x14ac:dyDescent="0.3">
      <c r="A400" s="169"/>
      <c r="B400" s="4"/>
      <c r="C400" s="4"/>
      <c r="D400" s="8"/>
      <c r="E400" s="8"/>
    </row>
    <row r="401" spans="1:5" ht="30" customHeight="1" x14ac:dyDescent="0.3">
      <c r="D401" s="7"/>
      <c r="E401" s="7"/>
    </row>
    <row r="402" spans="1:5" ht="30" customHeight="1" x14ac:dyDescent="0.3">
      <c r="A402" s="169"/>
      <c r="B402" s="4"/>
      <c r="C402" s="4"/>
      <c r="D402" s="8"/>
      <c r="E402" s="8"/>
    </row>
    <row r="403" spans="1:5" ht="30" customHeight="1" x14ac:dyDescent="0.3">
      <c r="D403" s="7"/>
      <c r="E403" s="7"/>
    </row>
    <row r="404" spans="1:5" ht="30" customHeight="1" x14ac:dyDescent="0.3">
      <c r="A404" s="169"/>
      <c r="B404" s="4"/>
      <c r="C404" s="4"/>
      <c r="D404" s="8"/>
      <c r="E404" s="8"/>
    </row>
    <row r="405" spans="1:5" ht="30" customHeight="1" x14ac:dyDescent="0.3">
      <c r="D405" s="7"/>
      <c r="E405" s="7"/>
    </row>
    <row r="406" spans="1:5" ht="30" customHeight="1" x14ac:dyDescent="0.3">
      <c r="A406" s="169"/>
      <c r="B406" s="4"/>
      <c r="C406" s="4"/>
      <c r="D406" s="8"/>
      <c r="E406" s="8"/>
    </row>
    <row r="407" spans="1:5" ht="30" customHeight="1" x14ac:dyDescent="0.3">
      <c r="D407" s="7"/>
      <c r="E407" s="7"/>
    </row>
    <row r="408" spans="1:5" ht="30" customHeight="1" x14ac:dyDescent="0.3">
      <c r="A408" s="169"/>
      <c r="B408" s="4"/>
      <c r="C408" s="4"/>
      <c r="D408" s="8"/>
      <c r="E408" s="8"/>
    </row>
    <row r="409" spans="1:5" ht="30" customHeight="1" x14ac:dyDescent="0.3">
      <c r="D409" s="7"/>
      <c r="E409" s="7"/>
    </row>
    <row r="410" spans="1:5" ht="30" customHeight="1" x14ac:dyDescent="0.3">
      <c r="A410" s="169"/>
      <c r="B410" s="4"/>
      <c r="C410" s="4"/>
      <c r="D410" s="8"/>
      <c r="E410" s="8"/>
    </row>
    <row r="411" spans="1:5" ht="30" customHeight="1" x14ac:dyDescent="0.3">
      <c r="D411" s="7"/>
      <c r="E411" s="7"/>
    </row>
    <row r="412" spans="1:5" ht="30" customHeight="1" x14ac:dyDescent="0.3">
      <c r="A412" s="169"/>
      <c r="B412" s="4"/>
      <c r="C412" s="4"/>
      <c r="D412" s="8"/>
      <c r="E412" s="8"/>
    </row>
    <row r="413" spans="1:5" ht="30" customHeight="1" x14ac:dyDescent="0.3">
      <c r="D413" s="7"/>
      <c r="E413" s="7"/>
    </row>
    <row r="414" spans="1:5" ht="30" customHeight="1" x14ac:dyDescent="0.3">
      <c r="A414" s="169"/>
      <c r="B414" s="4"/>
      <c r="C414" s="4"/>
      <c r="D414" s="8"/>
      <c r="E414" s="8"/>
    </row>
    <row r="415" spans="1:5" ht="30" customHeight="1" x14ac:dyDescent="0.3">
      <c r="D415" s="7"/>
      <c r="E415" s="7"/>
    </row>
    <row r="416" spans="1:5" ht="30" customHeight="1" x14ac:dyDescent="0.3">
      <c r="A416" s="169"/>
      <c r="B416" s="4"/>
      <c r="C416" s="4"/>
      <c r="D416" s="8"/>
      <c r="E416" s="8"/>
    </row>
    <row r="417" spans="1:5" ht="30" customHeight="1" x14ac:dyDescent="0.3">
      <c r="D417" s="7"/>
      <c r="E417" s="7"/>
    </row>
    <row r="418" spans="1:5" ht="30" customHeight="1" x14ac:dyDescent="0.3">
      <c r="A418" s="169"/>
      <c r="B418" s="4"/>
      <c r="C418" s="4"/>
      <c r="D418" s="8"/>
      <c r="E418" s="8"/>
    </row>
    <row r="419" spans="1:5" ht="30" customHeight="1" x14ac:dyDescent="0.3">
      <c r="D419" s="7"/>
      <c r="E419" s="7"/>
    </row>
    <row r="420" spans="1:5" ht="30" customHeight="1" x14ac:dyDescent="0.3">
      <c r="A420" s="169"/>
      <c r="B420" s="4"/>
      <c r="C420" s="4"/>
      <c r="D420" s="8"/>
      <c r="E420" s="8"/>
    </row>
    <row r="421" spans="1:5" ht="30" customHeight="1" x14ac:dyDescent="0.3">
      <c r="D421" s="7"/>
      <c r="E421" s="7"/>
    </row>
    <row r="422" spans="1:5" ht="30" customHeight="1" x14ac:dyDescent="0.3">
      <c r="A422" s="169"/>
      <c r="B422" s="4"/>
      <c r="C422" s="4"/>
      <c r="D422" s="8"/>
      <c r="E422" s="8"/>
    </row>
    <row r="423" spans="1:5" ht="30" customHeight="1" x14ac:dyDescent="0.3">
      <c r="D423" s="7"/>
      <c r="E423" s="7"/>
    </row>
    <row r="424" spans="1:5" ht="30" customHeight="1" x14ac:dyDescent="0.3">
      <c r="A424" s="169"/>
      <c r="B424" s="4"/>
      <c r="C424" s="4"/>
      <c r="D424" s="8"/>
      <c r="E424" s="8"/>
    </row>
    <row r="425" spans="1:5" ht="30" customHeight="1" x14ac:dyDescent="0.3">
      <c r="D425" s="7"/>
      <c r="E425" s="7"/>
    </row>
    <row r="426" spans="1:5" ht="30" customHeight="1" x14ac:dyDescent="0.3">
      <c r="A426" s="169"/>
      <c r="B426" s="4"/>
      <c r="C426" s="4"/>
      <c r="D426" s="8"/>
      <c r="E426" s="8"/>
    </row>
    <row r="427" spans="1:5" ht="30" customHeight="1" x14ac:dyDescent="0.3">
      <c r="D427" s="7"/>
      <c r="E427" s="7"/>
    </row>
    <row r="428" spans="1:5" ht="30" customHeight="1" x14ac:dyDescent="0.3">
      <c r="A428" s="169"/>
      <c r="B428" s="4"/>
      <c r="C428" s="4"/>
      <c r="D428" s="8"/>
      <c r="E428" s="8"/>
    </row>
    <row r="429" spans="1:5" ht="30" customHeight="1" x14ac:dyDescent="0.3">
      <c r="D429" s="7"/>
      <c r="E429" s="7"/>
    </row>
    <row r="430" spans="1:5" ht="30" customHeight="1" x14ac:dyDescent="0.3">
      <c r="A430" s="169"/>
      <c r="B430" s="4"/>
      <c r="C430" s="4"/>
      <c r="D430" s="8"/>
      <c r="E430" s="8"/>
    </row>
    <row r="431" spans="1:5" ht="30" customHeight="1" x14ac:dyDescent="0.3">
      <c r="D431" s="7"/>
      <c r="E431" s="7"/>
    </row>
    <row r="432" spans="1:5" ht="30" customHeight="1" x14ac:dyDescent="0.3">
      <c r="A432" s="169"/>
      <c r="B432" s="4"/>
      <c r="C432" s="4"/>
      <c r="D432" s="8"/>
      <c r="E432" s="8"/>
    </row>
    <row r="433" spans="1:5" ht="30" customHeight="1" x14ac:dyDescent="0.3">
      <c r="D433" s="7"/>
      <c r="E433" s="7"/>
    </row>
    <row r="434" spans="1:5" ht="30" customHeight="1" x14ac:dyDescent="0.3">
      <c r="A434" s="169"/>
      <c r="B434" s="4"/>
      <c r="C434" s="4"/>
      <c r="D434" s="8"/>
      <c r="E434" s="8"/>
    </row>
    <row r="435" spans="1:5" ht="30" customHeight="1" x14ac:dyDescent="0.3">
      <c r="D435" s="7"/>
      <c r="E435" s="7"/>
    </row>
    <row r="436" spans="1:5" ht="30" customHeight="1" x14ac:dyDescent="0.3">
      <c r="A436" s="169"/>
      <c r="B436" s="4"/>
      <c r="C436" s="4"/>
      <c r="D436" s="8"/>
      <c r="E436" s="8"/>
    </row>
    <row r="437" spans="1:5" ht="30" customHeight="1" x14ac:dyDescent="0.3">
      <c r="D437" s="7"/>
      <c r="E437" s="7"/>
    </row>
    <row r="438" spans="1:5" ht="30" customHeight="1" x14ac:dyDescent="0.3">
      <c r="A438" s="169"/>
      <c r="B438" s="4"/>
      <c r="C438" s="4"/>
      <c r="D438" s="8"/>
      <c r="E438" s="8"/>
    </row>
    <row r="439" spans="1:5" ht="30" customHeight="1" x14ac:dyDescent="0.3">
      <c r="D439" s="7"/>
      <c r="E439" s="7"/>
    </row>
    <row r="440" spans="1:5" ht="30" customHeight="1" x14ac:dyDescent="0.3">
      <c r="A440" s="169"/>
      <c r="B440" s="4"/>
      <c r="C440" s="4"/>
      <c r="D440" s="8"/>
      <c r="E440" s="8"/>
    </row>
    <row r="441" spans="1:5" ht="30" customHeight="1" x14ac:dyDescent="0.3">
      <c r="D441" s="7"/>
      <c r="E441" s="7"/>
    </row>
    <row r="442" spans="1:5" ht="30" customHeight="1" x14ac:dyDescent="0.3">
      <c r="A442" s="169"/>
      <c r="B442" s="4"/>
      <c r="C442" s="4"/>
      <c r="D442" s="8"/>
      <c r="E442" s="8"/>
    </row>
    <row r="443" spans="1:5" ht="30" customHeight="1" x14ac:dyDescent="0.3">
      <c r="D443" s="7"/>
      <c r="E443" s="7"/>
    </row>
    <row r="444" spans="1:5" ht="30" customHeight="1" x14ac:dyDescent="0.3">
      <c r="A444" s="169"/>
      <c r="B444" s="4"/>
      <c r="C444" s="4"/>
      <c r="D444" s="8"/>
      <c r="E444" s="8"/>
    </row>
    <row r="445" spans="1:5" ht="30" customHeight="1" x14ac:dyDescent="0.3">
      <c r="D445" s="7"/>
      <c r="E445" s="7"/>
    </row>
    <row r="446" spans="1:5" ht="30" customHeight="1" x14ac:dyDescent="0.3">
      <c r="A446" s="169"/>
      <c r="B446" s="4"/>
      <c r="C446" s="4"/>
      <c r="D446" s="8"/>
      <c r="E446" s="8"/>
    </row>
    <row r="447" spans="1:5" ht="30" customHeight="1" x14ac:dyDescent="0.3">
      <c r="D447" s="7"/>
      <c r="E447" s="7"/>
    </row>
    <row r="448" spans="1:5" ht="30" customHeight="1" x14ac:dyDescent="0.3">
      <c r="A448" s="169"/>
      <c r="B448" s="4"/>
      <c r="C448" s="4"/>
      <c r="D448" s="8"/>
      <c r="E448" s="8"/>
    </row>
    <row r="449" spans="1:5" ht="30" customHeight="1" x14ac:dyDescent="0.3">
      <c r="D449" s="7"/>
      <c r="E449" s="7"/>
    </row>
    <row r="450" spans="1:5" ht="30" customHeight="1" x14ac:dyDescent="0.3">
      <c r="A450" s="169"/>
      <c r="B450" s="4"/>
      <c r="C450" s="4"/>
      <c r="D450" s="8"/>
      <c r="E450" s="8"/>
    </row>
    <row r="451" spans="1:5" ht="30" customHeight="1" x14ac:dyDescent="0.3">
      <c r="D451" s="7"/>
      <c r="E451" s="7"/>
    </row>
    <row r="452" spans="1:5" ht="30" customHeight="1" x14ac:dyDescent="0.3">
      <c r="A452" s="169"/>
      <c r="B452" s="4"/>
      <c r="C452" s="4"/>
      <c r="D452" s="8"/>
      <c r="E452" s="8"/>
    </row>
    <row r="453" spans="1:5" ht="30" customHeight="1" x14ac:dyDescent="0.3">
      <c r="D453" s="7"/>
      <c r="E453" s="7"/>
    </row>
    <row r="454" spans="1:5" ht="30" customHeight="1" x14ac:dyDescent="0.3">
      <c r="A454" s="169"/>
      <c r="B454" s="4"/>
      <c r="C454" s="4"/>
      <c r="D454" s="8"/>
      <c r="E454" s="8"/>
    </row>
    <row r="455" spans="1:5" ht="30" customHeight="1" x14ac:dyDescent="0.3">
      <c r="D455" s="7"/>
      <c r="E455" s="7"/>
    </row>
    <row r="456" spans="1:5" ht="30" customHeight="1" x14ac:dyDescent="0.3">
      <c r="A456" s="169"/>
      <c r="B456" s="4"/>
      <c r="C456" s="4"/>
      <c r="D456" s="8"/>
      <c r="E456" s="8"/>
    </row>
    <row r="457" spans="1:5" ht="30" customHeight="1" x14ac:dyDescent="0.3">
      <c r="D457" s="7"/>
      <c r="E457" s="7"/>
    </row>
    <row r="458" spans="1:5" ht="30" customHeight="1" x14ac:dyDescent="0.3">
      <c r="A458" s="169"/>
      <c r="B458" s="4"/>
      <c r="C458" s="4"/>
      <c r="D458" s="8"/>
      <c r="E458" s="8"/>
    </row>
    <row r="459" spans="1:5" ht="30" customHeight="1" x14ac:dyDescent="0.3">
      <c r="D459" s="7"/>
      <c r="E459" s="7"/>
    </row>
    <row r="460" spans="1:5" ht="30" customHeight="1" x14ac:dyDescent="0.3">
      <c r="A460" s="169"/>
      <c r="B460" s="4"/>
      <c r="C460" s="4"/>
      <c r="D460" s="8"/>
      <c r="E460" s="8"/>
    </row>
    <row r="461" spans="1:5" ht="30" customHeight="1" x14ac:dyDescent="0.3">
      <c r="D461" s="7"/>
      <c r="E461" s="7"/>
    </row>
    <row r="462" spans="1:5" ht="30" customHeight="1" x14ac:dyDescent="0.3">
      <c r="A462" s="169"/>
      <c r="B462" s="4"/>
      <c r="C462" s="4"/>
      <c r="D462" s="8"/>
      <c r="E462" s="8"/>
    </row>
    <row r="463" spans="1:5" ht="30" customHeight="1" x14ac:dyDescent="0.3">
      <c r="D463" s="7"/>
      <c r="E463" s="7"/>
    </row>
    <row r="464" spans="1:5" ht="30" customHeight="1" x14ac:dyDescent="0.3">
      <c r="A464" s="169"/>
      <c r="B464" s="4"/>
      <c r="C464" s="4"/>
      <c r="D464" s="8"/>
      <c r="E464" s="8"/>
    </row>
    <row r="465" spans="1:5" ht="30" customHeight="1" x14ac:dyDescent="0.3">
      <c r="D465" s="7"/>
      <c r="E465" s="7"/>
    </row>
    <row r="466" spans="1:5" ht="30" customHeight="1" x14ac:dyDescent="0.3">
      <c r="A466" s="169"/>
      <c r="B466" s="4"/>
      <c r="C466" s="4"/>
      <c r="D466" s="8"/>
      <c r="E466" s="8"/>
    </row>
    <row r="467" spans="1:5" ht="30" customHeight="1" x14ac:dyDescent="0.3">
      <c r="D467" s="7"/>
      <c r="E467" s="7"/>
    </row>
    <row r="468" spans="1:5" ht="30" customHeight="1" x14ac:dyDescent="0.3">
      <c r="A468" s="169"/>
      <c r="B468" s="4"/>
      <c r="C468" s="4"/>
      <c r="D468" s="8"/>
      <c r="E468" s="8"/>
    </row>
    <row r="469" spans="1:5" ht="30" customHeight="1" x14ac:dyDescent="0.3">
      <c r="D469" s="7"/>
      <c r="E469" s="7"/>
    </row>
    <row r="470" spans="1:5" ht="30" customHeight="1" x14ac:dyDescent="0.3">
      <c r="A470" s="169"/>
      <c r="B470" s="4"/>
      <c r="C470" s="4"/>
      <c r="D470" s="8"/>
      <c r="E470" s="8"/>
    </row>
    <row r="471" spans="1:5" ht="30" customHeight="1" x14ac:dyDescent="0.3">
      <c r="D471" s="7"/>
      <c r="E471" s="7"/>
    </row>
    <row r="472" spans="1:5" ht="30" customHeight="1" x14ac:dyDescent="0.3">
      <c r="A472" s="169"/>
      <c r="B472" s="4"/>
      <c r="C472" s="4"/>
      <c r="D472" s="8"/>
      <c r="E472" s="8"/>
    </row>
    <row r="473" spans="1:5" ht="30" customHeight="1" x14ac:dyDescent="0.3">
      <c r="D473" s="7"/>
      <c r="E473" s="7"/>
    </row>
    <row r="474" spans="1:5" ht="30" customHeight="1" x14ac:dyDescent="0.3">
      <c r="A474" s="169"/>
      <c r="B474" s="4"/>
      <c r="C474" s="4"/>
      <c r="D474" s="8"/>
      <c r="E474" s="8"/>
    </row>
    <row r="475" spans="1:5" ht="30" customHeight="1" x14ac:dyDescent="0.3">
      <c r="D475" s="7"/>
      <c r="E475" s="7"/>
    </row>
    <row r="476" spans="1:5" ht="30" customHeight="1" x14ac:dyDescent="0.3">
      <c r="A476" s="169"/>
      <c r="B476" s="4"/>
      <c r="C476" s="4"/>
      <c r="D476" s="8"/>
      <c r="E476" s="8"/>
    </row>
    <row r="477" spans="1:5" ht="30" customHeight="1" x14ac:dyDescent="0.3">
      <c r="D477" s="7"/>
      <c r="E477" s="7"/>
    </row>
    <row r="478" spans="1:5" ht="30" customHeight="1" x14ac:dyDescent="0.3">
      <c r="A478" s="169"/>
      <c r="B478" s="4"/>
      <c r="C478" s="4"/>
      <c r="D478" s="8"/>
      <c r="E478" s="8"/>
    </row>
    <row r="479" spans="1:5" ht="30" customHeight="1" x14ac:dyDescent="0.3">
      <c r="D479" s="7"/>
      <c r="E479" s="7"/>
    </row>
    <row r="480" spans="1:5" ht="30" customHeight="1" x14ac:dyDescent="0.3">
      <c r="A480" s="169"/>
      <c r="B480" s="4"/>
      <c r="C480" s="4"/>
      <c r="D480" s="8"/>
      <c r="E480" s="8"/>
    </row>
    <row r="481" spans="1:5" ht="30" customHeight="1" x14ac:dyDescent="0.3">
      <c r="D481" s="7"/>
      <c r="E481" s="7"/>
    </row>
    <row r="482" spans="1:5" ht="30" customHeight="1" x14ac:dyDescent="0.3">
      <c r="A482" s="169"/>
      <c r="B482" s="4"/>
      <c r="C482" s="4"/>
      <c r="D482" s="8"/>
      <c r="E482" s="8"/>
    </row>
    <row r="483" spans="1:5" ht="30" customHeight="1" x14ac:dyDescent="0.3">
      <c r="D483" s="7"/>
      <c r="E483" s="7"/>
    </row>
    <row r="484" spans="1:5" ht="30" customHeight="1" x14ac:dyDescent="0.3">
      <c r="A484" s="169"/>
      <c r="B484" s="4"/>
      <c r="C484" s="4"/>
      <c r="D484" s="8"/>
      <c r="E484" s="8"/>
    </row>
    <row r="485" spans="1:5" ht="30" customHeight="1" x14ac:dyDescent="0.3">
      <c r="D485" s="7"/>
      <c r="E485" s="7"/>
    </row>
    <row r="486" spans="1:5" ht="30" customHeight="1" x14ac:dyDescent="0.3">
      <c r="A486" s="169"/>
      <c r="B486" s="4"/>
      <c r="C486" s="4"/>
      <c r="D486" s="8"/>
      <c r="E486" s="8"/>
    </row>
    <row r="487" spans="1:5" ht="30" customHeight="1" x14ac:dyDescent="0.3">
      <c r="D487" s="7"/>
      <c r="E487" s="7"/>
    </row>
    <row r="488" spans="1:5" ht="30" customHeight="1" x14ac:dyDescent="0.3">
      <c r="A488" s="169"/>
      <c r="B488" s="4"/>
      <c r="C488" s="4"/>
      <c r="D488" s="8"/>
      <c r="E488" s="8"/>
    </row>
    <row r="489" spans="1:5" ht="30" customHeight="1" x14ac:dyDescent="0.3">
      <c r="D489" s="7"/>
      <c r="E489" s="7"/>
    </row>
    <row r="490" spans="1:5" ht="30" customHeight="1" x14ac:dyDescent="0.3">
      <c r="A490" s="169"/>
      <c r="B490" s="4"/>
      <c r="C490" s="4"/>
      <c r="D490" s="8"/>
      <c r="E490" s="8"/>
    </row>
    <row r="491" spans="1:5" ht="30" customHeight="1" x14ac:dyDescent="0.3">
      <c r="D491" s="7"/>
      <c r="E491" s="7"/>
    </row>
    <row r="492" spans="1:5" ht="30" customHeight="1" x14ac:dyDescent="0.3">
      <c r="A492" s="169"/>
      <c r="B492" s="4"/>
      <c r="C492" s="4"/>
      <c r="D492" s="8"/>
      <c r="E492" s="8"/>
    </row>
    <row r="493" spans="1:5" ht="30" customHeight="1" x14ac:dyDescent="0.3">
      <c r="D493" s="7"/>
      <c r="E493" s="7"/>
    </row>
    <row r="494" spans="1:5" ht="30" customHeight="1" x14ac:dyDescent="0.3">
      <c r="A494" s="169"/>
      <c r="B494" s="4"/>
      <c r="C494" s="4"/>
      <c r="D494" s="8"/>
      <c r="E494" s="8"/>
    </row>
    <row r="495" spans="1:5" ht="30" customHeight="1" x14ac:dyDescent="0.3">
      <c r="D495" s="7"/>
      <c r="E495" s="7"/>
    </row>
    <row r="496" spans="1:5" ht="30" customHeight="1" x14ac:dyDescent="0.3">
      <c r="A496" s="169"/>
      <c r="B496" s="4"/>
      <c r="C496" s="4"/>
      <c r="D496" s="8"/>
      <c r="E496" s="8"/>
    </row>
    <row r="497" spans="1:5" ht="30" customHeight="1" x14ac:dyDescent="0.3">
      <c r="D497" s="7"/>
      <c r="E497" s="7"/>
    </row>
    <row r="498" spans="1:5" ht="30" customHeight="1" x14ac:dyDescent="0.3">
      <c r="A498" s="169"/>
      <c r="B498" s="4"/>
      <c r="C498" s="4"/>
      <c r="D498" s="8"/>
      <c r="E498" s="8"/>
    </row>
    <row r="499" spans="1:5" ht="30" customHeight="1" x14ac:dyDescent="0.3">
      <c r="D499" s="7"/>
      <c r="E499" s="7"/>
    </row>
    <row r="500" spans="1:5" ht="30" customHeight="1" x14ac:dyDescent="0.3">
      <c r="A500" s="169"/>
      <c r="B500" s="4"/>
      <c r="C500" s="4"/>
      <c r="D500" s="8"/>
      <c r="E500" s="8"/>
    </row>
    <row r="501" spans="1:5" ht="30" customHeight="1" x14ac:dyDescent="0.3">
      <c r="D501" s="7"/>
      <c r="E501" s="7"/>
    </row>
    <row r="502" spans="1:5" ht="30" customHeight="1" x14ac:dyDescent="0.3">
      <c r="A502" s="169"/>
      <c r="B502" s="4"/>
      <c r="C502" s="4"/>
      <c r="D502" s="8"/>
      <c r="E502" s="8"/>
    </row>
    <row r="503" spans="1:5" ht="30" customHeight="1" x14ac:dyDescent="0.3">
      <c r="D503" s="7"/>
      <c r="E503" s="7"/>
    </row>
    <row r="504" spans="1:5" ht="30" customHeight="1" x14ac:dyDescent="0.3">
      <c r="A504" s="169"/>
      <c r="B504" s="4"/>
      <c r="C504" s="4"/>
      <c r="D504" s="8"/>
      <c r="E504" s="8"/>
    </row>
    <row r="505" spans="1:5" ht="30" customHeight="1" x14ac:dyDescent="0.3">
      <c r="D505" s="7"/>
      <c r="E505" s="7"/>
    </row>
    <row r="506" spans="1:5" ht="30" customHeight="1" x14ac:dyDescent="0.3">
      <c r="A506" s="169"/>
      <c r="B506" s="4"/>
      <c r="C506" s="4"/>
      <c r="D506" s="8"/>
      <c r="E506" s="8"/>
    </row>
    <row r="507" spans="1:5" ht="30" customHeight="1" x14ac:dyDescent="0.3">
      <c r="D507" s="7"/>
      <c r="E507" s="7"/>
    </row>
    <row r="508" spans="1:5" ht="30" customHeight="1" x14ac:dyDescent="0.3">
      <c r="A508" s="169"/>
      <c r="B508" s="4"/>
      <c r="C508" s="4"/>
      <c r="D508" s="8"/>
      <c r="E508" s="8"/>
    </row>
    <row r="509" spans="1:5" ht="30" customHeight="1" x14ac:dyDescent="0.3">
      <c r="D509" s="7"/>
      <c r="E509" s="7"/>
    </row>
    <row r="510" spans="1:5" ht="30" customHeight="1" x14ac:dyDescent="0.3">
      <c r="A510" s="169"/>
      <c r="B510" s="4"/>
      <c r="C510" s="4"/>
      <c r="D510" s="8"/>
      <c r="E510" s="8"/>
    </row>
    <row r="511" spans="1:5" ht="30" customHeight="1" x14ac:dyDescent="0.3">
      <c r="D511" s="7"/>
      <c r="E511" s="7"/>
    </row>
    <row r="512" spans="1:5" ht="30" customHeight="1" x14ac:dyDescent="0.3">
      <c r="A512" s="169"/>
      <c r="B512" s="4"/>
      <c r="C512" s="4"/>
      <c r="D512" s="8"/>
      <c r="E512" s="8"/>
    </row>
    <row r="513" spans="1:5" ht="30" customHeight="1" x14ac:dyDescent="0.3">
      <c r="D513" s="7"/>
      <c r="E513" s="7"/>
    </row>
    <row r="514" spans="1:5" ht="30" customHeight="1" x14ac:dyDescent="0.3">
      <c r="A514" s="169"/>
      <c r="B514" s="4"/>
      <c r="C514" s="4"/>
      <c r="D514" s="8"/>
      <c r="E514" s="8"/>
    </row>
    <row r="515" spans="1:5" ht="30" customHeight="1" x14ac:dyDescent="0.3">
      <c r="D515" s="7"/>
      <c r="E515" s="7"/>
    </row>
    <row r="516" spans="1:5" ht="30" customHeight="1" x14ac:dyDescent="0.3">
      <c r="A516" s="169"/>
      <c r="B516" s="4"/>
      <c r="C516" s="4"/>
      <c r="D516" s="8"/>
      <c r="E516" s="8"/>
    </row>
    <row r="517" spans="1:5" ht="30" customHeight="1" x14ac:dyDescent="0.3">
      <c r="D517" s="7"/>
      <c r="E517" s="7"/>
    </row>
    <row r="518" spans="1:5" ht="30" customHeight="1" x14ac:dyDescent="0.3">
      <c r="A518" s="169"/>
      <c r="B518" s="4"/>
      <c r="C518" s="4"/>
      <c r="D518" s="8"/>
      <c r="E518" s="8"/>
    </row>
    <row r="519" spans="1:5" ht="30" customHeight="1" x14ac:dyDescent="0.3">
      <c r="D519" s="7"/>
      <c r="E519" s="7"/>
    </row>
    <row r="520" spans="1:5" ht="30" customHeight="1" x14ac:dyDescent="0.3">
      <c r="A520" s="169"/>
      <c r="B520" s="4"/>
      <c r="C520" s="4"/>
      <c r="D520" s="8"/>
      <c r="E520" s="8"/>
    </row>
    <row r="521" spans="1:5" ht="30" customHeight="1" x14ac:dyDescent="0.3">
      <c r="D521" s="7"/>
      <c r="E521" s="7"/>
    </row>
    <row r="522" spans="1:5" ht="30" customHeight="1" x14ac:dyDescent="0.3">
      <c r="A522" s="169"/>
      <c r="B522" s="4"/>
      <c r="C522" s="4"/>
      <c r="D522" s="8"/>
      <c r="E522" s="8"/>
    </row>
    <row r="523" spans="1:5" ht="30" customHeight="1" x14ac:dyDescent="0.3">
      <c r="D523" s="7"/>
      <c r="E523" s="7"/>
    </row>
    <row r="524" spans="1:5" ht="30" customHeight="1" x14ac:dyDescent="0.3">
      <c r="A524" s="169"/>
      <c r="B524" s="4"/>
      <c r="C524" s="4"/>
      <c r="D524" s="8"/>
      <c r="E524" s="8"/>
    </row>
    <row r="525" spans="1:5" ht="30" customHeight="1" x14ac:dyDescent="0.3">
      <c r="D525" s="7"/>
      <c r="E525" s="7"/>
    </row>
    <row r="526" spans="1:5" ht="30" customHeight="1" x14ac:dyDescent="0.3">
      <c r="A526" s="169"/>
      <c r="B526" s="4"/>
      <c r="C526" s="4"/>
      <c r="D526" s="8"/>
      <c r="E526" s="8"/>
    </row>
    <row r="527" spans="1:5" ht="30" customHeight="1" x14ac:dyDescent="0.3">
      <c r="D527" s="7"/>
      <c r="E527" s="7"/>
    </row>
    <row r="528" spans="1:5" ht="30" customHeight="1" x14ac:dyDescent="0.3">
      <c r="A528" s="169"/>
      <c r="B528" s="4"/>
      <c r="C528" s="4"/>
      <c r="D528" s="8"/>
      <c r="E528" s="8"/>
    </row>
    <row r="529" spans="1:5" ht="30" customHeight="1" x14ac:dyDescent="0.3">
      <c r="D529" s="7"/>
      <c r="E529" s="7"/>
    </row>
    <row r="530" spans="1:5" ht="30" customHeight="1" x14ac:dyDescent="0.3">
      <c r="A530" s="169"/>
      <c r="B530" s="4"/>
      <c r="C530" s="4"/>
      <c r="D530" s="8"/>
      <c r="E530" s="8"/>
    </row>
    <row r="531" spans="1:5" ht="30" customHeight="1" x14ac:dyDescent="0.3">
      <c r="D531" s="7"/>
      <c r="E531" s="7"/>
    </row>
    <row r="532" spans="1:5" ht="30" customHeight="1" x14ac:dyDescent="0.3">
      <c r="A532" s="169"/>
      <c r="B532" s="4"/>
      <c r="C532" s="4"/>
      <c r="D532" s="8"/>
      <c r="E532" s="8"/>
    </row>
    <row r="533" spans="1:5" ht="30" customHeight="1" x14ac:dyDescent="0.3">
      <c r="D533" s="7"/>
      <c r="E533" s="7"/>
    </row>
    <row r="534" spans="1:5" ht="30" customHeight="1" x14ac:dyDescent="0.3">
      <c r="A534" s="169"/>
      <c r="B534" s="4"/>
      <c r="C534" s="4"/>
      <c r="D534" s="8"/>
      <c r="E534" s="8"/>
    </row>
    <row r="535" spans="1:5" ht="30" customHeight="1" x14ac:dyDescent="0.3">
      <c r="D535" s="7"/>
      <c r="E535" s="7"/>
    </row>
    <row r="536" spans="1:5" ht="30" customHeight="1" x14ac:dyDescent="0.3">
      <c r="A536" s="169"/>
      <c r="B536" s="4"/>
      <c r="C536" s="4"/>
      <c r="D536" s="8"/>
      <c r="E536" s="8"/>
    </row>
    <row r="537" spans="1:5" ht="30" customHeight="1" x14ac:dyDescent="0.3">
      <c r="D537" s="7"/>
      <c r="E537" s="7"/>
    </row>
    <row r="538" spans="1:5" ht="30" customHeight="1" x14ac:dyDescent="0.3">
      <c r="A538" s="169"/>
      <c r="B538" s="4"/>
      <c r="C538" s="4"/>
      <c r="D538" s="8"/>
      <c r="E538" s="8"/>
    </row>
    <row r="539" spans="1:5" ht="30" customHeight="1" x14ac:dyDescent="0.3">
      <c r="D539" s="7"/>
      <c r="E539" s="7"/>
    </row>
    <row r="540" spans="1:5" ht="30" customHeight="1" x14ac:dyDescent="0.3">
      <c r="A540" s="169"/>
      <c r="B540" s="4"/>
      <c r="C540" s="4"/>
      <c r="D540" s="8"/>
      <c r="E540" s="8"/>
    </row>
    <row r="541" spans="1:5" ht="30" customHeight="1" x14ac:dyDescent="0.3">
      <c r="D541" s="7"/>
      <c r="E541" s="7"/>
    </row>
    <row r="542" spans="1:5" ht="30" customHeight="1" x14ac:dyDescent="0.3">
      <c r="A542" s="169"/>
      <c r="B542" s="4"/>
      <c r="C542" s="4"/>
      <c r="D542" s="8"/>
      <c r="E542" s="8"/>
    </row>
    <row r="543" spans="1:5" ht="30" customHeight="1" x14ac:dyDescent="0.3">
      <c r="D543" s="7"/>
      <c r="E543" s="7"/>
    </row>
    <row r="544" spans="1:5" ht="30" customHeight="1" x14ac:dyDescent="0.3">
      <c r="A544" s="169"/>
      <c r="B544" s="4"/>
      <c r="C544" s="4"/>
      <c r="D544" s="8"/>
      <c r="E544" s="8"/>
    </row>
    <row r="545" spans="1:5" ht="30" customHeight="1" x14ac:dyDescent="0.3">
      <c r="D545" s="7"/>
      <c r="E545" s="7"/>
    </row>
    <row r="546" spans="1:5" ht="30" customHeight="1" x14ac:dyDescent="0.3">
      <c r="A546" s="169"/>
      <c r="B546" s="4"/>
      <c r="C546" s="4"/>
      <c r="D546" s="8"/>
      <c r="E546" s="8"/>
    </row>
    <row r="547" spans="1:5" ht="30" customHeight="1" x14ac:dyDescent="0.3">
      <c r="D547" s="7"/>
      <c r="E547" s="7"/>
    </row>
    <row r="548" spans="1:5" ht="30" customHeight="1" x14ac:dyDescent="0.3">
      <c r="A548" s="169"/>
      <c r="B548" s="4"/>
      <c r="C548" s="4"/>
      <c r="D548" s="8"/>
      <c r="E548" s="8"/>
    </row>
    <row r="549" spans="1:5" ht="30" customHeight="1" x14ac:dyDescent="0.3">
      <c r="D549" s="7"/>
      <c r="E549" s="7"/>
    </row>
    <row r="550" spans="1:5" ht="30" customHeight="1" x14ac:dyDescent="0.3">
      <c r="A550" s="169"/>
      <c r="B550" s="4"/>
      <c r="C550" s="4"/>
      <c r="D550" s="8"/>
      <c r="E550" s="8"/>
    </row>
    <row r="551" spans="1:5" ht="30" customHeight="1" x14ac:dyDescent="0.3">
      <c r="D551" s="7"/>
      <c r="E551" s="7"/>
    </row>
    <row r="552" spans="1:5" ht="30" customHeight="1" x14ac:dyDescent="0.3">
      <c r="A552" s="169"/>
      <c r="B552" s="4"/>
      <c r="C552" s="4"/>
      <c r="D552" s="8"/>
      <c r="E552" s="8"/>
    </row>
    <row r="553" spans="1:5" ht="30" customHeight="1" x14ac:dyDescent="0.3">
      <c r="D553" s="7"/>
      <c r="E553" s="7"/>
    </row>
    <row r="554" spans="1:5" ht="30" customHeight="1" x14ac:dyDescent="0.3">
      <c r="A554" s="169"/>
      <c r="B554" s="4"/>
      <c r="C554" s="4"/>
      <c r="D554" s="8"/>
      <c r="E554" s="8"/>
    </row>
    <row r="555" spans="1:5" ht="30" customHeight="1" x14ac:dyDescent="0.3">
      <c r="D555" s="7"/>
      <c r="E555" s="7"/>
    </row>
    <row r="556" spans="1:5" ht="30" customHeight="1" x14ac:dyDescent="0.3">
      <c r="A556" s="169"/>
      <c r="B556" s="4"/>
      <c r="C556" s="4"/>
      <c r="D556" s="8"/>
      <c r="E556" s="8"/>
    </row>
    <row r="557" spans="1:5" ht="30" customHeight="1" x14ac:dyDescent="0.3">
      <c r="D557" s="7"/>
      <c r="E557" s="7"/>
    </row>
    <row r="558" spans="1:5" ht="30" customHeight="1" x14ac:dyDescent="0.3">
      <c r="A558" s="169"/>
      <c r="B558" s="4"/>
      <c r="C558" s="4"/>
      <c r="D558" s="8"/>
      <c r="E558" s="8"/>
    </row>
    <row r="559" spans="1:5" ht="30" customHeight="1" x14ac:dyDescent="0.3">
      <c r="D559" s="7"/>
      <c r="E559" s="7"/>
    </row>
    <row r="560" spans="1:5" ht="30" customHeight="1" x14ac:dyDescent="0.3">
      <c r="A560" s="169"/>
      <c r="B560" s="4"/>
      <c r="C560" s="4"/>
      <c r="D560" s="8"/>
      <c r="E560" s="8"/>
    </row>
    <row r="561" spans="1:5" ht="30" customHeight="1" x14ac:dyDescent="0.3">
      <c r="D561" s="7"/>
      <c r="E561" s="7"/>
    </row>
    <row r="562" spans="1:5" ht="30" customHeight="1" x14ac:dyDescent="0.3">
      <c r="A562" s="169"/>
      <c r="B562" s="4"/>
      <c r="C562" s="4"/>
      <c r="D562" s="8"/>
      <c r="E562" s="8"/>
    </row>
    <row r="563" spans="1:5" ht="30" customHeight="1" x14ac:dyDescent="0.3">
      <c r="D563" s="7"/>
      <c r="E563" s="7"/>
    </row>
    <row r="564" spans="1:5" ht="30" customHeight="1" x14ac:dyDescent="0.3">
      <c r="A564" s="169"/>
      <c r="B564" s="4"/>
      <c r="C564" s="4"/>
      <c r="D564" s="8"/>
      <c r="E564" s="8"/>
    </row>
    <row r="565" spans="1:5" ht="30" customHeight="1" x14ac:dyDescent="0.3">
      <c r="D565" s="7"/>
      <c r="E565" s="7"/>
    </row>
    <row r="566" spans="1:5" ht="30" customHeight="1" x14ac:dyDescent="0.3">
      <c r="A566" s="169"/>
      <c r="B566" s="4"/>
      <c r="C566" s="4"/>
      <c r="D566" s="8"/>
      <c r="E566" s="8"/>
    </row>
    <row r="567" spans="1:5" ht="30" customHeight="1" x14ac:dyDescent="0.3">
      <c r="D567" s="7"/>
      <c r="E567" s="7"/>
    </row>
    <row r="568" spans="1:5" ht="30" customHeight="1" x14ac:dyDescent="0.3">
      <c r="A568" s="169"/>
      <c r="B568" s="4"/>
      <c r="C568" s="4"/>
      <c r="D568" s="8"/>
      <c r="E568" s="8"/>
    </row>
    <row r="569" spans="1:5" ht="30" customHeight="1" x14ac:dyDescent="0.3">
      <c r="D569" s="7"/>
      <c r="E569" s="7"/>
    </row>
    <row r="570" spans="1:5" ht="30" customHeight="1" x14ac:dyDescent="0.3">
      <c r="A570" s="169"/>
      <c r="B570" s="4"/>
      <c r="C570" s="4"/>
      <c r="D570" s="8"/>
      <c r="E570" s="8"/>
    </row>
    <row r="571" spans="1:5" ht="30" customHeight="1" x14ac:dyDescent="0.3">
      <c r="D571" s="7"/>
      <c r="E571" s="7"/>
    </row>
    <row r="572" spans="1:5" ht="30" customHeight="1" x14ac:dyDescent="0.3">
      <c r="A572" s="169"/>
      <c r="B572" s="4"/>
      <c r="C572" s="4"/>
      <c r="D572" s="8"/>
      <c r="E572" s="8"/>
    </row>
    <row r="573" spans="1:5" ht="30" customHeight="1" x14ac:dyDescent="0.3">
      <c r="D573" s="7"/>
      <c r="E573" s="7"/>
    </row>
    <row r="574" spans="1:5" ht="30" customHeight="1" x14ac:dyDescent="0.3">
      <c r="A574" s="169"/>
      <c r="B574" s="4"/>
      <c r="C574" s="4"/>
      <c r="D574" s="8"/>
      <c r="E574" s="8"/>
    </row>
    <row r="575" spans="1:5" ht="30" customHeight="1" x14ac:dyDescent="0.3">
      <c r="D575" s="7"/>
      <c r="E575" s="7"/>
    </row>
    <row r="576" spans="1:5" ht="30" customHeight="1" x14ac:dyDescent="0.3">
      <c r="A576" s="169"/>
      <c r="B576" s="4"/>
      <c r="C576" s="4"/>
      <c r="D576" s="8"/>
      <c r="E576" s="8"/>
    </row>
    <row r="577" spans="1:5" ht="30" customHeight="1" x14ac:dyDescent="0.3">
      <c r="D577" s="7"/>
      <c r="E577" s="7"/>
    </row>
    <row r="578" spans="1:5" ht="30" customHeight="1" x14ac:dyDescent="0.3">
      <c r="A578" s="169"/>
      <c r="B578" s="4"/>
      <c r="C578" s="4"/>
      <c r="D578" s="8"/>
      <c r="E578" s="8"/>
    </row>
    <row r="579" spans="1:5" ht="30" customHeight="1" x14ac:dyDescent="0.3">
      <c r="D579" s="7"/>
      <c r="E579" s="7"/>
    </row>
    <row r="580" spans="1:5" ht="30" customHeight="1" x14ac:dyDescent="0.3">
      <c r="A580" s="169"/>
      <c r="B580" s="4"/>
      <c r="C580" s="4"/>
      <c r="D580" s="8"/>
      <c r="E580" s="8"/>
    </row>
    <row r="581" spans="1:5" ht="30" customHeight="1" x14ac:dyDescent="0.3">
      <c r="D581" s="7"/>
      <c r="E581" s="7"/>
    </row>
    <row r="582" spans="1:5" ht="30" customHeight="1" x14ac:dyDescent="0.3">
      <c r="A582" s="169"/>
      <c r="B582" s="4"/>
      <c r="C582" s="4"/>
      <c r="D582" s="8"/>
      <c r="E582" s="8"/>
    </row>
    <row r="583" spans="1:5" ht="30" customHeight="1" x14ac:dyDescent="0.3">
      <c r="D583" s="7"/>
      <c r="E583" s="7"/>
    </row>
    <row r="584" spans="1:5" ht="30" customHeight="1" x14ac:dyDescent="0.3">
      <c r="A584" s="169"/>
      <c r="B584" s="4"/>
      <c r="C584" s="4"/>
      <c r="D584" s="8"/>
      <c r="E584" s="8"/>
    </row>
    <row r="585" spans="1:5" ht="30" customHeight="1" x14ac:dyDescent="0.3">
      <c r="D585" s="7"/>
      <c r="E585" s="7"/>
    </row>
    <row r="586" spans="1:5" ht="30" customHeight="1" x14ac:dyDescent="0.3">
      <c r="A586" s="169"/>
      <c r="B586" s="4"/>
      <c r="C586" s="4"/>
      <c r="D586" s="8"/>
      <c r="E586" s="8"/>
    </row>
    <row r="587" spans="1:5" ht="30" customHeight="1" x14ac:dyDescent="0.3">
      <c r="D587" s="7"/>
      <c r="E587" s="7"/>
    </row>
    <row r="588" spans="1:5" ht="30" customHeight="1" x14ac:dyDescent="0.3">
      <c r="A588" s="169"/>
      <c r="B588" s="4"/>
      <c r="C588" s="4"/>
      <c r="D588" s="8"/>
      <c r="E588" s="8"/>
    </row>
    <row r="589" spans="1:5" ht="30" customHeight="1" x14ac:dyDescent="0.3">
      <c r="D589" s="7"/>
      <c r="E589" s="7"/>
    </row>
    <row r="590" spans="1:5" ht="30" customHeight="1" x14ac:dyDescent="0.3">
      <c r="A590" s="169"/>
      <c r="B590" s="4"/>
      <c r="C590" s="4"/>
      <c r="D590" s="8"/>
      <c r="E590" s="8"/>
    </row>
    <row r="591" spans="1:5" ht="30" customHeight="1" x14ac:dyDescent="0.3">
      <c r="D591" s="7"/>
      <c r="E591" s="7"/>
    </row>
    <row r="592" spans="1:5" ht="30" customHeight="1" x14ac:dyDescent="0.3">
      <c r="A592" s="169"/>
      <c r="B592" s="4"/>
      <c r="C592" s="4"/>
      <c r="D592" s="8"/>
      <c r="E592" s="8"/>
    </row>
    <row r="593" spans="1:5" ht="30" customHeight="1" x14ac:dyDescent="0.3">
      <c r="D593" s="7"/>
      <c r="E593" s="7"/>
    </row>
    <row r="594" spans="1:5" ht="30" customHeight="1" x14ac:dyDescent="0.3">
      <c r="A594" s="169"/>
      <c r="B594" s="4"/>
      <c r="C594" s="4"/>
      <c r="D594" s="8"/>
      <c r="E594" s="8"/>
    </row>
    <row r="595" spans="1:5" ht="30" customHeight="1" x14ac:dyDescent="0.3">
      <c r="D595" s="7"/>
      <c r="E595" s="7"/>
    </row>
    <row r="596" spans="1:5" ht="30" customHeight="1" x14ac:dyDescent="0.3">
      <c r="A596" s="169"/>
      <c r="B596" s="4"/>
      <c r="C596" s="4"/>
      <c r="D596" s="8"/>
      <c r="E596" s="8"/>
    </row>
    <row r="597" spans="1:5" ht="30" customHeight="1" x14ac:dyDescent="0.3">
      <c r="D597" s="7"/>
      <c r="E597" s="7"/>
    </row>
    <row r="598" spans="1:5" ht="30" customHeight="1" x14ac:dyDescent="0.3">
      <c r="A598" s="169"/>
      <c r="B598" s="4"/>
      <c r="C598" s="4"/>
      <c r="D598" s="8"/>
      <c r="E598" s="8"/>
    </row>
    <row r="599" spans="1:5" ht="30" customHeight="1" x14ac:dyDescent="0.3">
      <c r="D599" s="7"/>
      <c r="E599" s="7"/>
    </row>
    <row r="600" spans="1:5" ht="30" customHeight="1" x14ac:dyDescent="0.3">
      <c r="A600" s="169"/>
      <c r="B600" s="4"/>
      <c r="C600" s="4"/>
      <c r="D600" s="8"/>
      <c r="E600" s="8"/>
    </row>
    <row r="601" spans="1:5" ht="30" customHeight="1" x14ac:dyDescent="0.3">
      <c r="D601" s="7"/>
      <c r="E601" s="7"/>
    </row>
    <row r="602" spans="1:5" ht="30" customHeight="1" x14ac:dyDescent="0.3">
      <c r="A602" s="169"/>
      <c r="B602" s="4"/>
      <c r="C602" s="4"/>
      <c r="D602" s="8"/>
      <c r="E602" s="8"/>
    </row>
    <row r="603" spans="1:5" ht="30" customHeight="1" x14ac:dyDescent="0.3">
      <c r="D603" s="7"/>
      <c r="E603" s="7"/>
    </row>
    <row r="604" spans="1:5" ht="30" customHeight="1" x14ac:dyDescent="0.3">
      <c r="A604" s="169"/>
      <c r="B604" s="4"/>
      <c r="C604" s="4"/>
      <c r="D604" s="8"/>
      <c r="E604" s="8"/>
    </row>
    <row r="605" spans="1:5" ht="30" customHeight="1" x14ac:dyDescent="0.3">
      <c r="D605" s="7"/>
      <c r="E605" s="7"/>
    </row>
    <row r="606" spans="1:5" ht="30" customHeight="1" x14ac:dyDescent="0.3">
      <c r="A606" s="169"/>
      <c r="B606" s="4"/>
      <c r="C606" s="4"/>
      <c r="D606" s="8"/>
      <c r="E606" s="8"/>
    </row>
    <row r="607" spans="1:5" ht="30" customHeight="1" x14ac:dyDescent="0.3">
      <c r="D607" s="7"/>
      <c r="E607" s="7"/>
    </row>
    <row r="608" spans="1:5" ht="30" customHeight="1" x14ac:dyDescent="0.3">
      <c r="A608" s="169"/>
      <c r="B608" s="4"/>
      <c r="C608" s="4"/>
      <c r="D608" s="8"/>
      <c r="E608" s="8"/>
    </row>
    <row r="609" spans="1:5" ht="30" customHeight="1" x14ac:dyDescent="0.3">
      <c r="D609" s="7"/>
      <c r="E609" s="7"/>
    </row>
    <row r="610" spans="1:5" ht="30" customHeight="1" x14ac:dyDescent="0.3">
      <c r="A610" s="169"/>
      <c r="B610" s="4"/>
      <c r="C610" s="4"/>
      <c r="D610" s="8"/>
      <c r="E610" s="8"/>
    </row>
    <row r="611" spans="1:5" ht="30" customHeight="1" x14ac:dyDescent="0.3">
      <c r="D611" s="7"/>
      <c r="E611" s="7"/>
    </row>
    <row r="612" spans="1:5" ht="30" customHeight="1" x14ac:dyDescent="0.3">
      <c r="A612" s="169"/>
      <c r="B612" s="4"/>
      <c r="C612" s="4"/>
      <c r="D612" s="8"/>
      <c r="E612" s="8"/>
    </row>
    <row r="613" spans="1:5" ht="30" customHeight="1" x14ac:dyDescent="0.3">
      <c r="D613" s="7"/>
      <c r="E613" s="7"/>
    </row>
    <row r="614" spans="1:5" ht="30" customHeight="1" x14ac:dyDescent="0.3">
      <c r="A614" s="169"/>
      <c r="B614" s="4"/>
      <c r="C614" s="4"/>
      <c r="D614" s="8"/>
      <c r="E614" s="8"/>
    </row>
    <row r="615" spans="1:5" ht="30" customHeight="1" x14ac:dyDescent="0.3">
      <c r="D615" s="7"/>
      <c r="E615" s="7"/>
    </row>
    <row r="616" spans="1:5" ht="30" customHeight="1" x14ac:dyDescent="0.3">
      <c r="A616" s="169"/>
      <c r="B616" s="4"/>
      <c r="C616" s="4"/>
      <c r="D616" s="8"/>
      <c r="E616" s="8"/>
    </row>
    <row r="617" spans="1:5" ht="30" customHeight="1" x14ac:dyDescent="0.3">
      <c r="D617" s="7"/>
      <c r="E617" s="7"/>
    </row>
    <row r="618" spans="1:5" ht="30" customHeight="1" x14ac:dyDescent="0.3">
      <c r="A618" s="169"/>
      <c r="B618" s="4"/>
      <c r="C618" s="4"/>
      <c r="D618" s="8"/>
      <c r="E618" s="8"/>
    </row>
    <row r="619" spans="1:5" ht="30" customHeight="1" x14ac:dyDescent="0.3">
      <c r="D619" s="7"/>
      <c r="E619" s="7"/>
    </row>
    <row r="620" spans="1:5" ht="30" customHeight="1" x14ac:dyDescent="0.3">
      <c r="A620" s="169"/>
      <c r="B620" s="4"/>
      <c r="C620" s="4"/>
      <c r="D620" s="8"/>
      <c r="E620" s="8"/>
    </row>
    <row r="621" spans="1:5" ht="30" customHeight="1" x14ac:dyDescent="0.3">
      <c r="D621" s="7"/>
      <c r="E621" s="7"/>
    </row>
    <row r="622" spans="1:5" ht="30" customHeight="1" x14ac:dyDescent="0.3">
      <c r="A622" s="169"/>
      <c r="B622" s="4"/>
      <c r="C622" s="4"/>
      <c r="D622" s="8"/>
      <c r="E622" s="8"/>
    </row>
    <row r="623" spans="1:5" ht="30" customHeight="1" x14ac:dyDescent="0.3">
      <c r="D623" s="7"/>
      <c r="E623" s="7"/>
    </row>
    <row r="624" spans="1:5" ht="30" customHeight="1" x14ac:dyDescent="0.3">
      <c r="A624" s="169"/>
      <c r="B624" s="4"/>
      <c r="C624" s="4"/>
      <c r="D624" s="8"/>
      <c r="E624" s="8"/>
    </row>
    <row r="625" spans="1:5" ht="30" customHeight="1" x14ac:dyDescent="0.3">
      <c r="D625" s="7"/>
      <c r="E625" s="7"/>
    </row>
    <row r="626" spans="1:5" ht="30" customHeight="1" x14ac:dyDescent="0.3">
      <c r="A626" s="169"/>
      <c r="B626" s="4"/>
      <c r="C626" s="4"/>
      <c r="D626" s="8"/>
      <c r="E626" s="8"/>
    </row>
    <row r="627" spans="1:5" ht="30" customHeight="1" x14ac:dyDescent="0.3">
      <c r="D627" s="7"/>
      <c r="E627" s="7"/>
    </row>
    <row r="628" spans="1:5" ht="30" customHeight="1" x14ac:dyDescent="0.3">
      <c r="A628" s="169"/>
      <c r="B628" s="4"/>
      <c r="C628" s="4"/>
      <c r="D628" s="8"/>
      <c r="E628" s="8"/>
    </row>
    <row r="629" spans="1:5" ht="30" customHeight="1" x14ac:dyDescent="0.3">
      <c r="D629" s="7"/>
      <c r="E629" s="7"/>
    </row>
    <row r="630" spans="1:5" ht="30" customHeight="1" x14ac:dyDescent="0.3">
      <c r="A630" s="169"/>
      <c r="B630" s="4"/>
      <c r="C630" s="4"/>
      <c r="D630" s="8"/>
      <c r="E630" s="8"/>
    </row>
    <row r="631" spans="1:5" ht="30" customHeight="1" x14ac:dyDescent="0.3">
      <c r="D631" s="7"/>
      <c r="E631" s="7"/>
    </row>
    <row r="632" spans="1:5" ht="30" customHeight="1" x14ac:dyDescent="0.3">
      <c r="A632" s="169"/>
      <c r="B632" s="4"/>
      <c r="C632" s="4"/>
      <c r="D632" s="8"/>
      <c r="E632" s="8"/>
    </row>
    <row r="633" spans="1:5" ht="30" customHeight="1" x14ac:dyDescent="0.3">
      <c r="D633" s="7"/>
      <c r="E633" s="7"/>
    </row>
    <row r="634" spans="1:5" ht="30" customHeight="1" x14ac:dyDescent="0.3">
      <c r="A634" s="169"/>
      <c r="B634" s="4"/>
      <c r="C634" s="4"/>
      <c r="D634" s="8"/>
      <c r="E634" s="8"/>
    </row>
    <row r="635" spans="1:5" ht="30" customHeight="1" x14ac:dyDescent="0.3">
      <c r="D635" s="7"/>
      <c r="E635" s="7"/>
    </row>
    <row r="636" spans="1:5" ht="30" customHeight="1" x14ac:dyDescent="0.3">
      <c r="A636" s="169"/>
      <c r="B636" s="4"/>
      <c r="C636" s="4"/>
      <c r="D636" s="8"/>
      <c r="E636" s="8"/>
    </row>
    <row r="637" spans="1:5" ht="30" customHeight="1" x14ac:dyDescent="0.3">
      <c r="D637" s="7"/>
      <c r="E637" s="7"/>
    </row>
    <row r="638" spans="1:5" ht="30" customHeight="1" x14ac:dyDescent="0.3">
      <c r="A638" s="169"/>
      <c r="B638" s="4"/>
      <c r="C638" s="4"/>
      <c r="D638" s="8"/>
      <c r="E638" s="8"/>
    </row>
    <row r="639" spans="1:5" ht="30" customHeight="1" x14ac:dyDescent="0.3">
      <c r="D639" s="7"/>
      <c r="E639" s="7"/>
    </row>
    <row r="640" spans="1:5" ht="30" customHeight="1" x14ac:dyDescent="0.3">
      <c r="A640" s="169"/>
      <c r="B640" s="4"/>
      <c r="C640" s="4"/>
      <c r="D640" s="8"/>
      <c r="E640" s="8"/>
    </row>
    <row r="641" spans="1:5" ht="30" customHeight="1" x14ac:dyDescent="0.3">
      <c r="D641" s="7"/>
      <c r="E641" s="7"/>
    </row>
    <row r="642" spans="1:5" ht="30" customHeight="1" x14ac:dyDescent="0.3">
      <c r="A642" s="169"/>
      <c r="B642" s="4"/>
      <c r="C642" s="4"/>
      <c r="D642" s="8"/>
      <c r="E642" s="8"/>
    </row>
    <row r="643" spans="1:5" ht="30" customHeight="1" x14ac:dyDescent="0.3">
      <c r="D643" s="7"/>
      <c r="E643" s="7"/>
    </row>
    <row r="644" spans="1:5" ht="30" customHeight="1" x14ac:dyDescent="0.3">
      <c r="A644" s="169"/>
      <c r="B644" s="4"/>
      <c r="C644" s="4"/>
      <c r="D644" s="8"/>
      <c r="E644" s="8"/>
    </row>
    <row r="645" spans="1:5" ht="30" customHeight="1" x14ac:dyDescent="0.3">
      <c r="D645" s="7"/>
      <c r="E645" s="7"/>
    </row>
    <row r="646" spans="1:5" ht="30" customHeight="1" x14ac:dyDescent="0.3">
      <c r="A646" s="169"/>
      <c r="B646" s="4"/>
      <c r="C646" s="4"/>
      <c r="D646" s="8"/>
      <c r="E646" s="8"/>
    </row>
    <row r="647" spans="1:5" ht="30" customHeight="1" x14ac:dyDescent="0.3">
      <c r="D647" s="7"/>
      <c r="E647" s="7"/>
    </row>
    <row r="648" spans="1:5" ht="30" customHeight="1" x14ac:dyDescent="0.3">
      <c r="A648" s="169"/>
      <c r="B648" s="4"/>
      <c r="C648" s="4"/>
      <c r="D648" s="8"/>
      <c r="E648" s="8"/>
    </row>
    <row r="649" spans="1:5" ht="30" customHeight="1" x14ac:dyDescent="0.3">
      <c r="D649" s="7"/>
      <c r="E649" s="7"/>
    </row>
    <row r="650" spans="1:5" ht="30" customHeight="1" x14ac:dyDescent="0.3">
      <c r="A650" s="169"/>
      <c r="B650" s="4"/>
      <c r="C650" s="4"/>
      <c r="D650" s="8"/>
      <c r="E650" s="8"/>
    </row>
    <row r="651" spans="1:5" ht="30" customHeight="1" x14ac:dyDescent="0.3">
      <c r="D651" s="7"/>
      <c r="E651" s="7"/>
    </row>
    <row r="652" spans="1:5" ht="30" customHeight="1" x14ac:dyDescent="0.3">
      <c r="A652" s="169"/>
      <c r="B652" s="4"/>
      <c r="C652" s="4"/>
      <c r="D652" s="8"/>
      <c r="E652" s="8"/>
    </row>
    <row r="653" spans="1:5" ht="30" customHeight="1" x14ac:dyDescent="0.3">
      <c r="D653" s="7"/>
      <c r="E653" s="7"/>
    </row>
    <row r="654" spans="1:5" ht="30" customHeight="1" x14ac:dyDescent="0.3">
      <c r="A654" s="169"/>
      <c r="B654" s="4"/>
      <c r="C654" s="4"/>
      <c r="D654" s="8"/>
      <c r="E654" s="8"/>
    </row>
    <row r="655" spans="1:5" ht="30" customHeight="1" x14ac:dyDescent="0.3">
      <c r="D655" s="7"/>
      <c r="E655" s="7"/>
    </row>
    <row r="656" spans="1:5" ht="30" customHeight="1" x14ac:dyDescent="0.3">
      <c r="A656" s="169"/>
      <c r="B656" s="4"/>
      <c r="C656" s="4"/>
      <c r="D656" s="8"/>
      <c r="E656" s="8"/>
    </row>
    <row r="657" spans="1:5" ht="30" customHeight="1" x14ac:dyDescent="0.3">
      <c r="D657" s="7"/>
      <c r="E657" s="7"/>
    </row>
    <row r="658" spans="1:5" ht="30" customHeight="1" x14ac:dyDescent="0.3">
      <c r="A658" s="169"/>
      <c r="B658" s="4"/>
      <c r="C658" s="4"/>
      <c r="D658" s="8"/>
      <c r="E658" s="8"/>
    </row>
    <row r="659" spans="1:5" ht="30" customHeight="1" x14ac:dyDescent="0.3">
      <c r="D659" s="7"/>
      <c r="E659" s="7"/>
    </row>
    <row r="660" spans="1:5" ht="30" customHeight="1" x14ac:dyDescent="0.3">
      <c r="A660" s="169"/>
      <c r="B660" s="4"/>
      <c r="C660" s="4"/>
      <c r="D660" s="8"/>
      <c r="E660" s="8"/>
    </row>
    <row r="661" spans="1:5" ht="30" customHeight="1" x14ac:dyDescent="0.3">
      <c r="D661" s="7"/>
      <c r="E661" s="7"/>
    </row>
    <row r="662" spans="1:5" ht="30" customHeight="1" x14ac:dyDescent="0.3">
      <c r="A662" s="169"/>
      <c r="B662" s="4"/>
      <c r="C662" s="4"/>
      <c r="D662" s="8"/>
      <c r="E662" s="8"/>
    </row>
    <row r="663" spans="1:5" ht="30" customHeight="1" x14ac:dyDescent="0.3">
      <c r="D663" s="7"/>
      <c r="E663" s="7"/>
    </row>
    <row r="664" spans="1:5" ht="30" customHeight="1" x14ac:dyDescent="0.3">
      <c r="A664" s="169"/>
      <c r="B664" s="4"/>
      <c r="C664" s="4"/>
      <c r="D664" s="8"/>
      <c r="E664" s="8"/>
    </row>
    <row r="665" spans="1:5" ht="30" customHeight="1" x14ac:dyDescent="0.3">
      <c r="D665" s="7"/>
      <c r="E665" s="7"/>
    </row>
    <row r="666" spans="1:5" ht="30" customHeight="1" x14ac:dyDescent="0.3">
      <c r="A666" s="169"/>
      <c r="B666" s="4"/>
      <c r="C666" s="4"/>
      <c r="D666" s="8"/>
      <c r="E666" s="8"/>
    </row>
    <row r="667" spans="1:5" ht="30" customHeight="1" x14ac:dyDescent="0.3">
      <c r="D667" s="7"/>
      <c r="E667" s="7"/>
    </row>
    <row r="668" spans="1:5" ht="30" customHeight="1" x14ac:dyDescent="0.3">
      <c r="A668" s="169"/>
      <c r="B668" s="4"/>
      <c r="C668" s="4"/>
      <c r="D668" s="8"/>
      <c r="E668" s="8"/>
    </row>
    <row r="669" spans="1:5" ht="30" customHeight="1" x14ac:dyDescent="0.3">
      <c r="D669" s="7"/>
      <c r="E669" s="7"/>
    </row>
    <row r="670" spans="1:5" ht="30" customHeight="1" x14ac:dyDescent="0.3">
      <c r="A670" s="169"/>
      <c r="B670" s="4"/>
      <c r="C670" s="4"/>
      <c r="D670" s="8"/>
      <c r="E670" s="8"/>
    </row>
    <row r="671" spans="1:5" ht="30" customHeight="1" x14ac:dyDescent="0.3">
      <c r="D671" s="7"/>
      <c r="E671" s="7"/>
    </row>
    <row r="672" spans="1:5" ht="30" customHeight="1" x14ac:dyDescent="0.3">
      <c r="A672" s="169"/>
      <c r="B672" s="4"/>
      <c r="C672" s="4"/>
      <c r="D672" s="8"/>
      <c r="E672" s="8"/>
    </row>
    <row r="673" spans="1:5" ht="30" customHeight="1" x14ac:dyDescent="0.3">
      <c r="D673" s="7"/>
      <c r="E673" s="7"/>
    </row>
    <row r="674" spans="1:5" ht="30" customHeight="1" x14ac:dyDescent="0.3">
      <c r="A674" s="169"/>
      <c r="B674" s="4"/>
      <c r="C674" s="4"/>
      <c r="D674" s="8"/>
      <c r="E674" s="8"/>
    </row>
    <row r="675" spans="1:5" ht="30" customHeight="1" x14ac:dyDescent="0.3">
      <c r="D675" s="7"/>
      <c r="E675" s="7"/>
    </row>
    <row r="676" spans="1:5" ht="30" customHeight="1" x14ac:dyDescent="0.3">
      <c r="A676" s="169"/>
      <c r="B676" s="4"/>
      <c r="C676" s="4"/>
      <c r="D676" s="8"/>
      <c r="E676" s="8"/>
    </row>
    <row r="677" spans="1:5" ht="30" customHeight="1" x14ac:dyDescent="0.3">
      <c r="D677" s="7"/>
      <c r="E677" s="7"/>
    </row>
    <row r="678" spans="1:5" ht="30" customHeight="1" x14ac:dyDescent="0.3">
      <c r="A678" s="169"/>
      <c r="B678" s="4"/>
      <c r="C678" s="4"/>
      <c r="D678" s="8"/>
      <c r="E678" s="8"/>
    </row>
    <row r="679" spans="1:5" ht="30" customHeight="1" x14ac:dyDescent="0.3">
      <c r="D679" s="7"/>
      <c r="E679" s="7"/>
    </row>
    <row r="680" spans="1:5" ht="30" customHeight="1" x14ac:dyDescent="0.3">
      <c r="A680" s="169"/>
      <c r="B680" s="4"/>
      <c r="C680" s="4"/>
      <c r="D680" s="8"/>
      <c r="E680" s="8"/>
    </row>
    <row r="681" spans="1:5" ht="30" customHeight="1" x14ac:dyDescent="0.3">
      <c r="D681" s="7"/>
      <c r="E681" s="7"/>
    </row>
    <row r="682" spans="1:5" ht="30" customHeight="1" x14ac:dyDescent="0.3">
      <c r="A682" s="169"/>
      <c r="B682" s="4"/>
      <c r="C682" s="4"/>
      <c r="D682" s="8"/>
      <c r="E682" s="8"/>
    </row>
    <row r="683" spans="1:5" ht="30" customHeight="1" x14ac:dyDescent="0.3">
      <c r="D683" s="7"/>
      <c r="E683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eme">
                <anchor moveWithCells="1" sizeWithCells="1">
                  <from>
                    <xdr:col>1</xdr:col>
                    <xdr:colOff>198120</xdr:colOff>
                    <xdr:row>3</xdr:row>
                    <xdr:rowOff>60960</xdr:rowOff>
                  </from>
                  <to>
                    <xdr:col>3</xdr:col>
                    <xdr:colOff>228600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A5B6D-8837-4F94-9DA6-6DA9BD7038E0}">
  <sheetPr codeName="Feuil3"/>
  <dimension ref="A1:F612"/>
  <sheetViews>
    <sheetView showGridLines="0" topLeftCell="A590" workbookViewId="0">
      <selection activeCell="A613" sqref="A613"/>
    </sheetView>
  </sheetViews>
  <sheetFormatPr baseColWidth="10" defaultColWidth="11.5546875" defaultRowHeight="30" customHeight="1" x14ac:dyDescent="0.3"/>
  <cols>
    <col min="1" max="1" width="60.6640625" style="151" customWidth="1"/>
    <col min="2" max="2" width="60.6640625" style="152" customWidth="1"/>
    <col min="3" max="3" width="15.6640625" style="151" customWidth="1"/>
    <col min="4" max="4" width="10.6640625" style="151" customWidth="1"/>
    <col min="5" max="5" width="11.44140625" style="151"/>
    <col min="6" max="6" width="12.6640625" style="151" bestFit="1" customWidth="1"/>
    <col min="7" max="16384" width="11.5546875" style="151"/>
  </cols>
  <sheetData>
    <row r="1" spans="1:6" ht="30" customHeight="1" x14ac:dyDescent="0.3">
      <c r="A1" s="151" t="s">
        <v>6218</v>
      </c>
      <c r="B1" s="152" t="s">
        <v>6219</v>
      </c>
      <c r="C1" s="154" t="s">
        <v>0</v>
      </c>
      <c r="D1" s="154" t="s">
        <v>3704</v>
      </c>
      <c r="E1" s="154" t="s">
        <v>5055</v>
      </c>
      <c r="F1" s="154" t="s">
        <v>6207</v>
      </c>
    </row>
    <row r="2" spans="1:6" ht="30" customHeight="1" x14ac:dyDescent="0.3">
      <c r="A2" s="562" t="s">
        <v>411</v>
      </c>
      <c r="B2" s="655" t="s">
        <v>6669</v>
      </c>
      <c r="C2" s="564">
        <v>40611</v>
      </c>
      <c r="D2" s="562">
        <v>2</v>
      </c>
      <c r="E2" s="562">
        <v>0</v>
      </c>
      <c r="F2" s="562">
        <f>IFERROR(Tableau1[[#This Row],[Score]]/Tableau1[[#This Row],[Nb]],0)</f>
        <v>0</v>
      </c>
    </row>
    <row r="3" spans="1:6" ht="30" customHeight="1" x14ac:dyDescent="0.3">
      <c r="A3" s="562" t="s">
        <v>474</v>
      </c>
      <c r="B3" s="563" t="s">
        <v>475</v>
      </c>
      <c r="C3" s="564">
        <v>40611</v>
      </c>
      <c r="D3" s="562">
        <v>0</v>
      </c>
      <c r="E3" s="562">
        <v>0</v>
      </c>
      <c r="F3" s="562">
        <f>IFERROR(Tableau1[[#This Row],[Score]]/Tableau1[[#This Row],[Nb]],0)</f>
        <v>0</v>
      </c>
    </row>
    <row r="4" spans="1:6" ht="30" customHeight="1" x14ac:dyDescent="0.3">
      <c r="A4" s="562" t="s">
        <v>1575</v>
      </c>
      <c r="B4" s="563" t="s">
        <v>513</v>
      </c>
      <c r="C4" s="564">
        <v>40611</v>
      </c>
      <c r="D4" s="562">
        <v>0</v>
      </c>
      <c r="E4" s="562">
        <v>0</v>
      </c>
      <c r="F4" s="562">
        <f>IFERROR(Tableau1[[#This Row],[Score]]/Tableau1[[#This Row],[Nb]],0)</f>
        <v>0</v>
      </c>
    </row>
    <row r="5" spans="1:6" ht="30" customHeight="1" x14ac:dyDescent="0.3">
      <c r="A5" s="562" t="s">
        <v>494</v>
      </c>
      <c r="B5" s="563" t="s">
        <v>6609</v>
      </c>
      <c r="C5" s="564">
        <v>40611</v>
      </c>
      <c r="D5" s="562">
        <v>1</v>
      </c>
      <c r="E5" s="562">
        <v>-1</v>
      </c>
      <c r="F5" s="562">
        <f>IFERROR(Tableau1[[#This Row],[Score]]/Tableau1[[#This Row],[Nb]],0)</f>
        <v>-1</v>
      </c>
    </row>
    <row r="6" spans="1:6" ht="30" customHeight="1" x14ac:dyDescent="0.3">
      <c r="A6" s="562" t="s">
        <v>510</v>
      </c>
      <c r="B6" s="563" t="s">
        <v>511</v>
      </c>
      <c r="C6" s="564">
        <v>40611</v>
      </c>
      <c r="D6" s="562">
        <v>1</v>
      </c>
      <c r="E6" s="562">
        <v>1</v>
      </c>
      <c r="F6" s="562">
        <f>IFERROR(Tableau1[[#This Row],[Score]]/Tableau1[[#This Row],[Nb]],0)</f>
        <v>1</v>
      </c>
    </row>
    <row r="7" spans="1:6" ht="30" customHeight="1" x14ac:dyDescent="0.3">
      <c r="A7" s="562" t="s">
        <v>3585</v>
      </c>
      <c r="B7" s="563" t="s">
        <v>3586</v>
      </c>
      <c r="C7" s="564">
        <v>40611</v>
      </c>
      <c r="D7" s="562">
        <v>2</v>
      </c>
      <c r="E7" s="562">
        <v>0</v>
      </c>
      <c r="F7" s="562">
        <f>IFERROR(Tableau1[[#This Row],[Score]]/Tableau1[[#This Row],[Nb]],0)</f>
        <v>0</v>
      </c>
    </row>
    <row r="8" spans="1:6" ht="30" customHeight="1" x14ac:dyDescent="0.3">
      <c r="A8" s="562" t="s">
        <v>3578</v>
      </c>
      <c r="B8" s="563" t="s">
        <v>3163</v>
      </c>
      <c r="C8" s="564">
        <v>40611</v>
      </c>
      <c r="D8" s="562">
        <v>2</v>
      </c>
      <c r="E8" s="562">
        <v>-2</v>
      </c>
      <c r="F8" s="562">
        <f>IFERROR(Tableau1[[#This Row],[Score]]/Tableau1[[#This Row],[Nb]],0)</f>
        <v>-1</v>
      </c>
    </row>
    <row r="9" spans="1:6" ht="30" customHeight="1" x14ac:dyDescent="0.3">
      <c r="A9" s="562" t="s">
        <v>757</v>
      </c>
      <c r="B9" s="563" t="s">
        <v>4629</v>
      </c>
      <c r="C9" s="564">
        <v>40611</v>
      </c>
      <c r="D9" s="562">
        <v>2</v>
      </c>
      <c r="E9" s="562">
        <v>-2</v>
      </c>
      <c r="F9" s="562">
        <f>IFERROR(Tableau1[[#This Row],[Score]]/Tableau1[[#This Row],[Nb]],0)</f>
        <v>-1</v>
      </c>
    </row>
    <row r="10" spans="1:6" ht="30" customHeight="1" x14ac:dyDescent="0.3">
      <c r="A10" s="562" t="s">
        <v>422</v>
      </c>
      <c r="B10" s="597" t="s">
        <v>6645</v>
      </c>
      <c r="C10" s="564">
        <v>40611</v>
      </c>
      <c r="D10" s="562">
        <v>2</v>
      </c>
      <c r="E10" s="562">
        <v>0</v>
      </c>
      <c r="F10" s="562">
        <f>IFERROR(Tableau1[[#This Row],[Score]]/Tableau1[[#This Row],[Nb]],0)</f>
        <v>0</v>
      </c>
    </row>
    <row r="11" spans="1:6" ht="30" customHeight="1" x14ac:dyDescent="0.3">
      <c r="A11" s="562" t="s">
        <v>518</v>
      </c>
      <c r="B11" s="563" t="s">
        <v>6624</v>
      </c>
      <c r="C11" s="564">
        <v>40611</v>
      </c>
      <c r="D11" s="562">
        <v>2</v>
      </c>
      <c r="E11" s="562">
        <v>2</v>
      </c>
      <c r="F11" s="562">
        <f>IFERROR(Tableau1[[#This Row],[Score]]/Tableau1[[#This Row],[Nb]],0)</f>
        <v>1</v>
      </c>
    </row>
    <row r="12" spans="1:6" ht="30" customHeight="1" x14ac:dyDescent="0.3">
      <c r="A12" s="562" t="s">
        <v>5001</v>
      </c>
      <c r="B12" s="563" t="s">
        <v>5002</v>
      </c>
      <c r="C12" s="564">
        <v>40611</v>
      </c>
      <c r="D12" s="562">
        <v>3</v>
      </c>
      <c r="E12" s="562">
        <v>3</v>
      </c>
      <c r="F12" s="562">
        <f>IFERROR(Tableau1[[#This Row],[Score]]/Tableau1[[#This Row],[Nb]],0)</f>
        <v>1</v>
      </c>
    </row>
    <row r="13" spans="1:6" ht="30" customHeight="1" x14ac:dyDescent="0.3">
      <c r="A13" s="562" t="s">
        <v>3580</v>
      </c>
      <c r="B13" s="563" t="s">
        <v>3501</v>
      </c>
      <c r="C13" s="564">
        <v>40611</v>
      </c>
      <c r="D13" s="562">
        <v>3</v>
      </c>
      <c r="E13" s="562">
        <v>-1</v>
      </c>
      <c r="F13" s="562">
        <f>IFERROR(Tableau1[[#This Row],[Score]]/Tableau1[[#This Row],[Nb]],0)</f>
        <v>-0.33333333333333331</v>
      </c>
    </row>
    <row r="14" spans="1:6" ht="30" customHeight="1" x14ac:dyDescent="0.3">
      <c r="A14" s="562" t="s">
        <v>3579</v>
      </c>
      <c r="B14" s="563" t="s">
        <v>2747</v>
      </c>
      <c r="C14" s="564">
        <v>40611</v>
      </c>
      <c r="D14" s="562">
        <v>3</v>
      </c>
      <c r="E14" s="562">
        <v>3</v>
      </c>
      <c r="F14" s="562">
        <f>IFERROR(Tableau1[[#This Row],[Score]]/Tableau1[[#This Row],[Nb]],0)</f>
        <v>1</v>
      </c>
    </row>
    <row r="15" spans="1:6" ht="30" customHeight="1" x14ac:dyDescent="0.3">
      <c r="A15" s="562" t="s">
        <v>3581</v>
      </c>
      <c r="B15" s="563" t="s">
        <v>3582</v>
      </c>
      <c r="C15" s="564">
        <v>40611</v>
      </c>
      <c r="D15" s="562">
        <v>3</v>
      </c>
      <c r="E15" s="562">
        <v>-1</v>
      </c>
      <c r="F15" s="562">
        <f>IFERROR(Tableau1[[#This Row],[Score]]/Tableau1[[#This Row],[Nb]],0)</f>
        <v>-0.33333333333333331</v>
      </c>
    </row>
    <row r="16" spans="1:6" ht="30" customHeight="1" x14ac:dyDescent="0.3">
      <c r="A16" s="562" t="s">
        <v>373</v>
      </c>
      <c r="B16" s="563" t="s">
        <v>6590</v>
      </c>
      <c r="C16" s="564">
        <v>40611</v>
      </c>
      <c r="D16" s="562">
        <v>4</v>
      </c>
      <c r="E16" s="562">
        <v>0</v>
      </c>
      <c r="F16" s="562">
        <f>IFERROR(Tableau1[[#This Row],[Score]]/Tableau1[[#This Row],[Nb]],0)</f>
        <v>0</v>
      </c>
    </row>
    <row r="17" spans="1:6" ht="30" customHeight="1" x14ac:dyDescent="0.3">
      <c r="A17" s="562" t="s">
        <v>341</v>
      </c>
      <c r="B17" s="563" t="s">
        <v>342</v>
      </c>
      <c r="C17" s="564">
        <v>40611</v>
      </c>
      <c r="D17" s="562">
        <v>3</v>
      </c>
      <c r="E17" s="562">
        <v>3</v>
      </c>
      <c r="F17" s="562">
        <f>IFERROR(Tableau1[[#This Row],[Score]]/Tableau1[[#This Row],[Nb]],0)</f>
        <v>1</v>
      </c>
    </row>
    <row r="18" spans="1:6" ht="30" customHeight="1" x14ac:dyDescent="0.3">
      <c r="A18" s="562" t="s">
        <v>502</v>
      </c>
      <c r="B18" s="563" t="s">
        <v>503</v>
      </c>
      <c r="C18" s="564">
        <v>40611</v>
      </c>
      <c r="D18" s="562">
        <v>3</v>
      </c>
      <c r="E18" s="562">
        <v>3</v>
      </c>
      <c r="F18" s="562">
        <f>IFERROR(Tableau1[[#This Row],[Score]]/Tableau1[[#This Row],[Nb]],0)</f>
        <v>1</v>
      </c>
    </row>
    <row r="19" spans="1:6" ht="30" customHeight="1" x14ac:dyDescent="0.3">
      <c r="A19" s="562" t="s">
        <v>483</v>
      </c>
      <c r="B19" s="563" t="s">
        <v>484</v>
      </c>
      <c r="C19" s="564">
        <v>40611</v>
      </c>
      <c r="D19" s="562">
        <v>3</v>
      </c>
      <c r="E19" s="562">
        <v>3</v>
      </c>
      <c r="F19" s="562">
        <f>IFERROR(Tableau1[[#This Row],[Score]]/Tableau1[[#This Row],[Nb]],0)</f>
        <v>1</v>
      </c>
    </row>
    <row r="20" spans="1:6" ht="30" customHeight="1" x14ac:dyDescent="0.3">
      <c r="A20" s="562" t="s">
        <v>495</v>
      </c>
      <c r="B20" s="563" t="s">
        <v>6591</v>
      </c>
      <c r="C20" s="564">
        <v>40611</v>
      </c>
      <c r="D20" s="562">
        <v>3</v>
      </c>
      <c r="E20" s="562">
        <v>3</v>
      </c>
      <c r="F20" s="562">
        <f>IFERROR(Tableau1[[#This Row],[Score]]/Tableau1[[#This Row],[Nb]],0)</f>
        <v>1</v>
      </c>
    </row>
    <row r="21" spans="1:6" ht="30" customHeight="1" x14ac:dyDescent="0.3">
      <c r="A21" s="562" t="s">
        <v>3577</v>
      </c>
      <c r="B21" s="563" t="s">
        <v>3164</v>
      </c>
      <c r="C21" s="564">
        <v>40611</v>
      </c>
      <c r="D21" s="562">
        <v>4</v>
      </c>
      <c r="E21" s="562">
        <v>0</v>
      </c>
      <c r="F21" s="562">
        <f>IFERROR(Tableau1[[#This Row],[Score]]/Tableau1[[#This Row],[Nb]],0)</f>
        <v>0</v>
      </c>
    </row>
    <row r="22" spans="1:6" ht="30" customHeight="1" x14ac:dyDescent="0.3">
      <c r="A22" s="562" t="s">
        <v>325</v>
      </c>
      <c r="B22" s="612" t="s">
        <v>6652</v>
      </c>
      <c r="C22" s="564">
        <v>40611</v>
      </c>
      <c r="D22" s="562">
        <v>4</v>
      </c>
      <c r="E22" s="562">
        <v>2</v>
      </c>
      <c r="F22" s="562">
        <f>IFERROR(Tableau1[[#This Row],[Score]]/Tableau1[[#This Row],[Nb]],0)</f>
        <v>0.5</v>
      </c>
    </row>
    <row r="23" spans="1:6" ht="30" customHeight="1" x14ac:dyDescent="0.3">
      <c r="A23" s="562" t="s">
        <v>319</v>
      </c>
      <c r="B23" s="563" t="s">
        <v>320</v>
      </c>
      <c r="C23" s="564">
        <v>40611</v>
      </c>
      <c r="D23" s="562">
        <v>4</v>
      </c>
      <c r="E23" s="562">
        <v>4</v>
      </c>
      <c r="F23" s="562">
        <f>IFERROR(Tableau1[[#This Row],[Score]]/Tableau1[[#This Row],[Nb]],0)</f>
        <v>1</v>
      </c>
    </row>
    <row r="24" spans="1:6" ht="30" customHeight="1" x14ac:dyDescent="0.3">
      <c r="A24" s="562" t="s">
        <v>521</v>
      </c>
      <c r="B24" s="563" t="s">
        <v>522</v>
      </c>
      <c r="C24" s="564">
        <v>40611</v>
      </c>
      <c r="D24" s="562">
        <v>5</v>
      </c>
      <c r="E24" s="562">
        <v>5</v>
      </c>
      <c r="F24" s="562">
        <f>IFERROR(Tableau1[[#This Row],[Score]]/Tableau1[[#This Row],[Nb]],0)</f>
        <v>1</v>
      </c>
    </row>
    <row r="25" spans="1:6" ht="30" customHeight="1" x14ac:dyDescent="0.3">
      <c r="A25" s="562" t="s">
        <v>3583</v>
      </c>
      <c r="B25" s="563" t="s">
        <v>3584</v>
      </c>
      <c r="C25" s="564">
        <v>40611</v>
      </c>
      <c r="D25" s="562">
        <v>5</v>
      </c>
      <c r="E25" s="562">
        <v>5</v>
      </c>
      <c r="F25" s="562">
        <f>IFERROR(Tableau1[[#This Row],[Score]]/Tableau1[[#This Row],[Nb]],0)</f>
        <v>1</v>
      </c>
    </row>
    <row r="26" spans="1:6" ht="30" customHeight="1" x14ac:dyDescent="0.3">
      <c r="A26" s="562" t="s">
        <v>394</v>
      </c>
      <c r="B26" s="563" t="s">
        <v>395</v>
      </c>
      <c r="C26" s="564">
        <v>40611</v>
      </c>
      <c r="D26" s="562">
        <v>5</v>
      </c>
      <c r="E26" s="562">
        <v>5</v>
      </c>
      <c r="F26" s="562">
        <f>IFERROR(Tableau1[[#This Row],[Score]]/Tableau1[[#This Row],[Nb]],0)</f>
        <v>1</v>
      </c>
    </row>
    <row r="27" spans="1:6" ht="30" customHeight="1" x14ac:dyDescent="0.3">
      <c r="A27" s="562" t="s">
        <v>459</v>
      </c>
      <c r="B27" s="563" t="s">
        <v>460</v>
      </c>
      <c r="C27" s="564">
        <v>40611</v>
      </c>
      <c r="D27" s="562">
        <v>5</v>
      </c>
      <c r="E27" s="562">
        <v>5</v>
      </c>
      <c r="F27" s="562">
        <f>IFERROR(Tableau1[[#This Row],[Score]]/Tableau1[[#This Row],[Nb]],0)</f>
        <v>1</v>
      </c>
    </row>
    <row r="28" spans="1:6" ht="30" customHeight="1" x14ac:dyDescent="0.3">
      <c r="A28" s="562" t="s">
        <v>1576</v>
      </c>
      <c r="B28" s="563" t="s">
        <v>6156</v>
      </c>
      <c r="C28" s="564">
        <v>41522</v>
      </c>
      <c r="D28" s="562">
        <v>1</v>
      </c>
      <c r="E28" s="562">
        <v>-1</v>
      </c>
      <c r="F28" s="562">
        <f>IFERROR(Tableau1[[#This Row],[Score]]/Tableau1[[#This Row],[Nb]],0)</f>
        <v>-1</v>
      </c>
    </row>
    <row r="29" spans="1:6" ht="30" customHeight="1" x14ac:dyDescent="0.3">
      <c r="A29" s="617" t="s">
        <v>1474</v>
      </c>
      <c r="B29" s="618" t="s">
        <v>2735</v>
      </c>
      <c r="C29" s="619">
        <v>41522</v>
      </c>
      <c r="D29" s="562">
        <v>1</v>
      </c>
      <c r="E29" s="562">
        <v>-1</v>
      </c>
      <c r="F29" s="617">
        <f>IFERROR(Tableau1[[#This Row],[Score]]/Tableau1[[#This Row],[Nb]],0)</f>
        <v>-1</v>
      </c>
    </row>
    <row r="30" spans="1:6" ht="30" customHeight="1" x14ac:dyDescent="0.3">
      <c r="A30" s="562" t="s">
        <v>5718</v>
      </c>
      <c r="B30" s="563" t="s">
        <v>1434</v>
      </c>
      <c r="C30" s="564">
        <v>41522</v>
      </c>
      <c r="D30" s="562">
        <v>3</v>
      </c>
      <c r="E30" s="562">
        <v>-1</v>
      </c>
      <c r="F30" s="562">
        <f>IFERROR(Tableau1[[#This Row],[Score]]/Tableau1[[#This Row],[Nb]],0)</f>
        <v>-0.33333333333333331</v>
      </c>
    </row>
    <row r="31" spans="1:6" ht="30" customHeight="1" x14ac:dyDescent="0.3">
      <c r="A31" s="562" t="s">
        <v>1141</v>
      </c>
      <c r="B31" s="563" t="s">
        <v>1142</v>
      </c>
      <c r="C31" s="564">
        <v>41522</v>
      </c>
      <c r="D31" s="562">
        <v>4</v>
      </c>
      <c r="E31" s="562">
        <v>4</v>
      </c>
      <c r="F31" s="562">
        <f>IFERROR(Tableau1[[#This Row],[Score]]/Tableau1[[#This Row],[Nb]],0)</f>
        <v>1</v>
      </c>
    </row>
    <row r="32" spans="1:6" ht="30" customHeight="1" x14ac:dyDescent="0.3">
      <c r="A32" s="562" t="s">
        <v>3360</v>
      </c>
      <c r="B32" s="563" t="s">
        <v>2827</v>
      </c>
      <c r="C32" s="564">
        <v>41522</v>
      </c>
      <c r="D32" s="562">
        <v>5</v>
      </c>
      <c r="E32" s="562">
        <v>1</v>
      </c>
      <c r="F32" s="562">
        <f>IFERROR(Tableau1[[#This Row],[Score]]/Tableau1[[#This Row],[Nb]],0)</f>
        <v>0.2</v>
      </c>
    </row>
    <row r="33" spans="1:6" ht="30" customHeight="1" x14ac:dyDescent="0.3">
      <c r="A33" s="562" t="s">
        <v>188</v>
      </c>
      <c r="B33" s="563" t="s">
        <v>1135</v>
      </c>
      <c r="C33" s="564">
        <v>41621</v>
      </c>
      <c r="D33" s="562">
        <v>0</v>
      </c>
      <c r="E33" s="562">
        <v>0</v>
      </c>
      <c r="F33" s="562">
        <f>IFERROR(Tableau1[[#This Row],[Score]]/Tableau1[[#This Row],[Nb]],0)</f>
        <v>0</v>
      </c>
    </row>
    <row r="34" spans="1:6" ht="30" customHeight="1" x14ac:dyDescent="0.3">
      <c r="A34" s="562" t="s">
        <v>939</v>
      </c>
      <c r="B34" s="563" t="s">
        <v>877</v>
      </c>
      <c r="C34" s="564">
        <v>41621</v>
      </c>
      <c r="D34" s="562">
        <v>0</v>
      </c>
      <c r="E34" s="562">
        <v>0</v>
      </c>
      <c r="F34" s="562">
        <f>IFERROR(Tableau1[[#This Row],[Score]]/Tableau1[[#This Row],[Nb]],0)</f>
        <v>0</v>
      </c>
    </row>
    <row r="35" spans="1:6" ht="30" customHeight="1" x14ac:dyDescent="0.3">
      <c r="A35" s="562" t="s">
        <v>1596</v>
      </c>
      <c r="B35" s="563" t="s">
        <v>4315</v>
      </c>
      <c r="C35" s="564">
        <v>41621</v>
      </c>
      <c r="D35" s="562">
        <v>0</v>
      </c>
      <c r="E35" s="562">
        <v>0</v>
      </c>
      <c r="F35" s="562">
        <f>IFERROR(Tableau1[[#This Row],[Score]]/Tableau1[[#This Row],[Nb]],0)</f>
        <v>0</v>
      </c>
    </row>
    <row r="36" spans="1:6" ht="30" customHeight="1" x14ac:dyDescent="0.3">
      <c r="A36" s="562" t="s">
        <v>1019</v>
      </c>
      <c r="B36" s="655" t="s">
        <v>6670</v>
      </c>
      <c r="C36" s="564">
        <v>41621</v>
      </c>
      <c r="D36" s="562">
        <v>1</v>
      </c>
      <c r="E36" s="562">
        <v>-1</v>
      </c>
      <c r="F36" s="562">
        <f>IFERROR(Tableau1[[#This Row],[Score]]/Tableau1[[#This Row],[Nb]],0)</f>
        <v>-1</v>
      </c>
    </row>
    <row r="37" spans="1:6" ht="30" customHeight="1" x14ac:dyDescent="0.3">
      <c r="A37" s="562" t="s">
        <v>4326</v>
      </c>
      <c r="B37" s="563" t="s">
        <v>4327</v>
      </c>
      <c r="C37" s="564">
        <v>41621</v>
      </c>
      <c r="D37" s="562">
        <v>0</v>
      </c>
      <c r="E37" s="562">
        <v>0</v>
      </c>
      <c r="F37" s="562">
        <f>IFERROR(Tableau1[[#This Row],[Score]]/Tableau1[[#This Row],[Nb]],0)</f>
        <v>0</v>
      </c>
    </row>
    <row r="38" spans="1:6" ht="30" customHeight="1" x14ac:dyDescent="0.3">
      <c r="A38" s="562" t="s">
        <v>3932</v>
      </c>
      <c r="B38" s="563" t="s">
        <v>3933</v>
      </c>
      <c r="C38" s="564">
        <v>41621</v>
      </c>
      <c r="D38" s="562">
        <v>1</v>
      </c>
      <c r="E38" s="562">
        <v>-1</v>
      </c>
      <c r="F38" s="562">
        <f>IFERROR(Tableau1[[#This Row],[Score]]/Tableau1[[#This Row],[Nb]],0)</f>
        <v>-1</v>
      </c>
    </row>
    <row r="39" spans="1:6" ht="30" customHeight="1" x14ac:dyDescent="0.3">
      <c r="A39" s="562" t="s">
        <v>3790</v>
      </c>
      <c r="B39" s="563" t="s">
        <v>3791</v>
      </c>
      <c r="C39" s="564">
        <v>41621</v>
      </c>
      <c r="D39" s="562">
        <v>0</v>
      </c>
      <c r="E39" s="562">
        <v>0</v>
      </c>
      <c r="F39" s="562">
        <f>IFERROR(Tableau1[[#This Row],[Score]]/Tableau1[[#This Row],[Nb]],0)</f>
        <v>0</v>
      </c>
    </row>
    <row r="40" spans="1:6" ht="30" customHeight="1" x14ac:dyDescent="0.3">
      <c r="A40" s="576" t="s">
        <v>968</v>
      </c>
      <c r="B40" s="577" t="s">
        <v>623</v>
      </c>
      <c r="C40" s="582">
        <v>41621</v>
      </c>
      <c r="D40" s="562">
        <v>0</v>
      </c>
      <c r="E40" s="562">
        <v>0</v>
      </c>
      <c r="F40" s="576">
        <f>IFERROR(Tableau1[[#This Row],[Score]]/Tableau1[[#This Row],[Nb]],0)</f>
        <v>0</v>
      </c>
    </row>
    <row r="41" spans="1:6" ht="30" customHeight="1" x14ac:dyDescent="0.3">
      <c r="A41" s="589" t="s">
        <v>4055</v>
      </c>
      <c r="B41" s="590" t="s">
        <v>4054</v>
      </c>
      <c r="C41" s="591">
        <v>41621</v>
      </c>
      <c r="D41" s="562">
        <v>0</v>
      </c>
      <c r="E41" s="562">
        <v>0</v>
      </c>
      <c r="F41" s="589">
        <f>IFERROR(Tableau1[[#This Row],[Score]]/Tableau1[[#This Row],[Nb]],0)</f>
        <v>0</v>
      </c>
    </row>
    <row r="42" spans="1:6" ht="30" customHeight="1" x14ac:dyDescent="0.3">
      <c r="A42" s="562" t="s">
        <v>1475</v>
      </c>
      <c r="B42" s="563" t="s">
        <v>3881</v>
      </c>
      <c r="C42" s="564">
        <v>41621</v>
      </c>
      <c r="D42" s="562">
        <v>1</v>
      </c>
      <c r="E42" s="562">
        <v>-1</v>
      </c>
      <c r="F42" s="562">
        <f>IFERROR(Tableau1[[#This Row],[Score]]/Tableau1[[#This Row],[Nb]],0)</f>
        <v>-1</v>
      </c>
    </row>
    <row r="43" spans="1:6" ht="30" customHeight="1" x14ac:dyDescent="0.3">
      <c r="A43" s="562" t="s">
        <v>3711</v>
      </c>
      <c r="B43" s="563" t="s">
        <v>900</v>
      </c>
      <c r="C43" s="564">
        <v>41621</v>
      </c>
      <c r="D43" s="562">
        <v>1</v>
      </c>
      <c r="E43" s="562">
        <v>1</v>
      </c>
      <c r="F43" s="562">
        <f>IFERROR(Tableau1[[#This Row],[Score]]/Tableau1[[#This Row],[Nb]],0)</f>
        <v>1</v>
      </c>
    </row>
    <row r="44" spans="1:6" ht="30" customHeight="1" x14ac:dyDescent="0.3">
      <c r="A44" s="562" t="s">
        <v>3682</v>
      </c>
      <c r="B44" s="563" t="s">
        <v>795</v>
      </c>
      <c r="C44" s="564">
        <v>41621</v>
      </c>
      <c r="D44" s="562">
        <v>1</v>
      </c>
      <c r="E44" s="562">
        <v>1</v>
      </c>
      <c r="F44" s="562">
        <f>IFERROR(Tableau1[[#This Row],[Score]]/Tableau1[[#This Row],[Nb]],0)</f>
        <v>1</v>
      </c>
    </row>
    <row r="45" spans="1:6" ht="30" customHeight="1" x14ac:dyDescent="0.3">
      <c r="A45" s="562" t="s">
        <v>1599</v>
      </c>
      <c r="B45" s="563" t="s">
        <v>857</v>
      </c>
      <c r="C45" s="564">
        <v>41621</v>
      </c>
      <c r="D45" s="562">
        <v>1</v>
      </c>
      <c r="E45" s="562">
        <v>-1</v>
      </c>
      <c r="F45" s="562">
        <f>IFERROR(Tableau1[[#This Row],[Score]]/Tableau1[[#This Row],[Nb]],0)</f>
        <v>-1</v>
      </c>
    </row>
    <row r="46" spans="1:6" ht="30" customHeight="1" x14ac:dyDescent="0.3">
      <c r="A46" s="562" t="s">
        <v>678</v>
      </c>
      <c r="B46" s="563" t="s">
        <v>835</v>
      </c>
      <c r="C46" s="564">
        <v>41621</v>
      </c>
      <c r="D46" s="562">
        <v>1</v>
      </c>
      <c r="E46" s="562">
        <v>1</v>
      </c>
      <c r="F46" s="562">
        <f>IFERROR(Tableau1[[#This Row],[Score]]/Tableau1[[#This Row],[Nb]],0)</f>
        <v>1</v>
      </c>
    </row>
    <row r="47" spans="1:6" ht="30" customHeight="1" x14ac:dyDescent="0.3">
      <c r="A47" s="562" t="s">
        <v>992</v>
      </c>
      <c r="B47" s="563" t="s">
        <v>825</v>
      </c>
      <c r="C47" s="564">
        <v>41621</v>
      </c>
      <c r="D47" s="562">
        <v>1</v>
      </c>
      <c r="E47" s="562">
        <v>1</v>
      </c>
      <c r="F47" s="562">
        <f>IFERROR(Tableau1[[#This Row],[Score]]/Tableau1[[#This Row],[Nb]],0)</f>
        <v>1</v>
      </c>
    </row>
    <row r="48" spans="1:6" ht="30" customHeight="1" x14ac:dyDescent="0.3">
      <c r="A48" s="562" t="s">
        <v>985</v>
      </c>
      <c r="B48" s="563" t="s">
        <v>5194</v>
      </c>
      <c r="C48" s="564">
        <v>41621</v>
      </c>
      <c r="D48" s="562">
        <v>2</v>
      </c>
      <c r="E48" s="562">
        <v>2</v>
      </c>
      <c r="F48" s="562">
        <f>IFERROR(Tableau1[[#This Row],[Score]]/Tableau1[[#This Row],[Nb]],0)</f>
        <v>1</v>
      </c>
    </row>
    <row r="49" spans="1:6" ht="30" customHeight="1" x14ac:dyDescent="0.3">
      <c r="A49" s="562" t="s">
        <v>957</v>
      </c>
      <c r="B49" s="563" t="s">
        <v>4233</v>
      </c>
      <c r="C49" s="564">
        <v>41621</v>
      </c>
      <c r="D49" s="562">
        <v>1</v>
      </c>
      <c r="E49" s="562">
        <v>1</v>
      </c>
      <c r="F49" s="562">
        <f>IFERROR(Tableau1[[#This Row],[Score]]/Tableau1[[#This Row],[Nb]],0)</f>
        <v>1</v>
      </c>
    </row>
    <row r="50" spans="1:6" ht="30" customHeight="1" x14ac:dyDescent="0.3">
      <c r="A50" s="562" t="s">
        <v>4440</v>
      </c>
      <c r="B50" s="563" t="s">
        <v>4441</v>
      </c>
      <c r="C50" s="564">
        <v>41621</v>
      </c>
      <c r="D50" s="562">
        <v>1</v>
      </c>
      <c r="E50" s="562">
        <v>1</v>
      </c>
      <c r="F50" s="562">
        <f>IFERROR(Tableau1[[#This Row],[Score]]/Tableau1[[#This Row],[Nb]],0)</f>
        <v>1</v>
      </c>
    </row>
    <row r="51" spans="1:6" ht="30" customHeight="1" x14ac:dyDescent="0.3">
      <c r="A51" s="562" t="s">
        <v>1087</v>
      </c>
      <c r="B51" s="646" t="s">
        <v>6666</v>
      </c>
      <c r="C51" s="564">
        <v>41621</v>
      </c>
      <c r="D51" s="562">
        <v>1</v>
      </c>
      <c r="E51" s="562">
        <v>-1</v>
      </c>
      <c r="F51" s="562">
        <f>IFERROR(Tableau1[[#This Row],[Score]]/Tableau1[[#This Row],[Nb]],0)</f>
        <v>-1</v>
      </c>
    </row>
    <row r="52" spans="1:6" ht="30" customHeight="1" x14ac:dyDescent="0.3">
      <c r="A52" s="562" t="s">
        <v>3920</v>
      </c>
      <c r="B52" s="563" t="s">
        <v>3921</v>
      </c>
      <c r="C52" s="564">
        <v>41621</v>
      </c>
      <c r="D52" s="562">
        <v>1</v>
      </c>
      <c r="E52" s="562">
        <v>1</v>
      </c>
      <c r="F52" s="562">
        <f>IFERROR(Tableau1[[#This Row],[Score]]/Tableau1[[#This Row],[Nb]],0)</f>
        <v>1</v>
      </c>
    </row>
    <row r="53" spans="1:6" ht="30" customHeight="1" x14ac:dyDescent="0.3">
      <c r="A53" s="562" t="s">
        <v>3879</v>
      </c>
      <c r="B53" s="563" t="s">
        <v>3880</v>
      </c>
      <c r="C53" s="564">
        <v>41621</v>
      </c>
      <c r="D53" s="562">
        <v>1</v>
      </c>
      <c r="E53" s="562">
        <v>1</v>
      </c>
      <c r="F53" s="562">
        <f>IFERROR(Tableau1[[#This Row],[Score]]/Tableau1[[#This Row],[Nb]],0)</f>
        <v>1</v>
      </c>
    </row>
    <row r="54" spans="1:6" ht="30" customHeight="1" x14ac:dyDescent="0.3">
      <c r="A54" s="562" t="s">
        <v>749</v>
      </c>
      <c r="B54" s="577" t="s">
        <v>6639</v>
      </c>
      <c r="C54" s="564">
        <v>41621</v>
      </c>
      <c r="D54" s="562">
        <v>1</v>
      </c>
      <c r="E54" s="562">
        <v>-1</v>
      </c>
      <c r="F54" s="562">
        <f>IFERROR(Tableau1[[#This Row],[Score]]/Tableau1[[#This Row],[Nb]],0)</f>
        <v>-1</v>
      </c>
    </row>
    <row r="55" spans="1:6" ht="30" customHeight="1" x14ac:dyDescent="0.3">
      <c r="A55" s="562" t="s">
        <v>4668</v>
      </c>
      <c r="B55" s="563" t="s">
        <v>3521</v>
      </c>
      <c r="C55" s="564">
        <v>41621</v>
      </c>
      <c r="D55" s="562">
        <v>2</v>
      </c>
      <c r="E55" s="562">
        <v>2</v>
      </c>
      <c r="F55" s="562">
        <f>IFERROR(Tableau1[[#This Row],[Score]]/Tableau1[[#This Row],[Nb]],0)</f>
        <v>1</v>
      </c>
    </row>
    <row r="56" spans="1:6" ht="30" customHeight="1" x14ac:dyDescent="0.3">
      <c r="A56" s="562" t="s">
        <v>3178</v>
      </c>
      <c r="B56" s="563" t="s">
        <v>3177</v>
      </c>
      <c r="C56" s="564">
        <v>41621</v>
      </c>
      <c r="D56" s="562">
        <v>2</v>
      </c>
      <c r="E56" s="562">
        <v>-2</v>
      </c>
      <c r="F56" s="562">
        <f>IFERROR(Tableau1[[#This Row],[Score]]/Tableau1[[#This Row],[Nb]],0)</f>
        <v>-1</v>
      </c>
    </row>
    <row r="57" spans="1:6" ht="30" customHeight="1" x14ac:dyDescent="0.3">
      <c r="A57" s="562" t="s">
        <v>861</v>
      </c>
      <c r="B57" s="563" t="s">
        <v>862</v>
      </c>
      <c r="C57" s="564">
        <v>41621</v>
      </c>
      <c r="D57" s="562">
        <v>2</v>
      </c>
      <c r="E57" s="562">
        <v>2</v>
      </c>
      <c r="F57" s="562">
        <f>IFERROR(Tableau1[[#This Row],[Score]]/Tableau1[[#This Row],[Nb]],0)</f>
        <v>1</v>
      </c>
    </row>
    <row r="58" spans="1:6" ht="30" customHeight="1" x14ac:dyDescent="0.3">
      <c r="A58" s="562" t="s">
        <v>3683</v>
      </c>
      <c r="B58" s="563" t="s">
        <v>5593</v>
      </c>
      <c r="C58" s="564">
        <v>41621</v>
      </c>
      <c r="D58" s="562">
        <v>2</v>
      </c>
      <c r="E58" s="562">
        <v>-2</v>
      </c>
      <c r="F58" s="562">
        <f>IFERROR(Tableau1[[#This Row],[Score]]/Tableau1[[#This Row],[Nb]],0)</f>
        <v>-1</v>
      </c>
    </row>
    <row r="59" spans="1:6" ht="30" customHeight="1" x14ac:dyDescent="0.3">
      <c r="A59" s="562" t="s">
        <v>3405</v>
      </c>
      <c r="B59" s="563" t="s">
        <v>3406</v>
      </c>
      <c r="C59" s="564">
        <v>41621</v>
      </c>
      <c r="D59" s="562">
        <v>2</v>
      </c>
      <c r="E59" s="562">
        <v>2</v>
      </c>
      <c r="F59" s="562">
        <f>IFERROR(Tableau1[[#This Row],[Score]]/Tableau1[[#This Row],[Nb]],0)</f>
        <v>1</v>
      </c>
    </row>
    <row r="60" spans="1:6" ht="30" customHeight="1" x14ac:dyDescent="0.3">
      <c r="A60" s="562" t="s">
        <v>971</v>
      </c>
      <c r="B60" s="563" t="s">
        <v>2840</v>
      </c>
      <c r="C60" s="564">
        <v>41621</v>
      </c>
      <c r="D60" s="562">
        <v>2</v>
      </c>
      <c r="E60" s="562">
        <v>2</v>
      </c>
      <c r="F60" s="562">
        <f>IFERROR(Tableau1[[#This Row],[Score]]/Tableau1[[#This Row],[Nb]],0)</f>
        <v>1</v>
      </c>
    </row>
    <row r="61" spans="1:6" ht="30" customHeight="1" x14ac:dyDescent="0.3">
      <c r="A61" s="562" t="s">
        <v>3918</v>
      </c>
      <c r="B61" s="563" t="s">
        <v>3919</v>
      </c>
      <c r="C61" s="564">
        <v>41621</v>
      </c>
      <c r="D61" s="562">
        <v>2</v>
      </c>
      <c r="E61" s="562">
        <v>2</v>
      </c>
      <c r="F61" s="562">
        <f>IFERROR(Tableau1[[#This Row],[Score]]/Tableau1[[#This Row],[Nb]],0)</f>
        <v>1</v>
      </c>
    </row>
    <row r="62" spans="1:6" ht="30" customHeight="1" x14ac:dyDescent="0.3">
      <c r="A62" s="562" t="s">
        <v>772</v>
      </c>
      <c r="B62" s="563" t="s">
        <v>730</v>
      </c>
      <c r="C62" s="564">
        <v>41621</v>
      </c>
      <c r="D62" s="562">
        <v>2</v>
      </c>
      <c r="E62" s="562">
        <v>0</v>
      </c>
      <c r="F62" s="562">
        <f>IFERROR(Tableau1[[#This Row],[Score]]/Tableau1[[#This Row],[Nb]],0)</f>
        <v>0</v>
      </c>
    </row>
    <row r="63" spans="1:6" ht="30" customHeight="1" x14ac:dyDescent="0.3">
      <c r="A63" s="562" t="s">
        <v>832</v>
      </c>
      <c r="B63" s="563" t="s">
        <v>833</v>
      </c>
      <c r="C63" s="564">
        <v>41621</v>
      </c>
      <c r="D63" s="562">
        <v>3</v>
      </c>
      <c r="E63" s="562">
        <v>3</v>
      </c>
      <c r="F63" s="562">
        <f>IFERROR(Tableau1[[#This Row],[Score]]/Tableau1[[#This Row],[Nb]],0)</f>
        <v>1</v>
      </c>
    </row>
    <row r="64" spans="1:6" ht="30" customHeight="1" x14ac:dyDescent="0.3">
      <c r="A64" s="562" t="s">
        <v>856</v>
      </c>
      <c r="B64" s="563" t="s">
        <v>4640</v>
      </c>
      <c r="C64" s="564">
        <v>41621</v>
      </c>
      <c r="D64" s="562">
        <v>4</v>
      </c>
      <c r="E64" s="562">
        <v>0</v>
      </c>
      <c r="F64" s="562">
        <f>IFERROR(Tableau1[[#This Row],[Score]]/Tableau1[[#This Row],[Nb]],0)</f>
        <v>0</v>
      </c>
    </row>
    <row r="65" spans="1:6" ht="30" customHeight="1" x14ac:dyDescent="0.3">
      <c r="A65" s="562" t="s">
        <v>4354</v>
      </c>
      <c r="B65" s="563" t="s">
        <v>6589</v>
      </c>
      <c r="C65" s="564">
        <v>41621</v>
      </c>
      <c r="D65" s="562">
        <v>3</v>
      </c>
      <c r="E65" s="562">
        <v>1</v>
      </c>
      <c r="F65" s="562">
        <f>IFERROR(Tableau1[[#This Row],[Score]]/Tableau1[[#This Row],[Nb]],0)</f>
        <v>0.33333333333333331</v>
      </c>
    </row>
    <row r="66" spans="1:6" ht="30" customHeight="1" x14ac:dyDescent="0.3">
      <c r="A66" s="562" t="s">
        <v>1469</v>
      </c>
      <c r="B66" s="563" t="s">
        <v>3372</v>
      </c>
      <c r="C66" s="564">
        <v>41621</v>
      </c>
      <c r="D66" s="562">
        <v>3</v>
      </c>
      <c r="E66" s="562">
        <v>3</v>
      </c>
      <c r="F66" s="562">
        <f>IFERROR(Tableau1[[#This Row],[Score]]/Tableau1[[#This Row],[Nb]],0)</f>
        <v>1</v>
      </c>
    </row>
    <row r="67" spans="1:6" ht="30" customHeight="1" x14ac:dyDescent="0.3">
      <c r="A67" s="562" t="s">
        <v>1332</v>
      </c>
      <c r="B67" s="563" t="s">
        <v>1333</v>
      </c>
      <c r="C67" s="564">
        <v>41621</v>
      </c>
      <c r="D67" s="562">
        <v>5</v>
      </c>
      <c r="E67" s="562">
        <v>3</v>
      </c>
      <c r="F67" s="562">
        <f>IFERROR(Tableau1[[#This Row],[Score]]/Tableau1[[#This Row],[Nb]],0)</f>
        <v>0.6</v>
      </c>
    </row>
    <row r="68" spans="1:6" ht="30" customHeight="1" x14ac:dyDescent="0.3">
      <c r="A68" s="562" t="s">
        <v>941</v>
      </c>
      <c r="B68" s="563" t="s">
        <v>792</v>
      </c>
      <c r="C68" s="564">
        <v>41621</v>
      </c>
      <c r="D68" s="562">
        <v>5</v>
      </c>
      <c r="E68" s="562">
        <v>5</v>
      </c>
      <c r="F68" s="562">
        <f>IFERROR(Tableau1[[#This Row],[Score]]/Tableau1[[#This Row],[Nb]],0)</f>
        <v>1</v>
      </c>
    </row>
    <row r="69" spans="1:6" ht="30" customHeight="1" x14ac:dyDescent="0.3">
      <c r="A69" s="562" t="s">
        <v>934</v>
      </c>
      <c r="B69" s="563" t="s">
        <v>6502</v>
      </c>
      <c r="C69" s="564">
        <v>41621</v>
      </c>
      <c r="D69" s="562">
        <v>5</v>
      </c>
      <c r="E69" s="562">
        <v>3</v>
      </c>
      <c r="F69" s="562">
        <f>IFERROR(Tableau1[[#This Row],[Score]]/Tableau1[[#This Row],[Nb]],0)</f>
        <v>0.6</v>
      </c>
    </row>
    <row r="70" spans="1:6" ht="30" customHeight="1" x14ac:dyDescent="0.3">
      <c r="A70" s="562" t="s">
        <v>1442</v>
      </c>
      <c r="B70" s="563" t="s">
        <v>4090</v>
      </c>
      <c r="C70" s="564">
        <v>41621</v>
      </c>
      <c r="D70" s="562">
        <v>6</v>
      </c>
      <c r="E70" s="562">
        <v>6</v>
      </c>
      <c r="F70" s="562">
        <f>IFERROR(Tableau1[[#This Row],[Score]]/Tableau1[[#This Row],[Nb]],0)</f>
        <v>1</v>
      </c>
    </row>
    <row r="71" spans="1:6" ht="30" customHeight="1" x14ac:dyDescent="0.3">
      <c r="A71" s="562" t="s">
        <v>1029</v>
      </c>
      <c r="B71" s="563" t="s">
        <v>4706</v>
      </c>
      <c r="C71" s="564">
        <v>41621</v>
      </c>
      <c r="D71" s="562">
        <v>6</v>
      </c>
      <c r="E71" s="562">
        <v>6</v>
      </c>
      <c r="F71" s="562">
        <f>IFERROR(Tableau1[[#This Row],[Score]]/Tableau1[[#This Row],[Nb]],0)</f>
        <v>1</v>
      </c>
    </row>
    <row r="72" spans="1:6" ht="30" customHeight="1" x14ac:dyDescent="0.3">
      <c r="A72" s="562" t="s">
        <v>4572</v>
      </c>
      <c r="B72" s="655" t="s">
        <v>6671</v>
      </c>
      <c r="C72" s="564">
        <v>43206</v>
      </c>
      <c r="D72" s="562">
        <v>1</v>
      </c>
      <c r="E72" s="562">
        <v>-1</v>
      </c>
      <c r="F72" s="562">
        <f>IFERROR(Tableau1[[#This Row],[Score]]/Tableau1[[#This Row],[Nb]],0)</f>
        <v>-1</v>
      </c>
    </row>
    <row r="73" spans="1:6" ht="30" customHeight="1" x14ac:dyDescent="0.3">
      <c r="A73" s="562" t="s">
        <v>3341</v>
      </c>
      <c r="B73" s="563" t="s">
        <v>6265</v>
      </c>
      <c r="C73" s="564">
        <v>43206</v>
      </c>
      <c r="D73" s="562">
        <v>1</v>
      </c>
      <c r="E73" s="562">
        <v>1</v>
      </c>
      <c r="F73" s="562">
        <f>IFERROR(Tableau1[[#This Row],[Score]]/Tableau1[[#This Row],[Nb]],0)</f>
        <v>1</v>
      </c>
    </row>
    <row r="74" spans="1:6" ht="30" customHeight="1" x14ac:dyDescent="0.3">
      <c r="A74" s="562" t="s">
        <v>3613</v>
      </c>
      <c r="B74" s="563" t="s">
        <v>3616</v>
      </c>
      <c r="C74" s="564">
        <v>43206</v>
      </c>
      <c r="D74" s="562">
        <v>2</v>
      </c>
      <c r="E74" s="562">
        <v>2</v>
      </c>
      <c r="F74" s="562">
        <f>IFERROR(Tableau1[[#This Row],[Score]]/Tableau1[[#This Row],[Nb]],0)</f>
        <v>1</v>
      </c>
    </row>
    <row r="75" spans="1:6" ht="30" customHeight="1" x14ac:dyDescent="0.3">
      <c r="A75" s="562" t="s">
        <v>2205</v>
      </c>
      <c r="B75" s="563" t="s">
        <v>3677</v>
      </c>
      <c r="C75" s="564">
        <v>43206</v>
      </c>
      <c r="D75" s="562">
        <v>1</v>
      </c>
      <c r="E75" s="562">
        <v>1</v>
      </c>
      <c r="F75" s="562">
        <f>IFERROR(Tableau1[[#This Row],[Score]]/Tableau1[[#This Row],[Nb]],0)</f>
        <v>1</v>
      </c>
    </row>
    <row r="76" spans="1:6" ht="30" customHeight="1" x14ac:dyDescent="0.3">
      <c r="A76" s="562" t="s">
        <v>3340</v>
      </c>
      <c r="B76" s="563" t="s">
        <v>5067</v>
      </c>
      <c r="C76" s="564">
        <v>43206</v>
      </c>
      <c r="D76" s="562">
        <v>1</v>
      </c>
      <c r="E76" s="562">
        <v>1</v>
      </c>
      <c r="F76" s="562">
        <f>IFERROR(Tableau1[[#This Row],[Score]]/Tableau1[[#This Row],[Nb]],0)</f>
        <v>1</v>
      </c>
    </row>
    <row r="77" spans="1:6" ht="30" customHeight="1" x14ac:dyDescent="0.3">
      <c r="A77" s="562" t="s">
        <v>3687</v>
      </c>
      <c r="B77" s="563" t="s">
        <v>3686</v>
      </c>
      <c r="C77" s="564">
        <v>43206</v>
      </c>
      <c r="D77" s="562">
        <v>2</v>
      </c>
      <c r="E77" s="562">
        <v>1</v>
      </c>
      <c r="F77" s="562">
        <f>IFERROR(Tableau1[[#This Row],[Score]]/Tableau1[[#This Row],[Nb]],0)</f>
        <v>0.5</v>
      </c>
    </row>
    <row r="78" spans="1:6" ht="30" customHeight="1" x14ac:dyDescent="0.3">
      <c r="A78" s="562" t="s">
        <v>1551</v>
      </c>
      <c r="B78" s="563" t="s">
        <v>6269</v>
      </c>
      <c r="C78" s="564">
        <v>43206</v>
      </c>
      <c r="D78" s="562">
        <v>2</v>
      </c>
      <c r="E78" s="562">
        <v>-1</v>
      </c>
      <c r="F78" s="562">
        <f>IFERROR(Tableau1[[#This Row],[Score]]/Tableau1[[#This Row],[Nb]],0)</f>
        <v>-0.5</v>
      </c>
    </row>
    <row r="79" spans="1:6" ht="30" customHeight="1" x14ac:dyDescent="0.3">
      <c r="A79" s="562" t="s">
        <v>1039</v>
      </c>
      <c r="B79" s="563" t="s">
        <v>8</v>
      </c>
      <c r="C79" s="564">
        <v>43206</v>
      </c>
      <c r="D79" s="562">
        <v>2</v>
      </c>
      <c r="E79" s="562">
        <v>2</v>
      </c>
      <c r="F79" s="562">
        <f>IFERROR(Tableau1[[#This Row],[Score]]/Tableau1[[#This Row],[Nb]],0)</f>
        <v>1</v>
      </c>
    </row>
    <row r="80" spans="1:6" ht="30" customHeight="1" x14ac:dyDescent="0.3">
      <c r="A80" s="562" t="s">
        <v>3342</v>
      </c>
      <c r="B80" s="563" t="s">
        <v>6272</v>
      </c>
      <c r="C80" s="564">
        <v>43206</v>
      </c>
      <c r="D80" s="562">
        <v>4</v>
      </c>
      <c r="E80" s="562">
        <v>-2</v>
      </c>
      <c r="F80" s="562">
        <f>IFERROR(Tableau1[[#This Row],[Score]]/Tableau1[[#This Row],[Nb]],0)</f>
        <v>-0.5</v>
      </c>
    </row>
    <row r="81" spans="1:6" ht="30" customHeight="1" x14ac:dyDescent="0.3">
      <c r="A81" s="562" t="s">
        <v>3343</v>
      </c>
      <c r="B81" s="563" t="s">
        <v>3344</v>
      </c>
      <c r="C81" s="564">
        <v>43206</v>
      </c>
      <c r="D81" s="562">
        <v>3</v>
      </c>
      <c r="E81" s="562">
        <v>3</v>
      </c>
      <c r="F81" s="562">
        <f>IFERROR(Tableau1[[#This Row],[Score]]/Tableau1[[#This Row],[Nb]],0)</f>
        <v>1</v>
      </c>
    </row>
    <row r="82" spans="1:6" ht="30" customHeight="1" x14ac:dyDescent="0.3">
      <c r="A82" s="562" t="s">
        <v>3614</v>
      </c>
      <c r="B82" s="563" t="s">
        <v>3617</v>
      </c>
      <c r="C82" s="564">
        <v>43206</v>
      </c>
      <c r="D82" s="562">
        <v>3</v>
      </c>
      <c r="E82" s="562">
        <v>3</v>
      </c>
      <c r="F82" s="562">
        <f>IFERROR(Tableau1[[#This Row],[Score]]/Tableau1[[#This Row],[Nb]],0)</f>
        <v>1</v>
      </c>
    </row>
    <row r="83" spans="1:6" ht="30" customHeight="1" x14ac:dyDescent="0.3">
      <c r="A83" s="562" t="s">
        <v>3339</v>
      </c>
      <c r="B83" s="563" t="s">
        <v>6271</v>
      </c>
      <c r="C83" s="564">
        <v>43206</v>
      </c>
      <c r="D83" s="562">
        <v>3</v>
      </c>
      <c r="E83" s="562">
        <v>1</v>
      </c>
      <c r="F83" s="562">
        <f>IFERROR(Tableau1[[#This Row],[Score]]/Tableau1[[#This Row],[Nb]],0)</f>
        <v>0.33333333333333331</v>
      </c>
    </row>
    <row r="84" spans="1:6" ht="30" customHeight="1" x14ac:dyDescent="0.3">
      <c r="A84" s="562" t="s">
        <v>4234</v>
      </c>
      <c r="B84" s="563" t="s">
        <v>6266</v>
      </c>
      <c r="C84" s="564">
        <v>43206</v>
      </c>
      <c r="D84" s="562">
        <v>4</v>
      </c>
      <c r="E84" s="562">
        <v>3</v>
      </c>
      <c r="F84" s="562">
        <f>IFERROR(Tableau1[[#This Row],[Score]]/Tableau1[[#This Row],[Nb]],0)</f>
        <v>0.75</v>
      </c>
    </row>
    <row r="85" spans="1:6" ht="30" customHeight="1" x14ac:dyDescent="0.3">
      <c r="A85" s="562" t="s">
        <v>3615</v>
      </c>
      <c r="B85" s="563" t="s">
        <v>6315</v>
      </c>
      <c r="C85" s="564">
        <v>43206</v>
      </c>
      <c r="D85" s="562">
        <v>4</v>
      </c>
      <c r="E85" s="562">
        <v>4</v>
      </c>
      <c r="F85" s="562">
        <f>IFERROR(Tableau1[[#This Row],[Score]]/Tableau1[[#This Row],[Nb]],0)</f>
        <v>1</v>
      </c>
    </row>
    <row r="86" spans="1:6" ht="30" customHeight="1" x14ac:dyDescent="0.3">
      <c r="A86" s="562" t="s">
        <v>1329</v>
      </c>
      <c r="B86" s="563" t="s">
        <v>6446</v>
      </c>
      <c r="C86" s="564">
        <v>43206</v>
      </c>
      <c r="D86" s="562">
        <v>5</v>
      </c>
      <c r="E86" s="562">
        <v>3</v>
      </c>
      <c r="F86" s="562">
        <f>IFERROR(Tableau1[[#This Row],[Score]]/Tableau1[[#This Row],[Nb]],0)</f>
        <v>0.6</v>
      </c>
    </row>
    <row r="87" spans="1:6" ht="30" customHeight="1" x14ac:dyDescent="0.3">
      <c r="A87" s="562" t="s">
        <v>2668</v>
      </c>
      <c r="B87" s="563" t="s">
        <v>5601</v>
      </c>
      <c r="C87" s="564">
        <v>43206</v>
      </c>
      <c r="D87" s="562">
        <v>7</v>
      </c>
      <c r="E87" s="562">
        <v>7</v>
      </c>
      <c r="F87" s="562">
        <f>IFERROR(Tableau1[[#This Row],[Score]]/Tableau1[[#This Row],[Nb]],0)</f>
        <v>1</v>
      </c>
    </row>
    <row r="88" spans="1:6" ht="30" customHeight="1" x14ac:dyDescent="0.3">
      <c r="A88" s="562" t="s">
        <v>4073</v>
      </c>
      <c r="B88" s="563" t="s">
        <v>6267</v>
      </c>
      <c r="C88" s="564">
        <v>43206</v>
      </c>
      <c r="D88" s="562">
        <v>8</v>
      </c>
      <c r="E88" s="562">
        <v>6</v>
      </c>
      <c r="F88" s="562">
        <f>IFERROR(Tableau1[[#This Row],[Score]]/Tableau1[[#This Row],[Nb]],0)</f>
        <v>0.75</v>
      </c>
    </row>
    <row r="89" spans="1:6" ht="30" customHeight="1" x14ac:dyDescent="0.3">
      <c r="A89" s="562" t="s">
        <v>3597</v>
      </c>
      <c r="B89" s="563" t="s">
        <v>3596</v>
      </c>
      <c r="C89" s="564">
        <v>43237</v>
      </c>
      <c r="D89" s="562">
        <v>0</v>
      </c>
      <c r="E89" s="562">
        <v>0</v>
      </c>
      <c r="F89" s="562">
        <f>IFERROR(Tableau1[[#This Row],[Score]]/Tableau1[[#This Row],[Nb]],0)</f>
        <v>0</v>
      </c>
    </row>
    <row r="90" spans="1:6" ht="30" customHeight="1" x14ac:dyDescent="0.3">
      <c r="A90" s="562" t="s">
        <v>4868</v>
      </c>
      <c r="B90" s="563" t="s">
        <v>4867</v>
      </c>
      <c r="C90" s="564">
        <v>43237</v>
      </c>
      <c r="D90" s="562">
        <v>0</v>
      </c>
      <c r="E90" s="562">
        <v>0</v>
      </c>
      <c r="F90" s="562">
        <f>IFERROR(Tableau1[[#This Row],[Score]]/Tableau1[[#This Row],[Nb]],0)</f>
        <v>0</v>
      </c>
    </row>
    <row r="91" spans="1:6" ht="30" customHeight="1" x14ac:dyDescent="0.3">
      <c r="A91" s="562" t="s">
        <v>3626</v>
      </c>
      <c r="B91" s="563" t="s">
        <v>3628</v>
      </c>
      <c r="C91" s="564">
        <v>43237</v>
      </c>
      <c r="D91" s="562">
        <v>0</v>
      </c>
      <c r="E91" s="562">
        <v>0</v>
      </c>
      <c r="F91" s="562">
        <f>IFERROR(Tableau1[[#This Row],[Score]]/Tableau1[[#This Row],[Nb]],0)</f>
        <v>0</v>
      </c>
    </row>
    <row r="92" spans="1:6" ht="30" customHeight="1" x14ac:dyDescent="0.3">
      <c r="A92" s="562" t="s">
        <v>3496</v>
      </c>
      <c r="B92" s="563" t="s">
        <v>3497</v>
      </c>
      <c r="C92" s="564">
        <v>43237</v>
      </c>
      <c r="D92" s="562">
        <v>0</v>
      </c>
      <c r="E92" s="562">
        <v>0</v>
      </c>
      <c r="F92" s="562">
        <f>IFERROR(Tableau1[[#This Row],[Score]]/Tableau1[[#This Row],[Nb]],0)</f>
        <v>0</v>
      </c>
    </row>
    <row r="93" spans="1:6" ht="30" customHeight="1" x14ac:dyDescent="0.3">
      <c r="A93" s="562" t="s">
        <v>3620</v>
      </c>
      <c r="B93" s="563" t="s">
        <v>3621</v>
      </c>
      <c r="C93" s="564">
        <v>43237</v>
      </c>
      <c r="D93" s="562">
        <v>0</v>
      </c>
      <c r="E93" s="562">
        <v>0</v>
      </c>
      <c r="F93" s="562">
        <f>IFERROR(Tableau1[[#This Row],[Score]]/Tableau1[[#This Row],[Nb]],0)</f>
        <v>0</v>
      </c>
    </row>
    <row r="94" spans="1:6" ht="30" customHeight="1" x14ac:dyDescent="0.3">
      <c r="A94" s="562" t="s">
        <v>4128</v>
      </c>
      <c r="B94" s="563" t="s">
        <v>4127</v>
      </c>
      <c r="C94" s="564">
        <v>43237</v>
      </c>
      <c r="D94" s="562">
        <v>0</v>
      </c>
      <c r="E94" s="562">
        <v>0</v>
      </c>
      <c r="F94" s="562">
        <f>IFERROR(Tableau1[[#This Row],[Score]]/Tableau1[[#This Row],[Nb]],0)</f>
        <v>0</v>
      </c>
    </row>
    <row r="95" spans="1:6" ht="30" customHeight="1" x14ac:dyDescent="0.3">
      <c r="A95" s="562" t="s">
        <v>658</v>
      </c>
      <c r="B95" s="563" t="s">
        <v>1069</v>
      </c>
      <c r="C95" s="564">
        <v>43237</v>
      </c>
      <c r="D95" s="562">
        <v>0</v>
      </c>
      <c r="E95" s="562">
        <v>0</v>
      </c>
      <c r="F95" s="562">
        <f>IFERROR(Tableau1[[#This Row],[Score]]/Tableau1[[#This Row],[Nb]],0)</f>
        <v>0</v>
      </c>
    </row>
    <row r="96" spans="1:6" ht="30" customHeight="1" x14ac:dyDescent="0.3">
      <c r="A96" s="562" t="s">
        <v>3170</v>
      </c>
      <c r="B96" s="563" t="s">
        <v>3171</v>
      </c>
      <c r="C96" s="564">
        <v>43237</v>
      </c>
      <c r="D96" s="562">
        <v>0</v>
      </c>
      <c r="E96" s="562">
        <v>0</v>
      </c>
      <c r="F96" s="562">
        <f>IFERROR(Tableau1[[#This Row],[Score]]/Tableau1[[#This Row],[Nb]],0)</f>
        <v>0</v>
      </c>
    </row>
    <row r="97" spans="1:6" ht="30" customHeight="1" x14ac:dyDescent="0.3">
      <c r="A97" s="562" t="s">
        <v>2689</v>
      </c>
      <c r="B97" s="563" t="s">
        <v>5347</v>
      </c>
      <c r="C97" s="564">
        <v>43237</v>
      </c>
      <c r="D97" s="562">
        <v>1</v>
      </c>
      <c r="E97" s="562">
        <v>1</v>
      </c>
      <c r="F97" s="562">
        <f>IFERROR(Tableau1[[#This Row],[Score]]/Tableau1[[#This Row],[Nb]],0)</f>
        <v>1</v>
      </c>
    </row>
    <row r="98" spans="1:6" ht="30" customHeight="1" x14ac:dyDescent="0.3">
      <c r="A98" s="562" t="s">
        <v>4213</v>
      </c>
      <c r="B98" s="563" t="s">
        <v>3692</v>
      </c>
      <c r="C98" s="564">
        <v>43237</v>
      </c>
      <c r="D98" s="562">
        <v>1</v>
      </c>
      <c r="E98" s="562">
        <v>-1</v>
      </c>
      <c r="F98" s="562">
        <f>IFERROR(Tableau1[[#This Row],[Score]]/Tableau1[[#This Row],[Nb]],0)</f>
        <v>-1</v>
      </c>
    </row>
    <row r="99" spans="1:6" ht="30" customHeight="1" x14ac:dyDescent="0.3">
      <c r="A99" s="562" t="s">
        <v>1049</v>
      </c>
      <c r="B99" s="563" t="s">
        <v>736</v>
      </c>
      <c r="C99" s="564">
        <v>43237</v>
      </c>
      <c r="D99" s="562">
        <v>1</v>
      </c>
      <c r="E99" s="562">
        <v>-1</v>
      </c>
      <c r="F99" s="562">
        <f>IFERROR(Tableau1[[#This Row],[Score]]/Tableau1[[#This Row],[Nb]],0)</f>
        <v>-1</v>
      </c>
    </row>
    <row r="100" spans="1:6" ht="30" customHeight="1" x14ac:dyDescent="0.3">
      <c r="A100" s="562" t="s">
        <v>1040</v>
      </c>
      <c r="B100" s="563" t="s">
        <v>798</v>
      </c>
      <c r="C100" s="564">
        <v>43237</v>
      </c>
      <c r="D100" s="562">
        <v>1</v>
      </c>
      <c r="E100" s="562">
        <v>1</v>
      </c>
      <c r="F100" s="562">
        <f>IFERROR(Tableau1[[#This Row],[Score]]/Tableau1[[#This Row],[Nb]],0)</f>
        <v>1</v>
      </c>
    </row>
    <row r="101" spans="1:6" ht="30" customHeight="1" x14ac:dyDescent="0.3">
      <c r="A101" s="562" t="s">
        <v>4571</v>
      </c>
      <c r="B101" s="563" t="s">
        <v>4570</v>
      </c>
      <c r="C101" s="564">
        <v>43237</v>
      </c>
      <c r="D101" s="562">
        <v>1</v>
      </c>
      <c r="E101" s="562">
        <v>1</v>
      </c>
      <c r="F101" s="562">
        <f>IFERROR(Tableau1[[#This Row],[Score]]/Tableau1[[#This Row],[Nb]],0)</f>
        <v>1</v>
      </c>
    </row>
    <row r="102" spans="1:6" ht="30" customHeight="1" x14ac:dyDescent="0.3">
      <c r="A102" s="562" t="s">
        <v>4738</v>
      </c>
      <c r="B102" s="650" t="s">
        <v>6668</v>
      </c>
      <c r="C102" s="564">
        <v>43237</v>
      </c>
      <c r="D102" s="562">
        <v>2</v>
      </c>
      <c r="E102" s="562">
        <v>2</v>
      </c>
      <c r="F102" s="562">
        <f>IFERROR(Tableau1[[#This Row],[Score]]/Tableau1[[#This Row],[Nb]],0)</f>
        <v>1</v>
      </c>
    </row>
    <row r="103" spans="1:6" ht="30" customHeight="1" x14ac:dyDescent="0.3">
      <c r="A103" s="562" t="s">
        <v>4261</v>
      </c>
      <c r="B103" s="563" t="s">
        <v>4260</v>
      </c>
      <c r="C103" s="564">
        <v>43237</v>
      </c>
      <c r="D103" s="562">
        <v>1</v>
      </c>
      <c r="E103" s="562">
        <v>-1</v>
      </c>
      <c r="F103" s="562">
        <f>IFERROR(Tableau1[[#This Row],[Score]]/Tableau1[[#This Row],[Nb]],0)</f>
        <v>-1</v>
      </c>
    </row>
    <row r="104" spans="1:6" ht="30" customHeight="1" x14ac:dyDescent="0.3">
      <c r="A104" s="562" t="s">
        <v>3499</v>
      </c>
      <c r="B104" s="563" t="s">
        <v>6621</v>
      </c>
      <c r="C104" s="564">
        <v>43237</v>
      </c>
      <c r="D104" s="562">
        <v>1</v>
      </c>
      <c r="E104" s="562">
        <v>-1</v>
      </c>
      <c r="F104" s="562">
        <f>IFERROR(Tableau1[[#This Row],[Score]]/Tableau1[[#This Row],[Nb]],0)</f>
        <v>-1</v>
      </c>
    </row>
    <row r="105" spans="1:6" ht="30" customHeight="1" x14ac:dyDescent="0.3">
      <c r="A105" s="562" t="s">
        <v>3573</v>
      </c>
      <c r="B105" s="563" t="s">
        <v>3574</v>
      </c>
      <c r="C105" s="564">
        <v>43237</v>
      </c>
      <c r="D105" s="562">
        <v>1</v>
      </c>
      <c r="E105" s="562">
        <v>1</v>
      </c>
      <c r="F105" s="562">
        <f>IFERROR(Tableau1[[#This Row],[Score]]/Tableau1[[#This Row],[Nb]],0)</f>
        <v>1</v>
      </c>
    </row>
    <row r="106" spans="1:6" ht="30" customHeight="1" x14ac:dyDescent="0.3">
      <c r="A106" s="562" t="s">
        <v>3524</v>
      </c>
      <c r="B106" s="563" t="s">
        <v>3525</v>
      </c>
      <c r="C106" s="564">
        <v>43237</v>
      </c>
      <c r="D106" s="562">
        <v>1</v>
      </c>
      <c r="E106" s="562">
        <v>1</v>
      </c>
      <c r="F106" s="562">
        <f>IFERROR(Tableau1[[#This Row],[Score]]/Tableau1[[#This Row],[Nb]],0)</f>
        <v>1</v>
      </c>
    </row>
    <row r="107" spans="1:6" ht="30" customHeight="1" x14ac:dyDescent="0.3">
      <c r="A107" s="562" t="s">
        <v>2686</v>
      </c>
      <c r="B107" s="563" t="s">
        <v>3378</v>
      </c>
      <c r="C107" s="564">
        <v>43237</v>
      </c>
      <c r="D107" s="562">
        <v>1</v>
      </c>
      <c r="E107" s="562">
        <v>1</v>
      </c>
      <c r="F107" s="562">
        <f>IFERROR(Tableau1[[#This Row],[Score]]/Tableau1[[#This Row],[Nb]],0)</f>
        <v>1</v>
      </c>
    </row>
    <row r="108" spans="1:6" ht="30" customHeight="1" x14ac:dyDescent="0.3">
      <c r="A108" s="562" t="s">
        <v>4257</v>
      </c>
      <c r="B108" s="563" t="s">
        <v>3500</v>
      </c>
      <c r="C108" s="564">
        <v>43237</v>
      </c>
      <c r="D108" s="562">
        <v>2</v>
      </c>
      <c r="E108" s="562">
        <v>2</v>
      </c>
      <c r="F108" s="562">
        <f>IFERROR(Tableau1[[#This Row],[Score]]/Tableau1[[#This Row],[Nb]],0)</f>
        <v>1</v>
      </c>
    </row>
    <row r="109" spans="1:6" ht="30" customHeight="1" x14ac:dyDescent="0.3">
      <c r="A109" s="562" t="s">
        <v>4080</v>
      </c>
      <c r="B109" s="563" t="s">
        <v>4081</v>
      </c>
      <c r="C109" s="564">
        <v>43237</v>
      </c>
      <c r="D109" s="562">
        <v>1</v>
      </c>
      <c r="E109" s="562">
        <v>-1</v>
      </c>
      <c r="F109" s="562">
        <f>IFERROR(Tableau1[[#This Row],[Score]]/Tableau1[[#This Row],[Nb]],0)</f>
        <v>-1</v>
      </c>
    </row>
    <row r="110" spans="1:6" ht="30" customHeight="1" x14ac:dyDescent="0.3">
      <c r="A110" s="562" t="s">
        <v>4675</v>
      </c>
      <c r="B110" s="563" t="s">
        <v>4674</v>
      </c>
      <c r="C110" s="564">
        <v>43237</v>
      </c>
      <c r="D110" s="562">
        <v>2</v>
      </c>
      <c r="E110" s="562">
        <v>0</v>
      </c>
      <c r="F110" s="562">
        <f>IFERROR(Tableau1[[#This Row],[Score]]/Tableau1[[#This Row],[Nb]],0)</f>
        <v>0</v>
      </c>
    </row>
    <row r="111" spans="1:6" ht="30" customHeight="1" x14ac:dyDescent="0.3">
      <c r="A111" s="562" t="s">
        <v>2693</v>
      </c>
      <c r="B111" s="563" t="s">
        <v>4643</v>
      </c>
      <c r="C111" s="564">
        <v>43237</v>
      </c>
      <c r="D111" s="562">
        <v>1</v>
      </c>
      <c r="E111" s="562">
        <v>1</v>
      </c>
      <c r="F111" s="562">
        <f>IFERROR(Tableau1[[#This Row],[Score]]/Tableau1[[#This Row],[Nb]],0)</f>
        <v>1</v>
      </c>
    </row>
    <row r="112" spans="1:6" ht="30" customHeight="1" x14ac:dyDescent="0.3">
      <c r="A112" s="562" t="s">
        <v>774</v>
      </c>
      <c r="B112" s="563" t="s">
        <v>5058</v>
      </c>
      <c r="C112" s="564">
        <v>43237</v>
      </c>
      <c r="D112" s="562">
        <v>1</v>
      </c>
      <c r="E112" s="562">
        <v>-1</v>
      </c>
      <c r="F112" s="562">
        <f>IFERROR(Tableau1[[#This Row],[Score]]/Tableau1[[#This Row],[Nb]],0)</f>
        <v>-1</v>
      </c>
    </row>
    <row r="113" spans="1:6" ht="30" customHeight="1" x14ac:dyDescent="0.3">
      <c r="A113" s="562" t="s">
        <v>1044</v>
      </c>
      <c r="B113" s="563" t="s">
        <v>5079</v>
      </c>
      <c r="C113" s="564">
        <v>43237</v>
      </c>
      <c r="D113" s="562">
        <v>1</v>
      </c>
      <c r="E113" s="562">
        <v>-1</v>
      </c>
      <c r="F113" s="562">
        <f>IFERROR(Tableau1[[#This Row],[Score]]/Tableau1[[#This Row],[Nb]],0)</f>
        <v>-1</v>
      </c>
    </row>
    <row r="114" spans="1:6" ht="30" customHeight="1" x14ac:dyDescent="0.3">
      <c r="A114" s="562" t="s">
        <v>1041</v>
      </c>
      <c r="B114" s="563" t="s">
        <v>839</v>
      </c>
      <c r="C114" s="564">
        <v>43237</v>
      </c>
      <c r="D114" s="562">
        <v>1</v>
      </c>
      <c r="E114" s="562">
        <v>1</v>
      </c>
      <c r="F114" s="562">
        <f>IFERROR(Tableau1[[#This Row],[Score]]/Tableau1[[#This Row],[Nb]],0)</f>
        <v>1</v>
      </c>
    </row>
    <row r="115" spans="1:6" ht="30" customHeight="1" x14ac:dyDescent="0.3">
      <c r="A115" s="562" t="s">
        <v>1042</v>
      </c>
      <c r="B115" s="563" t="s">
        <v>840</v>
      </c>
      <c r="C115" s="564">
        <v>43237</v>
      </c>
      <c r="D115" s="562">
        <v>1</v>
      </c>
      <c r="E115" s="562">
        <v>-1</v>
      </c>
      <c r="F115" s="562">
        <f>IFERROR(Tableau1[[#This Row],[Score]]/Tableau1[[#This Row],[Nb]],0)</f>
        <v>-1</v>
      </c>
    </row>
    <row r="116" spans="1:6" ht="30" customHeight="1" x14ac:dyDescent="0.3">
      <c r="A116" s="562" t="s">
        <v>799</v>
      </c>
      <c r="B116" s="563" t="s">
        <v>719</v>
      </c>
      <c r="C116" s="564">
        <v>43237</v>
      </c>
      <c r="D116" s="562">
        <v>1</v>
      </c>
      <c r="E116" s="562">
        <v>1</v>
      </c>
      <c r="F116" s="562">
        <f>IFERROR(Tableau1[[#This Row],[Score]]/Tableau1[[#This Row],[Nb]],0)</f>
        <v>1</v>
      </c>
    </row>
    <row r="117" spans="1:6" ht="30" customHeight="1" x14ac:dyDescent="0.3">
      <c r="A117" s="562" t="s">
        <v>1140</v>
      </c>
      <c r="B117" s="563" t="s">
        <v>4478</v>
      </c>
      <c r="C117" s="564">
        <v>43237</v>
      </c>
      <c r="D117" s="562">
        <v>1</v>
      </c>
      <c r="E117" s="562">
        <v>1</v>
      </c>
      <c r="F117" s="562">
        <f>IFERROR(Tableau1[[#This Row],[Score]]/Tableau1[[#This Row],[Nb]],0)</f>
        <v>1</v>
      </c>
    </row>
    <row r="118" spans="1:6" ht="30" customHeight="1" x14ac:dyDescent="0.3">
      <c r="A118" s="562" t="s">
        <v>4023</v>
      </c>
      <c r="B118" s="563" t="s">
        <v>3449</v>
      </c>
      <c r="C118" s="564">
        <v>43237</v>
      </c>
      <c r="D118" s="562">
        <v>2</v>
      </c>
      <c r="E118" s="562">
        <v>-2</v>
      </c>
      <c r="F118" s="562">
        <f>IFERROR(Tableau1[[#This Row],[Score]]/Tableau1[[#This Row],[Nb]],0)</f>
        <v>-1</v>
      </c>
    </row>
    <row r="119" spans="1:6" ht="30" customHeight="1" x14ac:dyDescent="0.3">
      <c r="A119" s="562" t="s">
        <v>3895</v>
      </c>
      <c r="B119" s="563" t="s">
        <v>3896</v>
      </c>
      <c r="C119" s="564">
        <v>43237</v>
      </c>
      <c r="D119" s="562">
        <v>1</v>
      </c>
      <c r="E119" s="562">
        <v>-1</v>
      </c>
      <c r="F119" s="562">
        <f>IFERROR(Tableau1[[#This Row],[Score]]/Tableau1[[#This Row],[Nb]],0)</f>
        <v>-1</v>
      </c>
    </row>
    <row r="120" spans="1:6" ht="30" customHeight="1" x14ac:dyDescent="0.3">
      <c r="A120" s="562" t="s">
        <v>669</v>
      </c>
      <c r="B120" s="563" t="s">
        <v>5752</v>
      </c>
      <c r="C120" s="564">
        <v>43237</v>
      </c>
      <c r="D120" s="562">
        <v>1</v>
      </c>
      <c r="E120" s="562">
        <v>1</v>
      </c>
      <c r="F120" s="562">
        <f>IFERROR(Tableau1[[#This Row],[Score]]/Tableau1[[#This Row],[Nb]],0)</f>
        <v>1</v>
      </c>
    </row>
    <row r="121" spans="1:6" ht="30" customHeight="1" x14ac:dyDescent="0.3">
      <c r="A121" s="562" t="s">
        <v>6471</v>
      </c>
      <c r="B121" s="563" t="s">
        <v>6472</v>
      </c>
      <c r="C121" s="564">
        <v>43237</v>
      </c>
      <c r="D121" s="562">
        <v>1</v>
      </c>
      <c r="E121" s="562">
        <v>1</v>
      </c>
      <c r="F121" s="562">
        <f>IFERROR(Tableau1[[#This Row],[Score]]/Tableau1[[#This Row],[Nb]],0)</f>
        <v>1</v>
      </c>
    </row>
    <row r="122" spans="1:6" ht="30" customHeight="1" x14ac:dyDescent="0.3">
      <c r="A122" s="562" t="s">
        <v>843</v>
      </c>
      <c r="B122" s="563" t="s">
        <v>4562</v>
      </c>
      <c r="C122" s="564">
        <v>43237</v>
      </c>
      <c r="D122" s="562">
        <v>1</v>
      </c>
      <c r="E122" s="562">
        <v>1</v>
      </c>
      <c r="F122" s="562">
        <f>IFERROR(Tableau1[[#This Row],[Score]]/Tableau1[[#This Row],[Nb]],0)</f>
        <v>1</v>
      </c>
    </row>
    <row r="123" spans="1:6" ht="30" customHeight="1" x14ac:dyDescent="0.3">
      <c r="A123" s="562" t="s">
        <v>3502</v>
      </c>
      <c r="B123" s="563" t="s">
        <v>3503</v>
      </c>
      <c r="C123" s="564">
        <v>43237</v>
      </c>
      <c r="D123" s="562">
        <v>1</v>
      </c>
      <c r="E123" s="562">
        <v>1</v>
      </c>
      <c r="F123" s="562">
        <f>IFERROR(Tableau1[[#This Row],[Score]]/Tableau1[[#This Row],[Nb]],0)</f>
        <v>1</v>
      </c>
    </row>
    <row r="124" spans="1:6" ht="30" customHeight="1" x14ac:dyDescent="0.3">
      <c r="A124" s="562" t="s">
        <v>818</v>
      </c>
      <c r="B124" s="563" t="s">
        <v>755</v>
      </c>
      <c r="C124" s="564">
        <v>43237</v>
      </c>
      <c r="D124" s="562">
        <v>1</v>
      </c>
      <c r="E124" s="562">
        <v>-1</v>
      </c>
      <c r="F124" s="562">
        <f>IFERROR(Tableau1[[#This Row],[Score]]/Tableau1[[#This Row],[Nb]],0)</f>
        <v>-1</v>
      </c>
    </row>
    <row r="125" spans="1:6" ht="30" customHeight="1" x14ac:dyDescent="0.3">
      <c r="A125" s="562" t="s">
        <v>1435</v>
      </c>
      <c r="B125" s="563" t="s">
        <v>2730</v>
      </c>
      <c r="C125" s="564">
        <v>43237</v>
      </c>
      <c r="D125" s="562">
        <v>2</v>
      </c>
      <c r="E125" s="562">
        <v>2</v>
      </c>
      <c r="F125" s="562">
        <f>IFERROR(Tableau1[[#This Row],[Score]]/Tableau1[[#This Row],[Nb]],0)</f>
        <v>1</v>
      </c>
    </row>
    <row r="126" spans="1:6" ht="30" customHeight="1" x14ac:dyDescent="0.3">
      <c r="A126" s="562" t="s">
        <v>4059</v>
      </c>
      <c r="B126" s="563" t="s">
        <v>4058</v>
      </c>
      <c r="C126" s="564">
        <v>43237</v>
      </c>
      <c r="D126" s="562">
        <v>2</v>
      </c>
      <c r="E126" s="562">
        <v>2</v>
      </c>
      <c r="F126" s="562">
        <f>IFERROR(Tableau1[[#This Row],[Score]]/Tableau1[[#This Row],[Nb]],0)</f>
        <v>1</v>
      </c>
    </row>
    <row r="127" spans="1:6" ht="30" customHeight="1" x14ac:dyDescent="0.3">
      <c r="A127" s="562" t="s">
        <v>3332</v>
      </c>
      <c r="B127" s="563" t="s">
        <v>6491</v>
      </c>
      <c r="C127" s="564">
        <v>43237</v>
      </c>
      <c r="D127" s="562">
        <v>2</v>
      </c>
      <c r="E127" s="562">
        <v>2</v>
      </c>
      <c r="F127" s="562">
        <f>IFERROR(Tableau1[[#This Row],[Score]]/Tableau1[[#This Row],[Nb]],0)</f>
        <v>1</v>
      </c>
    </row>
    <row r="128" spans="1:6" ht="30" customHeight="1" x14ac:dyDescent="0.3">
      <c r="A128" s="562" t="s">
        <v>2679</v>
      </c>
      <c r="B128" s="563" t="s">
        <v>4358</v>
      </c>
      <c r="C128" s="564">
        <v>43237</v>
      </c>
      <c r="D128" s="562">
        <v>2</v>
      </c>
      <c r="E128" s="562">
        <v>2</v>
      </c>
      <c r="F128" s="562">
        <f>IFERROR(Tableau1[[#This Row],[Score]]/Tableau1[[#This Row],[Nb]],0)</f>
        <v>1</v>
      </c>
    </row>
    <row r="129" spans="1:6" ht="30" customHeight="1" x14ac:dyDescent="0.3">
      <c r="A129" s="562" t="s">
        <v>1427</v>
      </c>
      <c r="B129" s="563" t="s">
        <v>3850</v>
      </c>
      <c r="C129" s="564">
        <v>43237</v>
      </c>
      <c r="D129" s="562">
        <v>2</v>
      </c>
      <c r="E129" s="562">
        <v>1</v>
      </c>
      <c r="F129" s="562">
        <f>IFERROR(Tableau1[[#This Row],[Score]]/Tableau1[[#This Row],[Nb]],0)</f>
        <v>0.5</v>
      </c>
    </row>
    <row r="130" spans="1:6" ht="30" customHeight="1" x14ac:dyDescent="0.3">
      <c r="A130" s="562" t="s">
        <v>3325</v>
      </c>
      <c r="B130" s="563" t="s">
        <v>3326</v>
      </c>
      <c r="C130" s="564">
        <v>43237</v>
      </c>
      <c r="D130" s="562">
        <v>2</v>
      </c>
      <c r="E130" s="562">
        <v>2</v>
      </c>
      <c r="F130" s="562">
        <f>IFERROR(Tableau1[[#This Row],[Score]]/Tableau1[[#This Row],[Nb]],0)</f>
        <v>1</v>
      </c>
    </row>
    <row r="131" spans="1:6" ht="30" customHeight="1" x14ac:dyDescent="0.3">
      <c r="A131" s="562" t="s">
        <v>3593</v>
      </c>
      <c r="B131" s="563" t="s">
        <v>3595</v>
      </c>
      <c r="C131" s="564">
        <v>43237</v>
      </c>
      <c r="D131" s="562">
        <v>2</v>
      </c>
      <c r="E131" s="562">
        <v>2</v>
      </c>
      <c r="F131" s="562">
        <f>IFERROR(Tableau1[[#This Row],[Score]]/Tableau1[[#This Row],[Nb]],0)</f>
        <v>1</v>
      </c>
    </row>
    <row r="132" spans="1:6" ht="30" customHeight="1" x14ac:dyDescent="0.3">
      <c r="A132" s="562" t="s">
        <v>3150</v>
      </c>
      <c r="B132" s="563" t="s">
        <v>3149</v>
      </c>
      <c r="C132" s="564">
        <v>43237</v>
      </c>
      <c r="D132" s="562">
        <v>2</v>
      </c>
      <c r="E132" s="562">
        <v>2</v>
      </c>
      <c r="F132" s="562">
        <f>IFERROR(Tableau1[[#This Row],[Score]]/Tableau1[[#This Row],[Nb]],0)</f>
        <v>1</v>
      </c>
    </row>
    <row r="133" spans="1:6" ht="30" customHeight="1" x14ac:dyDescent="0.3">
      <c r="A133" s="562" t="s">
        <v>4654</v>
      </c>
      <c r="B133" s="563" t="s">
        <v>4653</v>
      </c>
      <c r="C133" s="564">
        <v>43237</v>
      </c>
      <c r="D133" s="562">
        <v>2</v>
      </c>
      <c r="E133" s="562">
        <v>2</v>
      </c>
      <c r="F133" s="562">
        <f>IFERROR(Tableau1[[#This Row],[Score]]/Tableau1[[#This Row],[Nb]],0)</f>
        <v>1</v>
      </c>
    </row>
    <row r="134" spans="1:6" ht="30" customHeight="1" x14ac:dyDescent="0.3">
      <c r="A134" s="562" t="s">
        <v>3630</v>
      </c>
      <c r="B134" s="563" t="s">
        <v>3631</v>
      </c>
      <c r="C134" s="564">
        <v>43237</v>
      </c>
      <c r="D134" s="562">
        <v>3</v>
      </c>
      <c r="E134" s="562">
        <v>-3</v>
      </c>
      <c r="F134" s="562">
        <f>IFERROR(Tableau1[[#This Row],[Score]]/Tableau1[[#This Row],[Nb]],0)</f>
        <v>-1</v>
      </c>
    </row>
    <row r="135" spans="1:6" ht="30" customHeight="1" x14ac:dyDescent="0.3">
      <c r="A135" s="562" t="s">
        <v>2682</v>
      </c>
      <c r="B135" s="563" t="s">
        <v>3375</v>
      </c>
      <c r="C135" s="564">
        <v>43237</v>
      </c>
      <c r="D135" s="562">
        <v>2</v>
      </c>
      <c r="E135" s="562">
        <v>2</v>
      </c>
      <c r="F135" s="562">
        <f>IFERROR(Tableau1[[#This Row],[Score]]/Tableau1[[#This Row],[Nb]],0)</f>
        <v>1</v>
      </c>
    </row>
    <row r="136" spans="1:6" ht="30" customHeight="1" x14ac:dyDescent="0.3">
      <c r="A136" s="562" t="s">
        <v>3606</v>
      </c>
      <c r="B136" s="563" t="s">
        <v>1440</v>
      </c>
      <c r="C136" s="564">
        <v>43237</v>
      </c>
      <c r="D136" s="562">
        <v>2</v>
      </c>
      <c r="E136" s="562">
        <v>2</v>
      </c>
      <c r="F136" s="562">
        <f>IFERROR(Tableau1[[#This Row],[Score]]/Tableau1[[#This Row],[Nb]],0)</f>
        <v>1</v>
      </c>
    </row>
    <row r="137" spans="1:6" ht="30" customHeight="1" x14ac:dyDescent="0.3">
      <c r="A137" s="562" t="s">
        <v>4322</v>
      </c>
      <c r="B137" s="563" t="s">
        <v>4321</v>
      </c>
      <c r="C137" s="564">
        <v>43237</v>
      </c>
      <c r="D137" s="562">
        <v>2</v>
      </c>
      <c r="E137" s="562">
        <v>1</v>
      </c>
      <c r="F137" s="562">
        <f>IFERROR(Tableau1[[#This Row],[Score]]/Tableau1[[#This Row],[Nb]],0)</f>
        <v>0.5</v>
      </c>
    </row>
    <row r="138" spans="1:6" ht="30" customHeight="1" x14ac:dyDescent="0.3">
      <c r="A138" s="562" t="s">
        <v>3328</v>
      </c>
      <c r="B138" s="563" t="s">
        <v>3335</v>
      </c>
      <c r="C138" s="564">
        <v>43237</v>
      </c>
      <c r="D138" s="562">
        <v>2</v>
      </c>
      <c r="E138" s="562">
        <v>2</v>
      </c>
      <c r="F138" s="562">
        <f>IFERROR(Tableau1[[#This Row],[Score]]/Tableau1[[#This Row],[Nb]],0)</f>
        <v>1</v>
      </c>
    </row>
    <row r="139" spans="1:6" ht="30" customHeight="1" x14ac:dyDescent="0.3">
      <c r="A139" s="562" t="s">
        <v>4545</v>
      </c>
      <c r="B139" s="563" t="s">
        <v>4544</v>
      </c>
      <c r="C139" s="564">
        <v>43237</v>
      </c>
      <c r="D139" s="562">
        <v>2</v>
      </c>
      <c r="E139" s="562">
        <v>2</v>
      </c>
      <c r="F139" s="562">
        <f>IFERROR(Tableau1[[#This Row],[Score]]/Tableau1[[#This Row],[Nb]],0)</f>
        <v>1</v>
      </c>
    </row>
    <row r="140" spans="1:6" ht="30" customHeight="1" x14ac:dyDescent="0.3">
      <c r="A140" s="562" t="s">
        <v>5625</v>
      </c>
      <c r="B140" s="563" t="s">
        <v>1083</v>
      </c>
      <c r="C140" s="564">
        <v>43237</v>
      </c>
      <c r="D140" s="562">
        <v>2</v>
      </c>
      <c r="E140" s="562">
        <v>0</v>
      </c>
      <c r="F140" s="562">
        <f>IFERROR(Tableau1[[#This Row],[Score]]/Tableau1[[#This Row],[Nb]],0)</f>
        <v>0</v>
      </c>
    </row>
    <row r="141" spans="1:6" ht="30" customHeight="1" x14ac:dyDescent="0.3">
      <c r="A141" s="562" t="s">
        <v>2688</v>
      </c>
      <c r="B141" s="563" t="s">
        <v>4131</v>
      </c>
      <c r="C141" s="564">
        <v>43237</v>
      </c>
      <c r="D141" s="562">
        <v>2</v>
      </c>
      <c r="E141" s="562">
        <v>0</v>
      </c>
      <c r="F141" s="562">
        <f>IFERROR(Tableau1[[#This Row],[Score]]/Tableau1[[#This Row],[Nb]],0)</f>
        <v>0</v>
      </c>
    </row>
    <row r="142" spans="1:6" ht="30" customHeight="1" x14ac:dyDescent="0.3">
      <c r="A142" s="562" t="s">
        <v>4740</v>
      </c>
      <c r="B142" s="563" t="s">
        <v>4627</v>
      </c>
      <c r="C142" s="564">
        <v>43237</v>
      </c>
      <c r="D142" s="562">
        <v>2</v>
      </c>
      <c r="E142" s="562">
        <v>2</v>
      </c>
      <c r="F142" s="562">
        <f>IFERROR(Tableau1[[#This Row],[Score]]/Tableau1[[#This Row],[Nb]],0)</f>
        <v>1</v>
      </c>
    </row>
    <row r="143" spans="1:6" ht="30" customHeight="1" x14ac:dyDescent="0.3">
      <c r="A143" s="562" t="s">
        <v>1429</v>
      </c>
      <c r="B143" s="563" t="s">
        <v>3334</v>
      </c>
      <c r="C143" s="564">
        <v>43237</v>
      </c>
      <c r="D143" s="562">
        <v>2</v>
      </c>
      <c r="E143" s="562">
        <v>-2</v>
      </c>
      <c r="F143" s="562">
        <f>IFERROR(Tableau1[[#This Row],[Score]]/Tableau1[[#This Row],[Nb]],0)</f>
        <v>-1</v>
      </c>
    </row>
    <row r="144" spans="1:6" ht="30" customHeight="1" x14ac:dyDescent="0.3">
      <c r="A144" s="562" t="s">
        <v>3622</v>
      </c>
      <c r="B144" s="563" t="s">
        <v>3624</v>
      </c>
      <c r="C144" s="564">
        <v>43237</v>
      </c>
      <c r="D144" s="562">
        <v>3</v>
      </c>
      <c r="E144" s="562">
        <v>1</v>
      </c>
      <c r="F144" s="562">
        <f>IFERROR(Tableau1[[#This Row],[Score]]/Tableau1[[#This Row],[Nb]],0)</f>
        <v>0.33333333333333331</v>
      </c>
    </row>
    <row r="145" spans="1:6" ht="30" customHeight="1" x14ac:dyDescent="0.3">
      <c r="A145" s="562" t="s">
        <v>817</v>
      </c>
      <c r="B145" s="563" t="s">
        <v>1061</v>
      </c>
      <c r="C145" s="564">
        <v>43237</v>
      </c>
      <c r="D145" s="562">
        <v>2</v>
      </c>
      <c r="E145" s="562">
        <v>2</v>
      </c>
      <c r="F145" s="562">
        <f>IFERROR(Tableau1[[#This Row],[Score]]/Tableau1[[#This Row],[Nb]],0)</f>
        <v>1</v>
      </c>
    </row>
    <row r="146" spans="1:6" ht="30" customHeight="1" x14ac:dyDescent="0.3">
      <c r="A146" s="562" t="s">
        <v>3522</v>
      </c>
      <c r="B146" s="563" t="s">
        <v>3523</v>
      </c>
      <c r="C146" s="564">
        <v>43237</v>
      </c>
      <c r="D146" s="562">
        <v>3</v>
      </c>
      <c r="E146" s="562">
        <v>3</v>
      </c>
      <c r="F146" s="562">
        <f>IFERROR(Tableau1[[#This Row],[Score]]/Tableau1[[#This Row],[Nb]],0)</f>
        <v>1</v>
      </c>
    </row>
    <row r="147" spans="1:6" ht="30" customHeight="1" x14ac:dyDescent="0.3">
      <c r="A147" s="562" t="s">
        <v>654</v>
      </c>
      <c r="B147" s="563" t="s">
        <v>1066</v>
      </c>
      <c r="C147" s="564">
        <v>43237</v>
      </c>
      <c r="D147" s="562">
        <v>2</v>
      </c>
      <c r="E147" s="562">
        <v>2</v>
      </c>
      <c r="F147" s="562">
        <f>IFERROR(Tableau1[[#This Row],[Score]]/Tableau1[[#This Row],[Nb]],0)</f>
        <v>1</v>
      </c>
    </row>
    <row r="148" spans="1:6" ht="30" customHeight="1" x14ac:dyDescent="0.3">
      <c r="A148" s="562" t="s">
        <v>2698</v>
      </c>
      <c r="B148" s="563" t="s">
        <v>2697</v>
      </c>
      <c r="C148" s="564">
        <v>43237</v>
      </c>
      <c r="D148" s="562">
        <v>3</v>
      </c>
      <c r="E148" s="562">
        <v>3</v>
      </c>
      <c r="F148" s="562">
        <f>IFERROR(Tableau1[[#This Row],[Score]]/Tableau1[[#This Row],[Nb]],0)</f>
        <v>1</v>
      </c>
    </row>
    <row r="149" spans="1:6" ht="30" customHeight="1" x14ac:dyDescent="0.3">
      <c r="A149" s="562" t="s">
        <v>4123</v>
      </c>
      <c r="B149" s="563" t="s">
        <v>4124</v>
      </c>
      <c r="C149" s="564">
        <v>43237</v>
      </c>
      <c r="D149" s="562">
        <v>3</v>
      </c>
      <c r="E149" s="562">
        <v>2</v>
      </c>
      <c r="F149" s="562">
        <f>IFERROR(Tableau1[[#This Row],[Score]]/Tableau1[[#This Row],[Nb]],0)</f>
        <v>0.66666666666666663</v>
      </c>
    </row>
    <row r="150" spans="1:6" ht="30" customHeight="1" x14ac:dyDescent="0.3">
      <c r="A150" s="562" t="s">
        <v>4263</v>
      </c>
      <c r="B150" s="563" t="s">
        <v>4262</v>
      </c>
      <c r="C150" s="564">
        <v>43237</v>
      </c>
      <c r="D150" s="562">
        <v>4</v>
      </c>
      <c r="E150" s="562">
        <v>2</v>
      </c>
      <c r="F150" s="562">
        <f>IFERROR(Tableau1[[#This Row],[Score]]/Tableau1[[#This Row],[Nb]],0)</f>
        <v>0.5</v>
      </c>
    </row>
    <row r="151" spans="1:6" ht="30" customHeight="1" x14ac:dyDescent="0.3">
      <c r="A151" s="562" t="s">
        <v>4879</v>
      </c>
      <c r="B151" s="563" t="s">
        <v>4880</v>
      </c>
      <c r="C151" s="564">
        <v>43237</v>
      </c>
      <c r="D151" s="562">
        <v>3</v>
      </c>
      <c r="E151" s="562">
        <v>1</v>
      </c>
      <c r="F151" s="562">
        <f>IFERROR(Tableau1[[#This Row],[Score]]/Tableau1[[#This Row],[Nb]],0)</f>
        <v>0.33333333333333331</v>
      </c>
    </row>
    <row r="152" spans="1:6" ht="30" customHeight="1" x14ac:dyDescent="0.3">
      <c r="A152" s="562" t="s">
        <v>2681</v>
      </c>
      <c r="B152" s="563" t="s">
        <v>4016</v>
      </c>
      <c r="C152" s="564">
        <v>43237</v>
      </c>
      <c r="D152" s="562">
        <v>3</v>
      </c>
      <c r="E152" s="562">
        <v>3</v>
      </c>
      <c r="F152" s="562">
        <f>IFERROR(Tableau1[[#This Row],[Score]]/Tableau1[[#This Row],[Nb]],0)</f>
        <v>1</v>
      </c>
    </row>
    <row r="153" spans="1:6" ht="30" customHeight="1" x14ac:dyDescent="0.3">
      <c r="A153" s="562" t="s">
        <v>4723</v>
      </c>
      <c r="B153" s="563" t="s">
        <v>4896</v>
      </c>
      <c r="C153" s="564">
        <v>43237</v>
      </c>
      <c r="D153" s="562">
        <v>3</v>
      </c>
      <c r="E153" s="562">
        <v>1</v>
      </c>
      <c r="F153" s="562">
        <f>IFERROR(Tableau1[[#This Row],[Score]]/Tableau1[[#This Row],[Nb]],0)</f>
        <v>0.33333333333333331</v>
      </c>
    </row>
    <row r="154" spans="1:6" ht="30" customHeight="1" x14ac:dyDescent="0.3">
      <c r="A154" s="562" t="s">
        <v>3592</v>
      </c>
      <c r="B154" s="563" t="s">
        <v>3594</v>
      </c>
      <c r="C154" s="564">
        <v>43237</v>
      </c>
      <c r="D154" s="562">
        <v>3</v>
      </c>
      <c r="E154" s="562">
        <v>3</v>
      </c>
      <c r="F154" s="562">
        <f>IFERROR(Tableau1[[#This Row],[Score]]/Tableau1[[#This Row],[Nb]],0)</f>
        <v>1</v>
      </c>
    </row>
    <row r="155" spans="1:6" ht="30" customHeight="1" x14ac:dyDescent="0.3">
      <c r="A155" s="562" t="s">
        <v>3329</v>
      </c>
      <c r="B155" s="563" t="s">
        <v>6307</v>
      </c>
      <c r="C155" s="564">
        <v>43237</v>
      </c>
      <c r="D155" s="562">
        <v>3</v>
      </c>
      <c r="E155" s="562">
        <v>-3</v>
      </c>
      <c r="F155" s="562">
        <f>IFERROR(Tableau1[[#This Row],[Score]]/Tableau1[[#This Row],[Nb]],0)</f>
        <v>-1</v>
      </c>
    </row>
    <row r="156" spans="1:6" ht="30" customHeight="1" x14ac:dyDescent="0.3">
      <c r="A156" s="562" t="s">
        <v>4120</v>
      </c>
      <c r="B156" s="563" t="s">
        <v>4121</v>
      </c>
      <c r="C156" s="564">
        <v>43237</v>
      </c>
      <c r="D156" s="562">
        <v>4</v>
      </c>
      <c r="E156" s="562">
        <v>2</v>
      </c>
      <c r="F156" s="562">
        <f>IFERROR(Tableau1[[#This Row],[Score]]/Tableau1[[#This Row],[Nb]],0)</f>
        <v>0.5</v>
      </c>
    </row>
    <row r="157" spans="1:6" ht="30" customHeight="1" x14ac:dyDescent="0.3">
      <c r="A157" s="562" t="s">
        <v>3330</v>
      </c>
      <c r="B157" s="563" t="s">
        <v>6620</v>
      </c>
      <c r="C157" s="564">
        <v>43237</v>
      </c>
      <c r="D157" s="562">
        <v>3</v>
      </c>
      <c r="E157" s="562">
        <v>3</v>
      </c>
      <c r="F157" s="562">
        <f>IFERROR(Tableau1[[#This Row],[Score]]/Tableau1[[#This Row],[Nb]],0)</f>
        <v>1</v>
      </c>
    </row>
    <row r="158" spans="1:6" ht="30" customHeight="1" x14ac:dyDescent="0.3">
      <c r="A158" s="562" t="s">
        <v>3333</v>
      </c>
      <c r="B158" s="563" t="s">
        <v>3336</v>
      </c>
      <c r="C158" s="564">
        <v>43237</v>
      </c>
      <c r="D158" s="562">
        <v>3</v>
      </c>
      <c r="E158" s="562">
        <v>-1</v>
      </c>
      <c r="F158" s="562">
        <f>IFERROR(Tableau1[[#This Row],[Score]]/Tableau1[[#This Row],[Nb]],0)</f>
        <v>-0.33333333333333331</v>
      </c>
    </row>
    <row r="159" spans="1:6" ht="30" customHeight="1" x14ac:dyDescent="0.3">
      <c r="A159" s="562" t="s">
        <v>2691</v>
      </c>
      <c r="B159" s="563" t="s">
        <v>4045</v>
      </c>
      <c r="C159" s="564">
        <v>43237</v>
      </c>
      <c r="D159" s="562">
        <v>3</v>
      </c>
      <c r="E159" s="562">
        <v>3</v>
      </c>
      <c r="F159" s="562">
        <f>IFERROR(Tableau1[[#This Row],[Score]]/Tableau1[[#This Row],[Nb]],0)</f>
        <v>1</v>
      </c>
    </row>
    <row r="160" spans="1:6" ht="30" customHeight="1" x14ac:dyDescent="0.3">
      <c r="A160" s="562" t="s">
        <v>2678</v>
      </c>
      <c r="B160" s="563" t="s">
        <v>4904</v>
      </c>
      <c r="C160" s="564">
        <v>43237</v>
      </c>
      <c r="D160" s="562">
        <v>3</v>
      </c>
      <c r="E160" s="562">
        <v>-3</v>
      </c>
      <c r="F160" s="562">
        <f>IFERROR(Tableau1[[#This Row],[Score]]/Tableau1[[#This Row],[Nb]],0)</f>
        <v>-1</v>
      </c>
    </row>
    <row r="161" spans="1:6" ht="30" customHeight="1" x14ac:dyDescent="0.3">
      <c r="A161" s="562" t="s">
        <v>4052</v>
      </c>
      <c r="B161" s="563" t="s">
        <v>4053</v>
      </c>
      <c r="C161" s="564">
        <v>43237</v>
      </c>
      <c r="D161" s="562">
        <v>3</v>
      </c>
      <c r="E161" s="562">
        <v>1</v>
      </c>
      <c r="F161" s="562">
        <f>IFERROR(Tableau1[[#This Row],[Score]]/Tableau1[[#This Row],[Nb]],0)</f>
        <v>0.33333333333333331</v>
      </c>
    </row>
    <row r="162" spans="1:6" ht="30" customHeight="1" x14ac:dyDescent="0.3">
      <c r="A162" s="562" t="s">
        <v>4772</v>
      </c>
      <c r="B162" s="563" t="s">
        <v>904</v>
      </c>
      <c r="C162" s="564">
        <v>43237</v>
      </c>
      <c r="D162" s="562">
        <v>3</v>
      </c>
      <c r="E162" s="562">
        <v>3</v>
      </c>
      <c r="F162" s="562">
        <f>IFERROR(Tableau1[[#This Row],[Score]]/Tableau1[[#This Row],[Nb]],0)</f>
        <v>1</v>
      </c>
    </row>
    <row r="163" spans="1:6" ht="30" customHeight="1" x14ac:dyDescent="0.3">
      <c r="A163" s="562" t="s">
        <v>3417</v>
      </c>
      <c r="B163" s="563" t="s">
        <v>752</v>
      </c>
      <c r="C163" s="564">
        <v>43237</v>
      </c>
      <c r="D163" s="562">
        <v>3</v>
      </c>
      <c r="E163" s="562">
        <v>-1</v>
      </c>
      <c r="F163" s="562">
        <f>IFERROR(Tableau1[[#This Row],[Score]]/Tableau1[[#This Row],[Nb]],0)</f>
        <v>-0.33333333333333331</v>
      </c>
    </row>
    <row r="164" spans="1:6" ht="30" customHeight="1" x14ac:dyDescent="0.3">
      <c r="A164" s="562" t="s">
        <v>3452</v>
      </c>
      <c r="B164" s="563" t="s">
        <v>4074</v>
      </c>
      <c r="C164" s="564">
        <v>43237</v>
      </c>
      <c r="D164" s="562">
        <v>4</v>
      </c>
      <c r="E164" s="562">
        <v>2</v>
      </c>
      <c r="F164" s="562">
        <f>IFERROR(Tableau1[[#This Row],[Score]]/Tableau1[[#This Row],[Nb]],0)</f>
        <v>0.5</v>
      </c>
    </row>
    <row r="165" spans="1:6" ht="30" customHeight="1" x14ac:dyDescent="0.3">
      <c r="A165" s="562" t="s">
        <v>2692</v>
      </c>
      <c r="B165" s="563" t="s">
        <v>4168</v>
      </c>
      <c r="C165" s="564">
        <v>43237</v>
      </c>
      <c r="D165" s="562">
        <v>4</v>
      </c>
      <c r="E165" s="562">
        <v>1</v>
      </c>
      <c r="F165" s="562">
        <f>IFERROR(Tableau1[[#This Row],[Score]]/Tableau1[[#This Row],[Nb]],0)</f>
        <v>0.25</v>
      </c>
    </row>
    <row r="166" spans="1:6" ht="30" customHeight="1" x14ac:dyDescent="0.3">
      <c r="A166" s="562" t="s">
        <v>3778</v>
      </c>
      <c r="B166" s="563" t="s">
        <v>3146</v>
      </c>
      <c r="C166" s="564">
        <v>43237</v>
      </c>
      <c r="D166" s="562">
        <v>4</v>
      </c>
      <c r="E166" s="562">
        <v>3</v>
      </c>
      <c r="F166" s="562">
        <f>IFERROR(Tableau1[[#This Row],[Score]]/Tableau1[[#This Row],[Nb]],0)</f>
        <v>0.75</v>
      </c>
    </row>
    <row r="167" spans="1:6" ht="30" customHeight="1" x14ac:dyDescent="0.3">
      <c r="A167" s="562" t="s">
        <v>6344</v>
      </c>
      <c r="B167" s="563" t="s">
        <v>6345</v>
      </c>
      <c r="C167" s="564">
        <v>43237</v>
      </c>
      <c r="D167" s="562">
        <v>4</v>
      </c>
      <c r="E167" s="562">
        <v>4</v>
      </c>
      <c r="F167" s="562">
        <f>IFERROR(Tableau1[[#This Row],[Score]]/Tableau1[[#This Row],[Nb]],0)</f>
        <v>1</v>
      </c>
    </row>
    <row r="168" spans="1:6" ht="30" customHeight="1" x14ac:dyDescent="0.3">
      <c r="A168" s="562" t="s">
        <v>3367</v>
      </c>
      <c r="B168" s="563" t="s">
        <v>6349</v>
      </c>
      <c r="C168" s="564">
        <v>43237</v>
      </c>
      <c r="D168" s="562">
        <v>4</v>
      </c>
      <c r="E168" s="562">
        <v>4</v>
      </c>
      <c r="F168" s="562">
        <f>IFERROR(Tableau1[[#This Row],[Score]]/Tableau1[[#This Row],[Nb]],0)</f>
        <v>1</v>
      </c>
    </row>
    <row r="169" spans="1:6" ht="30" customHeight="1" x14ac:dyDescent="0.3">
      <c r="A169" s="562" t="s">
        <v>2699</v>
      </c>
      <c r="B169" s="563" t="s">
        <v>3875</v>
      </c>
      <c r="C169" s="564">
        <v>43237</v>
      </c>
      <c r="D169" s="562">
        <v>4</v>
      </c>
      <c r="E169" s="562">
        <v>3</v>
      </c>
      <c r="F169" s="562">
        <f>IFERROR(Tableau1[[#This Row],[Score]]/Tableau1[[#This Row],[Nb]],0)</f>
        <v>0.75</v>
      </c>
    </row>
    <row r="170" spans="1:6" ht="30" customHeight="1" x14ac:dyDescent="0.3">
      <c r="A170" s="562" t="s">
        <v>4335</v>
      </c>
      <c r="B170" s="563" t="s">
        <v>4336</v>
      </c>
      <c r="C170" s="564">
        <v>43237</v>
      </c>
      <c r="D170" s="562">
        <v>4</v>
      </c>
      <c r="E170" s="562">
        <v>4</v>
      </c>
      <c r="F170" s="562">
        <f>IFERROR(Tableau1[[#This Row],[Score]]/Tableau1[[#This Row],[Nb]],0)</f>
        <v>1</v>
      </c>
    </row>
    <row r="171" spans="1:6" ht="30" customHeight="1" x14ac:dyDescent="0.3">
      <c r="A171" s="562" t="s">
        <v>4216</v>
      </c>
      <c r="B171" s="563" t="s">
        <v>4215</v>
      </c>
      <c r="C171" s="564">
        <v>43237</v>
      </c>
      <c r="D171" s="562">
        <v>4</v>
      </c>
      <c r="E171" s="562">
        <v>2</v>
      </c>
      <c r="F171" s="562">
        <f>IFERROR(Tableau1[[#This Row],[Score]]/Tableau1[[#This Row],[Nb]],0)</f>
        <v>0.5</v>
      </c>
    </row>
    <row r="172" spans="1:6" ht="30" customHeight="1" x14ac:dyDescent="0.3">
      <c r="A172" s="562" t="s">
        <v>3774</v>
      </c>
      <c r="B172" s="563" t="s">
        <v>3773</v>
      </c>
      <c r="C172" s="564">
        <v>43237</v>
      </c>
      <c r="D172" s="562">
        <v>5</v>
      </c>
      <c r="E172" s="562">
        <v>5</v>
      </c>
      <c r="F172" s="562">
        <f>IFERROR(Tableau1[[#This Row],[Score]]/Tableau1[[#This Row],[Nb]],0)</f>
        <v>1</v>
      </c>
    </row>
    <row r="173" spans="1:6" ht="30" customHeight="1" x14ac:dyDescent="0.3">
      <c r="A173" s="562" t="s">
        <v>3897</v>
      </c>
      <c r="B173" s="563" t="s">
        <v>3898</v>
      </c>
      <c r="C173" s="564">
        <v>43237</v>
      </c>
      <c r="D173" s="562">
        <v>4</v>
      </c>
      <c r="E173" s="562">
        <v>4</v>
      </c>
      <c r="F173" s="562">
        <f>IFERROR(Tableau1[[#This Row],[Score]]/Tableau1[[#This Row],[Nb]],0)</f>
        <v>1</v>
      </c>
    </row>
    <row r="174" spans="1:6" ht="30" customHeight="1" x14ac:dyDescent="0.3">
      <c r="A174" s="562" t="s">
        <v>6597</v>
      </c>
      <c r="B174" s="563" t="s">
        <v>647</v>
      </c>
      <c r="C174" s="564">
        <v>43237</v>
      </c>
      <c r="D174" s="562">
        <v>4</v>
      </c>
      <c r="E174" s="562">
        <v>3</v>
      </c>
      <c r="F174" s="562">
        <f>IFERROR(Tableau1[[#This Row],[Score]]/Tableau1[[#This Row],[Nb]],0)</f>
        <v>0.75</v>
      </c>
    </row>
    <row r="175" spans="1:6" ht="30" customHeight="1" x14ac:dyDescent="0.3">
      <c r="A175" s="562" t="s">
        <v>4338</v>
      </c>
      <c r="B175" s="563" t="s">
        <v>4339</v>
      </c>
      <c r="C175" s="564">
        <v>43237</v>
      </c>
      <c r="D175" s="562">
        <v>4</v>
      </c>
      <c r="E175" s="562">
        <v>0</v>
      </c>
      <c r="F175" s="562">
        <f>IFERROR(Tableau1[[#This Row],[Score]]/Tableau1[[#This Row],[Nb]],0)</f>
        <v>0</v>
      </c>
    </row>
    <row r="176" spans="1:6" ht="30" customHeight="1" x14ac:dyDescent="0.3">
      <c r="A176" s="562" t="s">
        <v>4238</v>
      </c>
      <c r="B176" s="563" t="s">
        <v>4239</v>
      </c>
      <c r="C176" s="564">
        <v>43237</v>
      </c>
      <c r="D176" s="562">
        <v>4</v>
      </c>
      <c r="E176" s="562">
        <v>4</v>
      </c>
      <c r="F176" s="562">
        <f>IFERROR(Tableau1[[#This Row],[Score]]/Tableau1[[#This Row],[Nb]],0)</f>
        <v>1</v>
      </c>
    </row>
    <row r="177" spans="1:6" ht="30" customHeight="1" x14ac:dyDescent="0.3">
      <c r="A177" s="562" t="s">
        <v>3366</v>
      </c>
      <c r="B177" s="563" t="s">
        <v>3369</v>
      </c>
      <c r="C177" s="564">
        <v>43237</v>
      </c>
      <c r="D177" s="562">
        <v>4</v>
      </c>
      <c r="E177" s="562">
        <v>0</v>
      </c>
      <c r="F177" s="562">
        <f>IFERROR(Tableau1[[#This Row],[Score]]/Tableau1[[#This Row],[Nb]],0)</f>
        <v>0</v>
      </c>
    </row>
    <row r="178" spans="1:6" ht="30" customHeight="1" x14ac:dyDescent="0.3">
      <c r="A178" s="562" t="s">
        <v>6574</v>
      </c>
      <c r="B178" s="563" t="s">
        <v>4226</v>
      </c>
      <c r="C178" s="564">
        <v>43237</v>
      </c>
      <c r="D178" s="562">
        <v>4</v>
      </c>
      <c r="E178" s="562">
        <v>4</v>
      </c>
      <c r="F178" s="562">
        <f>IFERROR(Tableau1[[#This Row],[Score]]/Tableau1[[#This Row],[Nb]],0)</f>
        <v>1</v>
      </c>
    </row>
    <row r="179" spans="1:6" ht="30" customHeight="1" x14ac:dyDescent="0.3">
      <c r="A179" s="562" t="s">
        <v>6460</v>
      </c>
      <c r="B179" s="563" t="s">
        <v>6461</v>
      </c>
      <c r="C179" s="564">
        <v>43237</v>
      </c>
      <c r="D179" s="562">
        <v>4</v>
      </c>
      <c r="E179" s="562">
        <v>-2</v>
      </c>
      <c r="F179" s="562">
        <f>IFERROR(Tableau1[[#This Row],[Score]]/Tableau1[[#This Row],[Nb]],0)</f>
        <v>-0.5</v>
      </c>
    </row>
    <row r="180" spans="1:6" ht="30" customHeight="1" x14ac:dyDescent="0.3">
      <c r="A180" s="562" t="s">
        <v>4177</v>
      </c>
      <c r="B180" s="563" t="s">
        <v>4178</v>
      </c>
      <c r="C180" s="564">
        <v>43237</v>
      </c>
      <c r="D180" s="562">
        <v>5</v>
      </c>
      <c r="E180" s="562">
        <v>1</v>
      </c>
      <c r="F180" s="562">
        <f>IFERROR(Tableau1[[#This Row],[Score]]/Tableau1[[#This Row],[Nb]],0)</f>
        <v>0.2</v>
      </c>
    </row>
    <row r="181" spans="1:6" ht="30" customHeight="1" x14ac:dyDescent="0.3">
      <c r="A181" s="562" t="s">
        <v>2843</v>
      </c>
      <c r="B181" s="563" t="s">
        <v>3707</v>
      </c>
      <c r="C181" s="564">
        <v>43237</v>
      </c>
      <c r="D181" s="562">
        <v>4</v>
      </c>
      <c r="E181" s="562">
        <v>4</v>
      </c>
      <c r="F181" s="562">
        <f>IFERROR(Tableau1[[#This Row],[Score]]/Tableau1[[#This Row],[Nb]],0)</f>
        <v>1</v>
      </c>
    </row>
    <row r="182" spans="1:6" ht="30" customHeight="1" x14ac:dyDescent="0.3">
      <c r="A182" s="562" t="s">
        <v>3605</v>
      </c>
      <c r="B182" s="563" t="s">
        <v>4224</v>
      </c>
      <c r="C182" s="564">
        <v>43237</v>
      </c>
      <c r="D182" s="562">
        <v>6</v>
      </c>
      <c r="E182" s="562">
        <v>5</v>
      </c>
      <c r="F182" s="562">
        <f>IFERROR(Tableau1[[#This Row],[Score]]/Tableau1[[#This Row],[Nb]],0)</f>
        <v>0.83333333333333337</v>
      </c>
    </row>
    <row r="183" spans="1:6" ht="30" customHeight="1" x14ac:dyDescent="0.3">
      <c r="A183" s="562" t="s">
        <v>1428</v>
      </c>
      <c r="B183" s="563" t="s">
        <v>4541</v>
      </c>
      <c r="C183" s="564">
        <v>43237</v>
      </c>
      <c r="D183" s="562">
        <v>5</v>
      </c>
      <c r="E183" s="562">
        <v>4</v>
      </c>
      <c r="F183" s="562">
        <f>IFERROR(Tableau1[[#This Row],[Score]]/Tableau1[[#This Row],[Nb]],0)</f>
        <v>0.8</v>
      </c>
    </row>
    <row r="184" spans="1:6" ht="30" customHeight="1" x14ac:dyDescent="0.3">
      <c r="A184" s="562" t="s">
        <v>6492</v>
      </c>
      <c r="B184" s="563" t="s">
        <v>3380</v>
      </c>
      <c r="C184" s="564">
        <v>43237</v>
      </c>
      <c r="D184" s="562">
        <v>5</v>
      </c>
      <c r="E184" s="562">
        <v>5</v>
      </c>
      <c r="F184" s="562">
        <f>IFERROR(Tableau1[[#This Row],[Score]]/Tableau1[[#This Row],[Nb]],0)</f>
        <v>1</v>
      </c>
    </row>
    <row r="185" spans="1:6" ht="30" customHeight="1" x14ac:dyDescent="0.3">
      <c r="A185" s="562" t="s">
        <v>2684</v>
      </c>
      <c r="B185" s="563" t="s">
        <v>3377</v>
      </c>
      <c r="C185" s="564">
        <v>43237</v>
      </c>
      <c r="D185" s="562">
        <v>5</v>
      </c>
      <c r="E185" s="562">
        <v>1</v>
      </c>
      <c r="F185" s="562">
        <f>IFERROR(Tableau1[[#This Row],[Score]]/Tableau1[[#This Row],[Nb]],0)</f>
        <v>0.2</v>
      </c>
    </row>
    <row r="186" spans="1:6" ht="30" customHeight="1" x14ac:dyDescent="0.3">
      <c r="A186" s="562" t="s">
        <v>3608</v>
      </c>
      <c r="B186" s="563" t="s">
        <v>3431</v>
      </c>
      <c r="C186" s="564">
        <v>43237</v>
      </c>
      <c r="D186" s="562">
        <v>5</v>
      </c>
      <c r="E186" s="562">
        <v>5</v>
      </c>
      <c r="F186" s="562">
        <f>IFERROR(Tableau1[[#This Row],[Score]]/Tableau1[[#This Row],[Nb]],0)</f>
        <v>1</v>
      </c>
    </row>
    <row r="187" spans="1:6" ht="30" customHeight="1" x14ac:dyDescent="0.3">
      <c r="A187" s="562" t="s">
        <v>4684</v>
      </c>
      <c r="B187" s="563" t="s">
        <v>3382</v>
      </c>
      <c r="C187" s="564">
        <v>43237</v>
      </c>
      <c r="D187" s="562">
        <v>5</v>
      </c>
      <c r="E187" s="562">
        <v>5</v>
      </c>
      <c r="F187" s="562">
        <f>IFERROR(Tableau1[[#This Row],[Score]]/Tableau1[[#This Row],[Nb]],0)</f>
        <v>1</v>
      </c>
    </row>
    <row r="188" spans="1:6" ht="30" customHeight="1" x14ac:dyDescent="0.3">
      <c r="A188" s="562" t="s">
        <v>3145</v>
      </c>
      <c r="B188" s="563" t="s">
        <v>3147</v>
      </c>
      <c r="C188" s="564">
        <v>43237</v>
      </c>
      <c r="D188" s="562">
        <v>6</v>
      </c>
      <c r="E188" s="562">
        <v>6</v>
      </c>
      <c r="F188" s="562">
        <f>IFERROR(Tableau1[[#This Row],[Score]]/Tableau1[[#This Row],[Nb]],0)</f>
        <v>1</v>
      </c>
    </row>
    <row r="189" spans="1:6" ht="30" customHeight="1" x14ac:dyDescent="0.3">
      <c r="A189" s="562" t="s">
        <v>2690</v>
      </c>
      <c r="B189" s="563" t="s">
        <v>3767</v>
      </c>
      <c r="C189" s="564">
        <v>43237</v>
      </c>
      <c r="D189" s="562">
        <v>5</v>
      </c>
      <c r="E189" s="562">
        <v>5</v>
      </c>
      <c r="F189" s="562">
        <f>IFERROR(Tableau1[[#This Row],[Score]]/Tableau1[[#This Row],[Nb]],0)</f>
        <v>1</v>
      </c>
    </row>
    <row r="190" spans="1:6" ht="30" customHeight="1" x14ac:dyDescent="0.3">
      <c r="A190" s="562" t="s">
        <v>3331</v>
      </c>
      <c r="B190" s="563" t="s">
        <v>6362</v>
      </c>
      <c r="C190" s="564">
        <v>43237</v>
      </c>
      <c r="D190" s="562">
        <v>5</v>
      </c>
      <c r="E190" s="562">
        <v>5</v>
      </c>
      <c r="F190" s="562">
        <f>IFERROR(Tableau1[[#This Row],[Score]]/Tableau1[[#This Row],[Nb]],0)</f>
        <v>1</v>
      </c>
    </row>
    <row r="191" spans="1:6" ht="30" customHeight="1" x14ac:dyDescent="0.3">
      <c r="A191" s="562" t="s">
        <v>3327</v>
      </c>
      <c r="B191" s="563" t="s">
        <v>4225</v>
      </c>
      <c r="C191" s="564">
        <v>43237</v>
      </c>
      <c r="D191" s="562">
        <v>5</v>
      </c>
      <c r="E191" s="562">
        <v>5</v>
      </c>
      <c r="F191" s="562">
        <f>IFERROR(Tableau1[[#This Row],[Score]]/Tableau1[[#This Row],[Nb]],0)</f>
        <v>1</v>
      </c>
    </row>
    <row r="192" spans="1:6" ht="30" customHeight="1" x14ac:dyDescent="0.3">
      <c r="A192" s="562" t="s">
        <v>3629</v>
      </c>
      <c r="B192" s="563" t="s">
        <v>3627</v>
      </c>
      <c r="C192" s="564">
        <v>43237</v>
      </c>
      <c r="D192" s="562">
        <v>6</v>
      </c>
      <c r="E192" s="562">
        <v>4</v>
      </c>
      <c r="F192" s="562">
        <f>IFERROR(Tableau1[[#This Row],[Score]]/Tableau1[[#This Row],[Nb]],0)</f>
        <v>0.66666666666666663</v>
      </c>
    </row>
    <row r="193" spans="1:6" ht="30" customHeight="1" x14ac:dyDescent="0.3">
      <c r="A193" s="562" t="s">
        <v>3151</v>
      </c>
      <c r="B193" s="563" t="s">
        <v>3148</v>
      </c>
      <c r="C193" s="564">
        <v>43237</v>
      </c>
      <c r="D193" s="562">
        <v>6</v>
      </c>
      <c r="E193" s="562">
        <v>3</v>
      </c>
      <c r="F193" s="562">
        <f>IFERROR(Tableau1[[#This Row],[Score]]/Tableau1[[#This Row],[Nb]],0)</f>
        <v>0.5</v>
      </c>
    </row>
    <row r="194" spans="1:6" ht="30" customHeight="1" x14ac:dyDescent="0.3">
      <c r="A194" s="562" t="s">
        <v>1430</v>
      </c>
      <c r="B194" s="563" t="s">
        <v>3922</v>
      </c>
      <c r="C194" s="564">
        <v>43237</v>
      </c>
      <c r="D194" s="562">
        <v>6</v>
      </c>
      <c r="E194" s="562">
        <v>2</v>
      </c>
      <c r="F194" s="562">
        <f>IFERROR(Tableau1[[#This Row],[Score]]/Tableau1[[#This Row],[Nb]],0)</f>
        <v>0.33333333333333331</v>
      </c>
    </row>
    <row r="195" spans="1:6" ht="30" customHeight="1" x14ac:dyDescent="0.3">
      <c r="A195" s="562" t="s">
        <v>4755</v>
      </c>
      <c r="B195" s="563" t="s">
        <v>6348</v>
      </c>
      <c r="C195" s="564">
        <v>43237</v>
      </c>
      <c r="D195" s="562">
        <v>6</v>
      </c>
      <c r="E195" s="562">
        <v>6</v>
      </c>
      <c r="F195" s="562">
        <f>IFERROR(Tableau1[[#This Row],[Score]]/Tableau1[[#This Row],[Nb]],0)</f>
        <v>1</v>
      </c>
    </row>
    <row r="196" spans="1:6" ht="30" customHeight="1" x14ac:dyDescent="0.3">
      <c r="A196" s="562" t="s">
        <v>3623</v>
      </c>
      <c r="B196" s="563" t="s">
        <v>3625</v>
      </c>
      <c r="C196" s="564">
        <v>43237</v>
      </c>
      <c r="D196" s="562">
        <v>6</v>
      </c>
      <c r="E196" s="562">
        <v>6</v>
      </c>
      <c r="F196" s="562">
        <f>IFERROR(Tableau1[[#This Row],[Score]]/Tableau1[[#This Row],[Nb]],0)</f>
        <v>1</v>
      </c>
    </row>
    <row r="197" spans="1:6" ht="30" customHeight="1" x14ac:dyDescent="0.3">
      <c r="A197" s="562" t="s">
        <v>2687</v>
      </c>
      <c r="B197" s="563" t="s">
        <v>3379</v>
      </c>
      <c r="C197" s="564">
        <v>43237</v>
      </c>
      <c r="D197" s="562">
        <v>6</v>
      </c>
      <c r="E197" s="562">
        <v>6</v>
      </c>
      <c r="F197" s="562">
        <f>IFERROR(Tableau1[[#This Row],[Score]]/Tableau1[[#This Row],[Nb]],0)</f>
        <v>1</v>
      </c>
    </row>
    <row r="198" spans="1:6" ht="30" customHeight="1" x14ac:dyDescent="0.3">
      <c r="A198" s="562" t="s">
        <v>3607</v>
      </c>
      <c r="B198" s="563" t="s">
        <v>3430</v>
      </c>
      <c r="C198" s="564">
        <v>43237</v>
      </c>
      <c r="D198" s="562">
        <v>7</v>
      </c>
      <c r="E198" s="562">
        <v>1</v>
      </c>
      <c r="F198" s="562">
        <f>IFERROR(Tableau1[[#This Row],[Score]]/Tableau1[[#This Row],[Nb]],0)</f>
        <v>0.14285714285714285</v>
      </c>
    </row>
    <row r="199" spans="1:6" ht="30" customHeight="1" x14ac:dyDescent="0.3">
      <c r="A199" s="562" t="s">
        <v>6312</v>
      </c>
      <c r="B199" s="563" t="s">
        <v>6313</v>
      </c>
      <c r="C199" s="564">
        <v>43237</v>
      </c>
      <c r="D199" s="562">
        <v>7</v>
      </c>
      <c r="E199" s="562">
        <v>7</v>
      </c>
      <c r="F199" s="562">
        <f>IFERROR(Tableau1[[#This Row],[Score]]/Tableau1[[#This Row],[Nb]],0)</f>
        <v>1</v>
      </c>
    </row>
    <row r="200" spans="1:6" ht="30" customHeight="1" x14ac:dyDescent="0.3">
      <c r="A200" s="562" t="s">
        <v>6347</v>
      </c>
      <c r="B200" s="563" t="s">
        <v>6346</v>
      </c>
      <c r="C200" s="564">
        <v>43237</v>
      </c>
      <c r="D200" s="562">
        <v>7</v>
      </c>
      <c r="E200" s="562">
        <v>3</v>
      </c>
      <c r="F200" s="562">
        <f>IFERROR(Tableau1[[#This Row],[Score]]/Tableau1[[#This Row],[Nb]],0)</f>
        <v>0.42857142857142855</v>
      </c>
    </row>
    <row r="201" spans="1:6" ht="30" customHeight="1" x14ac:dyDescent="0.3">
      <c r="A201" s="562" t="s">
        <v>3454</v>
      </c>
      <c r="B201" s="563" t="s">
        <v>3455</v>
      </c>
      <c r="C201" s="564">
        <v>43237</v>
      </c>
      <c r="D201" s="562">
        <v>7</v>
      </c>
      <c r="E201" s="562">
        <v>4</v>
      </c>
      <c r="F201" s="562">
        <f>IFERROR(Tableau1[[#This Row],[Score]]/Tableau1[[#This Row],[Nb]],0)</f>
        <v>0.5714285714285714</v>
      </c>
    </row>
    <row r="202" spans="1:6" ht="30" customHeight="1" x14ac:dyDescent="0.3">
      <c r="A202" s="562" t="s">
        <v>2683</v>
      </c>
      <c r="B202" s="563" t="s">
        <v>3376</v>
      </c>
      <c r="C202" s="564">
        <v>43237</v>
      </c>
      <c r="D202" s="562">
        <v>7</v>
      </c>
      <c r="E202" s="562">
        <v>5</v>
      </c>
      <c r="F202" s="562">
        <f>IFERROR(Tableau1[[#This Row],[Score]]/Tableau1[[#This Row],[Nb]],0)</f>
        <v>0.7142857142857143</v>
      </c>
    </row>
    <row r="203" spans="1:6" ht="30" customHeight="1" x14ac:dyDescent="0.3">
      <c r="A203" s="562" t="s">
        <v>4135</v>
      </c>
      <c r="B203" s="563" t="s">
        <v>4134</v>
      </c>
      <c r="C203" s="564">
        <v>43237</v>
      </c>
      <c r="D203" s="562">
        <v>8</v>
      </c>
      <c r="E203" s="562">
        <v>0</v>
      </c>
      <c r="F203" s="562">
        <f>IFERROR(Tableau1[[#This Row],[Score]]/Tableau1[[#This Row],[Nb]],0)</f>
        <v>0</v>
      </c>
    </row>
    <row r="204" spans="1:6" ht="30" customHeight="1" x14ac:dyDescent="0.3">
      <c r="A204" s="562" t="s">
        <v>4902</v>
      </c>
      <c r="B204" s="563" t="s">
        <v>4901</v>
      </c>
      <c r="C204" s="564">
        <v>43237</v>
      </c>
      <c r="D204" s="562">
        <v>9</v>
      </c>
      <c r="E204" s="562">
        <v>9</v>
      </c>
      <c r="F204" s="562">
        <f>IFERROR(Tableau1[[#This Row],[Score]]/Tableau1[[#This Row],[Nb]],0)</f>
        <v>1</v>
      </c>
    </row>
    <row r="205" spans="1:6" ht="30" customHeight="1" x14ac:dyDescent="0.3">
      <c r="A205" s="562" t="s">
        <v>6214</v>
      </c>
      <c r="B205" s="563" t="s">
        <v>3385</v>
      </c>
      <c r="C205" s="564">
        <v>43237</v>
      </c>
      <c r="D205" s="562">
        <v>10</v>
      </c>
      <c r="E205" s="562">
        <v>3</v>
      </c>
      <c r="F205" s="562">
        <f>IFERROR(Tableau1[[#This Row],[Score]]/Tableau1[[#This Row],[Nb]],0)</f>
        <v>0.3</v>
      </c>
    </row>
    <row r="206" spans="1:6" ht="30" customHeight="1" x14ac:dyDescent="0.3">
      <c r="A206" s="562" t="s">
        <v>1443</v>
      </c>
      <c r="B206" s="563" t="s">
        <v>4508</v>
      </c>
      <c r="C206" s="564">
        <v>43237</v>
      </c>
      <c r="D206" s="562">
        <v>12</v>
      </c>
      <c r="E206" s="562">
        <v>7</v>
      </c>
      <c r="F206" s="562">
        <f>IFERROR(Tableau1[[#This Row],[Score]]/Tableau1[[#This Row],[Nb]],0)</f>
        <v>0.58333333333333337</v>
      </c>
    </row>
    <row r="207" spans="1:6" ht="30" customHeight="1" x14ac:dyDescent="0.3">
      <c r="A207" s="562" t="s">
        <v>16</v>
      </c>
      <c r="B207" s="563" t="s">
        <v>17</v>
      </c>
      <c r="C207" s="564">
        <v>43247</v>
      </c>
      <c r="D207" s="562">
        <v>1</v>
      </c>
      <c r="E207" s="562">
        <v>-1</v>
      </c>
      <c r="F207" s="562">
        <f>IFERROR(Tableau1[[#This Row],[Score]]/Tableau1[[#This Row],[Nb]],0)</f>
        <v>-1</v>
      </c>
    </row>
    <row r="208" spans="1:6" ht="30" customHeight="1" x14ac:dyDescent="0.3">
      <c r="A208" s="570" t="s">
        <v>12</v>
      </c>
      <c r="B208" s="571" t="s">
        <v>13</v>
      </c>
      <c r="C208" s="572">
        <v>43247</v>
      </c>
      <c r="D208" s="562">
        <v>1</v>
      </c>
      <c r="E208" s="562">
        <v>-1</v>
      </c>
      <c r="F208" s="570">
        <f>IFERROR(Tableau1[[#This Row],[Score]]/Tableau1[[#This Row],[Nb]],0)</f>
        <v>-1</v>
      </c>
    </row>
    <row r="209" spans="1:6" ht="30" customHeight="1" x14ac:dyDescent="0.3">
      <c r="A209" s="576" t="s">
        <v>2320</v>
      </c>
      <c r="B209" s="577" t="s">
        <v>30</v>
      </c>
      <c r="C209" s="582">
        <v>43247</v>
      </c>
      <c r="D209" s="562">
        <v>1</v>
      </c>
      <c r="E209" s="562">
        <v>1</v>
      </c>
      <c r="F209" s="576">
        <f>IFERROR(Tableau1[[#This Row],[Score]]/Tableau1[[#This Row],[Nb]],0)</f>
        <v>1</v>
      </c>
    </row>
    <row r="210" spans="1:6" ht="30" customHeight="1" x14ac:dyDescent="0.3">
      <c r="A210" s="562" t="s">
        <v>3172</v>
      </c>
      <c r="B210" s="577" t="s">
        <v>6640</v>
      </c>
      <c r="C210" s="564">
        <v>43247</v>
      </c>
      <c r="D210" s="562">
        <v>5</v>
      </c>
      <c r="E210" s="562">
        <v>5</v>
      </c>
      <c r="F210" s="562">
        <f>IFERROR(Tableau1[[#This Row],[Score]]/Tableau1[[#This Row],[Nb]],0)</f>
        <v>1</v>
      </c>
    </row>
    <row r="211" spans="1:6" ht="30" customHeight="1" x14ac:dyDescent="0.3">
      <c r="A211" s="562" t="s">
        <v>35</v>
      </c>
      <c r="B211" s="563" t="s">
        <v>4566</v>
      </c>
      <c r="C211" s="564">
        <v>43290</v>
      </c>
      <c r="D211" s="562">
        <v>0</v>
      </c>
      <c r="E211" s="562">
        <v>0</v>
      </c>
      <c r="F211" s="562">
        <f>IFERROR(Tableau1[[#This Row],[Score]]/Tableau1[[#This Row],[Nb]],0)</f>
        <v>0</v>
      </c>
    </row>
    <row r="212" spans="1:6" ht="30" customHeight="1" x14ac:dyDescent="0.3">
      <c r="A212" s="562" t="s">
        <v>3720</v>
      </c>
      <c r="B212" s="563" t="s">
        <v>3721</v>
      </c>
      <c r="C212" s="564">
        <v>43291</v>
      </c>
      <c r="D212" s="562">
        <v>2</v>
      </c>
      <c r="E212" s="562">
        <v>2</v>
      </c>
      <c r="F212" s="562">
        <f>IFERROR(Tableau1[[#This Row],[Score]]/Tableau1[[#This Row],[Nb]],0)</f>
        <v>1</v>
      </c>
    </row>
    <row r="213" spans="1:6" ht="30" customHeight="1" x14ac:dyDescent="0.3">
      <c r="A213" s="562" t="s">
        <v>3108</v>
      </c>
      <c r="B213" s="563" t="s">
        <v>3109</v>
      </c>
      <c r="C213" s="564">
        <v>43291</v>
      </c>
      <c r="D213" s="562">
        <v>5</v>
      </c>
      <c r="E213" s="562">
        <v>3</v>
      </c>
      <c r="F213" s="562">
        <f>IFERROR(Tableau1[[#This Row],[Score]]/Tableau1[[#This Row],[Nb]],0)</f>
        <v>0.6</v>
      </c>
    </row>
    <row r="214" spans="1:6" ht="30" customHeight="1" x14ac:dyDescent="0.3">
      <c r="A214" s="562" t="s">
        <v>2987</v>
      </c>
      <c r="B214" s="563" t="s">
        <v>2986</v>
      </c>
      <c r="C214" s="564">
        <v>43296</v>
      </c>
      <c r="D214" s="562">
        <v>2</v>
      </c>
      <c r="E214" s="562">
        <v>-2</v>
      </c>
      <c r="F214" s="562">
        <f>IFERROR(Tableau1[[#This Row],[Score]]/Tableau1[[#This Row],[Nb]],0)</f>
        <v>-1</v>
      </c>
    </row>
    <row r="215" spans="1:6" ht="30" customHeight="1" x14ac:dyDescent="0.3">
      <c r="A215" s="562" t="s">
        <v>42</v>
      </c>
      <c r="B215" s="563" t="s">
        <v>43</v>
      </c>
      <c r="C215" s="564">
        <v>43296</v>
      </c>
      <c r="D215" s="562">
        <v>3</v>
      </c>
      <c r="E215" s="562">
        <v>3</v>
      </c>
      <c r="F215" s="562">
        <f>IFERROR(Tableau1[[#This Row],[Score]]/Tableau1[[#This Row],[Nb]],0)</f>
        <v>1</v>
      </c>
    </row>
    <row r="216" spans="1:6" ht="30" customHeight="1" x14ac:dyDescent="0.3">
      <c r="A216" s="562" t="s">
        <v>3124</v>
      </c>
      <c r="B216" s="563" t="s">
        <v>2411</v>
      </c>
      <c r="C216" s="564">
        <v>43298</v>
      </c>
      <c r="D216" s="562">
        <v>2</v>
      </c>
      <c r="E216" s="562">
        <v>0</v>
      </c>
      <c r="F216" s="562">
        <f>IFERROR(Tableau1[[#This Row],[Score]]/Tableau1[[#This Row],[Nb]],0)</f>
        <v>0</v>
      </c>
    </row>
    <row r="217" spans="1:6" ht="30" customHeight="1" x14ac:dyDescent="0.3">
      <c r="A217" s="562" t="s">
        <v>4173</v>
      </c>
      <c r="B217" s="563" t="s">
        <v>4174</v>
      </c>
      <c r="C217" s="564">
        <v>43311</v>
      </c>
      <c r="D217" s="562">
        <v>2</v>
      </c>
      <c r="E217" s="562">
        <v>2</v>
      </c>
      <c r="F217" s="562">
        <f>IFERROR(Tableau1[[#This Row],[Score]]/Tableau1[[#This Row],[Nb]],0)</f>
        <v>1</v>
      </c>
    </row>
    <row r="218" spans="1:6" ht="30" customHeight="1" x14ac:dyDescent="0.3">
      <c r="A218" s="562" t="s">
        <v>5250</v>
      </c>
      <c r="B218" s="563" t="s">
        <v>5249</v>
      </c>
      <c r="C218" s="564">
        <v>43317</v>
      </c>
      <c r="D218" s="562">
        <v>3</v>
      </c>
      <c r="E218" s="562">
        <v>1</v>
      </c>
      <c r="F218" s="562">
        <f>IFERROR(Tableau1[[#This Row],[Score]]/Tableau1[[#This Row],[Nb]],0)</f>
        <v>0.33333333333333331</v>
      </c>
    </row>
    <row r="219" spans="1:6" ht="30" customHeight="1" x14ac:dyDescent="0.3">
      <c r="A219" s="562" t="s">
        <v>69</v>
      </c>
      <c r="B219" s="563" t="s">
        <v>4514</v>
      </c>
      <c r="C219" s="564">
        <v>43317</v>
      </c>
      <c r="D219" s="562">
        <v>2</v>
      </c>
      <c r="E219" s="562">
        <v>2</v>
      </c>
      <c r="F219" s="562">
        <f>IFERROR(Tableau1[[#This Row],[Score]]/Tableau1[[#This Row],[Nb]],0)</f>
        <v>1</v>
      </c>
    </row>
    <row r="220" spans="1:6" ht="30" customHeight="1" x14ac:dyDescent="0.3">
      <c r="A220" s="562" t="s">
        <v>3347</v>
      </c>
      <c r="B220" s="563" t="s">
        <v>3348</v>
      </c>
      <c r="C220" s="564">
        <v>43317</v>
      </c>
      <c r="D220" s="562">
        <v>7</v>
      </c>
      <c r="E220" s="562">
        <v>6</v>
      </c>
      <c r="F220" s="562">
        <f>IFERROR(Tableau1[[#This Row],[Score]]/Tableau1[[#This Row],[Nb]],0)</f>
        <v>0.8571428571428571</v>
      </c>
    </row>
    <row r="221" spans="1:6" ht="30" customHeight="1" x14ac:dyDescent="0.3">
      <c r="A221" s="562" t="s">
        <v>3349</v>
      </c>
      <c r="B221" s="563" t="s">
        <v>3350</v>
      </c>
      <c r="C221" s="564">
        <v>43319</v>
      </c>
      <c r="D221" s="562">
        <v>0</v>
      </c>
      <c r="E221" s="562">
        <v>0</v>
      </c>
      <c r="F221" s="562">
        <f>IFERROR(Tableau1[[#This Row],[Score]]/Tableau1[[#This Row],[Nb]],0)</f>
        <v>0</v>
      </c>
    </row>
    <row r="222" spans="1:6" ht="30" customHeight="1" x14ac:dyDescent="0.3">
      <c r="A222" s="562" t="s">
        <v>3425</v>
      </c>
      <c r="B222" s="563" t="s">
        <v>3426</v>
      </c>
      <c r="C222" s="564">
        <v>43319</v>
      </c>
      <c r="D222" s="562">
        <v>0</v>
      </c>
      <c r="E222" s="562">
        <v>0</v>
      </c>
      <c r="F222" s="562">
        <f>IFERROR(Tableau1[[#This Row],[Score]]/Tableau1[[#This Row],[Nb]],0)</f>
        <v>0</v>
      </c>
    </row>
    <row r="223" spans="1:6" ht="30" customHeight="1" x14ac:dyDescent="0.3">
      <c r="A223" s="562" t="s">
        <v>4509</v>
      </c>
      <c r="B223" s="563" t="s">
        <v>3351</v>
      </c>
      <c r="C223" s="564">
        <v>43319</v>
      </c>
      <c r="D223" s="562">
        <v>1</v>
      </c>
      <c r="E223" s="562">
        <v>-1</v>
      </c>
      <c r="F223" s="562">
        <f>IFERROR(Tableau1[[#This Row],[Score]]/Tableau1[[#This Row],[Nb]],0)</f>
        <v>-1</v>
      </c>
    </row>
    <row r="224" spans="1:6" ht="30" customHeight="1" x14ac:dyDescent="0.3">
      <c r="A224" s="562" t="s">
        <v>6211</v>
      </c>
      <c r="B224" s="563" t="s">
        <v>6212</v>
      </c>
      <c r="C224" s="564">
        <v>43319</v>
      </c>
      <c r="D224" s="562">
        <v>1</v>
      </c>
      <c r="E224" s="562">
        <v>1</v>
      </c>
      <c r="F224" s="562">
        <f>IFERROR(Tableau1[[#This Row],[Score]]/Tableau1[[#This Row],[Nb]],0)</f>
        <v>1</v>
      </c>
    </row>
    <row r="225" spans="1:6" ht="30" customHeight="1" x14ac:dyDescent="0.3">
      <c r="A225" s="562" t="s">
        <v>3421</v>
      </c>
      <c r="B225" s="563" t="s">
        <v>3422</v>
      </c>
      <c r="C225" s="564">
        <v>43319</v>
      </c>
      <c r="D225" s="562">
        <v>1</v>
      </c>
      <c r="E225" s="562">
        <v>1</v>
      </c>
      <c r="F225" s="562">
        <f>IFERROR(Tableau1[[#This Row],[Score]]/Tableau1[[#This Row],[Nb]],0)</f>
        <v>1</v>
      </c>
    </row>
    <row r="226" spans="1:6" ht="30" customHeight="1" x14ac:dyDescent="0.3">
      <c r="A226" s="562" t="s">
        <v>3423</v>
      </c>
      <c r="B226" s="563" t="s">
        <v>6412</v>
      </c>
      <c r="C226" s="564">
        <v>43319</v>
      </c>
      <c r="D226" s="562">
        <v>3</v>
      </c>
      <c r="E226" s="562">
        <v>1</v>
      </c>
      <c r="F226" s="562">
        <f>IFERROR(Tableau1[[#This Row],[Score]]/Tableau1[[#This Row],[Nb]],0)</f>
        <v>0.33333333333333331</v>
      </c>
    </row>
    <row r="227" spans="1:6" ht="30" customHeight="1" x14ac:dyDescent="0.3">
      <c r="A227" s="562" t="s">
        <v>3424</v>
      </c>
      <c r="B227" s="563" t="s">
        <v>6464</v>
      </c>
      <c r="C227" s="564">
        <v>43319</v>
      </c>
      <c r="D227" s="562">
        <v>6</v>
      </c>
      <c r="E227" s="562">
        <v>4</v>
      </c>
      <c r="F227" s="562">
        <f>IFERROR(Tableau1[[#This Row],[Score]]/Tableau1[[#This Row],[Nb]],0)</f>
        <v>0.66666666666666663</v>
      </c>
    </row>
    <row r="228" spans="1:6" ht="30" customHeight="1" x14ac:dyDescent="0.3">
      <c r="A228" s="562" t="s">
        <v>3473</v>
      </c>
      <c r="B228" s="563" t="s">
        <v>3474</v>
      </c>
      <c r="C228" s="564">
        <v>43319</v>
      </c>
      <c r="D228" s="562">
        <v>8</v>
      </c>
      <c r="E228" s="562">
        <v>7</v>
      </c>
      <c r="F228" s="562">
        <f>IFERROR(Tableau1[[#This Row],[Score]]/Tableau1[[#This Row],[Nb]],0)</f>
        <v>0.875</v>
      </c>
    </row>
    <row r="229" spans="1:6" ht="30" customHeight="1" x14ac:dyDescent="0.3">
      <c r="A229" s="562" t="s">
        <v>4537</v>
      </c>
      <c r="B229" s="563" t="s">
        <v>4538</v>
      </c>
      <c r="C229" s="564">
        <v>43325</v>
      </c>
      <c r="D229" s="562">
        <v>1</v>
      </c>
      <c r="E229" s="562">
        <v>1</v>
      </c>
      <c r="F229" s="562">
        <f>IFERROR(Tableau1[[#This Row],[Score]]/Tableau1[[#This Row],[Nb]],0)</f>
        <v>1</v>
      </c>
    </row>
    <row r="230" spans="1:6" ht="30" customHeight="1" x14ac:dyDescent="0.3">
      <c r="A230" s="562" t="s">
        <v>3570</v>
      </c>
      <c r="B230" s="563" t="s">
        <v>3569</v>
      </c>
      <c r="C230" s="564">
        <v>43325</v>
      </c>
      <c r="D230" s="562">
        <v>1</v>
      </c>
      <c r="E230" s="562">
        <v>1</v>
      </c>
      <c r="F230" s="562">
        <f>IFERROR(Tableau1[[#This Row],[Score]]/Tableau1[[#This Row],[Nb]],0)</f>
        <v>1</v>
      </c>
    </row>
    <row r="231" spans="1:6" ht="30" customHeight="1" x14ac:dyDescent="0.3">
      <c r="A231" s="562" t="s">
        <v>1473</v>
      </c>
      <c r="B231" s="563" t="s">
        <v>3923</v>
      </c>
      <c r="C231" s="564">
        <v>43325</v>
      </c>
      <c r="D231" s="562">
        <v>1</v>
      </c>
      <c r="E231" s="562">
        <v>-1</v>
      </c>
      <c r="F231" s="562">
        <f>IFERROR(Tableau1[[#This Row],[Score]]/Tableau1[[#This Row],[Nb]],0)</f>
        <v>-1</v>
      </c>
    </row>
    <row r="232" spans="1:6" ht="30" customHeight="1" x14ac:dyDescent="0.3">
      <c r="A232" s="562" t="s">
        <v>3929</v>
      </c>
      <c r="B232" s="563" t="s">
        <v>3930</v>
      </c>
      <c r="C232" s="564">
        <v>43325</v>
      </c>
      <c r="D232" s="562">
        <v>2</v>
      </c>
      <c r="E232" s="562">
        <v>0</v>
      </c>
      <c r="F232" s="562">
        <f>IFERROR(Tableau1[[#This Row],[Score]]/Tableau1[[#This Row],[Nb]],0)</f>
        <v>0</v>
      </c>
    </row>
    <row r="233" spans="1:6" ht="30" customHeight="1" x14ac:dyDescent="0.3">
      <c r="A233" s="562" t="s">
        <v>2994</v>
      </c>
      <c r="B233" s="563" t="s">
        <v>2995</v>
      </c>
      <c r="C233" s="564">
        <v>43325</v>
      </c>
      <c r="D233" s="562">
        <v>2</v>
      </c>
      <c r="E233" s="562">
        <v>2</v>
      </c>
      <c r="F233" s="562">
        <f>IFERROR(Tableau1[[#This Row],[Score]]/Tableau1[[#This Row],[Nb]],0)</f>
        <v>1</v>
      </c>
    </row>
    <row r="234" spans="1:6" ht="30" customHeight="1" x14ac:dyDescent="0.3">
      <c r="A234" s="562" t="s">
        <v>3712</v>
      </c>
      <c r="B234" s="563" t="s">
        <v>3427</v>
      </c>
      <c r="C234" s="564">
        <v>43325</v>
      </c>
      <c r="D234" s="562">
        <v>3</v>
      </c>
      <c r="E234" s="562">
        <v>1</v>
      </c>
      <c r="F234" s="562">
        <f>IFERROR(Tableau1[[#This Row],[Score]]/Tableau1[[#This Row],[Nb]],0)</f>
        <v>0.33333333333333331</v>
      </c>
    </row>
    <row r="235" spans="1:6" ht="30" customHeight="1" x14ac:dyDescent="0.3">
      <c r="A235" s="562" t="s">
        <v>3567</v>
      </c>
      <c r="B235" s="563" t="s">
        <v>3568</v>
      </c>
      <c r="C235" s="564">
        <v>43325</v>
      </c>
      <c r="D235" s="562">
        <v>4</v>
      </c>
      <c r="E235" s="562">
        <v>4</v>
      </c>
      <c r="F235" s="562">
        <f>IFERROR(Tableau1[[#This Row],[Score]]/Tableau1[[#This Row],[Nb]],0)</f>
        <v>1</v>
      </c>
    </row>
    <row r="236" spans="1:6" ht="30" customHeight="1" x14ac:dyDescent="0.3">
      <c r="A236" s="562" t="s">
        <v>1056</v>
      </c>
      <c r="B236" s="563" t="s">
        <v>6625</v>
      </c>
      <c r="C236" s="564">
        <v>43325</v>
      </c>
      <c r="D236" s="562">
        <v>4</v>
      </c>
      <c r="E236" s="562">
        <v>-4</v>
      </c>
      <c r="F236" s="562">
        <f>IFERROR(Tableau1[[#This Row],[Score]]/Tableau1[[#This Row],[Nb]],0)</f>
        <v>-1</v>
      </c>
    </row>
    <row r="237" spans="1:6" ht="30" customHeight="1" x14ac:dyDescent="0.3">
      <c r="A237" s="562" t="s">
        <v>3173</v>
      </c>
      <c r="B237" s="563" t="s">
        <v>3174</v>
      </c>
      <c r="C237" s="564">
        <v>43325</v>
      </c>
      <c r="D237" s="562">
        <v>4</v>
      </c>
      <c r="E237" s="562">
        <v>4</v>
      </c>
      <c r="F237" s="562">
        <f>IFERROR(Tableau1[[#This Row],[Score]]/Tableau1[[#This Row],[Nb]],0)</f>
        <v>1</v>
      </c>
    </row>
    <row r="238" spans="1:6" ht="30" customHeight="1" x14ac:dyDescent="0.3">
      <c r="A238" s="562" t="s">
        <v>3913</v>
      </c>
      <c r="B238" s="563" t="s">
        <v>3914</v>
      </c>
      <c r="C238" s="564">
        <v>43325</v>
      </c>
      <c r="D238" s="562">
        <v>5</v>
      </c>
      <c r="E238" s="562">
        <v>4</v>
      </c>
      <c r="F238" s="562">
        <f>IFERROR(Tableau1[[#This Row],[Score]]/Tableau1[[#This Row],[Nb]],0)</f>
        <v>0.8</v>
      </c>
    </row>
    <row r="239" spans="1:6" ht="30" customHeight="1" x14ac:dyDescent="0.3">
      <c r="A239" s="562" t="s">
        <v>3480</v>
      </c>
      <c r="B239" s="563" t="s">
        <v>3479</v>
      </c>
      <c r="C239" s="564">
        <v>43325</v>
      </c>
      <c r="D239" s="562">
        <v>5</v>
      </c>
      <c r="E239" s="562">
        <v>5</v>
      </c>
      <c r="F239" s="562">
        <f>IFERROR(Tableau1[[#This Row],[Score]]/Tableau1[[#This Row],[Nb]],0)</f>
        <v>1</v>
      </c>
    </row>
    <row r="240" spans="1:6" ht="30" customHeight="1" x14ac:dyDescent="0.3">
      <c r="A240" s="562" t="s">
        <v>2669</v>
      </c>
      <c r="B240" s="563" t="s">
        <v>2670</v>
      </c>
      <c r="C240" s="564">
        <v>43329</v>
      </c>
      <c r="D240" s="562">
        <v>1</v>
      </c>
      <c r="E240" s="562">
        <v>-1</v>
      </c>
      <c r="F240" s="562">
        <f>IFERROR(Tableau1[[#This Row],[Score]]/Tableau1[[#This Row],[Nb]],0)</f>
        <v>-1</v>
      </c>
    </row>
    <row r="241" spans="1:6" ht="30" customHeight="1" x14ac:dyDescent="0.3">
      <c r="A241" s="562" t="s">
        <v>78</v>
      </c>
      <c r="B241" s="563" t="s">
        <v>79</v>
      </c>
      <c r="C241" s="564">
        <v>43329</v>
      </c>
      <c r="D241" s="562">
        <v>2</v>
      </c>
      <c r="E241" s="562">
        <v>2</v>
      </c>
      <c r="F241" s="562">
        <f>IFERROR(Tableau1[[#This Row],[Score]]/Tableau1[[#This Row],[Nb]],0)</f>
        <v>1</v>
      </c>
    </row>
    <row r="242" spans="1:6" ht="30" customHeight="1" x14ac:dyDescent="0.3">
      <c r="A242" s="562" t="s">
        <v>73</v>
      </c>
      <c r="B242" s="563" t="s">
        <v>4661</v>
      </c>
      <c r="C242" s="564">
        <v>43329</v>
      </c>
      <c r="D242" s="562">
        <v>4</v>
      </c>
      <c r="E242" s="562">
        <v>4</v>
      </c>
      <c r="F242" s="562">
        <f>IFERROR(Tableau1[[#This Row],[Score]]/Tableau1[[#This Row],[Nb]],0)</f>
        <v>1</v>
      </c>
    </row>
    <row r="243" spans="1:6" ht="30" customHeight="1" x14ac:dyDescent="0.3">
      <c r="A243" s="562" t="s">
        <v>2991</v>
      </c>
      <c r="B243" s="563" t="s">
        <v>4167</v>
      </c>
      <c r="C243" s="564">
        <v>43329</v>
      </c>
      <c r="D243" s="562">
        <v>6</v>
      </c>
      <c r="E243" s="562">
        <v>6</v>
      </c>
      <c r="F243" s="562">
        <f>IFERROR(Tableau1[[#This Row],[Score]]/Tableau1[[#This Row],[Nb]],0)</f>
        <v>1</v>
      </c>
    </row>
    <row r="244" spans="1:6" ht="30" customHeight="1" x14ac:dyDescent="0.3">
      <c r="A244" s="562" t="s">
        <v>6603</v>
      </c>
      <c r="B244" s="563" t="s">
        <v>4219</v>
      </c>
      <c r="C244" s="564">
        <v>43329</v>
      </c>
      <c r="D244" s="562">
        <v>6</v>
      </c>
      <c r="E244" s="562">
        <v>1</v>
      </c>
      <c r="F244" s="562">
        <f>IFERROR(Tableau1[[#This Row],[Score]]/Tableau1[[#This Row],[Nb]],0)</f>
        <v>0.16666666666666666</v>
      </c>
    </row>
    <row r="245" spans="1:6" ht="30" customHeight="1" x14ac:dyDescent="0.3">
      <c r="A245" s="562" t="s">
        <v>4084</v>
      </c>
      <c r="B245" s="563" t="s">
        <v>4085</v>
      </c>
      <c r="C245" s="564">
        <v>43329</v>
      </c>
      <c r="D245" s="562">
        <v>6</v>
      </c>
      <c r="E245" s="562">
        <v>4</v>
      </c>
      <c r="F245" s="562">
        <f>IFERROR(Tableau1[[#This Row],[Score]]/Tableau1[[#This Row],[Nb]],0)</f>
        <v>0.66666666666666663</v>
      </c>
    </row>
    <row r="246" spans="1:6" ht="30" customHeight="1" x14ac:dyDescent="0.3">
      <c r="A246" s="562" t="s">
        <v>6132</v>
      </c>
      <c r="B246" s="563" t="s">
        <v>6133</v>
      </c>
      <c r="C246" s="564">
        <v>43329</v>
      </c>
      <c r="D246" s="562">
        <v>7</v>
      </c>
      <c r="E246" s="562">
        <v>2</v>
      </c>
      <c r="F246" s="562">
        <f>IFERROR(Tableau1[[#This Row],[Score]]/Tableau1[[#This Row],[Nb]],0)</f>
        <v>0.2857142857142857</v>
      </c>
    </row>
    <row r="247" spans="1:6" ht="30" customHeight="1" x14ac:dyDescent="0.3">
      <c r="A247" s="562" t="s">
        <v>2992</v>
      </c>
      <c r="B247" s="563" t="s">
        <v>4130</v>
      </c>
      <c r="C247" s="564">
        <v>43331</v>
      </c>
      <c r="D247" s="562">
        <v>1</v>
      </c>
      <c r="E247" s="562">
        <v>-1</v>
      </c>
      <c r="F247" s="562">
        <f>IFERROR(Tableau1[[#This Row],[Score]]/Tableau1[[#This Row],[Nb]],0)</f>
        <v>-1</v>
      </c>
    </row>
    <row r="248" spans="1:6" ht="30" customHeight="1" x14ac:dyDescent="0.3">
      <c r="A248" s="562" t="s">
        <v>4497</v>
      </c>
      <c r="B248" s="563" t="s">
        <v>4498</v>
      </c>
      <c r="C248" s="564">
        <v>43331</v>
      </c>
      <c r="D248" s="562">
        <v>2</v>
      </c>
      <c r="E248" s="562">
        <v>0</v>
      </c>
      <c r="F248" s="562">
        <f>IFERROR(Tableau1[[#This Row],[Score]]/Tableau1[[#This Row],[Nb]],0)</f>
        <v>0</v>
      </c>
    </row>
    <row r="249" spans="1:6" ht="30" customHeight="1" x14ac:dyDescent="0.3">
      <c r="A249" s="562" t="s">
        <v>3693</v>
      </c>
      <c r="B249" s="563" t="s">
        <v>3694</v>
      </c>
      <c r="C249" s="564">
        <v>43341</v>
      </c>
      <c r="D249" s="562">
        <v>0</v>
      </c>
      <c r="E249" s="562">
        <v>0</v>
      </c>
      <c r="F249" s="562">
        <f>IFERROR(Tableau1[[#This Row],[Score]]/Tableau1[[#This Row],[Nb]],0)</f>
        <v>0</v>
      </c>
    </row>
    <row r="250" spans="1:6" ht="30" customHeight="1" x14ac:dyDescent="0.3">
      <c r="A250" s="562" t="s">
        <v>1112</v>
      </c>
      <c r="B250" s="563" t="s">
        <v>3298</v>
      </c>
      <c r="C250" s="564">
        <v>43341</v>
      </c>
      <c r="D250" s="562">
        <v>0</v>
      </c>
      <c r="E250" s="562">
        <v>0</v>
      </c>
      <c r="F250" s="562">
        <f>IFERROR(Tableau1[[#This Row],[Score]]/Tableau1[[#This Row],[Nb]],0)</f>
        <v>0</v>
      </c>
    </row>
    <row r="251" spans="1:6" ht="30" customHeight="1" x14ac:dyDescent="0.3">
      <c r="A251" s="562" t="s">
        <v>116</v>
      </c>
      <c r="B251" s="563" t="s">
        <v>117</v>
      </c>
      <c r="C251" s="564">
        <v>43341</v>
      </c>
      <c r="D251" s="562">
        <v>1</v>
      </c>
      <c r="E251" s="562">
        <v>-1</v>
      </c>
      <c r="F251" s="562">
        <f>IFERROR(Tableau1[[#This Row],[Score]]/Tableau1[[#This Row],[Nb]],0)</f>
        <v>-1</v>
      </c>
    </row>
    <row r="252" spans="1:6" ht="30" customHeight="1" x14ac:dyDescent="0.3">
      <c r="A252" s="562" t="s">
        <v>98</v>
      </c>
      <c r="B252" s="563" t="s">
        <v>4454</v>
      </c>
      <c r="C252" s="564">
        <v>43341</v>
      </c>
      <c r="D252" s="562">
        <v>3</v>
      </c>
      <c r="E252" s="562">
        <v>3</v>
      </c>
      <c r="F252" s="562">
        <f>IFERROR(Tableau1[[#This Row],[Score]]/Tableau1[[#This Row],[Nb]],0)</f>
        <v>1</v>
      </c>
    </row>
    <row r="253" spans="1:6" ht="30" customHeight="1" x14ac:dyDescent="0.3">
      <c r="A253" s="562" t="s">
        <v>149</v>
      </c>
      <c r="B253" s="563" t="s">
        <v>150</v>
      </c>
      <c r="C253" s="564">
        <v>43368</v>
      </c>
      <c r="D253" s="562">
        <v>5</v>
      </c>
      <c r="E253" s="562">
        <v>3</v>
      </c>
      <c r="F253" s="562">
        <f>IFERROR(Tableau1[[#This Row],[Score]]/Tableau1[[#This Row],[Nb]],0)</f>
        <v>0.6</v>
      </c>
    </row>
    <row r="254" spans="1:6" ht="30" customHeight="1" x14ac:dyDescent="0.3">
      <c r="A254" s="562" t="s">
        <v>3400</v>
      </c>
      <c r="B254" s="563" t="s">
        <v>6604</v>
      </c>
      <c r="C254" s="564">
        <v>43377</v>
      </c>
      <c r="D254" s="562">
        <v>6</v>
      </c>
      <c r="E254" s="562">
        <v>0</v>
      </c>
      <c r="F254" s="562">
        <f>IFERROR(Tableau1[[#This Row],[Score]]/Tableau1[[#This Row],[Nb]],0)</f>
        <v>0</v>
      </c>
    </row>
    <row r="255" spans="1:6" ht="30" customHeight="1" x14ac:dyDescent="0.3">
      <c r="A255" s="562" t="s">
        <v>4088</v>
      </c>
      <c r="B255" s="563" t="s">
        <v>4089</v>
      </c>
      <c r="C255" s="564">
        <v>43390</v>
      </c>
      <c r="D255" s="562">
        <v>0</v>
      </c>
      <c r="E255" s="562">
        <v>0</v>
      </c>
      <c r="F255" s="562">
        <f>IFERROR(Tableau1[[#This Row],[Score]]/Tableau1[[#This Row],[Nb]],0)</f>
        <v>0</v>
      </c>
    </row>
    <row r="256" spans="1:6" ht="30" customHeight="1" x14ac:dyDescent="0.3">
      <c r="A256" s="562" t="s">
        <v>258</v>
      </c>
      <c r="B256" s="563" t="s">
        <v>259</v>
      </c>
      <c r="C256" s="564">
        <v>43390</v>
      </c>
      <c r="D256" s="562">
        <v>2</v>
      </c>
      <c r="E256" s="562">
        <v>2</v>
      </c>
      <c r="F256" s="562">
        <f>IFERROR(Tableau1[[#This Row],[Score]]/Tableau1[[#This Row],[Nb]],0)</f>
        <v>1</v>
      </c>
    </row>
    <row r="257" spans="1:6" ht="30" customHeight="1" x14ac:dyDescent="0.3">
      <c r="A257" s="562" t="s">
        <v>227</v>
      </c>
      <c r="B257" s="563" t="s">
        <v>230</v>
      </c>
      <c r="C257" s="564">
        <v>43398</v>
      </c>
      <c r="D257" s="562">
        <v>1</v>
      </c>
      <c r="E257" s="562">
        <v>1</v>
      </c>
      <c r="F257" s="562">
        <f>IFERROR(Tableau1[[#This Row],[Score]]/Tableau1[[#This Row],[Nb]],0)</f>
        <v>1</v>
      </c>
    </row>
    <row r="258" spans="1:6" ht="30" customHeight="1" x14ac:dyDescent="0.3">
      <c r="A258" s="562" t="s">
        <v>4359</v>
      </c>
      <c r="B258" s="650" t="s">
        <v>6667</v>
      </c>
      <c r="C258" s="564">
        <v>43400</v>
      </c>
      <c r="D258" s="562">
        <v>2</v>
      </c>
      <c r="E258" s="562">
        <v>0</v>
      </c>
      <c r="F258" s="562">
        <f>IFERROR(Tableau1[[#This Row],[Score]]/Tableau1[[#This Row],[Nb]],0)</f>
        <v>0</v>
      </c>
    </row>
    <row r="259" spans="1:6" ht="30" customHeight="1" x14ac:dyDescent="0.3">
      <c r="A259" s="562" t="s">
        <v>6241</v>
      </c>
      <c r="B259" s="563" t="s">
        <v>6242</v>
      </c>
      <c r="C259" s="564">
        <v>43401</v>
      </c>
      <c r="D259" s="562">
        <v>2</v>
      </c>
      <c r="E259" s="562">
        <v>2</v>
      </c>
      <c r="F259" s="562">
        <f>IFERROR(Tableau1[[#This Row],[Score]]/Tableau1[[#This Row],[Nb]],0)</f>
        <v>1</v>
      </c>
    </row>
    <row r="260" spans="1:6" ht="30" customHeight="1" x14ac:dyDescent="0.3">
      <c r="A260" s="562" t="s">
        <v>595</v>
      </c>
      <c r="B260" s="563" t="s">
        <v>596</v>
      </c>
      <c r="C260" s="564">
        <v>43404</v>
      </c>
      <c r="D260" s="562">
        <v>1</v>
      </c>
      <c r="E260" s="562">
        <v>1</v>
      </c>
      <c r="F260" s="562">
        <f>IFERROR(Tableau1[[#This Row],[Score]]/Tableau1[[#This Row],[Nb]],0)</f>
        <v>1</v>
      </c>
    </row>
    <row r="261" spans="1:6" ht="30" customHeight="1" x14ac:dyDescent="0.3">
      <c r="A261" s="562" t="s">
        <v>586</v>
      </c>
      <c r="B261" s="563" t="s">
        <v>587</v>
      </c>
      <c r="C261" s="564">
        <v>43404</v>
      </c>
      <c r="D261" s="562">
        <v>1</v>
      </c>
      <c r="E261" s="562">
        <v>-1</v>
      </c>
      <c r="F261" s="562">
        <f>IFERROR(Tableau1[[#This Row],[Score]]/Tableau1[[#This Row],[Nb]],0)</f>
        <v>-1</v>
      </c>
    </row>
    <row r="262" spans="1:6" ht="30" customHeight="1" x14ac:dyDescent="0.3">
      <c r="A262" s="562" t="s">
        <v>573</v>
      </c>
      <c r="B262" s="563" t="s">
        <v>574</v>
      </c>
      <c r="C262" s="564">
        <v>43405</v>
      </c>
      <c r="D262" s="562">
        <v>1</v>
      </c>
      <c r="E262" s="562">
        <v>1</v>
      </c>
      <c r="F262" s="562">
        <f>IFERROR(Tableau1[[#This Row],[Score]]/Tableau1[[#This Row],[Nb]],0)</f>
        <v>1</v>
      </c>
    </row>
    <row r="263" spans="1:6" ht="30" customHeight="1" x14ac:dyDescent="0.3">
      <c r="A263" s="562" t="s">
        <v>569</v>
      </c>
      <c r="B263" s="563" t="s">
        <v>4964</v>
      </c>
      <c r="C263" s="564">
        <v>43406</v>
      </c>
      <c r="D263" s="562">
        <v>2</v>
      </c>
      <c r="E263" s="562">
        <v>2</v>
      </c>
      <c r="F263" s="562">
        <f>IFERROR(Tableau1[[#This Row],[Score]]/Tableau1[[#This Row],[Nb]],0)</f>
        <v>1</v>
      </c>
    </row>
    <row r="264" spans="1:6" ht="30" customHeight="1" x14ac:dyDescent="0.3">
      <c r="A264" s="562" t="s">
        <v>567</v>
      </c>
      <c r="B264" s="563" t="s">
        <v>4969</v>
      </c>
      <c r="C264" s="564">
        <v>43406</v>
      </c>
      <c r="D264" s="562">
        <v>3</v>
      </c>
      <c r="E264" s="562">
        <v>3</v>
      </c>
      <c r="F264" s="562">
        <f>IFERROR(Tableau1[[#This Row],[Score]]/Tableau1[[#This Row],[Nb]],0)</f>
        <v>1</v>
      </c>
    </row>
    <row r="265" spans="1:6" ht="30" customHeight="1" x14ac:dyDescent="0.3">
      <c r="A265" s="562" t="s">
        <v>1167</v>
      </c>
      <c r="B265" s="563" t="s">
        <v>1168</v>
      </c>
      <c r="C265" s="564">
        <v>43422</v>
      </c>
      <c r="D265" s="562">
        <v>3</v>
      </c>
      <c r="E265" s="562">
        <v>3</v>
      </c>
      <c r="F265" s="562">
        <f>IFERROR(Tableau1[[#This Row],[Score]]/Tableau1[[#This Row],[Nb]],0)</f>
        <v>1</v>
      </c>
    </row>
    <row r="266" spans="1:6" ht="30" customHeight="1" x14ac:dyDescent="0.3">
      <c r="A266" s="562" t="s">
        <v>1279</v>
      </c>
      <c r="B266" s="563" t="s">
        <v>4536</v>
      </c>
      <c r="C266" s="564">
        <v>43424</v>
      </c>
      <c r="D266" s="562">
        <v>2</v>
      </c>
      <c r="E266" s="562">
        <v>0</v>
      </c>
      <c r="F266" s="562">
        <f>IFERROR(Tableau1[[#This Row],[Score]]/Tableau1[[#This Row],[Nb]],0)</f>
        <v>0</v>
      </c>
    </row>
    <row r="267" spans="1:6" ht="30" customHeight="1" x14ac:dyDescent="0.3">
      <c r="A267" s="562" t="s">
        <v>3566</v>
      </c>
      <c r="B267" s="563" t="s">
        <v>6627</v>
      </c>
      <c r="C267" s="564">
        <v>43428</v>
      </c>
      <c r="D267" s="562">
        <v>1</v>
      </c>
      <c r="E267" s="562">
        <v>-1</v>
      </c>
      <c r="F267" s="562">
        <f>IFERROR(Tableau1[[#This Row],[Score]]/Tableau1[[#This Row],[Nb]],0)</f>
        <v>-1</v>
      </c>
    </row>
    <row r="268" spans="1:6" ht="30" customHeight="1" x14ac:dyDescent="0.3">
      <c r="A268" s="562" t="s">
        <v>1246</v>
      </c>
      <c r="B268" s="563" t="s">
        <v>1247</v>
      </c>
      <c r="C268" s="564">
        <v>43428</v>
      </c>
      <c r="D268" s="562">
        <v>2</v>
      </c>
      <c r="E268" s="562">
        <v>-2</v>
      </c>
      <c r="F268" s="562">
        <f>IFERROR(Tableau1[[#This Row],[Score]]/Tableau1[[#This Row],[Nb]],0)</f>
        <v>-1</v>
      </c>
    </row>
    <row r="269" spans="1:6" ht="30" customHeight="1" x14ac:dyDescent="0.3">
      <c r="A269" s="562" t="s">
        <v>1223</v>
      </c>
      <c r="B269" s="563" t="s">
        <v>1224</v>
      </c>
      <c r="C269" s="564">
        <v>43429</v>
      </c>
      <c r="D269" s="562">
        <v>0</v>
      </c>
      <c r="E269" s="562">
        <v>0</v>
      </c>
      <c r="F269" s="562">
        <f>IFERROR(Tableau1[[#This Row],[Score]]/Tableau1[[#This Row],[Nb]],0)</f>
        <v>0</v>
      </c>
    </row>
    <row r="270" spans="1:6" ht="30" customHeight="1" x14ac:dyDescent="0.3">
      <c r="A270" s="562" t="s">
        <v>5124</v>
      </c>
      <c r="B270" s="563" t="s">
        <v>5123</v>
      </c>
      <c r="C270" s="564">
        <v>43444</v>
      </c>
      <c r="D270" s="562">
        <v>1</v>
      </c>
      <c r="E270" s="562">
        <v>1</v>
      </c>
      <c r="F270" s="562">
        <f>IFERROR(Tableau1[[#This Row],[Score]]/Tableau1[[#This Row],[Nb]],0)</f>
        <v>1</v>
      </c>
    </row>
    <row r="271" spans="1:6" ht="30" customHeight="1" x14ac:dyDescent="0.3">
      <c r="A271" s="562" t="s">
        <v>6413</v>
      </c>
      <c r="B271" s="563" t="s">
        <v>6414</v>
      </c>
      <c r="C271" s="564">
        <v>43449</v>
      </c>
      <c r="D271" s="562">
        <v>6</v>
      </c>
      <c r="E271" s="562">
        <v>5</v>
      </c>
      <c r="F271" s="562">
        <f>IFERROR(Tableau1[[#This Row],[Score]]/Tableau1[[#This Row],[Nb]],0)</f>
        <v>0.83333333333333337</v>
      </c>
    </row>
    <row r="272" spans="1:6" ht="30" customHeight="1" x14ac:dyDescent="0.3">
      <c r="A272" s="562" t="s">
        <v>1606</v>
      </c>
      <c r="B272" s="563" t="s">
        <v>4513</v>
      </c>
      <c r="C272" s="564">
        <v>43533</v>
      </c>
      <c r="D272" s="562">
        <v>0</v>
      </c>
      <c r="E272" s="562">
        <v>0</v>
      </c>
      <c r="F272" s="562">
        <f>IFERROR(Tableau1[[#This Row],[Score]]/Tableau1[[#This Row],[Nb]],0)</f>
        <v>0</v>
      </c>
    </row>
    <row r="273" spans="1:6" ht="30" customHeight="1" x14ac:dyDescent="0.3">
      <c r="A273" s="562" t="s">
        <v>1668</v>
      </c>
      <c r="B273" s="563" t="s">
        <v>2674</v>
      </c>
      <c r="C273" s="564">
        <v>43548</v>
      </c>
      <c r="D273" s="562">
        <v>0</v>
      </c>
      <c r="E273" s="562">
        <v>0</v>
      </c>
      <c r="F273" s="562">
        <f>IFERROR(Tableau1[[#This Row],[Score]]/Tableau1[[#This Row],[Nb]],0)</f>
        <v>0</v>
      </c>
    </row>
    <row r="274" spans="1:6" ht="30" customHeight="1" x14ac:dyDescent="0.3">
      <c r="A274" s="562" t="s">
        <v>1620</v>
      </c>
      <c r="B274" s="563" t="s">
        <v>1621</v>
      </c>
      <c r="C274" s="564">
        <v>43548</v>
      </c>
      <c r="D274" s="562">
        <v>1</v>
      </c>
      <c r="E274" s="562">
        <v>-1</v>
      </c>
      <c r="F274" s="562">
        <f>IFERROR(Tableau1[[#This Row],[Score]]/Tableau1[[#This Row],[Nb]],0)</f>
        <v>-1</v>
      </c>
    </row>
    <row r="275" spans="1:6" ht="30" customHeight="1" x14ac:dyDescent="0.3">
      <c r="A275" s="562" t="s">
        <v>1657</v>
      </c>
      <c r="B275" s="563" t="s">
        <v>1658</v>
      </c>
      <c r="C275" s="564">
        <v>43548</v>
      </c>
      <c r="D275" s="562">
        <v>0</v>
      </c>
      <c r="E275" s="562">
        <v>0</v>
      </c>
      <c r="F275" s="562">
        <f>IFERROR(Tableau1[[#This Row],[Score]]/Tableau1[[#This Row],[Nb]],0)</f>
        <v>0</v>
      </c>
    </row>
    <row r="276" spans="1:6" ht="30" customHeight="1" x14ac:dyDescent="0.3">
      <c r="A276" s="562" t="s">
        <v>1722</v>
      </c>
      <c r="B276" s="563" t="s">
        <v>1723</v>
      </c>
      <c r="C276" s="564">
        <v>43548</v>
      </c>
      <c r="D276" s="562">
        <v>0</v>
      </c>
      <c r="E276" s="562">
        <v>0</v>
      </c>
      <c r="F276" s="562">
        <f>IFERROR(Tableau1[[#This Row],[Score]]/Tableau1[[#This Row],[Nb]],0)</f>
        <v>0</v>
      </c>
    </row>
    <row r="277" spans="1:6" ht="30" customHeight="1" x14ac:dyDescent="0.3">
      <c r="A277" s="562" t="s">
        <v>1698</v>
      </c>
      <c r="B277" s="563" t="s">
        <v>5162</v>
      </c>
      <c r="C277" s="564">
        <v>43548</v>
      </c>
      <c r="D277" s="562">
        <v>0</v>
      </c>
      <c r="E277" s="562">
        <v>0</v>
      </c>
      <c r="F277" s="562">
        <f>IFERROR(Tableau1[[#This Row],[Score]]/Tableau1[[#This Row],[Nb]],0)</f>
        <v>0</v>
      </c>
    </row>
    <row r="278" spans="1:6" ht="30" customHeight="1" x14ac:dyDescent="0.3">
      <c r="A278" s="562" t="s">
        <v>1662</v>
      </c>
      <c r="B278" s="563" t="s">
        <v>1663</v>
      </c>
      <c r="C278" s="564">
        <v>43548</v>
      </c>
      <c r="D278" s="562">
        <v>0</v>
      </c>
      <c r="E278" s="562">
        <v>0</v>
      </c>
      <c r="F278" s="562">
        <f>IFERROR(Tableau1[[#This Row],[Score]]/Tableau1[[#This Row],[Nb]],0)</f>
        <v>0</v>
      </c>
    </row>
    <row r="279" spans="1:6" ht="30" customHeight="1" x14ac:dyDescent="0.3">
      <c r="A279" s="562" t="s">
        <v>1671</v>
      </c>
      <c r="B279" s="563" t="s">
        <v>1672</v>
      </c>
      <c r="C279" s="564">
        <v>43548</v>
      </c>
      <c r="D279" s="562">
        <v>0</v>
      </c>
      <c r="E279" s="562">
        <v>0</v>
      </c>
      <c r="F279" s="562">
        <f>IFERROR(Tableau1[[#This Row],[Score]]/Tableau1[[#This Row],[Nb]],0)</f>
        <v>0</v>
      </c>
    </row>
    <row r="280" spans="1:6" ht="30" customHeight="1" x14ac:dyDescent="0.3">
      <c r="A280" s="562" t="s">
        <v>3210</v>
      </c>
      <c r="B280" s="563" t="s">
        <v>6571</v>
      </c>
      <c r="C280" s="564">
        <v>43548</v>
      </c>
      <c r="D280" s="562">
        <v>0</v>
      </c>
      <c r="E280" s="562">
        <v>0</v>
      </c>
      <c r="F280" s="562">
        <f>IFERROR(Tableau1[[#This Row],[Score]]/Tableau1[[#This Row],[Nb]],0)</f>
        <v>0</v>
      </c>
    </row>
    <row r="281" spans="1:6" ht="30" customHeight="1" x14ac:dyDescent="0.3">
      <c r="A281" s="562" t="s">
        <v>3211</v>
      </c>
      <c r="B281" s="563" t="s">
        <v>6592</v>
      </c>
      <c r="C281" s="564">
        <v>43548</v>
      </c>
      <c r="D281" s="562">
        <v>1</v>
      </c>
      <c r="E281" s="562">
        <v>1</v>
      </c>
      <c r="F281" s="562">
        <f>IFERROR(Tableau1[[#This Row],[Score]]/Tableau1[[#This Row],[Nb]],0)</f>
        <v>1</v>
      </c>
    </row>
    <row r="282" spans="1:6" ht="30" customHeight="1" x14ac:dyDescent="0.3">
      <c r="A282" s="562" t="s">
        <v>3011</v>
      </c>
      <c r="B282" s="563" t="s">
        <v>3012</v>
      </c>
      <c r="C282" s="564">
        <v>43548</v>
      </c>
      <c r="D282" s="562">
        <v>1</v>
      </c>
      <c r="E282" s="562">
        <v>-1</v>
      </c>
      <c r="F282" s="562">
        <f>IFERROR(Tableau1[[#This Row],[Score]]/Tableau1[[#This Row],[Nb]],0)</f>
        <v>-1</v>
      </c>
    </row>
    <row r="283" spans="1:6" ht="30" customHeight="1" x14ac:dyDescent="0.3">
      <c r="A283" s="562" t="s">
        <v>6622</v>
      </c>
      <c r="B283" s="563" t="s">
        <v>6623</v>
      </c>
      <c r="C283" s="564">
        <v>43548</v>
      </c>
      <c r="D283" s="562">
        <v>1</v>
      </c>
      <c r="E283" s="562">
        <v>1</v>
      </c>
      <c r="F283" s="562">
        <f>IFERROR(Tableau1[[#This Row],[Score]]/Tableau1[[#This Row],[Nb]],0)</f>
        <v>1</v>
      </c>
    </row>
    <row r="284" spans="1:6" ht="30" customHeight="1" x14ac:dyDescent="0.3">
      <c r="A284" s="562" t="s">
        <v>1709</v>
      </c>
      <c r="B284" s="563" t="s">
        <v>1710</v>
      </c>
      <c r="C284" s="564">
        <v>43548</v>
      </c>
      <c r="D284" s="562">
        <v>1</v>
      </c>
      <c r="E284" s="562">
        <v>1</v>
      </c>
      <c r="F284" s="562">
        <f>IFERROR(Tableau1[[#This Row],[Score]]/Tableau1[[#This Row],[Nb]],0)</f>
        <v>1</v>
      </c>
    </row>
    <row r="285" spans="1:6" ht="30" customHeight="1" x14ac:dyDescent="0.3">
      <c r="A285" s="562" t="s">
        <v>1615</v>
      </c>
      <c r="B285" s="563" t="s">
        <v>1614</v>
      </c>
      <c r="C285" s="564">
        <v>43548</v>
      </c>
      <c r="D285" s="562">
        <v>1</v>
      </c>
      <c r="E285" s="562">
        <v>-1</v>
      </c>
      <c r="F285" s="562">
        <f>IFERROR(Tableau1[[#This Row],[Score]]/Tableau1[[#This Row],[Nb]],0)</f>
        <v>-1</v>
      </c>
    </row>
    <row r="286" spans="1:6" ht="30" customHeight="1" x14ac:dyDescent="0.3">
      <c r="A286" s="562" t="s">
        <v>3004</v>
      </c>
      <c r="B286" s="563" t="s">
        <v>3005</v>
      </c>
      <c r="C286" s="564">
        <v>43548</v>
      </c>
      <c r="D286" s="562">
        <v>1</v>
      </c>
      <c r="E286" s="562">
        <v>1</v>
      </c>
      <c r="F286" s="562">
        <f>IFERROR(Tableau1[[#This Row],[Score]]/Tableau1[[#This Row],[Nb]],0)</f>
        <v>1</v>
      </c>
    </row>
    <row r="287" spans="1:6" ht="30" customHeight="1" x14ac:dyDescent="0.3">
      <c r="A287" s="562" t="s">
        <v>1718</v>
      </c>
      <c r="B287" s="563" t="s">
        <v>1719</v>
      </c>
      <c r="C287" s="564">
        <v>43548</v>
      </c>
      <c r="D287" s="562">
        <v>1</v>
      </c>
      <c r="E287" s="562">
        <v>1</v>
      </c>
      <c r="F287" s="562">
        <f>IFERROR(Tableau1[[#This Row],[Score]]/Tableau1[[#This Row],[Nb]],0)</f>
        <v>1</v>
      </c>
    </row>
    <row r="288" spans="1:6" ht="30" customHeight="1" x14ac:dyDescent="0.3">
      <c r="A288" s="562" t="s">
        <v>1724</v>
      </c>
      <c r="B288" s="563" t="s">
        <v>1725</v>
      </c>
      <c r="C288" s="564">
        <v>43548</v>
      </c>
      <c r="D288" s="562">
        <v>2</v>
      </c>
      <c r="E288" s="562">
        <v>2</v>
      </c>
      <c r="F288" s="562">
        <f>IFERROR(Tableau1[[#This Row],[Score]]/Tableau1[[#This Row],[Nb]],0)</f>
        <v>1</v>
      </c>
    </row>
    <row r="289" spans="1:6" ht="30" customHeight="1" x14ac:dyDescent="0.3">
      <c r="A289" s="562" t="s">
        <v>3217</v>
      </c>
      <c r="B289" s="563" t="s">
        <v>1642</v>
      </c>
      <c r="C289" s="564">
        <v>43548</v>
      </c>
      <c r="D289" s="562">
        <v>1</v>
      </c>
      <c r="E289" s="562">
        <v>1</v>
      </c>
      <c r="F289" s="562">
        <f>IFERROR(Tableau1[[#This Row],[Score]]/Tableau1[[#This Row],[Nb]],0)</f>
        <v>1</v>
      </c>
    </row>
    <row r="290" spans="1:6" ht="30" customHeight="1" x14ac:dyDescent="0.3">
      <c r="A290" s="562" t="s">
        <v>1660</v>
      </c>
      <c r="B290" s="563" t="s">
        <v>1661</v>
      </c>
      <c r="C290" s="564">
        <v>43548</v>
      </c>
      <c r="D290" s="562">
        <v>3</v>
      </c>
      <c r="E290" s="562">
        <v>-1</v>
      </c>
      <c r="F290" s="562">
        <f>IFERROR(Tableau1[[#This Row],[Score]]/Tableau1[[#This Row],[Nb]],0)</f>
        <v>-0.33333333333333331</v>
      </c>
    </row>
    <row r="291" spans="1:6" ht="30" customHeight="1" x14ac:dyDescent="0.3">
      <c r="A291" s="562" t="s">
        <v>1627</v>
      </c>
      <c r="B291" s="563" t="s">
        <v>1628</v>
      </c>
      <c r="C291" s="564">
        <v>43548</v>
      </c>
      <c r="D291" s="562">
        <v>1</v>
      </c>
      <c r="E291" s="562">
        <v>1</v>
      </c>
      <c r="F291" s="562">
        <f>IFERROR(Tableau1[[#This Row],[Score]]/Tableau1[[#This Row],[Nb]],0)</f>
        <v>1</v>
      </c>
    </row>
    <row r="292" spans="1:6" ht="30" customHeight="1" x14ac:dyDescent="0.3">
      <c r="A292" s="562" t="s">
        <v>1705</v>
      </c>
      <c r="B292" s="563" t="s">
        <v>1706</v>
      </c>
      <c r="C292" s="564">
        <v>43548</v>
      </c>
      <c r="D292" s="562">
        <v>1</v>
      </c>
      <c r="E292" s="562">
        <v>-1</v>
      </c>
      <c r="F292" s="562">
        <f>IFERROR(Tableau1[[#This Row],[Score]]/Tableau1[[#This Row],[Nb]],0)</f>
        <v>-1</v>
      </c>
    </row>
    <row r="293" spans="1:6" ht="30" customHeight="1" x14ac:dyDescent="0.3">
      <c r="A293" s="562" t="s">
        <v>1634</v>
      </c>
      <c r="B293" s="563" t="s">
        <v>1635</v>
      </c>
      <c r="C293" s="564">
        <v>43548</v>
      </c>
      <c r="D293" s="562">
        <v>1</v>
      </c>
      <c r="E293" s="562">
        <v>1</v>
      </c>
      <c r="F293" s="562">
        <f>IFERROR(Tableau1[[#This Row],[Score]]/Tableau1[[#This Row],[Nb]],0)</f>
        <v>1</v>
      </c>
    </row>
    <row r="294" spans="1:6" ht="30" customHeight="1" x14ac:dyDescent="0.3">
      <c r="A294" s="562" t="s">
        <v>1696</v>
      </c>
      <c r="B294" s="563" t="s">
        <v>1697</v>
      </c>
      <c r="C294" s="564">
        <v>43548</v>
      </c>
      <c r="D294" s="562">
        <v>1</v>
      </c>
      <c r="E294" s="562">
        <v>-1</v>
      </c>
      <c r="F294" s="562">
        <f>IFERROR(Tableau1[[#This Row],[Score]]/Tableau1[[#This Row],[Nb]],0)</f>
        <v>-1</v>
      </c>
    </row>
    <row r="295" spans="1:6" ht="30" customHeight="1" x14ac:dyDescent="0.3">
      <c r="A295" s="562" t="s">
        <v>1665</v>
      </c>
      <c r="B295" s="563" t="s">
        <v>1666</v>
      </c>
      <c r="C295" s="564">
        <v>43548</v>
      </c>
      <c r="D295" s="562">
        <v>1</v>
      </c>
      <c r="E295" s="562">
        <v>1</v>
      </c>
      <c r="F295" s="562">
        <f>IFERROR(Tableau1[[#This Row],[Score]]/Tableau1[[#This Row],[Nb]],0)</f>
        <v>1</v>
      </c>
    </row>
    <row r="296" spans="1:6" ht="30" customHeight="1" x14ac:dyDescent="0.3">
      <c r="A296" s="562" t="s">
        <v>2695</v>
      </c>
      <c r="B296" s="563" t="s">
        <v>3015</v>
      </c>
      <c r="C296" s="564">
        <v>43548</v>
      </c>
      <c r="D296" s="562">
        <v>1</v>
      </c>
      <c r="E296" s="562">
        <v>1</v>
      </c>
      <c r="F296" s="562">
        <f>IFERROR(Tableau1[[#This Row],[Score]]/Tableau1[[#This Row],[Nb]],0)</f>
        <v>1</v>
      </c>
    </row>
    <row r="297" spans="1:6" ht="30" customHeight="1" x14ac:dyDescent="0.3">
      <c r="A297" s="562" t="s">
        <v>1625</v>
      </c>
      <c r="B297" s="563" t="s">
        <v>1626</v>
      </c>
      <c r="C297" s="564">
        <v>43548</v>
      </c>
      <c r="D297" s="562">
        <v>1</v>
      </c>
      <c r="E297" s="562">
        <v>1</v>
      </c>
      <c r="F297" s="562">
        <f>IFERROR(Tableau1[[#This Row],[Score]]/Tableau1[[#This Row],[Nb]],0)</f>
        <v>1</v>
      </c>
    </row>
    <row r="298" spans="1:6" ht="30" customHeight="1" x14ac:dyDescent="0.3">
      <c r="A298" s="562" t="s">
        <v>1714</v>
      </c>
      <c r="B298" s="563" t="s">
        <v>1715</v>
      </c>
      <c r="C298" s="564">
        <v>43548</v>
      </c>
      <c r="D298" s="562">
        <v>1</v>
      </c>
      <c r="E298" s="562">
        <v>-1</v>
      </c>
      <c r="F298" s="562">
        <f>IFERROR(Tableau1[[#This Row],[Score]]/Tableau1[[#This Row],[Nb]],0)</f>
        <v>-1</v>
      </c>
    </row>
    <row r="299" spans="1:6" ht="30" customHeight="1" x14ac:dyDescent="0.3">
      <c r="A299" s="562" t="s">
        <v>1638</v>
      </c>
      <c r="B299" s="563" t="s">
        <v>6481</v>
      </c>
      <c r="C299" s="564">
        <v>43548</v>
      </c>
      <c r="D299" s="562">
        <v>2</v>
      </c>
      <c r="E299" s="562">
        <v>-2</v>
      </c>
      <c r="F299" s="562">
        <f>IFERROR(Tableau1[[#This Row],[Score]]/Tableau1[[#This Row],[Nb]],0)</f>
        <v>-1</v>
      </c>
    </row>
    <row r="300" spans="1:6" ht="30" customHeight="1" x14ac:dyDescent="0.3">
      <c r="A300" s="562" t="s">
        <v>1618</v>
      </c>
      <c r="B300" s="563" t="s">
        <v>1619</v>
      </c>
      <c r="C300" s="564">
        <v>43548</v>
      </c>
      <c r="D300" s="562">
        <v>2</v>
      </c>
      <c r="E300" s="562">
        <v>2</v>
      </c>
      <c r="F300" s="562">
        <f>IFERROR(Tableau1[[#This Row],[Score]]/Tableau1[[#This Row],[Nb]],0)</f>
        <v>1</v>
      </c>
    </row>
    <row r="301" spans="1:6" ht="30" customHeight="1" x14ac:dyDescent="0.3">
      <c r="A301" s="562" t="s">
        <v>1651</v>
      </c>
      <c r="B301" s="563" t="s">
        <v>1652</v>
      </c>
      <c r="C301" s="564">
        <v>43548</v>
      </c>
      <c r="D301" s="562">
        <v>2</v>
      </c>
      <c r="E301" s="562">
        <v>2</v>
      </c>
      <c r="F301" s="562">
        <f>IFERROR(Tableau1[[#This Row],[Score]]/Tableau1[[#This Row],[Nb]],0)</f>
        <v>1</v>
      </c>
    </row>
    <row r="302" spans="1:6" ht="30" customHeight="1" x14ac:dyDescent="0.3">
      <c r="A302" s="562" t="s">
        <v>3206</v>
      </c>
      <c r="B302" s="563" t="s">
        <v>1633</v>
      </c>
      <c r="C302" s="564">
        <v>43548</v>
      </c>
      <c r="D302" s="562">
        <v>2</v>
      </c>
      <c r="E302" s="562">
        <v>0</v>
      </c>
      <c r="F302" s="562">
        <f>IFERROR(Tableau1[[#This Row],[Score]]/Tableau1[[#This Row],[Nb]],0)</f>
        <v>0</v>
      </c>
    </row>
    <row r="303" spans="1:6" ht="30" customHeight="1" x14ac:dyDescent="0.3">
      <c r="A303" s="562" t="s">
        <v>1713</v>
      </c>
      <c r="B303" s="563" t="s">
        <v>3006</v>
      </c>
      <c r="C303" s="564">
        <v>43548</v>
      </c>
      <c r="D303" s="562">
        <v>2</v>
      </c>
      <c r="E303" s="562">
        <v>2</v>
      </c>
      <c r="F303" s="562">
        <f>IFERROR(Tableau1[[#This Row],[Score]]/Tableau1[[#This Row],[Nb]],0)</f>
        <v>1</v>
      </c>
    </row>
    <row r="304" spans="1:6" ht="30" customHeight="1" x14ac:dyDescent="0.3">
      <c r="A304" s="562" t="s">
        <v>6366</v>
      </c>
      <c r="B304" s="563" t="s">
        <v>6367</v>
      </c>
      <c r="C304" s="564">
        <v>43548</v>
      </c>
      <c r="D304" s="562">
        <v>2</v>
      </c>
      <c r="E304" s="562">
        <v>-2</v>
      </c>
      <c r="F304" s="562">
        <f>IFERROR(Tableau1[[#This Row],[Score]]/Tableau1[[#This Row],[Nb]],0)</f>
        <v>-1</v>
      </c>
    </row>
    <row r="305" spans="1:6" ht="30" customHeight="1" x14ac:dyDescent="0.3">
      <c r="A305" s="562" t="s">
        <v>5376</v>
      </c>
      <c r="B305" s="563" t="s">
        <v>5375</v>
      </c>
      <c r="C305" s="564">
        <v>43548</v>
      </c>
      <c r="D305" s="562">
        <v>2</v>
      </c>
      <c r="E305" s="562">
        <v>2</v>
      </c>
      <c r="F305" s="562">
        <f>IFERROR(Tableau1[[#This Row],[Score]]/Tableau1[[#This Row],[Nb]],0)</f>
        <v>1</v>
      </c>
    </row>
    <row r="306" spans="1:6" ht="30" customHeight="1" x14ac:dyDescent="0.3">
      <c r="A306" s="562" t="s">
        <v>1701</v>
      </c>
      <c r="B306" s="563" t="s">
        <v>1702</v>
      </c>
      <c r="C306" s="564">
        <v>43548</v>
      </c>
      <c r="D306" s="562">
        <v>3</v>
      </c>
      <c r="E306" s="562">
        <v>-3</v>
      </c>
      <c r="F306" s="562">
        <f>IFERROR(Tableau1[[#This Row],[Score]]/Tableau1[[#This Row],[Nb]],0)</f>
        <v>-1</v>
      </c>
    </row>
    <row r="307" spans="1:6" ht="30" customHeight="1" x14ac:dyDescent="0.3">
      <c r="A307" s="562" t="s">
        <v>1684</v>
      </c>
      <c r="B307" s="563" t="s">
        <v>1685</v>
      </c>
      <c r="C307" s="564">
        <v>43548</v>
      </c>
      <c r="D307" s="562">
        <v>3</v>
      </c>
      <c r="E307" s="562">
        <v>-1</v>
      </c>
      <c r="F307" s="562">
        <f>IFERROR(Tableau1[[#This Row],[Score]]/Tableau1[[#This Row],[Nb]],0)</f>
        <v>-0.33333333333333331</v>
      </c>
    </row>
    <row r="308" spans="1:6" ht="30" customHeight="1" x14ac:dyDescent="0.3">
      <c r="A308" s="562" t="s">
        <v>6308</v>
      </c>
      <c r="B308" s="563" t="s">
        <v>6309</v>
      </c>
      <c r="C308" s="564">
        <v>43548</v>
      </c>
      <c r="D308" s="562">
        <v>3</v>
      </c>
      <c r="E308" s="562">
        <v>3</v>
      </c>
      <c r="F308" s="562">
        <f>IFERROR(Tableau1[[#This Row],[Score]]/Tableau1[[#This Row],[Nb]],0)</f>
        <v>1</v>
      </c>
    </row>
    <row r="309" spans="1:6" ht="30" customHeight="1" x14ac:dyDescent="0.3">
      <c r="A309" s="562" t="s">
        <v>4639</v>
      </c>
      <c r="B309" s="563" t="s">
        <v>4638</v>
      </c>
      <c r="C309" s="564">
        <v>43548</v>
      </c>
      <c r="D309" s="562">
        <v>3</v>
      </c>
      <c r="E309" s="562">
        <v>3</v>
      </c>
      <c r="F309" s="562">
        <f>IFERROR(Tableau1[[#This Row],[Score]]/Tableau1[[#This Row],[Nb]],0)</f>
        <v>1</v>
      </c>
    </row>
    <row r="310" spans="1:6" ht="30" customHeight="1" x14ac:dyDescent="0.3">
      <c r="A310" s="562" t="s">
        <v>1623</v>
      </c>
      <c r="B310" s="563" t="s">
        <v>1624</v>
      </c>
      <c r="C310" s="564">
        <v>43548</v>
      </c>
      <c r="D310" s="562">
        <v>3</v>
      </c>
      <c r="E310" s="562">
        <v>2</v>
      </c>
      <c r="F310" s="562">
        <f>IFERROR(Tableau1[[#This Row],[Score]]/Tableau1[[#This Row],[Nb]],0)</f>
        <v>0.66666666666666663</v>
      </c>
    </row>
    <row r="311" spans="1:6" ht="30" customHeight="1" x14ac:dyDescent="0.3">
      <c r="A311" s="562" t="s">
        <v>1640</v>
      </c>
      <c r="B311" s="563" t="s">
        <v>1641</v>
      </c>
      <c r="C311" s="564">
        <v>43548</v>
      </c>
      <c r="D311" s="562">
        <v>3</v>
      </c>
      <c r="E311" s="562">
        <v>1</v>
      </c>
      <c r="F311" s="562">
        <f>IFERROR(Tableau1[[#This Row],[Score]]/Tableau1[[#This Row],[Nb]],0)</f>
        <v>0.33333333333333331</v>
      </c>
    </row>
    <row r="312" spans="1:6" ht="30" customHeight="1" x14ac:dyDescent="0.3">
      <c r="A312" s="562" t="s">
        <v>1720</v>
      </c>
      <c r="B312" s="563" t="s">
        <v>1721</v>
      </c>
      <c r="C312" s="564">
        <v>43548</v>
      </c>
      <c r="D312" s="562">
        <v>4</v>
      </c>
      <c r="E312" s="562">
        <v>4</v>
      </c>
      <c r="F312" s="562">
        <f>IFERROR(Tableau1[[#This Row],[Score]]/Tableau1[[#This Row],[Nb]],0)</f>
        <v>1</v>
      </c>
    </row>
    <row r="313" spans="1:6" ht="30" customHeight="1" x14ac:dyDescent="0.3">
      <c r="A313" s="562" t="s">
        <v>1700</v>
      </c>
      <c r="B313" s="563" t="s">
        <v>1699</v>
      </c>
      <c r="C313" s="564">
        <v>43548</v>
      </c>
      <c r="D313" s="562">
        <v>3</v>
      </c>
      <c r="E313" s="562">
        <v>1</v>
      </c>
      <c r="F313" s="562">
        <f>IFERROR(Tableau1[[#This Row],[Score]]/Tableau1[[#This Row],[Nb]],0)</f>
        <v>0.33333333333333331</v>
      </c>
    </row>
    <row r="314" spans="1:6" ht="30" customHeight="1" x14ac:dyDescent="0.3">
      <c r="A314" s="562" t="s">
        <v>1655</v>
      </c>
      <c r="B314" s="563" t="s">
        <v>1656</v>
      </c>
      <c r="C314" s="564">
        <v>43548</v>
      </c>
      <c r="D314" s="562">
        <v>3</v>
      </c>
      <c r="E314" s="562">
        <v>3</v>
      </c>
      <c r="F314" s="562">
        <f>IFERROR(Tableau1[[#This Row],[Score]]/Tableau1[[#This Row],[Nb]],0)</f>
        <v>1</v>
      </c>
    </row>
    <row r="315" spans="1:6" ht="30" customHeight="1" x14ac:dyDescent="0.3">
      <c r="A315" s="562" t="s">
        <v>1680</v>
      </c>
      <c r="B315" s="563" t="s">
        <v>1681</v>
      </c>
      <c r="C315" s="564">
        <v>43548</v>
      </c>
      <c r="D315" s="562">
        <v>3</v>
      </c>
      <c r="E315" s="562">
        <v>3</v>
      </c>
      <c r="F315" s="562">
        <f>IFERROR(Tableau1[[#This Row],[Score]]/Tableau1[[#This Row],[Nb]],0)</f>
        <v>1</v>
      </c>
    </row>
    <row r="316" spans="1:6" ht="30" customHeight="1" x14ac:dyDescent="0.3">
      <c r="A316" s="562" t="s">
        <v>3205</v>
      </c>
      <c r="B316" s="563" t="s">
        <v>1629</v>
      </c>
      <c r="C316" s="564">
        <v>43548</v>
      </c>
      <c r="D316" s="562">
        <v>3</v>
      </c>
      <c r="E316" s="562">
        <v>-3</v>
      </c>
      <c r="F316" s="562">
        <f>IFERROR(Tableau1[[#This Row],[Score]]/Tableau1[[#This Row],[Nb]],0)</f>
        <v>-1</v>
      </c>
    </row>
    <row r="317" spans="1:6" ht="30" customHeight="1" x14ac:dyDescent="0.3">
      <c r="A317" s="562" t="s">
        <v>6359</v>
      </c>
      <c r="B317" s="563" t="s">
        <v>6360</v>
      </c>
      <c r="C317" s="564">
        <v>43548</v>
      </c>
      <c r="D317" s="562">
        <v>3</v>
      </c>
      <c r="E317" s="562">
        <v>3</v>
      </c>
      <c r="F317" s="562">
        <f>IFERROR(Tableau1[[#This Row],[Score]]/Tableau1[[#This Row],[Nb]],0)</f>
        <v>1</v>
      </c>
    </row>
    <row r="318" spans="1:6" ht="30" customHeight="1" x14ac:dyDescent="0.3">
      <c r="A318" s="562" t="s">
        <v>1645</v>
      </c>
      <c r="B318" s="563" t="s">
        <v>1646</v>
      </c>
      <c r="C318" s="564">
        <v>43548</v>
      </c>
      <c r="D318" s="562">
        <v>3</v>
      </c>
      <c r="E318" s="562">
        <v>3</v>
      </c>
      <c r="F318" s="562">
        <f>IFERROR(Tableau1[[#This Row],[Score]]/Tableau1[[#This Row],[Nb]],0)</f>
        <v>1</v>
      </c>
    </row>
    <row r="319" spans="1:6" ht="30" customHeight="1" x14ac:dyDescent="0.3">
      <c r="A319" s="562" t="s">
        <v>4770</v>
      </c>
      <c r="B319" s="563" t="s">
        <v>4443</v>
      </c>
      <c r="C319" s="564">
        <v>43548</v>
      </c>
      <c r="D319" s="562">
        <v>3</v>
      </c>
      <c r="E319" s="562">
        <v>3</v>
      </c>
      <c r="F319" s="562">
        <f>IFERROR(Tableau1[[#This Row],[Score]]/Tableau1[[#This Row],[Nb]],0)</f>
        <v>1</v>
      </c>
    </row>
    <row r="320" spans="1:6" ht="30" customHeight="1" x14ac:dyDescent="0.3">
      <c r="A320" s="562" t="s">
        <v>1708</v>
      </c>
      <c r="B320" s="563" t="s">
        <v>6560</v>
      </c>
      <c r="C320" s="564">
        <v>43548</v>
      </c>
      <c r="D320" s="562">
        <v>4</v>
      </c>
      <c r="E320" s="562">
        <v>0</v>
      </c>
      <c r="F320" s="562">
        <f>IFERROR(Tableau1[[#This Row],[Score]]/Tableau1[[#This Row],[Nb]],0)</f>
        <v>0</v>
      </c>
    </row>
    <row r="321" spans="1:6" ht="30" customHeight="1" x14ac:dyDescent="0.3">
      <c r="A321" s="562" t="s">
        <v>3213</v>
      </c>
      <c r="B321" s="563" t="s">
        <v>6482</v>
      </c>
      <c r="C321" s="564">
        <v>43548</v>
      </c>
      <c r="D321" s="562">
        <v>4</v>
      </c>
      <c r="E321" s="562">
        <v>3</v>
      </c>
      <c r="F321" s="562">
        <f>IFERROR(Tableau1[[#This Row],[Score]]/Tableau1[[#This Row],[Nb]],0)</f>
        <v>0.75</v>
      </c>
    </row>
    <row r="322" spans="1:6" ht="30" customHeight="1" x14ac:dyDescent="0.3">
      <c r="A322" s="562" t="s">
        <v>6382</v>
      </c>
      <c r="B322" s="563" t="s">
        <v>6383</v>
      </c>
      <c r="C322" s="564">
        <v>43548</v>
      </c>
      <c r="D322" s="562">
        <v>4</v>
      </c>
      <c r="E322" s="562">
        <v>0</v>
      </c>
      <c r="F322" s="562">
        <f>IFERROR(Tableau1[[#This Row],[Score]]/Tableau1[[#This Row],[Nb]],0)</f>
        <v>0</v>
      </c>
    </row>
    <row r="323" spans="1:6" ht="30" customHeight="1" x14ac:dyDescent="0.3">
      <c r="A323" s="562" t="s">
        <v>1670</v>
      </c>
      <c r="B323" s="563" t="s">
        <v>1669</v>
      </c>
      <c r="C323" s="564">
        <v>43548</v>
      </c>
      <c r="D323" s="562">
        <v>4</v>
      </c>
      <c r="E323" s="562">
        <v>0</v>
      </c>
      <c r="F323" s="562">
        <f>IFERROR(Tableau1[[#This Row],[Score]]/Tableau1[[#This Row],[Nb]],0)</f>
        <v>0</v>
      </c>
    </row>
    <row r="324" spans="1:6" ht="30" customHeight="1" x14ac:dyDescent="0.3">
      <c r="A324" s="562" t="s">
        <v>3215</v>
      </c>
      <c r="B324" s="563" t="s">
        <v>6295</v>
      </c>
      <c r="C324" s="564">
        <v>43548</v>
      </c>
      <c r="D324" s="562">
        <v>5</v>
      </c>
      <c r="E324" s="562">
        <v>4</v>
      </c>
      <c r="F324" s="562">
        <f>IFERROR(Tableau1[[#This Row],[Score]]/Tableau1[[#This Row],[Nb]],0)</f>
        <v>0.8</v>
      </c>
    </row>
    <row r="325" spans="1:6" ht="30" customHeight="1" x14ac:dyDescent="0.3">
      <c r="A325" s="562" t="s">
        <v>2996</v>
      </c>
      <c r="B325" s="563" t="s">
        <v>2997</v>
      </c>
      <c r="C325" s="564">
        <v>43548</v>
      </c>
      <c r="D325" s="562">
        <v>4</v>
      </c>
      <c r="E325" s="562">
        <v>4</v>
      </c>
      <c r="F325" s="562">
        <f>IFERROR(Tableau1[[#This Row],[Score]]/Tableau1[[#This Row],[Nb]],0)</f>
        <v>1</v>
      </c>
    </row>
    <row r="326" spans="1:6" ht="30" customHeight="1" x14ac:dyDescent="0.3">
      <c r="A326" s="562" t="s">
        <v>1711</v>
      </c>
      <c r="B326" s="563" t="s">
        <v>1712</v>
      </c>
      <c r="C326" s="564">
        <v>43548</v>
      </c>
      <c r="D326" s="562">
        <v>5</v>
      </c>
      <c r="E326" s="562">
        <v>5</v>
      </c>
      <c r="F326" s="562">
        <f>IFERROR(Tableau1[[#This Row],[Score]]/Tableau1[[#This Row],[Nb]],0)</f>
        <v>1</v>
      </c>
    </row>
    <row r="327" spans="1:6" ht="30" customHeight="1" x14ac:dyDescent="0.3">
      <c r="A327" s="562" t="s">
        <v>1643</v>
      </c>
      <c r="B327" s="563" t="s">
        <v>1644</v>
      </c>
      <c r="C327" s="564">
        <v>43548</v>
      </c>
      <c r="D327" s="562">
        <v>4</v>
      </c>
      <c r="E327" s="562">
        <v>2</v>
      </c>
      <c r="F327" s="562">
        <f>IFERROR(Tableau1[[#This Row],[Score]]/Tableau1[[#This Row],[Nb]],0)</f>
        <v>0.5</v>
      </c>
    </row>
    <row r="328" spans="1:6" ht="30" customHeight="1" x14ac:dyDescent="0.3">
      <c r="A328" s="562" t="s">
        <v>3000</v>
      </c>
      <c r="B328" s="563" t="s">
        <v>3001</v>
      </c>
      <c r="C328" s="564">
        <v>43548</v>
      </c>
      <c r="D328" s="562">
        <v>5</v>
      </c>
      <c r="E328" s="562">
        <v>1</v>
      </c>
      <c r="F328" s="562">
        <f>IFERROR(Tableau1[[#This Row],[Score]]/Tableau1[[#This Row],[Nb]],0)</f>
        <v>0.2</v>
      </c>
    </row>
    <row r="329" spans="1:6" ht="30" customHeight="1" x14ac:dyDescent="0.3">
      <c r="A329" s="562" t="s">
        <v>3219</v>
      </c>
      <c r="B329" s="563" t="s">
        <v>6364</v>
      </c>
      <c r="C329" s="564">
        <v>43548</v>
      </c>
      <c r="D329" s="562">
        <v>5</v>
      </c>
      <c r="E329" s="562">
        <v>4</v>
      </c>
      <c r="F329" s="562">
        <f>IFERROR(Tableau1[[#This Row],[Score]]/Tableau1[[#This Row],[Nb]],0)</f>
        <v>0.8</v>
      </c>
    </row>
    <row r="330" spans="1:6" ht="30" customHeight="1" x14ac:dyDescent="0.3">
      <c r="A330" s="562" t="s">
        <v>5357</v>
      </c>
      <c r="B330" s="563" t="s">
        <v>5358</v>
      </c>
      <c r="C330" s="564">
        <v>43548</v>
      </c>
      <c r="D330" s="562">
        <v>5</v>
      </c>
      <c r="E330" s="562">
        <v>-3</v>
      </c>
      <c r="F330" s="562">
        <f>IFERROR(Tableau1[[#This Row],[Score]]/Tableau1[[#This Row],[Nb]],0)</f>
        <v>-0.6</v>
      </c>
    </row>
    <row r="331" spans="1:6" ht="30" customHeight="1" x14ac:dyDescent="0.3">
      <c r="A331" s="562" t="s">
        <v>6547</v>
      </c>
      <c r="B331" s="563" t="s">
        <v>6548</v>
      </c>
      <c r="C331" s="564">
        <v>43548</v>
      </c>
      <c r="D331" s="562">
        <v>5</v>
      </c>
      <c r="E331" s="562">
        <v>5</v>
      </c>
      <c r="F331" s="562">
        <f>IFERROR(Tableau1[[#This Row],[Score]]/Tableau1[[#This Row],[Nb]],0)</f>
        <v>1</v>
      </c>
    </row>
    <row r="332" spans="1:6" ht="30" customHeight="1" x14ac:dyDescent="0.3">
      <c r="A332" s="562" t="s">
        <v>4372</v>
      </c>
      <c r="B332" s="563" t="s">
        <v>1632</v>
      </c>
      <c r="C332" s="564">
        <v>43548</v>
      </c>
      <c r="D332" s="562">
        <v>5</v>
      </c>
      <c r="E332" s="562">
        <v>5</v>
      </c>
      <c r="F332" s="562">
        <f>IFERROR(Tableau1[[#This Row],[Score]]/Tableau1[[#This Row],[Nb]],0)</f>
        <v>1</v>
      </c>
    </row>
    <row r="333" spans="1:6" ht="30" customHeight="1" x14ac:dyDescent="0.3">
      <c r="A333" s="562" t="s">
        <v>3218</v>
      </c>
      <c r="B333" s="563" t="s">
        <v>6275</v>
      </c>
      <c r="C333" s="564">
        <v>43548</v>
      </c>
      <c r="D333" s="562">
        <v>5</v>
      </c>
      <c r="E333" s="562">
        <v>3</v>
      </c>
      <c r="F333" s="562">
        <f>IFERROR(Tableau1[[#This Row],[Score]]/Tableau1[[#This Row],[Nb]],0)</f>
        <v>0.6</v>
      </c>
    </row>
    <row r="334" spans="1:6" ht="30" customHeight="1" x14ac:dyDescent="0.3">
      <c r="A334" s="562" t="s">
        <v>1647</v>
      </c>
      <c r="B334" s="563" t="s">
        <v>1648</v>
      </c>
      <c r="C334" s="564">
        <v>43548</v>
      </c>
      <c r="D334" s="562">
        <v>5</v>
      </c>
      <c r="E334" s="562">
        <v>5</v>
      </c>
      <c r="F334" s="562">
        <f>IFERROR(Tableau1[[#This Row],[Score]]/Tableau1[[#This Row],[Nb]],0)</f>
        <v>1</v>
      </c>
    </row>
    <row r="335" spans="1:6" ht="30" customHeight="1" x14ac:dyDescent="0.3">
      <c r="A335" s="562" t="s">
        <v>3832</v>
      </c>
      <c r="B335" s="563" t="s">
        <v>3833</v>
      </c>
      <c r="C335" s="564">
        <v>43548</v>
      </c>
      <c r="D335" s="562">
        <v>5</v>
      </c>
      <c r="E335" s="562">
        <v>5</v>
      </c>
      <c r="F335" s="562">
        <f>IFERROR(Tableau1[[#This Row],[Score]]/Tableau1[[#This Row],[Nb]],0)</f>
        <v>1</v>
      </c>
    </row>
    <row r="336" spans="1:6" ht="30" customHeight="1" x14ac:dyDescent="0.3">
      <c r="A336" s="562" t="s">
        <v>1649</v>
      </c>
      <c r="B336" s="563" t="s">
        <v>1650</v>
      </c>
      <c r="C336" s="564">
        <v>43548</v>
      </c>
      <c r="D336" s="562">
        <v>5</v>
      </c>
      <c r="E336" s="562">
        <v>5</v>
      </c>
      <c r="F336" s="562">
        <f>IFERROR(Tableau1[[#This Row],[Score]]/Tableau1[[#This Row],[Nb]],0)</f>
        <v>1</v>
      </c>
    </row>
    <row r="337" spans="1:6" ht="30" customHeight="1" x14ac:dyDescent="0.3">
      <c r="A337" s="562" t="s">
        <v>2073</v>
      </c>
      <c r="B337" s="563" t="s">
        <v>1659</v>
      </c>
      <c r="C337" s="564">
        <v>43548</v>
      </c>
      <c r="D337" s="562">
        <v>5</v>
      </c>
      <c r="E337" s="562">
        <v>5</v>
      </c>
      <c r="F337" s="562">
        <f>IFERROR(Tableau1[[#This Row],[Score]]/Tableau1[[#This Row],[Nb]],0)</f>
        <v>1</v>
      </c>
    </row>
    <row r="338" spans="1:6" ht="30" customHeight="1" x14ac:dyDescent="0.3">
      <c r="A338" s="562" t="s">
        <v>1637</v>
      </c>
      <c r="B338" s="563" t="s">
        <v>6398</v>
      </c>
      <c r="C338" s="564">
        <v>43548</v>
      </c>
      <c r="D338" s="562">
        <v>5</v>
      </c>
      <c r="E338" s="562">
        <v>5</v>
      </c>
      <c r="F338" s="562">
        <f>IFERROR(Tableau1[[#This Row],[Score]]/Tableau1[[#This Row],[Nb]],0)</f>
        <v>1</v>
      </c>
    </row>
    <row r="339" spans="1:6" ht="30" customHeight="1" x14ac:dyDescent="0.3">
      <c r="A339" s="562" t="s">
        <v>3207</v>
      </c>
      <c r="B339" s="563" t="s">
        <v>6573</v>
      </c>
      <c r="C339" s="564">
        <v>43548</v>
      </c>
      <c r="D339" s="562">
        <v>5</v>
      </c>
      <c r="E339" s="562">
        <v>5</v>
      </c>
      <c r="F339" s="562">
        <f>IFERROR(Tableau1[[#This Row],[Score]]/Tableau1[[#This Row],[Nb]],0)</f>
        <v>1</v>
      </c>
    </row>
    <row r="340" spans="1:6" ht="30" customHeight="1" x14ac:dyDescent="0.3">
      <c r="A340" s="562" t="s">
        <v>6408</v>
      </c>
      <c r="B340" s="563" t="s">
        <v>6409</v>
      </c>
      <c r="C340" s="564">
        <v>43548</v>
      </c>
      <c r="D340" s="562">
        <v>5</v>
      </c>
      <c r="E340" s="562">
        <v>5</v>
      </c>
      <c r="F340" s="562">
        <f>IFERROR(Tableau1[[#This Row],[Score]]/Tableau1[[#This Row],[Nb]],0)</f>
        <v>1</v>
      </c>
    </row>
    <row r="341" spans="1:6" ht="30" customHeight="1" x14ac:dyDescent="0.3">
      <c r="A341" s="562" t="s">
        <v>3716</v>
      </c>
      <c r="B341" s="563" t="s">
        <v>1664</v>
      </c>
      <c r="C341" s="564">
        <v>43548</v>
      </c>
      <c r="D341" s="562">
        <v>5</v>
      </c>
      <c r="E341" s="562">
        <v>5</v>
      </c>
      <c r="F341" s="562">
        <f>IFERROR(Tableau1[[#This Row],[Score]]/Tableau1[[#This Row],[Nb]],0)</f>
        <v>1</v>
      </c>
    </row>
    <row r="342" spans="1:6" ht="30" customHeight="1" x14ac:dyDescent="0.3">
      <c r="A342" s="562" t="s">
        <v>1636</v>
      </c>
      <c r="B342" s="563" t="s">
        <v>6397</v>
      </c>
      <c r="C342" s="564">
        <v>43548</v>
      </c>
      <c r="D342" s="562">
        <v>6</v>
      </c>
      <c r="E342" s="562">
        <v>2</v>
      </c>
      <c r="F342" s="562">
        <f>IFERROR(Tableau1[[#This Row],[Score]]/Tableau1[[#This Row],[Nb]],0)</f>
        <v>0.33333333333333331</v>
      </c>
    </row>
    <row r="343" spans="1:6" ht="30" customHeight="1" x14ac:dyDescent="0.3">
      <c r="A343" s="562" t="s">
        <v>1693</v>
      </c>
      <c r="B343" s="563" t="s">
        <v>1695</v>
      </c>
      <c r="C343" s="564">
        <v>43548</v>
      </c>
      <c r="D343" s="562">
        <v>6</v>
      </c>
      <c r="E343" s="562">
        <v>6</v>
      </c>
      <c r="F343" s="562">
        <f>IFERROR(Tableau1[[#This Row],[Score]]/Tableau1[[#This Row],[Nb]],0)</f>
        <v>1</v>
      </c>
    </row>
    <row r="344" spans="1:6" ht="30" customHeight="1" x14ac:dyDescent="0.3">
      <c r="A344" s="562" t="s">
        <v>1716</v>
      </c>
      <c r="B344" s="563" t="s">
        <v>1717</v>
      </c>
      <c r="C344" s="564">
        <v>43548</v>
      </c>
      <c r="D344" s="562">
        <v>7</v>
      </c>
      <c r="E344" s="562">
        <v>3</v>
      </c>
      <c r="F344" s="562">
        <f>IFERROR(Tableau1[[#This Row],[Score]]/Tableau1[[#This Row],[Nb]],0)</f>
        <v>0.42857142857142855</v>
      </c>
    </row>
    <row r="345" spans="1:6" ht="30" customHeight="1" x14ac:dyDescent="0.3">
      <c r="A345" s="562" t="s">
        <v>4373</v>
      </c>
      <c r="B345" s="563" t="s">
        <v>1622</v>
      </c>
      <c r="C345" s="564">
        <v>43548</v>
      </c>
      <c r="D345" s="562">
        <v>6</v>
      </c>
      <c r="E345" s="562">
        <v>4</v>
      </c>
      <c r="F345" s="562">
        <f>IFERROR(Tableau1[[#This Row],[Score]]/Tableau1[[#This Row],[Nb]],0)</f>
        <v>0.66666666666666663</v>
      </c>
    </row>
    <row r="346" spans="1:6" ht="30" customHeight="1" x14ac:dyDescent="0.3">
      <c r="A346" s="562" t="s">
        <v>3007</v>
      </c>
      <c r="B346" s="563" t="s">
        <v>3008</v>
      </c>
      <c r="C346" s="564">
        <v>43548</v>
      </c>
      <c r="D346" s="562">
        <v>6</v>
      </c>
      <c r="E346" s="562">
        <v>6</v>
      </c>
      <c r="F346" s="562">
        <f>IFERROR(Tableau1[[#This Row],[Score]]/Tableau1[[#This Row],[Nb]],0)</f>
        <v>1</v>
      </c>
    </row>
    <row r="347" spans="1:6" ht="30" customHeight="1" x14ac:dyDescent="0.3">
      <c r="A347" s="562" t="s">
        <v>6479</v>
      </c>
      <c r="B347" s="563" t="s">
        <v>6480</v>
      </c>
      <c r="C347" s="564">
        <v>43548</v>
      </c>
      <c r="D347" s="562">
        <v>6</v>
      </c>
      <c r="E347" s="562">
        <v>4</v>
      </c>
      <c r="F347" s="562">
        <f>IFERROR(Tableau1[[#This Row],[Score]]/Tableau1[[#This Row],[Nb]],0)</f>
        <v>0.66666666666666663</v>
      </c>
    </row>
    <row r="348" spans="1:6" ht="30" customHeight="1" x14ac:dyDescent="0.3">
      <c r="A348" s="562" t="s">
        <v>1682</v>
      </c>
      <c r="B348" s="563" t="s">
        <v>1683</v>
      </c>
      <c r="C348" s="564">
        <v>43548</v>
      </c>
      <c r="D348" s="562">
        <v>8</v>
      </c>
      <c r="E348" s="562">
        <v>8</v>
      </c>
      <c r="F348" s="562">
        <f>IFERROR(Tableau1[[#This Row],[Score]]/Tableau1[[#This Row],[Nb]],0)</f>
        <v>1</v>
      </c>
    </row>
    <row r="349" spans="1:6" ht="30" customHeight="1" x14ac:dyDescent="0.3">
      <c r="A349" s="562" t="s">
        <v>3214</v>
      </c>
      <c r="B349" s="563" t="s">
        <v>6490</v>
      </c>
      <c r="C349" s="564">
        <v>43548</v>
      </c>
      <c r="D349" s="562">
        <v>8</v>
      </c>
      <c r="E349" s="562">
        <v>8</v>
      </c>
      <c r="F349" s="562">
        <f>IFERROR(Tableau1[[#This Row],[Score]]/Tableau1[[#This Row],[Nb]],0)</f>
        <v>1</v>
      </c>
    </row>
    <row r="350" spans="1:6" ht="30" customHeight="1" x14ac:dyDescent="0.3">
      <c r="A350" s="562" t="s">
        <v>1707</v>
      </c>
      <c r="B350" s="563" t="s">
        <v>6361</v>
      </c>
      <c r="C350" s="564">
        <v>43548</v>
      </c>
      <c r="D350" s="562">
        <v>8</v>
      </c>
      <c r="E350" s="562">
        <v>0</v>
      </c>
      <c r="F350" s="562">
        <f>IFERROR(Tableau1[[#This Row],[Score]]/Tableau1[[#This Row],[Nb]],0)</f>
        <v>0</v>
      </c>
    </row>
    <row r="351" spans="1:6" ht="30" customHeight="1" x14ac:dyDescent="0.3">
      <c r="A351" s="562" t="s">
        <v>1616</v>
      </c>
      <c r="B351" s="563" t="s">
        <v>1617</v>
      </c>
      <c r="C351" s="564">
        <v>43548</v>
      </c>
      <c r="D351" s="562">
        <v>9</v>
      </c>
      <c r="E351" s="562">
        <v>5</v>
      </c>
      <c r="F351" s="562">
        <f>IFERROR(Tableau1[[#This Row],[Score]]/Tableau1[[#This Row],[Nb]],0)</f>
        <v>0.55555555555555558</v>
      </c>
    </row>
    <row r="352" spans="1:6" ht="30" customHeight="1" x14ac:dyDescent="0.3">
      <c r="A352" s="562" t="s">
        <v>1653</v>
      </c>
      <c r="B352" s="563" t="s">
        <v>1654</v>
      </c>
      <c r="C352" s="564">
        <v>43548</v>
      </c>
      <c r="D352" s="562">
        <v>9</v>
      </c>
      <c r="E352" s="562">
        <v>7</v>
      </c>
      <c r="F352" s="562">
        <f>IFERROR(Tableau1[[#This Row],[Score]]/Tableau1[[#This Row],[Nb]],0)</f>
        <v>0.77777777777777779</v>
      </c>
    </row>
    <row r="353" spans="1:6" ht="30" customHeight="1" x14ac:dyDescent="0.3">
      <c r="A353" s="562" t="s">
        <v>3212</v>
      </c>
      <c r="B353" s="563" t="s">
        <v>6314</v>
      </c>
      <c r="C353" s="564">
        <v>43548</v>
      </c>
      <c r="D353" s="562">
        <v>10</v>
      </c>
      <c r="E353" s="562">
        <v>4</v>
      </c>
      <c r="F353" s="562">
        <f>IFERROR(Tableau1[[#This Row],[Score]]/Tableau1[[#This Row],[Nb]],0)</f>
        <v>0.4</v>
      </c>
    </row>
    <row r="354" spans="1:6" ht="30" customHeight="1" x14ac:dyDescent="0.3">
      <c r="A354" s="562" t="s">
        <v>5186</v>
      </c>
      <c r="B354" s="563" t="s">
        <v>5187</v>
      </c>
      <c r="C354" s="564">
        <v>43548</v>
      </c>
      <c r="D354" s="562">
        <v>11</v>
      </c>
      <c r="E354" s="562">
        <v>9</v>
      </c>
      <c r="F354" s="562">
        <f>IFERROR(Tableau1[[#This Row],[Score]]/Tableau1[[#This Row],[Nb]],0)</f>
        <v>0.81818181818181823</v>
      </c>
    </row>
    <row r="355" spans="1:6" ht="30" customHeight="1" x14ac:dyDescent="0.3">
      <c r="A355" s="562" t="s">
        <v>6569</v>
      </c>
      <c r="B355" s="563" t="s">
        <v>6570</v>
      </c>
      <c r="C355" s="564">
        <v>43558</v>
      </c>
      <c r="D355" s="562">
        <v>0</v>
      </c>
      <c r="E355" s="562">
        <v>0</v>
      </c>
      <c r="F355" s="562">
        <f>IFERROR(Tableau1[[#This Row],[Score]]/Tableau1[[#This Row],[Nb]],0)</f>
        <v>0</v>
      </c>
    </row>
    <row r="356" spans="1:6" ht="30" customHeight="1" x14ac:dyDescent="0.3">
      <c r="A356" s="562" t="s">
        <v>1757</v>
      </c>
      <c r="B356" s="563" t="s">
        <v>1758</v>
      </c>
      <c r="C356" s="564">
        <v>43558</v>
      </c>
      <c r="D356" s="562">
        <v>0</v>
      </c>
      <c r="E356" s="562">
        <v>0</v>
      </c>
      <c r="F356" s="562">
        <f>IFERROR(Tableau1[[#This Row],[Score]]/Tableau1[[#This Row],[Nb]],0)</f>
        <v>0</v>
      </c>
    </row>
    <row r="357" spans="1:6" ht="30" customHeight="1" x14ac:dyDescent="0.3">
      <c r="A357" s="562" t="s">
        <v>1728</v>
      </c>
      <c r="B357" s="563" t="s">
        <v>1729</v>
      </c>
      <c r="C357" s="564">
        <v>43558</v>
      </c>
      <c r="D357" s="562">
        <v>1</v>
      </c>
      <c r="E357" s="562">
        <v>1</v>
      </c>
      <c r="F357" s="562">
        <f>IFERROR(Tableau1[[#This Row],[Score]]/Tableau1[[#This Row],[Nb]],0)</f>
        <v>1</v>
      </c>
    </row>
    <row r="358" spans="1:6" ht="30" customHeight="1" x14ac:dyDescent="0.3">
      <c r="A358" s="562" t="s">
        <v>1744</v>
      </c>
      <c r="B358" s="563" t="s">
        <v>1745</v>
      </c>
      <c r="C358" s="564">
        <v>43558</v>
      </c>
      <c r="D358" s="562">
        <v>1</v>
      </c>
      <c r="E358" s="562">
        <v>1</v>
      </c>
      <c r="F358" s="562">
        <f>IFERROR(Tableau1[[#This Row],[Score]]/Tableau1[[#This Row],[Nb]],0)</f>
        <v>1</v>
      </c>
    </row>
    <row r="359" spans="1:6" ht="30" customHeight="1" x14ac:dyDescent="0.3">
      <c r="A359" s="562" t="s">
        <v>1788</v>
      </c>
      <c r="B359" s="563" t="s">
        <v>1789</v>
      </c>
      <c r="C359" s="564">
        <v>43558</v>
      </c>
      <c r="D359" s="562">
        <v>1</v>
      </c>
      <c r="E359" s="562">
        <v>-1</v>
      </c>
      <c r="F359" s="562">
        <f>IFERROR(Tableau1[[#This Row],[Score]]/Tableau1[[#This Row],[Nb]],0)</f>
        <v>-1</v>
      </c>
    </row>
    <row r="360" spans="1:6" ht="30" customHeight="1" x14ac:dyDescent="0.3">
      <c r="A360" s="562" t="s">
        <v>1759</v>
      </c>
      <c r="B360" s="563" t="s">
        <v>1760</v>
      </c>
      <c r="C360" s="564">
        <v>43558</v>
      </c>
      <c r="D360" s="562">
        <v>3</v>
      </c>
      <c r="E360" s="562">
        <v>1</v>
      </c>
      <c r="F360" s="562">
        <f>IFERROR(Tableau1[[#This Row],[Score]]/Tableau1[[#This Row],[Nb]],0)</f>
        <v>0.33333333333333331</v>
      </c>
    </row>
    <row r="361" spans="1:6" ht="30" customHeight="1" x14ac:dyDescent="0.3">
      <c r="A361" s="562" t="s">
        <v>1739</v>
      </c>
      <c r="B361" s="563" t="s">
        <v>1740</v>
      </c>
      <c r="C361" s="564">
        <v>43558</v>
      </c>
      <c r="D361" s="562">
        <v>1</v>
      </c>
      <c r="E361" s="562">
        <v>1</v>
      </c>
      <c r="F361" s="562">
        <f>IFERROR(Tableau1[[#This Row],[Score]]/Tableau1[[#This Row],[Nb]],0)</f>
        <v>1</v>
      </c>
    </row>
    <row r="362" spans="1:6" ht="30" customHeight="1" x14ac:dyDescent="0.3">
      <c r="A362" s="562" t="s">
        <v>1732</v>
      </c>
      <c r="B362" s="563" t="s">
        <v>1733</v>
      </c>
      <c r="C362" s="564">
        <v>43558</v>
      </c>
      <c r="D362" s="562">
        <v>3</v>
      </c>
      <c r="E362" s="562">
        <v>1</v>
      </c>
      <c r="F362" s="562">
        <f>IFERROR(Tableau1[[#This Row],[Score]]/Tableau1[[#This Row],[Nb]],0)</f>
        <v>0.33333333333333331</v>
      </c>
    </row>
    <row r="363" spans="1:6" ht="30" customHeight="1" x14ac:dyDescent="0.3">
      <c r="A363" s="562" t="s">
        <v>1798</v>
      </c>
      <c r="B363" s="563" t="s">
        <v>1799</v>
      </c>
      <c r="C363" s="564">
        <v>43558</v>
      </c>
      <c r="D363" s="562">
        <v>1</v>
      </c>
      <c r="E363" s="562">
        <v>1</v>
      </c>
      <c r="F363" s="562">
        <f>IFERROR(Tableau1[[#This Row],[Score]]/Tableau1[[#This Row],[Nb]],0)</f>
        <v>1</v>
      </c>
    </row>
    <row r="364" spans="1:6" ht="30" customHeight="1" x14ac:dyDescent="0.3">
      <c r="A364" s="562" t="s">
        <v>1774</v>
      </c>
      <c r="B364" s="563" t="s">
        <v>1775</v>
      </c>
      <c r="C364" s="564">
        <v>43558</v>
      </c>
      <c r="D364" s="562">
        <v>1</v>
      </c>
      <c r="E364" s="562">
        <v>1</v>
      </c>
      <c r="F364" s="562">
        <f>IFERROR(Tableau1[[#This Row],[Score]]/Tableau1[[#This Row],[Nb]],0)</f>
        <v>1</v>
      </c>
    </row>
    <row r="365" spans="1:6" ht="30" customHeight="1" x14ac:dyDescent="0.3">
      <c r="A365" s="562" t="s">
        <v>1786</v>
      </c>
      <c r="B365" s="563" t="s">
        <v>1787</v>
      </c>
      <c r="C365" s="564">
        <v>43558</v>
      </c>
      <c r="D365" s="562">
        <v>1</v>
      </c>
      <c r="E365" s="562">
        <v>1</v>
      </c>
      <c r="F365" s="562">
        <f>IFERROR(Tableau1[[#This Row],[Score]]/Tableau1[[#This Row],[Nb]],0)</f>
        <v>1</v>
      </c>
    </row>
    <row r="366" spans="1:6" ht="30" customHeight="1" x14ac:dyDescent="0.3">
      <c r="A366" s="562" t="s">
        <v>1792</v>
      </c>
      <c r="B366" s="563" t="s">
        <v>1793</v>
      </c>
      <c r="C366" s="564">
        <v>43558</v>
      </c>
      <c r="D366" s="562">
        <v>1</v>
      </c>
      <c r="E366" s="562">
        <v>1</v>
      </c>
      <c r="F366" s="562">
        <f>IFERROR(Tableau1[[#This Row],[Score]]/Tableau1[[#This Row],[Nb]],0)</f>
        <v>1</v>
      </c>
    </row>
    <row r="367" spans="1:6" ht="30" customHeight="1" x14ac:dyDescent="0.3">
      <c r="A367" s="562" t="s">
        <v>1746</v>
      </c>
      <c r="B367" s="563" t="s">
        <v>1747</v>
      </c>
      <c r="C367" s="564">
        <v>43558</v>
      </c>
      <c r="D367" s="562">
        <v>1</v>
      </c>
      <c r="E367" s="562">
        <v>-1</v>
      </c>
      <c r="F367" s="562">
        <f>IFERROR(Tableau1[[#This Row],[Score]]/Tableau1[[#This Row],[Nb]],0)</f>
        <v>-1</v>
      </c>
    </row>
    <row r="368" spans="1:6" ht="30" customHeight="1" x14ac:dyDescent="0.3">
      <c r="A368" s="562" t="s">
        <v>1748</v>
      </c>
      <c r="B368" s="563" t="s">
        <v>1749</v>
      </c>
      <c r="C368" s="564">
        <v>43558</v>
      </c>
      <c r="D368" s="562">
        <v>2</v>
      </c>
      <c r="E368" s="562">
        <v>2</v>
      </c>
      <c r="F368" s="562">
        <f>IFERROR(Tableau1[[#This Row],[Score]]/Tableau1[[#This Row],[Nb]],0)</f>
        <v>1</v>
      </c>
    </row>
    <row r="369" spans="1:6" ht="30" customHeight="1" x14ac:dyDescent="0.3">
      <c r="A369" s="562" t="s">
        <v>1756</v>
      </c>
      <c r="B369" s="563" t="s">
        <v>1755</v>
      </c>
      <c r="C369" s="564">
        <v>43558</v>
      </c>
      <c r="D369" s="562">
        <v>2</v>
      </c>
      <c r="E369" s="562">
        <v>2</v>
      </c>
      <c r="F369" s="562">
        <f>IFERROR(Tableau1[[#This Row],[Score]]/Tableau1[[#This Row],[Nb]],0)</f>
        <v>1</v>
      </c>
    </row>
    <row r="370" spans="1:6" ht="30" customHeight="1" x14ac:dyDescent="0.3">
      <c r="A370" s="562" t="s">
        <v>1796</v>
      </c>
      <c r="B370" s="563" t="s">
        <v>1797</v>
      </c>
      <c r="C370" s="564">
        <v>43558</v>
      </c>
      <c r="D370" s="562">
        <v>2</v>
      </c>
      <c r="E370" s="562">
        <v>0</v>
      </c>
      <c r="F370" s="562">
        <f>IFERROR(Tableau1[[#This Row],[Score]]/Tableau1[[#This Row],[Nb]],0)</f>
        <v>0</v>
      </c>
    </row>
    <row r="371" spans="1:6" ht="30" customHeight="1" x14ac:dyDescent="0.3">
      <c r="A371" s="562" t="s">
        <v>2207</v>
      </c>
      <c r="B371" s="563" t="s">
        <v>1726</v>
      </c>
      <c r="C371" s="564">
        <v>43558</v>
      </c>
      <c r="D371" s="562">
        <v>2</v>
      </c>
      <c r="E371" s="562">
        <v>0</v>
      </c>
      <c r="F371" s="562">
        <f>IFERROR(Tableau1[[#This Row],[Score]]/Tableau1[[#This Row],[Nb]],0)</f>
        <v>0</v>
      </c>
    </row>
    <row r="372" spans="1:6" ht="30" customHeight="1" x14ac:dyDescent="0.3">
      <c r="A372" s="562" t="s">
        <v>1763</v>
      </c>
      <c r="B372" s="563" t="s">
        <v>1764</v>
      </c>
      <c r="C372" s="564">
        <v>43558</v>
      </c>
      <c r="D372" s="562">
        <v>2</v>
      </c>
      <c r="E372" s="562">
        <v>0</v>
      </c>
      <c r="F372" s="562">
        <f>IFERROR(Tableau1[[#This Row],[Score]]/Tableau1[[#This Row],[Nb]],0)</f>
        <v>0</v>
      </c>
    </row>
    <row r="373" spans="1:6" ht="30" customHeight="1" x14ac:dyDescent="0.3">
      <c r="A373" s="562" t="s">
        <v>4527</v>
      </c>
      <c r="B373" s="563" t="s">
        <v>1780</v>
      </c>
      <c r="C373" s="564">
        <v>43558</v>
      </c>
      <c r="D373" s="562">
        <v>2</v>
      </c>
      <c r="E373" s="562">
        <v>0</v>
      </c>
      <c r="F373" s="562">
        <f>IFERROR(Tableau1[[#This Row],[Score]]/Tableau1[[#This Row],[Nb]],0)</f>
        <v>0</v>
      </c>
    </row>
    <row r="374" spans="1:6" ht="30" customHeight="1" x14ac:dyDescent="0.3">
      <c r="A374" s="562" t="s">
        <v>1768</v>
      </c>
      <c r="B374" s="563" t="s">
        <v>1769</v>
      </c>
      <c r="C374" s="564">
        <v>43558</v>
      </c>
      <c r="D374" s="562">
        <v>2</v>
      </c>
      <c r="E374" s="562">
        <v>0</v>
      </c>
      <c r="F374" s="562">
        <f>IFERROR(Tableau1[[#This Row],[Score]]/Tableau1[[#This Row],[Nb]],0)</f>
        <v>0</v>
      </c>
    </row>
    <row r="375" spans="1:6" ht="30" customHeight="1" x14ac:dyDescent="0.3">
      <c r="A375" s="562" t="s">
        <v>1776</v>
      </c>
      <c r="B375" s="563" t="s">
        <v>1777</v>
      </c>
      <c r="C375" s="564">
        <v>43558</v>
      </c>
      <c r="D375" s="562">
        <v>2</v>
      </c>
      <c r="E375" s="562">
        <v>2</v>
      </c>
      <c r="F375" s="562">
        <f>IFERROR(Tableau1[[#This Row],[Score]]/Tableau1[[#This Row],[Nb]],0)</f>
        <v>1</v>
      </c>
    </row>
    <row r="376" spans="1:6" ht="30" customHeight="1" x14ac:dyDescent="0.3">
      <c r="A376" s="562" t="s">
        <v>1794</v>
      </c>
      <c r="B376" s="563" t="s">
        <v>1795</v>
      </c>
      <c r="C376" s="564">
        <v>43558</v>
      </c>
      <c r="D376" s="562">
        <v>3</v>
      </c>
      <c r="E376" s="562">
        <v>3</v>
      </c>
      <c r="F376" s="562">
        <f>IFERROR(Tableau1[[#This Row],[Score]]/Tableau1[[#This Row],[Nb]],0)</f>
        <v>1</v>
      </c>
    </row>
    <row r="377" spans="1:6" ht="30" customHeight="1" x14ac:dyDescent="0.3">
      <c r="A377" s="562" t="s">
        <v>1781</v>
      </c>
      <c r="B377" s="563" t="s">
        <v>1782</v>
      </c>
      <c r="C377" s="564">
        <v>43558</v>
      </c>
      <c r="D377" s="562">
        <v>3</v>
      </c>
      <c r="E377" s="562">
        <v>-1</v>
      </c>
      <c r="F377" s="562">
        <f>IFERROR(Tableau1[[#This Row],[Score]]/Tableau1[[#This Row],[Nb]],0)</f>
        <v>-0.33333333333333331</v>
      </c>
    </row>
    <row r="378" spans="1:6" ht="30" customHeight="1" x14ac:dyDescent="0.3">
      <c r="A378" s="562" t="s">
        <v>1761</v>
      </c>
      <c r="B378" s="563" t="s">
        <v>1762</v>
      </c>
      <c r="C378" s="564">
        <v>43558</v>
      </c>
      <c r="D378" s="562">
        <v>3</v>
      </c>
      <c r="E378" s="562">
        <v>3</v>
      </c>
      <c r="F378" s="562">
        <f>IFERROR(Tableau1[[#This Row],[Score]]/Tableau1[[#This Row],[Nb]],0)</f>
        <v>1</v>
      </c>
    </row>
    <row r="379" spans="1:6" ht="30" customHeight="1" x14ac:dyDescent="0.3">
      <c r="A379" s="562" t="s">
        <v>1765</v>
      </c>
      <c r="B379" s="563" t="s">
        <v>1766</v>
      </c>
      <c r="C379" s="564">
        <v>43558</v>
      </c>
      <c r="D379" s="562">
        <v>3</v>
      </c>
      <c r="E379" s="562">
        <v>3</v>
      </c>
      <c r="F379" s="562">
        <f>IFERROR(Tableau1[[#This Row],[Score]]/Tableau1[[#This Row],[Nb]],0)</f>
        <v>1</v>
      </c>
    </row>
    <row r="380" spans="1:6" ht="30" customHeight="1" x14ac:dyDescent="0.3">
      <c r="A380" s="562" t="s">
        <v>6216</v>
      </c>
      <c r="B380" s="563" t="s">
        <v>1738</v>
      </c>
      <c r="C380" s="564">
        <v>43558</v>
      </c>
      <c r="D380" s="562">
        <v>3</v>
      </c>
      <c r="E380" s="562">
        <v>1</v>
      </c>
      <c r="F380" s="562">
        <f>IFERROR(Tableau1[[#This Row],[Score]]/Tableau1[[#This Row],[Nb]],0)</f>
        <v>0.33333333333333331</v>
      </c>
    </row>
    <row r="381" spans="1:6" ht="30" customHeight="1" x14ac:dyDescent="0.3">
      <c r="A381" s="562" t="s">
        <v>2317</v>
      </c>
      <c r="B381" s="563" t="s">
        <v>1767</v>
      </c>
      <c r="C381" s="564">
        <v>43558</v>
      </c>
      <c r="D381" s="562">
        <v>3</v>
      </c>
      <c r="E381" s="562">
        <v>-1</v>
      </c>
      <c r="F381" s="562">
        <f>IFERROR(Tableau1[[#This Row],[Score]]/Tableau1[[#This Row],[Nb]],0)</f>
        <v>-0.33333333333333331</v>
      </c>
    </row>
    <row r="382" spans="1:6" ht="30" customHeight="1" x14ac:dyDescent="0.3">
      <c r="A382" s="562" t="s">
        <v>1778</v>
      </c>
      <c r="B382" s="563" t="s">
        <v>1779</v>
      </c>
      <c r="C382" s="564">
        <v>43558</v>
      </c>
      <c r="D382" s="562">
        <v>3</v>
      </c>
      <c r="E382" s="562">
        <v>3</v>
      </c>
      <c r="F382" s="562">
        <f>IFERROR(Tableau1[[#This Row],[Score]]/Tableau1[[#This Row],[Nb]],0)</f>
        <v>1</v>
      </c>
    </row>
    <row r="383" spans="1:6" ht="30" customHeight="1" x14ac:dyDescent="0.3">
      <c r="A383" s="562" t="s">
        <v>1735</v>
      </c>
      <c r="B383" s="563" t="s">
        <v>1737</v>
      </c>
      <c r="C383" s="564">
        <v>43558</v>
      </c>
      <c r="D383" s="562">
        <v>3</v>
      </c>
      <c r="E383" s="562">
        <v>-3</v>
      </c>
      <c r="F383" s="562">
        <f>IFERROR(Tableau1[[#This Row],[Score]]/Tableau1[[#This Row],[Nb]],0)</f>
        <v>-1</v>
      </c>
    </row>
    <row r="384" spans="1:6" ht="30" customHeight="1" x14ac:dyDescent="0.3">
      <c r="A384" s="562" t="s">
        <v>1743</v>
      </c>
      <c r="B384" s="594" t="s">
        <v>6643</v>
      </c>
      <c r="C384" s="564">
        <v>43558</v>
      </c>
      <c r="D384" s="562">
        <v>3</v>
      </c>
      <c r="E384" s="562">
        <v>-1</v>
      </c>
      <c r="F384" s="562">
        <f>IFERROR(Tableau1[[#This Row],[Score]]/Tableau1[[#This Row],[Nb]],0)</f>
        <v>-0.33333333333333331</v>
      </c>
    </row>
    <row r="385" spans="1:6" ht="30" customHeight="1" x14ac:dyDescent="0.3">
      <c r="A385" s="562" t="s">
        <v>1800</v>
      </c>
      <c r="B385" s="563" t="s">
        <v>1801</v>
      </c>
      <c r="C385" s="564">
        <v>43558</v>
      </c>
      <c r="D385" s="562">
        <v>3</v>
      </c>
      <c r="E385" s="562">
        <v>1</v>
      </c>
      <c r="F385" s="562">
        <f>IFERROR(Tableau1[[#This Row],[Score]]/Tableau1[[#This Row],[Nb]],0)</f>
        <v>0.33333333333333331</v>
      </c>
    </row>
    <row r="386" spans="1:6" ht="30" customHeight="1" x14ac:dyDescent="0.3">
      <c r="A386" s="562" t="s">
        <v>1741</v>
      </c>
      <c r="B386" s="563" t="s">
        <v>1742</v>
      </c>
      <c r="C386" s="564">
        <v>43558</v>
      </c>
      <c r="D386" s="562">
        <v>4</v>
      </c>
      <c r="E386" s="562">
        <v>4</v>
      </c>
      <c r="F386" s="562">
        <f>IFERROR(Tableau1[[#This Row],[Score]]/Tableau1[[#This Row],[Nb]],0)</f>
        <v>1</v>
      </c>
    </row>
    <row r="387" spans="1:6" ht="30" customHeight="1" x14ac:dyDescent="0.3">
      <c r="A387" s="566" t="s">
        <v>6521</v>
      </c>
      <c r="B387" s="563" t="s">
        <v>6522</v>
      </c>
      <c r="C387" s="564">
        <v>43558</v>
      </c>
      <c r="D387" s="562">
        <v>4</v>
      </c>
      <c r="E387" s="562">
        <v>1</v>
      </c>
      <c r="F387" s="562">
        <f>IFERROR(Tableau1[[#This Row],[Score]]/Tableau1[[#This Row],[Nb]],0)</f>
        <v>0.25</v>
      </c>
    </row>
    <row r="388" spans="1:6" ht="30" customHeight="1" x14ac:dyDescent="0.3">
      <c r="A388" s="562" t="s">
        <v>1727</v>
      </c>
      <c r="B388" s="563" t="s">
        <v>4369</v>
      </c>
      <c r="C388" s="564">
        <v>43558</v>
      </c>
      <c r="D388" s="562">
        <v>4</v>
      </c>
      <c r="E388" s="562">
        <v>4</v>
      </c>
      <c r="F388" s="562">
        <f>IFERROR(Tableau1[[#This Row],[Score]]/Tableau1[[#This Row],[Nb]],0)</f>
        <v>1</v>
      </c>
    </row>
    <row r="389" spans="1:6" ht="30" customHeight="1" x14ac:dyDescent="0.3">
      <c r="A389" s="562" t="s">
        <v>1790</v>
      </c>
      <c r="B389" s="563" t="s">
        <v>1791</v>
      </c>
      <c r="C389" s="564">
        <v>43558</v>
      </c>
      <c r="D389" s="562">
        <v>4</v>
      </c>
      <c r="E389" s="562">
        <v>0</v>
      </c>
      <c r="F389" s="562">
        <f>IFERROR(Tableau1[[#This Row],[Score]]/Tableau1[[#This Row],[Nb]],0)</f>
        <v>0</v>
      </c>
    </row>
    <row r="390" spans="1:6" ht="30" customHeight="1" x14ac:dyDescent="0.3">
      <c r="A390" s="562" t="s">
        <v>1736</v>
      </c>
      <c r="B390" s="563" t="s">
        <v>1734</v>
      </c>
      <c r="C390" s="564">
        <v>43558</v>
      </c>
      <c r="D390" s="562">
        <v>4</v>
      </c>
      <c r="E390" s="562">
        <v>0</v>
      </c>
      <c r="F390" s="562">
        <f>IFERROR(Tableau1[[#This Row],[Score]]/Tableau1[[#This Row],[Nb]],0)</f>
        <v>0</v>
      </c>
    </row>
    <row r="391" spans="1:6" ht="30" customHeight="1" x14ac:dyDescent="0.3">
      <c r="A391" s="562" t="s">
        <v>3830</v>
      </c>
      <c r="B391" s="563" t="s">
        <v>6243</v>
      </c>
      <c r="C391" s="564">
        <v>43558</v>
      </c>
      <c r="D391" s="562">
        <v>5</v>
      </c>
      <c r="E391" s="562">
        <v>1</v>
      </c>
      <c r="F391" s="562">
        <f>IFERROR(Tableau1[[#This Row],[Score]]/Tableau1[[#This Row],[Nb]],0)</f>
        <v>0.2</v>
      </c>
    </row>
    <row r="392" spans="1:6" ht="30" customHeight="1" x14ac:dyDescent="0.3">
      <c r="A392" s="562" t="s">
        <v>1750</v>
      </c>
      <c r="B392" s="563" t="s">
        <v>5166</v>
      </c>
      <c r="C392" s="564">
        <v>43558</v>
      </c>
      <c r="D392" s="562">
        <v>5</v>
      </c>
      <c r="E392" s="562">
        <v>5</v>
      </c>
      <c r="F392" s="562">
        <f>IFERROR(Tableau1[[#This Row],[Score]]/Tableau1[[#This Row],[Nb]],0)</f>
        <v>1</v>
      </c>
    </row>
    <row r="393" spans="1:6" ht="30" customHeight="1" x14ac:dyDescent="0.3">
      <c r="A393" s="562" t="s">
        <v>1802</v>
      </c>
      <c r="B393" s="563" t="s">
        <v>1803</v>
      </c>
      <c r="C393" s="564">
        <v>43558</v>
      </c>
      <c r="D393" s="562">
        <v>5</v>
      </c>
      <c r="E393" s="562">
        <v>5</v>
      </c>
      <c r="F393" s="562">
        <f>IFERROR(Tableau1[[#This Row],[Score]]/Tableau1[[#This Row],[Nb]],0)</f>
        <v>1</v>
      </c>
    </row>
    <row r="394" spans="1:6" ht="30" customHeight="1" x14ac:dyDescent="0.3">
      <c r="A394" s="562" t="s">
        <v>1730</v>
      </c>
      <c r="B394" s="563" t="s">
        <v>1731</v>
      </c>
      <c r="C394" s="564">
        <v>43558</v>
      </c>
      <c r="D394" s="562">
        <v>5</v>
      </c>
      <c r="E394" s="562">
        <v>3</v>
      </c>
      <c r="F394" s="562">
        <f>IFERROR(Tableau1[[#This Row],[Score]]/Tableau1[[#This Row],[Nb]],0)</f>
        <v>0.6</v>
      </c>
    </row>
    <row r="395" spans="1:6" ht="30" customHeight="1" x14ac:dyDescent="0.3">
      <c r="A395" s="562" t="s">
        <v>1783</v>
      </c>
      <c r="B395" s="563" t="s">
        <v>2725</v>
      </c>
      <c r="C395" s="564">
        <v>43558</v>
      </c>
      <c r="D395" s="562">
        <v>6</v>
      </c>
      <c r="E395" s="562">
        <v>4</v>
      </c>
      <c r="F395" s="562">
        <f>IFERROR(Tableau1[[#This Row],[Score]]/Tableau1[[#This Row],[Nb]],0)</f>
        <v>0.66666666666666663</v>
      </c>
    </row>
    <row r="396" spans="1:6" ht="30" customHeight="1" x14ac:dyDescent="0.3">
      <c r="A396" s="562" t="s">
        <v>1753</v>
      </c>
      <c r="B396" s="563" t="s">
        <v>1754</v>
      </c>
      <c r="C396" s="564">
        <v>43558</v>
      </c>
      <c r="D396" s="562">
        <v>8</v>
      </c>
      <c r="E396" s="562">
        <v>4</v>
      </c>
      <c r="F396" s="562">
        <f>IFERROR(Tableau1[[#This Row],[Score]]/Tableau1[[#This Row],[Nb]],0)</f>
        <v>0.5</v>
      </c>
    </row>
    <row r="397" spans="1:6" ht="30" customHeight="1" x14ac:dyDescent="0.3">
      <c r="A397" s="562" t="s">
        <v>1784</v>
      </c>
      <c r="B397" s="563" t="s">
        <v>1785</v>
      </c>
      <c r="C397" s="564">
        <v>43558</v>
      </c>
      <c r="D397" s="562">
        <v>7</v>
      </c>
      <c r="E397" s="562">
        <v>5</v>
      </c>
      <c r="F397" s="562">
        <f>IFERROR(Tableau1[[#This Row],[Score]]/Tableau1[[#This Row],[Nb]],0)</f>
        <v>0.7142857142857143</v>
      </c>
    </row>
    <row r="398" spans="1:6" ht="30" customHeight="1" x14ac:dyDescent="0.3">
      <c r="A398" s="562" t="s">
        <v>1770</v>
      </c>
      <c r="B398" s="563" t="s">
        <v>1771</v>
      </c>
      <c r="C398" s="564">
        <v>43558</v>
      </c>
      <c r="D398" s="562">
        <v>10</v>
      </c>
      <c r="E398" s="562">
        <v>6</v>
      </c>
      <c r="F398" s="562">
        <f>IFERROR(Tableau1[[#This Row],[Score]]/Tableau1[[#This Row],[Nb]],0)</f>
        <v>0.6</v>
      </c>
    </row>
    <row r="399" spans="1:6" ht="30" customHeight="1" x14ac:dyDescent="0.3">
      <c r="A399" s="562" t="s">
        <v>1772</v>
      </c>
      <c r="B399" s="563" t="s">
        <v>1773</v>
      </c>
      <c r="C399" s="564">
        <v>43558</v>
      </c>
      <c r="D399" s="562">
        <v>7</v>
      </c>
      <c r="E399" s="562">
        <v>7</v>
      </c>
      <c r="F399" s="562">
        <f>IFERROR(Tableau1[[#This Row],[Score]]/Tableau1[[#This Row],[Nb]],0)</f>
        <v>1</v>
      </c>
    </row>
    <row r="400" spans="1:6" ht="30" customHeight="1" x14ac:dyDescent="0.3">
      <c r="A400" s="562" t="s">
        <v>1751</v>
      </c>
      <c r="B400" s="563" t="s">
        <v>1752</v>
      </c>
      <c r="C400" s="564">
        <v>43558</v>
      </c>
      <c r="D400" s="562">
        <v>8</v>
      </c>
      <c r="E400" s="562">
        <v>6</v>
      </c>
      <c r="F400" s="562">
        <f>IFERROR(Tableau1[[#This Row],[Score]]/Tableau1[[#This Row],[Nb]],0)</f>
        <v>0.75</v>
      </c>
    </row>
    <row r="401" spans="1:6" ht="30" customHeight="1" x14ac:dyDescent="0.3">
      <c r="A401" s="562" t="s">
        <v>4435</v>
      </c>
      <c r="B401" s="563" t="s">
        <v>4436</v>
      </c>
      <c r="C401" s="564">
        <v>43558</v>
      </c>
      <c r="D401" s="562">
        <v>8</v>
      </c>
      <c r="E401" s="562">
        <v>0</v>
      </c>
      <c r="F401" s="562">
        <f>IFERROR(Tableau1[[#This Row],[Score]]/Tableau1[[#This Row],[Nb]],0)</f>
        <v>0</v>
      </c>
    </row>
    <row r="402" spans="1:6" ht="30" customHeight="1" x14ac:dyDescent="0.3">
      <c r="A402" s="562" t="s">
        <v>1816</v>
      </c>
      <c r="B402" s="563" t="s">
        <v>4011</v>
      </c>
      <c r="C402" s="564">
        <v>43559</v>
      </c>
      <c r="D402" s="562">
        <v>0</v>
      </c>
      <c r="E402" s="562">
        <v>0</v>
      </c>
      <c r="F402" s="562">
        <f>IFERROR(Tableau1[[#This Row],[Score]]/Tableau1[[#This Row],[Nb]],0)</f>
        <v>0</v>
      </c>
    </row>
    <row r="403" spans="1:6" ht="30" customHeight="1" x14ac:dyDescent="0.3">
      <c r="A403" s="562" t="s">
        <v>1834</v>
      </c>
      <c r="B403" s="563" t="s">
        <v>1835</v>
      </c>
      <c r="C403" s="564">
        <v>43559</v>
      </c>
      <c r="D403" s="562">
        <v>1</v>
      </c>
      <c r="E403" s="562">
        <v>1</v>
      </c>
      <c r="F403" s="562">
        <f>IFERROR(Tableau1[[#This Row],[Score]]/Tableau1[[#This Row],[Nb]],0)</f>
        <v>1</v>
      </c>
    </row>
    <row r="404" spans="1:6" ht="30" customHeight="1" x14ac:dyDescent="0.3">
      <c r="A404" s="562" t="s">
        <v>6306</v>
      </c>
      <c r="B404" s="563" t="s">
        <v>1822</v>
      </c>
      <c r="C404" s="564">
        <v>43559</v>
      </c>
      <c r="D404" s="562">
        <v>1</v>
      </c>
      <c r="E404" s="562">
        <v>1</v>
      </c>
      <c r="F404" s="562">
        <f>IFERROR(Tableau1[[#This Row],[Score]]/Tableau1[[#This Row],[Nb]],0)</f>
        <v>1</v>
      </c>
    </row>
    <row r="405" spans="1:6" ht="30" customHeight="1" x14ac:dyDescent="0.3">
      <c r="A405" s="562" t="s">
        <v>1817</v>
      </c>
      <c r="B405" s="563" t="s">
        <v>1818</v>
      </c>
      <c r="C405" s="564">
        <v>43559</v>
      </c>
      <c r="D405" s="562">
        <v>1</v>
      </c>
      <c r="E405" s="562">
        <v>-1</v>
      </c>
      <c r="F405" s="562">
        <f>IFERROR(Tableau1[[#This Row],[Score]]/Tableau1[[#This Row],[Nb]],0)</f>
        <v>-1</v>
      </c>
    </row>
    <row r="406" spans="1:6" ht="30" customHeight="1" x14ac:dyDescent="0.3">
      <c r="A406" s="562" t="s">
        <v>1836</v>
      </c>
      <c r="B406" s="563" t="s">
        <v>1837</v>
      </c>
      <c r="C406" s="564">
        <v>43559</v>
      </c>
      <c r="D406" s="562">
        <v>2</v>
      </c>
      <c r="E406" s="562">
        <v>2</v>
      </c>
      <c r="F406" s="562">
        <f>IFERROR(Tableau1[[#This Row],[Score]]/Tableau1[[#This Row],[Nb]],0)</f>
        <v>1</v>
      </c>
    </row>
    <row r="407" spans="1:6" ht="30" customHeight="1" x14ac:dyDescent="0.3">
      <c r="A407" s="562" t="s">
        <v>1808</v>
      </c>
      <c r="B407" s="563" t="s">
        <v>1807</v>
      </c>
      <c r="C407" s="564">
        <v>43559</v>
      </c>
      <c r="D407" s="562">
        <v>2</v>
      </c>
      <c r="E407" s="562">
        <v>-2</v>
      </c>
      <c r="F407" s="562">
        <f>IFERROR(Tableau1[[#This Row],[Score]]/Tableau1[[#This Row],[Nb]],0)</f>
        <v>-1</v>
      </c>
    </row>
    <row r="408" spans="1:6" ht="30" customHeight="1" x14ac:dyDescent="0.3">
      <c r="A408" s="562" t="s">
        <v>1830</v>
      </c>
      <c r="B408" s="563" t="s">
        <v>1829</v>
      </c>
      <c r="C408" s="564">
        <v>43559</v>
      </c>
      <c r="D408" s="562">
        <v>2</v>
      </c>
      <c r="E408" s="562">
        <v>-2</v>
      </c>
      <c r="F408" s="562">
        <f>IFERROR(Tableau1[[#This Row],[Score]]/Tableau1[[#This Row],[Nb]],0)</f>
        <v>-1</v>
      </c>
    </row>
    <row r="409" spans="1:6" ht="30" customHeight="1" x14ac:dyDescent="0.3">
      <c r="A409" s="562" t="s">
        <v>1823</v>
      </c>
      <c r="B409" s="563" t="s">
        <v>1824</v>
      </c>
      <c r="C409" s="564">
        <v>43559</v>
      </c>
      <c r="D409" s="562">
        <v>2</v>
      </c>
      <c r="E409" s="562">
        <v>-2</v>
      </c>
      <c r="F409" s="562">
        <f>IFERROR(Tableau1[[#This Row],[Score]]/Tableau1[[#This Row],[Nb]],0)</f>
        <v>-1</v>
      </c>
    </row>
    <row r="410" spans="1:6" ht="30" customHeight="1" x14ac:dyDescent="0.3">
      <c r="A410" s="562" t="s">
        <v>6626</v>
      </c>
      <c r="B410" s="563" t="s">
        <v>1811</v>
      </c>
      <c r="C410" s="564">
        <v>43559</v>
      </c>
      <c r="D410" s="562">
        <v>2</v>
      </c>
      <c r="E410" s="562">
        <v>2</v>
      </c>
      <c r="F410" s="562">
        <f>IFERROR(Tableau1[[#This Row],[Score]]/Tableau1[[#This Row],[Nb]],0)</f>
        <v>1</v>
      </c>
    </row>
    <row r="411" spans="1:6" ht="30" customHeight="1" x14ac:dyDescent="0.3">
      <c r="A411" s="562" t="s">
        <v>1819</v>
      </c>
      <c r="B411" s="563" t="s">
        <v>1820</v>
      </c>
      <c r="C411" s="564">
        <v>43559</v>
      </c>
      <c r="D411" s="562">
        <v>2</v>
      </c>
      <c r="E411" s="562">
        <v>2</v>
      </c>
      <c r="F411" s="562">
        <f>IFERROR(Tableau1[[#This Row],[Score]]/Tableau1[[#This Row],[Nb]],0)</f>
        <v>1</v>
      </c>
    </row>
    <row r="412" spans="1:6" ht="30" customHeight="1" x14ac:dyDescent="0.3">
      <c r="A412" s="562" t="s">
        <v>1806</v>
      </c>
      <c r="B412" s="563" t="s">
        <v>3661</v>
      </c>
      <c r="C412" s="564">
        <v>43559</v>
      </c>
      <c r="D412" s="562">
        <v>3</v>
      </c>
      <c r="E412" s="562">
        <v>1</v>
      </c>
      <c r="F412" s="562">
        <f>IFERROR(Tableau1[[#This Row],[Score]]/Tableau1[[#This Row],[Nb]],0)</f>
        <v>0.33333333333333331</v>
      </c>
    </row>
    <row r="413" spans="1:6" ht="30" customHeight="1" x14ac:dyDescent="0.3">
      <c r="A413" s="562" t="s">
        <v>1821</v>
      </c>
      <c r="B413" s="563" t="s">
        <v>6365</v>
      </c>
      <c r="C413" s="564">
        <v>43559</v>
      </c>
      <c r="D413" s="562">
        <v>3</v>
      </c>
      <c r="E413" s="562">
        <v>-1</v>
      </c>
      <c r="F413" s="562">
        <f>IFERROR(Tableau1[[#This Row],[Score]]/Tableau1[[#This Row],[Nb]],0)</f>
        <v>-0.33333333333333331</v>
      </c>
    </row>
    <row r="414" spans="1:6" ht="30" customHeight="1" x14ac:dyDescent="0.3">
      <c r="A414" s="562" t="s">
        <v>1825</v>
      </c>
      <c r="B414" s="563" t="s">
        <v>1826</v>
      </c>
      <c r="C414" s="564">
        <v>43559</v>
      </c>
      <c r="D414" s="562">
        <v>4</v>
      </c>
      <c r="E414" s="562">
        <v>0</v>
      </c>
      <c r="F414" s="562">
        <f>IFERROR(Tableau1[[#This Row],[Score]]/Tableau1[[#This Row],[Nb]],0)</f>
        <v>0</v>
      </c>
    </row>
    <row r="415" spans="1:6" ht="30" customHeight="1" x14ac:dyDescent="0.3">
      <c r="A415" s="562" t="s">
        <v>1814</v>
      </c>
      <c r="B415" s="563" t="s">
        <v>1815</v>
      </c>
      <c r="C415" s="564">
        <v>43559</v>
      </c>
      <c r="D415" s="562">
        <v>3</v>
      </c>
      <c r="E415" s="562">
        <v>3</v>
      </c>
      <c r="F415" s="562">
        <f>IFERROR(Tableau1[[#This Row],[Score]]/Tableau1[[#This Row],[Nb]],0)</f>
        <v>1</v>
      </c>
    </row>
    <row r="416" spans="1:6" ht="30" customHeight="1" x14ac:dyDescent="0.3">
      <c r="A416" s="562" t="s">
        <v>3154</v>
      </c>
      <c r="B416" s="563" t="s">
        <v>3155</v>
      </c>
      <c r="C416" s="564">
        <v>43559</v>
      </c>
      <c r="D416" s="562">
        <v>3</v>
      </c>
      <c r="E416" s="562">
        <v>3</v>
      </c>
      <c r="F416" s="562">
        <f>IFERROR(Tableau1[[#This Row],[Score]]/Tableau1[[#This Row],[Nb]],0)</f>
        <v>1</v>
      </c>
    </row>
    <row r="417" spans="1:6" ht="30" customHeight="1" x14ac:dyDescent="0.3">
      <c r="A417" s="562" t="s">
        <v>1812</v>
      </c>
      <c r="B417" s="563" t="s">
        <v>1813</v>
      </c>
      <c r="C417" s="564">
        <v>43559</v>
      </c>
      <c r="D417" s="562">
        <v>4</v>
      </c>
      <c r="E417" s="562">
        <v>-2</v>
      </c>
      <c r="F417" s="562">
        <f>IFERROR(Tableau1[[#This Row],[Score]]/Tableau1[[#This Row],[Nb]],0)</f>
        <v>-0.5</v>
      </c>
    </row>
    <row r="418" spans="1:6" ht="30" customHeight="1" x14ac:dyDescent="0.3">
      <c r="A418" s="562" t="s">
        <v>1831</v>
      </c>
      <c r="B418" s="563" t="s">
        <v>1832</v>
      </c>
      <c r="C418" s="564">
        <v>43559</v>
      </c>
      <c r="D418" s="562">
        <v>4</v>
      </c>
      <c r="E418" s="562">
        <v>-2</v>
      </c>
      <c r="F418" s="562">
        <f>IFERROR(Tableau1[[#This Row],[Score]]/Tableau1[[#This Row],[Nb]],0)</f>
        <v>-0.5</v>
      </c>
    </row>
    <row r="419" spans="1:6" ht="30" customHeight="1" x14ac:dyDescent="0.3">
      <c r="A419" s="562" t="s">
        <v>1809</v>
      </c>
      <c r="B419" s="563" t="s">
        <v>1810</v>
      </c>
      <c r="C419" s="564">
        <v>43559</v>
      </c>
      <c r="D419" s="562">
        <v>5</v>
      </c>
      <c r="E419" s="562">
        <v>1</v>
      </c>
      <c r="F419" s="562">
        <f>IFERROR(Tableau1[[#This Row],[Score]]/Tableau1[[#This Row],[Nb]],0)</f>
        <v>0.2</v>
      </c>
    </row>
    <row r="420" spans="1:6" ht="30" customHeight="1" x14ac:dyDescent="0.3">
      <c r="A420" s="562" t="s">
        <v>6273</v>
      </c>
      <c r="B420" s="563" t="s">
        <v>6274</v>
      </c>
      <c r="C420" s="564">
        <v>43559</v>
      </c>
      <c r="D420" s="562">
        <v>6</v>
      </c>
      <c r="E420" s="562">
        <v>1</v>
      </c>
      <c r="F420" s="562">
        <f>IFERROR(Tableau1[[#This Row],[Score]]/Tableau1[[#This Row],[Nb]],0)</f>
        <v>0.16666666666666666</v>
      </c>
    </row>
    <row r="421" spans="1:6" ht="30" customHeight="1" x14ac:dyDescent="0.3">
      <c r="A421" s="562" t="s">
        <v>1827</v>
      </c>
      <c r="B421" s="563" t="s">
        <v>1828</v>
      </c>
      <c r="C421" s="564">
        <v>43559</v>
      </c>
      <c r="D421" s="562">
        <v>8</v>
      </c>
      <c r="E421" s="562">
        <v>6</v>
      </c>
      <c r="F421" s="562">
        <f>IFERROR(Tableau1[[#This Row],[Score]]/Tableau1[[#This Row],[Nb]],0)</f>
        <v>0.75</v>
      </c>
    </row>
    <row r="422" spans="1:6" ht="30" customHeight="1" x14ac:dyDescent="0.3">
      <c r="A422" s="562" t="s">
        <v>1833</v>
      </c>
      <c r="B422" s="563" t="s">
        <v>4528</v>
      </c>
      <c r="C422" s="564">
        <v>43559</v>
      </c>
      <c r="D422" s="562">
        <v>9</v>
      </c>
      <c r="E422" s="562">
        <v>7</v>
      </c>
      <c r="F422" s="562">
        <f>IFERROR(Tableau1[[#This Row],[Score]]/Tableau1[[#This Row],[Nb]],0)</f>
        <v>0.77777777777777779</v>
      </c>
    </row>
    <row r="423" spans="1:6" ht="30" customHeight="1" x14ac:dyDescent="0.3">
      <c r="A423" s="562" t="s">
        <v>1804</v>
      </c>
      <c r="B423" s="563" t="s">
        <v>1805</v>
      </c>
      <c r="C423" s="564">
        <v>43559</v>
      </c>
      <c r="D423" s="562">
        <v>10</v>
      </c>
      <c r="E423" s="562">
        <v>9</v>
      </c>
      <c r="F423" s="562">
        <f>IFERROR(Tableau1[[#This Row],[Score]]/Tableau1[[#This Row],[Nb]],0)</f>
        <v>0.9</v>
      </c>
    </row>
    <row r="424" spans="1:6" ht="30" customHeight="1" x14ac:dyDescent="0.3">
      <c r="A424" s="562" t="s">
        <v>1851</v>
      </c>
      <c r="B424" s="563" t="s">
        <v>1852</v>
      </c>
      <c r="C424" s="564">
        <v>43561</v>
      </c>
      <c r="D424" s="562">
        <v>0</v>
      </c>
      <c r="E424" s="562">
        <v>0</v>
      </c>
      <c r="F424" s="562">
        <f>IFERROR(Tableau1[[#This Row],[Score]]/Tableau1[[#This Row],[Nb]],0)</f>
        <v>0</v>
      </c>
    </row>
    <row r="425" spans="1:6" ht="30" customHeight="1" x14ac:dyDescent="0.3">
      <c r="A425" s="562" t="s">
        <v>1855</v>
      </c>
      <c r="B425" s="563" t="s">
        <v>1856</v>
      </c>
      <c r="C425" s="564">
        <v>43561</v>
      </c>
      <c r="D425" s="562">
        <v>0</v>
      </c>
      <c r="E425" s="562">
        <v>0</v>
      </c>
      <c r="F425" s="562">
        <f>IFERROR(Tableau1[[#This Row],[Score]]/Tableau1[[#This Row],[Nb]],0)</f>
        <v>0</v>
      </c>
    </row>
    <row r="426" spans="1:6" ht="30" customHeight="1" x14ac:dyDescent="0.3">
      <c r="A426" s="562" t="s">
        <v>5823</v>
      </c>
      <c r="B426" s="563" t="s">
        <v>1864</v>
      </c>
      <c r="C426" s="564">
        <v>43561</v>
      </c>
      <c r="D426" s="562">
        <v>0</v>
      </c>
      <c r="E426" s="562">
        <v>0</v>
      </c>
      <c r="F426" s="562">
        <f>IFERROR(Tableau1[[#This Row],[Score]]/Tableau1[[#This Row],[Nb]],0)</f>
        <v>0</v>
      </c>
    </row>
    <row r="427" spans="1:6" ht="30" customHeight="1" x14ac:dyDescent="0.3">
      <c r="A427" s="562" t="s">
        <v>1865</v>
      </c>
      <c r="B427" s="563" t="s">
        <v>1866</v>
      </c>
      <c r="C427" s="564">
        <v>43561</v>
      </c>
      <c r="D427" s="562">
        <v>1</v>
      </c>
      <c r="E427" s="562">
        <v>-1</v>
      </c>
      <c r="F427" s="562">
        <f>IFERROR(Tableau1[[#This Row],[Score]]/Tableau1[[#This Row],[Nb]],0)</f>
        <v>-1</v>
      </c>
    </row>
    <row r="428" spans="1:6" ht="30" customHeight="1" x14ac:dyDescent="0.3">
      <c r="A428" s="562" t="s">
        <v>1838</v>
      </c>
      <c r="B428" s="563" t="s">
        <v>1839</v>
      </c>
      <c r="C428" s="564">
        <v>43561</v>
      </c>
      <c r="D428" s="562">
        <v>1</v>
      </c>
      <c r="E428" s="562">
        <v>-1</v>
      </c>
      <c r="F428" s="562">
        <f>IFERROR(Tableau1[[#This Row],[Score]]/Tableau1[[#This Row],[Nb]],0)</f>
        <v>-1</v>
      </c>
    </row>
    <row r="429" spans="1:6" ht="30" customHeight="1" x14ac:dyDescent="0.3">
      <c r="A429" s="562" t="s">
        <v>1871</v>
      </c>
      <c r="B429" s="563" t="s">
        <v>1872</v>
      </c>
      <c r="C429" s="564">
        <v>43561</v>
      </c>
      <c r="D429" s="562">
        <v>1</v>
      </c>
      <c r="E429" s="562">
        <v>1</v>
      </c>
      <c r="F429" s="562">
        <f>IFERROR(Tableau1[[#This Row],[Score]]/Tableau1[[#This Row],[Nb]],0)</f>
        <v>1</v>
      </c>
    </row>
    <row r="430" spans="1:6" ht="30" customHeight="1" x14ac:dyDescent="0.3">
      <c r="A430" s="562" t="s">
        <v>1859</v>
      </c>
      <c r="B430" s="563" t="s">
        <v>1860</v>
      </c>
      <c r="C430" s="564">
        <v>43561</v>
      </c>
      <c r="D430" s="562">
        <v>2</v>
      </c>
      <c r="E430" s="562">
        <v>2</v>
      </c>
      <c r="F430" s="562">
        <f>IFERROR(Tableau1[[#This Row],[Score]]/Tableau1[[#This Row],[Nb]],0)</f>
        <v>1</v>
      </c>
    </row>
    <row r="431" spans="1:6" ht="30" customHeight="1" x14ac:dyDescent="0.3">
      <c r="A431" s="562" t="s">
        <v>4240</v>
      </c>
      <c r="B431" s="563" t="s">
        <v>1863</v>
      </c>
      <c r="C431" s="564">
        <v>43561</v>
      </c>
      <c r="D431" s="562">
        <v>2</v>
      </c>
      <c r="E431" s="562">
        <v>2</v>
      </c>
      <c r="F431" s="562">
        <f>IFERROR(Tableau1[[#This Row],[Score]]/Tableau1[[#This Row],[Nb]],0)</f>
        <v>1</v>
      </c>
    </row>
    <row r="432" spans="1:6" ht="30" customHeight="1" x14ac:dyDescent="0.3">
      <c r="A432" s="562" t="s">
        <v>1849</v>
      </c>
      <c r="B432" s="563" t="s">
        <v>1850</v>
      </c>
      <c r="C432" s="564">
        <v>43561</v>
      </c>
      <c r="D432" s="562">
        <v>3</v>
      </c>
      <c r="E432" s="562">
        <v>3</v>
      </c>
      <c r="F432" s="562">
        <f>IFERROR(Tableau1[[#This Row],[Score]]/Tableau1[[#This Row],[Nb]],0)</f>
        <v>1</v>
      </c>
    </row>
    <row r="433" spans="1:6" ht="30" customHeight="1" x14ac:dyDescent="0.3">
      <c r="A433" s="562" t="s">
        <v>1861</v>
      </c>
      <c r="B433" s="563" t="s">
        <v>1862</v>
      </c>
      <c r="C433" s="564">
        <v>43561</v>
      </c>
      <c r="D433" s="562">
        <v>2</v>
      </c>
      <c r="E433" s="562">
        <v>2</v>
      </c>
      <c r="F433" s="562">
        <f>IFERROR(Tableau1[[#This Row],[Score]]/Tableau1[[#This Row],[Nb]],0)</f>
        <v>1</v>
      </c>
    </row>
    <row r="434" spans="1:6" ht="30" customHeight="1" x14ac:dyDescent="0.3">
      <c r="A434" s="562" t="s">
        <v>1873</v>
      </c>
      <c r="B434" s="563" t="s">
        <v>1874</v>
      </c>
      <c r="C434" s="564">
        <v>43561</v>
      </c>
      <c r="D434" s="562">
        <v>4</v>
      </c>
      <c r="E434" s="562">
        <v>4</v>
      </c>
      <c r="F434" s="562">
        <f>IFERROR(Tableau1[[#This Row],[Score]]/Tableau1[[#This Row],[Nb]],0)</f>
        <v>1</v>
      </c>
    </row>
    <row r="435" spans="1:6" ht="30" customHeight="1" x14ac:dyDescent="0.3">
      <c r="A435" s="562" t="s">
        <v>1857</v>
      </c>
      <c r="B435" s="563" t="s">
        <v>1858</v>
      </c>
      <c r="C435" s="564">
        <v>43561</v>
      </c>
      <c r="D435" s="562">
        <v>2</v>
      </c>
      <c r="E435" s="562">
        <v>0</v>
      </c>
      <c r="F435" s="562">
        <f>IFERROR(Tableau1[[#This Row],[Score]]/Tableau1[[#This Row],[Nb]],0)</f>
        <v>0</v>
      </c>
    </row>
    <row r="436" spans="1:6" ht="30" customHeight="1" x14ac:dyDescent="0.3">
      <c r="A436" s="562" t="s">
        <v>1840</v>
      </c>
      <c r="B436" s="563" t="s">
        <v>1841</v>
      </c>
      <c r="C436" s="564">
        <v>43561</v>
      </c>
      <c r="D436" s="562">
        <v>2</v>
      </c>
      <c r="E436" s="562">
        <v>0</v>
      </c>
      <c r="F436" s="562">
        <f>IFERROR(Tableau1[[#This Row],[Score]]/Tableau1[[#This Row],[Nb]],0)</f>
        <v>0</v>
      </c>
    </row>
    <row r="437" spans="1:6" ht="30" customHeight="1" x14ac:dyDescent="0.3">
      <c r="A437" s="562" t="s">
        <v>1842</v>
      </c>
      <c r="B437" s="563" t="s">
        <v>6363</v>
      </c>
      <c r="C437" s="564">
        <v>43561</v>
      </c>
      <c r="D437" s="562">
        <v>3</v>
      </c>
      <c r="E437" s="562">
        <v>3</v>
      </c>
      <c r="F437" s="562">
        <f>IFERROR(Tableau1[[#This Row],[Score]]/Tableau1[[#This Row],[Nb]],0)</f>
        <v>1</v>
      </c>
    </row>
    <row r="438" spans="1:6" ht="30" customHeight="1" x14ac:dyDescent="0.3">
      <c r="A438" s="562" t="s">
        <v>1847</v>
      </c>
      <c r="B438" s="563" t="s">
        <v>1848</v>
      </c>
      <c r="C438" s="564">
        <v>43561</v>
      </c>
      <c r="D438" s="562">
        <v>3</v>
      </c>
      <c r="E438" s="562">
        <v>3</v>
      </c>
      <c r="F438" s="562">
        <f>IFERROR(Tableau1[[#This Row],[Score]]/Tableau1[[#This Row],[Nb]],0)</f>
        <v>1</v>
      </c>
    </row>
    <row r="439" spans="1:6" ht="30" customHeight="1" x14ac:dyDescent="0.3">
      <c r="A439" s="562" t="s">
        <v>1869</v>
      </c>
      <c r="B439" s="563" t="s">
        <v>1870</v>
      </c>
      <c r="C439" s="564">
        <v>43561</v>
      </c>
      <c r="D439" s="562">
        <v>4</v>
      </c>
      <c r="E439" s="562">
        <v>3</v>
      </c>
      <c r="F439" s="562">
        <f>IFERROR(Tableau1[[#This Row],[Score]]/Tableau1[[#This Row],[Nb]],0)</f>
        <v>0.75</v>
      </c>
    </row>
    <row r="440" spans="1:6" ht="30" customHeight="1" x14ac:dyDescent="0.3">
      <c r="A440" s="562" t="s">
        <v>1843</v>
      </c>
      <c r="B440" s="563" t="s">
        <v>1844</v>
      </c>
      <c r="C440" s="564">
        <v>43561</v>
      </c>
      <c r="D440" s="562">
        <v>4</v>
      </c>
      <c r="E440" s="562">
        <v>-3</v>
      </c>
      <c r="F440" s="562">
        <f>IFERROR(Tableau1[[#This Row],[Score]]/Tableau1[[#This Row],[Nb]],0)</f>
        <v>-0.75</v>
      </c>
    </row>
    <row r="441" spans="1:6" ht="30" customHeight="1" x14ac:dyDescent="0.3">
      <c r="A441" s="562" t="s">
        <v>1845</v>
      </c>
      <c r="B441" s="563" t="s">
        <v>1846</v>
      </c>
      <c r="C441" s="564">
        <v>43561</v>
      </c>
      <c r="D441" s="562">
        <v>4</v>
      </c>
      <c r="E441" s="562">
        <v>4</v>
      </c>
      <c r="F441" s="562">
        <f>IFERROR(Tableau1[[#This Row],[Score]]/Tableau1[[#This Row],[Nb]],0)</f>
        <v>1</v>
      </c>
    </row>
    <row r="442" spans="1:6" ht="30" customHeight="1" x14ac:dyDescent="0.3">
      <c r="A442" s="562" t="s">
        <v>3872</v>
      </c>
      <c r="B442" s="563" t="s">
        <v>3873</v>
      </c>
      <c r="C442" s="564">
        <v>43561</v>
      </c>
      <c r="D442" s="562">
        <v>4</v>
      </c>
      <c r="E442" s="562">
        <v>4</v>
      </c>
      <c r="F442" s="562">
        <f>IFERROR(Tableau1[[#This Row],[Score]]/Tableau1[[#This Row],[Nb]],0)</f>
        <v>1</v>
      </c>
    </row>
    <row r="443" spans="1:6" ht="30" customHeight="1" x14ac:dyDescent="0.3">
      <c r="A443" s="562" t="s">
        <v>1867</v>
      </c>
      <c r="B443" s="563" t="s">
        <v>1868</v>
      </c>
      <c r="C443" s="564">
        <v>43561</v>
      </c>
      <c r="D443" s="562">
        <v>4</v>
      </c>
      <c r="E443" s="562">
        <v>0</v>
      </c>
      <c r="F443" s="562">
        <f>IFERROR(Tableau1[[#This Row],[Score]]/Tableau1[[#This Row],[Nb]],0)</f>
        <v>0</v>
      </c>
    </row>
    <row r="444" spans="1:6" ht="30" customHeight="1" x14ac:dyDescent="0.3">
      <c r="A444" s="562" t="s">
        <v>1853</v>
      </c>
      <c r="B444" s="563" t="s">
        <v>1854</v>
      </c>
      <c r="C444" s="564">
        <v>43561</v>
      </c>
      <c r="D444" s="562">
        <v>6</v>
      </c>
      <c r="E444" s="562">
        <v>5</v>
      </c>
      <c r="F444" s="562">
        <f>IFERROR(Tableau1[[#This Row],[Score]]/Tableau1[[#This Row],[Nb]],0)</f>
        <v>0.83333333333333337</v>
      </c>
    </row>
    <row r="445" spans="1:6" ht="30" customHeight="1" x14ac:dyDescent="0.3">
      <c r="A445" s="562" t="s">
        <v>1885</v>
      </c>
      <c r="B445" s="563" t="s">
        <v>1886</v>
      </c>
      <c r="C445" s="564">
        <v>43563</v>
      </c>
      <c r="D445" s="562">
        <v>0</v>
      </c>
      <c r="E445" s="562">
        <v>0</v>
      </c>
      <c r="F445" s="562">
        <f>IFERROR(Tableau1[[#This Row],[Score]]/Tableau1[[#This Row],[Nb]],0)</f>
        <v>0</v>
      </c>
    </row>
    <row r="446" spans="1:6" ht="30" customHeight="1" x14ac:dyDescent="0.3">
      <c r="A446" s="562" t="s">
        <v>1893</v>
      </c>
      <c r="B446" s="563" t="s">
        <v>1894</v>
      </c>
      <c r="C446" s="564">
        <v>43563</v>
      </c>
      <c r="D446" s="562">
        <v>1</v>
      </c>
      <c r="E446" s="562">
        <v>1</v>
      </c>
      <c r="F446" s="562">
        <f>IFERROR(Tableau1[[#This Row],[Score]]/Tableau1[[#This Row],[Nb]],0)</f>
        <v>1</v>
      </c>
    </row>
    <row r="447" spans="1:6" ht="30" customHeight="1" x14ac:dyDescent="0.3">
      <c r="A447" s="562" t="s">
        <v>1879</v>
      </c>
      <c r="B447" s="563" t="s">
        <v>1880</v>
      </c>
      <c r="C447" s="564">
        <v>43563</v>
      </c>
      <c r="D447" s="562">
        <v>1</v>
      </c>
      <c r="E447" s="562">
        <v>1</v>
      </c>
      <c r="F447" s="562">
        <f>IFERROR(Tableau1[[#This Row],[Score]]/Tableau1[[#This Row],[Nb]],0)</f>
        <v>1</v>
      </c>
    </row>
    <row r="448" spans="1:6" ht="30" customHeight="1" x14ac:dyDescent="0.3">
      <c r="A448" s="562" t="s">
        <v>1909</v>
      </c>
      <c r="B448" s="563" t="s">
        <v>1910</v>
      </c>
      <c r="C448" s="564">
        <v>43563</v>
      </c>
      <c r="D448" s="562">
        <v>1</v>
      </c>
      <c r="E448" s="562">
        <v>-1</v>
      </c>
      <c r="F448" s="562">
        <f>IFERROR(Tableau1[[#This Row],[Score]]/Tableau1[[#This Row],[Nb]],0)</f>
        <v>-1</v>
      </c>
    </row>
    <row r="449" spans="1:6" ht="30" customHeight="1" x14ac:dyDescent="0.3">
      <c r="A449" s="562" t="s">
        <v>1898</v>
      </c>
      <c r="B449" s="563" t="s">
        <v>1899</v>
      </c>
      <c r="C449" s="564">
        <v>43563</v>
      </c>
      <c r="D449" s="562">
        <v>1</v>
      </c>
      <c r="E449" s="562">
        <v>1</v>
      </c>
      <c r="F449" s="562">
        <f>IFERROR(Tableau1[[#This Row],[Score]]/Tableau1[[#This Row],[Nb]],0)</f>
        <v>1</v>
      </c>
    </row>
    <row r="450" spans="1:6" ht="30" customHeight="1" x14ac:dyDescent="0.3">
      <c r="A450" s="562" t="s">
        <v>1895</v>
      </c>
      <c r="B450" s="633" t="s">
        <v>6661</v>
      </c>
      <c r="C450" s="564">
        <v>43563</v>
      </c>
      <c r="D450" s="562">
        <v>1</v>
      </c>
      <c r="E450" s="562">
        <v>-1</v>
      </c>
      <c r="F450" s="562">
        <f>IFERROR(Tableau1[[#This Row],[Score]]/Tableau1[[#This Row],[Nb]],0)</f>
        <v>-1</v>
      </c>
    </row>
    <row r="451" spans="1:6" ht="30" customHeight="1" x14ac:dyDescent="0.3">
      <c r="A451" s="562" t="s">
        <v>1891</v>
      </c>
      <c r="B451" s="563" t="s">
        <v>1892</v>
      </c>
      <c r="C451" s="564">
        <v>43563</v>
      </c>
      <c r="D451" s="562">
        <v>2</v>
      </c>
      <c r="E451" s="562">
        <v>-2</v>
      </c>
      <c r="F451" s="562">
        <f>IFERROR(Tableau1[[#This Row],[Score]]/Tableau1[[#This Row],[Nb]],0)</f>
        <v>-1</v>
      </c>
    </row>
    <row r="452" spans="1:6" ht="30" customHeight="1" x14ac:dyDescent="0.3">
      <c r="A452" s="562" t="s">
        <v>1913</v>
      </c>
      <c r="B452" s="563" t="s">
        <v>1914</v>
      </c>
      <c r="C452" s="564">
        <v>43563</v>
      </c>
      <c r="D452" s="562">
        <v>2</v>
      </c>
      <c r="E452" s="562">
        <v>2</v>
      </c>
      <c r="F452" s="562">
        <f>IFERROR(Tableau1[[#This Row],[Score]]/Tableau1[[#This Row],[Nb]],0)</f>
        <v>1</v>
      </c>
    </row>
    <row r="453" spans="1:6" ht="30" customHeight="1" x14ac:dyDescent="0.3">
      <c r="A453" s="562" t="s">
        <v>1875</v>
      </c>
      <c r="B453" s="563" t="s">
        <v>1876</v>
      </c>
      <c r="C453" s="564">
        <v>43563</v>
      </c>
      <c r="D453" s="562">
        <v>2</v>
      </c>
      <c r="E453" s="562">
        <v>0</v>
      </c>
      <c r="F453" s="562">
        <f>IFERROR(Tableau1[[#This Row],[Score]]/Tableau1[[#This Row],[Nb]],0)</f>
        <v>0</v>
      </c>
    </row>
    <row r="454" spans="1:6" ht="30" customHeight="1" x14ac:dyDescent="0.3">
      <c r="A454" s="562" t="s">
        <v>1881</v>
      </c>
      <c r="B454" s="563" t="s">
        <v>1882</v>
      </c>
      <c r="C454" s="564">
        <v>43563</v>
      </c>
      <c r="D454" s="562">
        <v>3</v>
      </c>
      <c r="E454" s="562">
        <v>1</v>
      </c>
      <c r="F454" s="562">
        <f>IFERROR(Tableau1[[#This Row],[Score]]/Tableau1[[#This Row],[Nb]],0)</f>
        <v>0.33333333333333331</v>
      </c>
    </row>
    <row r="455" spans="1:6" ht="30" customHeight="1" x14ac:dyDescent="0.3">
      <c r="A455" s="562" t="s">
        <v>1889</v>
      </c>
      <c r="B455" s="563" t="s">
        <v>1890</v>
      </c>
      <c r="C455" s="564">
        <v>43563</v>
      </c>
      <c r="D455" s="562">
        <v>3</v>
      </c>
      <c r="E455" s="562">
        <v>1</v>
      </c>
      <c r="F455" s="562">
        <f>IFERROR(Tableau1[[#This Row],[Score]]/Tableau1[[#This Row],[Nb]],0)</f>
        <v>0.33333333333333331</v>
      </c>
    </row>
    <row r="456" spans="1:6" ht="30" customHeight="1" x14ac:dyDescent="0.3">
      <c r="A456" s="562" t="s">
        <v>1887</v>
      </c>
      <c r="B456" s="563" t="s">
        <v>1888</v>
      </c>
      <c r="C456" s="564">
        <v>43563</v>
      </c>
      <c r="D456" s="562">
        <v>3</v>
      </c>
      <c r="E456" s="562">
        <v>3</v>
      </c>
      <c r="F456" s="562">
        <f>IFERROR(Tableau1[[#This Row],[Score]]/Tableau1[[#This Row],[Nb]],0)</f>
        <v>1</v>
      </c>
    </row>
    <row r="457" spans="1:6" ht="30" customHeight="1" x14ac:dyDescent="0.3">
      <c r="A457" s="562" t="s">
        <v>1903</v>
      </c>
      <c r="B457" s="563" t="s">
        <v>1904</v>
      </c>
      <c r="C457" s="564">
        <v>43563</v>
      </c>
      <c r="D457" s="562">
        <v>3</v>
      </c>
      <c r="E457" s="562">
        <v>3</v>
      </c>
      <c r="F457" s="562">
        <f>IFERROR(Tableau1[[#This Row],[Score]]/Tableau1[[#This Row],[Nb]],0)</f>
        <v>1</v>
      </c>
    </row>
    <row r="458" spans="1:6" ht="30" customHeight="1" x14ac:dyDescent="0.3">
      <c r="A458" s="562" t="s">
        <v>1883</v>
      </c>
      <c r="B458" s="563" t="s">
        <v>1884</v>
      </c>
      <c r="C458" s="564">
        <v>43563</v>
      </c>
      <c r="D458" s="562">
        <v>4</v>
      </c>
      <c r="E458" s="562">
        <v>4</v>
      </c>
      <c r="F458" s="562">
        <f>IFERROR(Tableau1[[#This Row],[Score]]/Tableau1[[#This Row],[Nb]],0)</f>
        <v>1</v>
      </c>
    </row>
    <row r="459" spans="1:6" ht="30" customHeight="1" x14ac:dyDescent="0.3">
      <c r="A459" s="562" t="s">
        <v>1877</v>
      </c>
      <c r="B459" s="563" t="s">
        <v>1878</v>
      </c>
      <c r="C459" s="564">
        <v>43563</v>
      </c>
      <c r="D459" s="562">
        <v>4</v>
      </c>
      <c r="E459" s="562">
        <v>4</v>
      </c>
      <c r="F459" s="562">
        <f>IFERROR(Tableau1[[#This Row],[Score]]/Tableau1[[#This Row],[Nb]],0)</f>
        <v>1</v>
      </c>
    </row>
    <row r="460" spans="1:6" ht="30" customHeight="1" x14ac:dyDescent="0.3">
      <c r="A460" s="562" t="s">
        <v>1907</v>
      </c>
      <c r="B460" s="563" t="s">
        <v>1908</v>
      </c>
      <c r="C460" s="564">
        <v>43563</v>
      </c>
      <c r="D460" s="562">
        <v>5</v>
      </c>
      <c r="E460" s="562">
        <v>5</v>
      </c>
      <c r="F460" s="562">
        <f>IFERROR(Tableau1[[#This Row],[Score]]/Tableau1[[#This Row],[Nb]],0)</f>
        <v>1</v>
      </c>
    </row>
    <row r="461" spans="1:6" ht="30" customHeight="1" x14ac:dyDescent="0.3">
      <c r="A461" s="562" t="s">
        <v>1896</v>
      </c>
      <c r="B461" s="563" t="s">
        <v>1897</v>
      </c>
      <c r="C461" s="564">
        <v>43563</v>
      </c>
      <c r="D461" s="562">
        <v>5</v>
      </c>
      <c r="E461" s="562">
        <v>3</v>
      </c>
      <c r="F461" s="562">
        <f>IFERROR(Tableau1[[#This Row],[Score]]/Tableau1[[#This Row],[Nb]],0)</f>
        <v>0.6</v>
      </c>
    </row>
    <row r="462" spans="1:6" ht="30" customHeight="1" x14ac:dyDescent="0.3">
      <c r="A462" s="562" t="s">
        <v>1905</v>
      </c>
      <c r="B462" s="563" t="s">
        <v>1906</v>
      </c>
      <c r="C462" s="564">
        <v>43563</v>
      </c>
      <c r="D462" s="562">
        <v>6</v>
      </c>
      <c r="E462" s="562">
        <v>3</v>
      </c>
      <c r="F462" s="562">
        <f>IFERROR(Tableau1[[#This Row],[Score]]/Tableau1[[#This Row],[Nb]],0)</f>
        <v>0.5</v>
      </c>
    </row>
    <row r="463" spans="1:6" ht="30" customHeight="1" x14ac:dyDescent="0.3">
      <c r="A463" s="562" t="s">
        <v>1900</v>
      </c>
      <c r="B463" s="563" t="s">
        <v>1901</v>
      </c>
      <c r="C463" s="564">
        <v>43563</v>
      </c>
      <c r="D463" s="562">
        <v>5</v>
      </c>
      <c r="E463" s="562">
        <v>-1</v>
      </c>
      <c r="F463" s="562">
        <f>IFERROR(Tableau1[[#This Row],[Score]]/Tableau1[[#This Row],[Nb]],0)</f>
        <v>-0.2</v>
      </c>
    </row>
    <row r="464" spans="1:6" ht="30" customHeight="1" x14ac:dyDescent="0.3">
      <c r="A464" s="562" t="s">
        <v>4662</v>
      </c>
      <c r="B464" s="563" t="s">
        <v>1915</v>
      </c>
      <c r="C464" s="564">
        <v>43563</v>
      </c>
      <c r="D464" s="562">
        <v>6</v>
      </c>
      <c r="E464" s="562">
        <v>6</v>
      </c>
      <c r="F464" s="562">
        <f>IFERROR(Tableau1[[#This Row],[Score]]/Tableau1[[#This Row],[Nb]],0)</f>
        <v>1</v>
      </c>
    </row>
    <row r="465" spans="1:6" ht="30" customHeight="1" x14ac:dyDescent="0.3">
      <c r="A465" s="562" t="s">
        <v>1902</v>
      </c>
      <c r="B465" s="563" t="s">
        <v>6524</v>
      </c>
      <c r="C465" s="564">
        <v>43563</v>
      </c>
      <c r="D465" s="562">
        <v>7</v>
      </c>
      <c r="E465" s="562">
        <v>7</v>
      </c>
      <c r="F465" s="562">
        <f>IFERROR(Tableau1[[#This Row],[Score]]/Tableau1[[#This Row],[Nb]],0)</f>
        <v>1</v>
      </c>
    </row>
    <row r="466" spans="1:6" ht="30" customHeight="1" x14ac:dyDescent="0.3">
      <c r="A466" s="566" t="s">
        <v>5069</v>
      </c>
      <c r="B466" s="563" t="s">
        <v>5068</v>
      </c>
      <c r="C466" s="564">
        <v>43563</v>
      </c>
      <c r="D466" s="562">
        <v>10</v>
      </c>
      <c r="E466" s="562">
        <v>8</v>
      </c>
      <c r="F466" s="562">
        <f>IFERROR(Tableau1[[#This Row],[Score]]/Tableau1[[#This Row],[Nb]],0)</f>
        <v>0.8</v>
      </c>
    </row>
    <row r="467" spans="1:6" ht="30" customHeight="1" x14ac:dyDescent="0.3">
      <c r="A467" s="562" t="s">
        <v>1918</v>
      </c>
      <c r="B467" s="563" t="s">
        <v>1919</v>
      </c>
      <c r="C467" s="564">
        <v>43564</v>
      </c>
      <c r="D467" s="562">
        <v>0</v>
      </c>
      <c r="E467" s="562">
        <v>0</v>
      </c>
      <c r="F467" s="562">
        <f>IFERROR(Tableau1[[#This Row],[Score]]/Tableau1[[#This Row],[Nb]],0)</f>
        <v>0</v>
      </c>
    </row>
    <row r="468" spans="1:6" ht="30" customHeight="1" x14ac:dyDescent="0.3">
      <c r="A468" s="562" t="s">
        <v>1916</v>
      </c>
      <c r="B468" s="563" t="s">
        <v>1917</v>
      </c>
      <c r="C468" s="564">
        <v>43564</v>
      </c>
      <c r="D468" s="562">
        <v>3</v>
      </c>
      <c r="E468" s="562">
        <v>3</v>
      </c>
      <c r="F468" s="562">
        <f>IFERROR(Tableau1[[#This Row],[Score]]/Tableau1[[#This Row],[Nb]],0)</f>
        <v>1</v>
      </c>
    </row>
    <row r="469" spans="1:6" ht="30" customHeight="1" x14ac:dyDescent="0.3">
      <c r="A469" s="562" t="s">
        <v>1939</v>
      </c>
      <c r="B469" s="563" t="s">
        <v>1940</v>
      </c>
      <c r="C469" s="564">
        <v>43564</v>
      </c>
      <c r="D469" s="562">
        <v>1</v>
      </c>
      <c r="E469" s="562">
        <v>1</v>
      </c>
      <c r="F469" s="562">
        <f>IFERROR(Tableau1[[#This Row],[Score]]/Tableau1[[#This Row],[Nb]],0)</f>
        <v>1</v>
      </c>
    </row>
    <row r="470" spans="1:6" ht="30" customHeight="1" x14ac:dyDescent="0.3">
      <c r="A470" s="562" t="s">
        <v>1924</v>
      </c>
      <c r="B470" s="563" t="s">
        <v>1925</v>
      </c>
      <c r="C470" s="564">
        <v>43564</v>
      </c>
      <c r="D470" s="562">
        <v>4</v>
      </c>
      <c r="E470" s="562">
        <v>0</v>
      </c>
      <c r="F470" s="562">
        <f>IFERROR(Tableau1[[#This Row],[Score]]/Tableau1[[#This Row],[Nb]],0)</f>
        <v>0</v>
      </c>
    </row>
    <row r="471" spans="1:6" ht="30" customHeight="1" x14ac:dyDescent="0.3">
      <c r="A471" s="562" t="s">
        <v>1933</v>
      </c>
      <c r="B471" s="563" t="s">
        <v>1934</v>
      </c>
      <c r="C471" s="564">
        <v>43564</v>
      </c>
      <c r="D471" s="562">
        <v>2</v>
      </c>
      <c r="E471" s="562">
        <v>0</v>
      </c>
      <c r="F471" s="562">
        <f>IFERROR(Tableau1[[#This Row],[Score]]/Tableau1[[#This Row],[Nb]],0)</f>
        <v>0</v>
      </c>
    </row>
    <row r="472" spans="1:6" ht="30" customHeight="1" x14ac:dyDescent="0.3">
      <c r="A472" s="562" t="s">
        <v>1922</v>
      </c>
      <c r="B472" s="563" t="s">
        <v>3663</v>
      </c>
      <c r="C472" s="564">
        <v>43564</v>
      </c>
      <c r="D472" s="562">
        <v>2</v>
      </c>
      <c r="E472" s="562">
        <v>2</v>
      </c>
      <c r="F472" s="562">
        <f>IFERROR(Tableau1[[#This Row],[Score]]/Tableau1[[#This Row],[Nb]],0)</f>
        <v>1</v>
      </c>
    </row>
    <row r="473" spans="1:6" ht="30" customHeight="1" x14ac:dyDescent="0.3">
      <c r="A473" s="562" t="s">
        <v>1931</v>
      </c>
      <c r="B473" s="563" t="s">
        <v>1932</v>
      </c>
      <c r="C473" s="564">
        <v>43564</v>
      </c>
      <c r="D473" s="562">
        <v>3</v>
      </c>
      <c r="E473" s="562">
        <v>2</v>
      </c>
      <c r="F473" s="562">
        <f>IFERROR(Tableau1[[#This Row],[Score]]/Tableau1[[#This Row],[Nb]],0)</f>
        <v>0.66666666666666663</v>
      </c>
    </row>
    <row r="474" spans="1:6" ht="30" customHeight="1" x14ac:dyDescent="0.3">
      <c r="A474" s="562" t="s">
        <v>1936</v>
      </c>
      <c r="B474" s="563" t="s">
        <v>1937</v>
      </c>
      <c r="C474" s="564">
        <v>43564</v>
      </c>
      <c r="D474" s="562">
        <v>3</v>
      </c>
      <c r="E474" s="562">
        <v>-2</v>
      </c>
      <c r="F474" s="562">
        <f>IFERROR(Tableau1[[#This Row],[Score]]/Tableau1[[#This Row],[Nb]],0)</f>
        <v>-0.66666666666666663</v>
      </c>
    </row>
    <row r="475" spans="1:6" ht="30" customHeight="1" x14ac:dyDescent="0.3">
      <c r="A475" s="562" t="s">
        <v>3785</v>
      </c>
      <c r="B475" s="563" t="s">
        <v>1935</v>
      </c>
      <c r="C475" s="564">
        <v>43564</v>
      </c>
      <c r="D475" s="562">
        <v>4</v>
      </c>
      <c r="E475" s="562">
        <v>4</v>
      </c>
      <c r="F475" s="562">
        <f>IFERROR(Tableau1[[#This Row],[Score]]/Tableau1[[#This Row],[Nb]],0)</f>
        <v>1</v>
      </c>
    </row>
    <row r="476" spans="1:6" ht="30" customHeight="1" x14ac:dyDescent="0.3">
      <c r="A476" s="562" t="s">
        <v>1926</v>
      </c>
      <c r="B476" s="563" t="s">
        <v>4685</v>
      </c>
      <c r="C476" s="564">
        <v>43564</v>
      </c>
      <c r="D476" s="562">
        <v>4</v>
      </c>
      <c r="E476" s="562">
        <v>4</v>
      </c>
      <c r="F476" s="562">
        <f>IFERROR(Tableau1[[#This Row],[Score]]/Tableau1[[#This Row],[Nb]],0)</f>
        <v>1</v>
      </c>
    </row>
    <row r="477" spans="1:6" ht="30" customHeight="1" x14ac:dyDescent="0.3">
      <c r="A477" s="562" t="s">
        <v>2702</v>
      </c>
      <c r="B477" s="563" t="s">
        <v>6372</v>
      </c>
      <c r="C477" s="564">
        <v>43564</v>
      </c>
      <c r="D477" s="562">
        <v>5</v>
      </c>
      <c r="E477" s="562">
        <v>1</v>
      </c>
      <c r="F477" s="562">
        <f>IFERROR(Tableau1[[#This Row],[Score]]/Tableau1[[#This Row],[Nb]],0)</f>
        <v>0.2</v>
      </c>
    </row>
    <row r="478" spans="1:6" ht="30" customHeight="1" x14ac:dyDescent="0.3">
      <c r="A478" s="562" t="s">
        <v>1923</v>
      </c>
      <c r="B478" s="563" t="s">
        <v>3662</v>
      </c>
      <c r="C478" s="564">
        <v>43564</v>
      </c>
      <c r="D478" s="562">
        <v>5</v>
      </c>
      <c r="E478" s="562">
        <v>-1</v>
      </c>
      <c r="F478" s="562">
        <f>IFERROR(Tableau1[[#This Row],[Score]]/Tableau1[[#This Row],[Nb]],0)</f>
        <v>-0.2</v>
      </c>
    </row>
    <row r="479" spans="1:6" ht="30" customHeight="1" x14ac:dyDescent="0.3">
      <c r="A479" s="562" t="s">
        <v>1920</v>
      </c>
      <c r="B479" s="563" t="s">
        <v>1921</v>
      </c>
      <c r="C479" s="564">
        <v>43564</v>
      </c>
      <c r="D479" s="562">
        <v>5</v>
      </c>
      <c r="E479" s="562">
        <v>1</v>
      </c>
      <c r="F479" s="562">
        <f>IFERROR(Tableau1[[#This Row],[Score]]/Tableau1[[#This Row],[Nb]],0)</f>
        <v>0.2</v>
      </c>
    </row>
    <row r="480" spans="1:6" ht="30" customHeight="1" x14ac:dyDescent="0.3">
      <c r="A480" s="562" t="s">
        <v>1938</v>
      </c>
      <c r="B480" s="563" t="s">
        <v>4905</v>
      </c>
      <c r="C480" s="564">
        <v>43564</v>
      </c>
      <c r="D480" s="562">
        <v>6</v>
      </c>
      <c r="E480" s="562">
        <v>6</v>
      </c>
      <c r="F480" s="562">
        <f>IFERROR(Tableau1[[#This Row],[Score]]/Tableau1[[#This Row],[Nb]],0)</f>
        <v>1</v>
      </c>
    </row>
    <row r="481" spans="1:6" ht="30" customHeight="1" x14ac:dyDescent="0.3">
      <c r="A481" s="562" t="s">
        <v>1929</v>
      </c>
      <c r="B481" s="563" t="s">
        <v>1930</v>
      </c>
      <c r="C481" s="564">
        <v>43564</v>
      </c>
      <c r="D481" s="562">
        <v>6</v>
      </c>
      <c r="E481" s="562">
        <v>6</v>
      </c>
      <c r="F481" s="562">
        <f>IFERROR(Tableau1[[#This Row],[Score]]/Tableau1[[#This Row],[Nb]],0)</f>
        <v>1</v>
      </c>
    </row>
    <row r="482" spans="1:6" ht="30" customHeight="1" x14ac:dyDescent="0.3">
      <c r="A482" s="562" t="s">
        <v>1941</v>
      </c>
      <c r="B482" s="563" t="s">
        <v>2212</v>
      </c>
      <c r="C482" s="564">
        <v>43564</v>
      </c>
      <c r="D482" s="562">
        <v>7</v>
      </c>
      <c r="E482" s="562">
        <v>7</v>
      </c>
      <c r="F482" s="562">
        <f>IFERROR(Tableau1[[#This Row],[Score]]/Tableau1[[#This Row],[Nb]],0)</f>
        <v>1</v>
      </c>
    </row>
    <row r="483" spans="1:6" ht="30" customHeight="1" x14ac:dyDescent="0.3">
      <c r="A483" s="562" t="s">
        <v>1927</v>
      </c>
      <c r="B483" s="563" t="s">
        <v>1928</v>
      </c>
      <c r="C483" s="564">
        <v>43564</v>
      </c>
      <c r="D483" s="562">
        <v>9</v>
      </c>
      <c r="E483" s="562">
        <v>8</v>
      </c>
      <c r="F483" s="562">
        <f>IFERROR(Tableau1[[#This Row],[Score]]/Tableau1[[#This Row],[Nb]],0)</f>
        <v>0.88888888888888884</v>
      </c>
    </row>
    <row r="484" spans="1:6" ht="30" customHeight="1" x14ac:dyDescent="0.3">
      <c r="A484" s="562" t="s">
        <v>2013</v>
      </c>
      <c r="B484" s="563" t="s">
        <v>2014</v>
      </c>
      <c r="C484" s="564">
        <v>43605</v>
      </c>
      <c r="D484" s="562">
        <v>1</v>
      </c>
      <c r="E484" s="562">
        <v>-1</v>
      </c>
      <c r="F484" s="562">
        <f>IFERROR(Tableau1[[#This Row],[Score]]/Tableau1[[#This Row],[Nb]],0)</f>
        <v>-1</v>
      </c>
    </row>
    <row r="485" spans="1:6" ht="30" customHeight="1" x14ac:dyDescent="0.3">
      <c r="A485" s="562" t="s">
        <v>2028</v>
      </c>
      <c r="B485" s="615" t="s">
        <v>6655</v>
      </c>
      <c r="C485" s="564">
        <v>43605</v>
      </c>
      <c r="D485" s="562">
        <v>1</v>
      </c>
      <c r="E485" s="562">
        <v>-1</v>
      </c>
      <c r="F485" s="562">
        <f>IFERROR(Tableau1[[#This Row],[Score]]/Tableau1[[#This Row],[Nb]],0)</f>
        <v>-1</v>
      </c>
    </row>
    <row r="486" spans="1:6" ht="30" customHeight="1" x14ac:dyDescent="0.3">
      <c r="A486" s="562" t="s">
        <v>1981</v>
      </c>
      <c r="B486" s="563" t="s">
        <v>1982</v>
      </c>
      <c r="C486" s="564">
        <v>43605</v>
      </c>
      <c r="D486" s="562">
        <v>5</v>
      </c>
      <c r="E486" s="562">
        <v>5</v>
      </c>
      <c r="F486" s="562">
        <f>IFERROR(Tableau1[[#This Row],[Score]]/Tableau1[[#This Row],[Nb]],0)</f>
        <v>1</v>
      </c>
    </row>
    <row r="487" spans="1:6" ht="30" customHeight="1" x14ac:dyDescent="0.3">
      <c r="A487" s="562" t="s">
        <v>3481</v>
      </c>
      <c r="B487" s="563" t="s">
        <v>3482</v>
      </c>
      <c r="C487" s="564">
        <v>43661</v>
      </c>
      <c r="D487" s="562">
        <v>2</v>
      </c>
      <c r="E487" s="562">
        <v>2</v>
      </c>
      <c r="F487" s="562">
        <f>IFERROR(Tableau1[[#This Row],[Score]]/Tableau1[[#This Row],[Nb]],0)</f>
        <v>1</v>
      </c>
    </row>
    <row r="488" spans="1:6" ht="30" customHeight="1" x14ac:dyDescent="0.3">
      <c r="A488" s="562" t="s">
        <v>2060</v>
      </c>
      <c r="B488" s="563" t="s">
        <v>4022</v>
      </c>
      <c r="C488" s="564">
        <v>43661</v>
      </c>
      <c r="D488" s="562">
        <v>3</v>
      </c>
      <c r="E488" s="562">
        <v>3</v>
      </c>
      <c r="F488" s="562">
        <f>IFERROR(Tableau1[[#This Row],[Score]]/Tableau1[[#This Row],[Nb]],0)</f>
        <v>1</v>
      </c>
    </row>
    <row r="489" spans="1:6" ht="30" customHeight="1" x14ac:dyDescent="0.3">
      <c r="A489" s="562" t="s">
        <v>4619</v>
      </c>
      <c r="B489" s="563" t="s">
        <v>2106</v>
      </c>
      <c r="C489" s="564">
        <v>43673</v>
      </c>
      <c r="D489" s="562">
        <v>1</v>
      </c>
      <c r="E489" s="562">
        <v>-1</v>
      </c>
      <c r="F489" s="562">
        <f>IFERROR(Tableau1[[#This Row],[Score]]/Tableau1[[#This Row],[Nb]],0)</f>
        <v>-1</v>
      </c>
    </row>
    <row r="490" spans="1:6" ht="30" customHeight="1" x14ac:dyDescent="0.3">
      <c r="A490" s="562" t="s">
        <v>2095</v>
      </c>
      <c r="B490" s="563" t="s">
        <v>2096</v>
      </c>
      <c r="C490" s="564">
        <v>43673</v>
      </c>
      <c r="D490" s="562">
        <v>1</v>
      </c>
      <c r="E490" s="562">
        <v>1</v>
      </c>
      <c r="F490" s="562">
        <f>IFERROR(Tableau1[[#This Row],[Score]]/Tableau1[[#This Row],[Nb]],0)</f>
        <v>1</v>
      </c>
    </row>
    <row r="491" spans="1:6" ht="30" customHeight="1" x14ac:dyDescent="0.3">
      <c r="A491" s="562" t="s">
        <v>2148</v>
      </c>
      <c r="B491" s="563" t="s">
        <v>2149</v>
      </c>
      <c r="C491" s="564">
        <v>43682</v>
      </c>
      <c r="D491" s="562">
        <v>0</v>
      </c>
      <c r="E491" s="562">
        <v>0</v>
      </c>
      <c r="F491" s="562">
        <f>IFERROR(Tableau1[[#This Row],[Score]]/Tableau1[[#This Row],[Nb]],0)</f>
        <v>0</v>
      </c>
    </row>
    <row r="492" spans="1:6" ht="30" customHeight="1" x14ac:dyDescent="0.3">
      <c r="A492" s="562" t="s">
        <v>2131</v>
      </c>
      <c r="B492" s="563" t="s">
        <v>2132</v>
      </c>
      <c r="C492" s="564">
        <v>43682</v>
      </c>
      <c r="D492" s="562">
        <v>3</v>
      </c>
      <c r="E492" s="562">
        <v>3</v>
      </c>
      <c r="F492" s="562">
        <f>IFERROR(Tableau1[[#This Row],[Score]]/Tableau1[[#This Row],[Nb]],0)</f>
        <v>1</v>
      </c>
    </row>
    <row r="493" spans="1:6" ht="30" customHeight="1" x14ac:dyDescent="0.3">
      <c r="A493" s="562" t="s">
        <v>2191</v>
      </c>
      <c r="B493" s="563" t="s">
        <v>2192</v>
      </c>
      <c r="C493" s="564">
        <v>43689</v>
      </c>
      <c r="D493" s="562">
        <v>0</v>
      </c>
      <c r="E493" s="562">
        <v>0</v>
      </c>
      <c r="F493" s="562">
        <f>IFERROR(Tableau1[[#This Row],[Score]]/Tableau1[[#This Row],[Nb]],0)</f>
        <v>0</v>
      </c>
    </row>
    <row r="494" spans="1:6" ht="30" customHeight="1" x14ac:dyDescent="0.3">
      <c r="A494" s="562" t="s">
        <v>2201</v>
      </c>
      <c r="B494" s="563" t="s">
        <v>2202</v>
      </c>
      <c r="C494" s="564">
        <v>43689</v>
      </c>
      <c r="D494" s="562">
        <v>1</v>
      </c>
      <c r="E494" s="562">
        <v>1</v>
      </c>
      <c r="F494" s="562">
        <f>IFERROR(Tableau1[[#This Row],[Score]]/Tableau1[[#This Row],[Nb]],0)</f>
        <v>1</v>
      </c>
    </row>
    <row r="495" spans="1:6" ht="30" customHeight="1" x14ac:dyDescent="0.3">
      <c r="A495" s="562" t="s">
        <v>2087</v>
      </c>
      <c r="B495" s="563" t="s">
        <v>2197</v>
      </c>
      <c r="C495" s="564">
        <v>43689</v>
      </c>
      <c r="D495" s="562">
        <v>1</v>
      </c>
      <c r="E495" s="562">
        <v>1</v>
      </c>
      <c r="F495" s="562">
        <f>IFERROR(Tableau1[[#This Row],[Score]]/Tableau1[[#This Row],[Nb]],0)</f>
        <v>1</v>
      </c>
    </row>
    <row r="496" spans="1:6" ht="30" customHeight="1" x14ac:dyDescent="0.3">
      <c r="A496" s="562" t="s">
        <v>2219</v>
      </c>
      <c r="B496" s="563" t="s">
        <v>2220</v>
      </c>
      <c r="C496" s="564">
        <v>43752</v>
      </c>
      <c r="D496" s="562">
        <v>1</v>
      </c>
      <c r="E496" s="562">
        <v>-1</v>
      </c>
      <c r="F496" s="562">
        <f>IFERROR(Tableau1[[#This Row],[Score]]/Tableau1[[#This Row],[Nb]],0)</f>
        <v>-1</v>
      </c>
    </row>
    <row r="497" spans="1:6" ht="30" customHeight="1" x14ac:dyDescent="0.3">
      <c r="A497" s="613" t="s">
        <v>6654</v>
      </c>
      <c r="B497" s="563" t="s">
        <v>6253</v>
      </c>
      <c r="C497" s="564">
        <v>43752</v>
      </c>
      <c r="D497" s="562">
        <v>3</v>
      </c>
      <c r="E497" s="562">
        <v>3</v>
      </c>
      <c r="F497" s="562">
        <f>IFERROR(Tableau1[[#This Row],[Score]]/Tableau1[[#This Row],[Nb]],0)</f>
        <v>1</v>
      </c>
    </row>
    <row r="498" spans="1:6" ht="30" customHeight="1" x14ac:dyDescent="0.3">
      <c r="A498" s="562" t="s">
        <v>2240</v>
      </c>
      <c r="B498" s="563" t="s">
        <v>2241</v>
      </c>
      <c r="C498" s="564">
        <v>43756</v>
      </c>
      <c r="D498" s="562">
        <v>0</v>
      </c>
      <c r="E498" s="562">
        <v>0</v>
      </c>
      <c r="F498" s="562">
        <f>IFERROR(Tableau1[[#This Row],[Score]]/Tableau1[[#This Row],[Nb]],0)</f>
        <v>0</v>
      </c>
    </row>
    <row r="499" spans="1:6" ht="30" customHeight="1" x14ac:dyDescent="0.3">
      <c r="A499" s="562" t="s">
        <v>2263</v>
      </c>
      <c r="B499" s="563" t="s">
        <v>2264</v>
      </c>
      <c r="C499" s="564">
        <v>43761</v>
      </c>
      <c r="D499" s="562">
        <v>1</v>
      </c>
      <c r="E499" s="562">
        <v>1</v>
      </c>
      <c r="F499" s="562">
        <f>IFERROR(Tableau1[[#This Row],[Score]]/Tableau1[[#This Row],[Nb]],0)</f>
        <v>1</v>
      </c>
    </row>
    <row r="500" spans="1:6" ht="30" customHeight="1" x14ac:dyDescent="0.3">
      <c r="A500" s="562" t="s">
        <v>2302</v>
      </c>
      <c r="B500" s="563" t="s">
        <v>4530</v>
      </c>
      <c r="C500" s="564">
        <v>43767</v>
      </c>
      <c r="D500" s="562">
        <v>2</v>
      </c>
      <c r="E500" s="562">
        <v>2</v>
      </c>
      <c r="F500" s="562">
        <f>IFERROR(Tableau1[[#This Row],[Score]]/Tableau1[[#This Row],[Nb]],0)</f>
        <v>1</v>
      </c>
    </row>
    <row r="501" spans="1:6" ht="30" customHeight="1" x14ac:dyDescent="0.3">
      <c r="A501" s="562" t="s">
        <v>2293</v>
      </c>
      <c r="B501" s="563" t="s">
        <v>4739</v>
      </c>
      <c r="C501" s="564">
        <v>43767</v>
      </c>
      <c r="D501" s="562">
        <v>4</v>
      </c>
      <c r="E501" s="562">
        <v>4</v>
      </c>
      <c r="F501" s="562">
        <f>IFERROR(Tableau1[[#This Row],[Score]]/Tableau1[[#This Row],[Nb]],0)</f>
        <v>1</v>
      </c>
    </row>
    <row r="502" spans="1:6" ht="30" customHeight="1" x14ac:dyDescent="0.3">
      <c r="A502" s="562" t="s">
        <v>6418</v>
      </c>
      <c r="B502" s="563" t="s">
        <v>2354</v>
      </c>
      <c r="C502" s="564">
        <v>43771</v>
      </c>
      <c r="D502" s="562">
        <v>0</v>
      </c>
      <c r="E502" s="562">
        <v>0</v>
      </c>
      <c r="F502" s="562">
        <f>IFERROR(Tableau1[[#This Row],[Score]]/Tableau1[[#This Row],[Nb]],0)</f>
        <v>0</v>
      </c>
    </row>
    <row r="503" spans="1:6" ht="30" customHeight="1" x14ac:dyDescent="0.3">
      <c r="A503" s="593" t="s">
        <v>3304</v>
      </c>
      <c r="B503" s="594" t="s">
        <v>3305</v>
      </c>
      <c r="C503" s="595">
        <v>43771</v>
      </c>
      <c r="D503" s="562">
        <v>2</v>
      </c>
      <c r="E503" s="562">
        <v>2</v>
      </c>
      <c r="F503" s="593">
        <f>IFERROR(Tableau1[[#This Row],[Score]]/Tableau1[[#This Row],[Nb]],0)</f>
        <v>1</v>
      </c>
    </row>
    <row r="504" spans="1:6" ht="30" customHeight="1" x14ac:dyDescent="0.3">
      <c r="A504" s="562" t="s">
        <v>2422</v>
      </c>
      <c r="B504" s="655" t="s">
        <v>6672</v>
      </c>
      <c r="C504" s="564">
        <v>43776</v>
      </c>
      <c r="D504" s="562">
        <v>2</v>
      </c>
      <c r="E504" s="562">
        <v>-2</v>
      </c>
      <c r="F504" s="562">
        <f>IFERROR(Tableau1[[#This Row],[Score]]/Tableau1[[#This Row],[Nb]],0)</f>
        <v>-1</v>
      </c>
    </row>
    <row r="505" spans="1:6" ht="30" customHeight="1" x14ac:dyDescent="0.3">
      <c r="A505" s="562" t="s">
        <v>1557</v>
      </c>
      <c r="B505" s="563" t="s">
        <v>1558</v>
      </c>
      <c r="C505" s="564">
        <v>43776</v>
      </c>
      <c r="D505" s="562">
        <v>3</v>
      </c>
      <c r="E505" s="562">
        <v>3</v>
      </c>
      <c r="F505" s="562">
        <f>IFERROR(Tableau1[[#This Row],[Score]]/Tableau1[[#This Row],[Nb]],0)</f>
        <v>1</v>
      </c>
    </row>
    <row r="506" spans="1:6" ht="30" customHeight="1" x14ac:dyDescent="0.3">
      <c r="A506" s="562" t="s">
        <v>3123</v>
      </c>
      <c r="B506" s="563" t="s">
        <v>4806</v>
      </c>
      <c r="C506" s="564">
        <v>43776</v>
      </c>
      <c r="D506" s="562">
        <v>7</v>
      </c>
      <c r="E506" s="562">
        <v>7</v>
      </c>
      <c r="F506" s="562">
        <f>IFERROR(Tableau1[[#This Row],[Score]]/Tableau1[[#This Row],[Nb]],0)</f>
        <v>1</v>
      </c>
    </row>
    <row r="507" spans="1:6" ht="30" customHeight="1" x14ac:dyDescent="0.3">
      <c r="A507" s="562" t="s">
        <v>2464</v>
      </c>
      <c r="B507" s="563" t="s">
        <v>2465</v>
      </c>
      <c r="C507" s="564">
        <v>43787</v>
      </c>
      <c r="D507" s="562">
        <v>2</v>
      </c>
      <c r="E507" s="562">
        <v>2</v>
      </c>
      <c r="F507" s="562">
        <f>IFERROR(Tableau1[[#This Row],[Score]]/Tableau1[[#This Row],[Nb]],0)</f>
        <v>1</v>
      </c>
    </row>
    <row r="508" spans="1:6" ht="30" customHeight="1" x14ac:dyDescent="0.3">
      <c r="A508" s="562" t="s">
        <v>2501</v>
      </c>
      <c r="B508" s="563" t="s">
        <v>2502</v>
      </c>
      <c r="C508" s="564">
        <v>43802</v>
      </c>
      <c r="D508" s="562">
        <v>0</v>
      </c>
      <c r="E508" s="562">
        <v>0</v>
      </c>
      <c r="F508" s="562">
        <f>IFERROR(Tableau1[[#This Row],[Score]]/Tableau1[[#This Row],[Nb]],0)</f>
        <v>0</v>
      </c>
    </row>
    <row r="509" spans="1:6" ht="30" customHeight="1" x14ac:dyDescent="0.3">
      <c r="A509" s="562" t="s">
        <v>205</v>
      </c>
      <c r="B509" s="563" t="s">
        <v>2506</v>
      </c>
      <c r="C509" s="564">
        <v>43802</v>
      </c>
      <c r="D509" s="562">
        <v>2</v>
      </c>
      <c r="E509" s="562">
        <v>2</v>
      </c>
      <c r="F509" s="562">
        <f>IFERROR(Tableau1[[#This Row],[Score]]/Tableau1[[#This Row],[Nb]],0)</f>
        <v>1</v>
      </c>
    </row>
    <row r="510" spans="1:6" ht="30" customHeight="1" x14ac:dyDescent="0.3">
      <c r="A510" s="562" t="s">
        <v>2512</v>
      </c>
      <c r="B510" s="563" t="s">
        <v>6607</v>
      </c>
      <c r="C510" s="564">
        <v>43815</v>
      </c>
      <c r="D510" s="562">
        <v>2</v>
      </c>
      <c r="E510" s="562">
        <v>-2</v>
      </c>
      <c r="F510" s="562">
        <f>IFERROR(Tableau1[[#This Row],[Score]]/Tableau1[[#This Row],[Nb]],0)</f>
        <v>-1</v>
      </c>
    </row>
    <row r="511" spans="1:6" ht="30" customHeight="1" x14ac:dyDescent="0.3">
      <c r="A511" s="562" t="s">
        <v>2527</v>
      </c>
      <c r="B511" s="563" t="s">
        <v>2528</v>
      </c>
      <c r="C511" s="564">
        <v>43815</v>
      </c>
      <c r="D511" s="562">
        <v>4</v>
      </c>
      <c r="E511" s="562">
        <v>2</v>
      </c>
      <c r="F511" s="562">
        <f>IFERROR(Tableau1[[#This Row],[Score]]/Tableau1[[#This Row],[Nb]],0)</f>
        <v>0.5</v>
      </c>
    </row>
    <row r="512" spans="1:6" ht="30" customHeight="1" x14ac:dyDescent="0.3">
      <c r="A512" s="562" t="s">
        <v>2521</v>
      </c>
      <c r="B512" s="563" t="s">
        <v>2522</v>
      </c>
      <c r="C512" s="564">
        <v>43815</v>
      </c>
      <c r="D512" s="562">
        <v>6</v>
      </c>
      <c r="E512" s="562">
        <v>4</v>
      </c>
      <c r="F512" s="562">
        <f>IFERROR(Tableau1[[#This Row],[Score]]/Tableau1[[#This Row],[Nb]],0)</f>
        <v>0.66666666666666663</v>
      </c>
    </row>
    <row r="513" spans="1:6" ht="30" customHeight="1" x14ac:dyDescent="0.3">
      <c r="A513" s="562" t="s">
        <v>6129</v>
      </c>
      <c r="B513" s="563" t="s">
        <v>6130</v>
      </c>
      <c r="C513" s="564">
        <v>43816</v>
      </c>
      <c r="D513" s="562">
        <v>2</v>
      </c>
      <c r="E513" s="562">
        <v>-2</v>
      </c>
      <c r="F513" s="562">
        <f>IFERROR(Tableau1[[#This Row],[Score]]/Tableau1[[#This Row],[Nb]],0)</f>
        <v>-1</v>
      </c>
    </row>
    <row r="514" spans="1:6" ht="30" customHeight="1" x14ac:dyDescent="0.3">
      <c r="A514" s="562" t="s">
        <v>6376</v>
      </c>
      <c r="B514" s="563" t="s">
        <v>6377</v>
      </c>
      <c r="C514" s="564">
        <v>43826</v>
      </c>
      <c r="D514" s="562">
        <v>1</v>
      </c>
      <c r="E514" s="562">
        <v>-1</v>
      </c>
      <c r="F514" s="562">
        <f>IFERROR(Tableau1[[#This Row],[Score]]/Tableau1[[#This Row],[Nb]],0)</f>
        <v>-1</v>
      </c>
    </row>
    <row r="515" spans="1:6" ht="30" customHeight="1" x14ac:dyDescent="0.3">
      <c r="A515" s="562" t="s">
        <v>4715</v>
      </c>
      <c r="B515" s="563" t="s">
        <v>4716</v>
      </c>
      <c r="C515" s="564">
        <v>43872</v>
      </c>
      <c r="D515" s="562">
        <v>0</v>
      </c>
      <c r="E515" s="562">
        <v>0</v>
      </c>
      <c r="F515" s="562">
        <f>IFERROR(Tableau1[[#This Row],[Score]]/Tableau1[[#This Row],[Nb]],0)</f>
        <v>0</v>
      </c>
    </row>
    <row r="516" spans="1:6" ht="30" customHeight="1" x14ac:dyDescent="0.3">
      <c r="A516" s="562" t="s">
        <v>2654</v>
      </c>
      <c r="B516" s="563" t="s">
        <v>2655</v>
      </c>
      <c r="C516" s="564">
        <v>43872</v>
      </c>
      <c r="D516" s="562">
        <v>3</v>
      </c>
      <c r="E516" s="562">
        <v>1</v>
      </c>
      <c r="F516" s="562">
        <f>IFERROR(Tableau1[[#This Row],[Score]]/Tableau1[[#This Row],[Nb]],0)</f>
        <v>0.33333333333333331</v>
      </c>
    </row>
    <row r="517" spans="1:6" ht="30" customHeight="1" x14ac:dyDescent="0.3">
      <c r="A517" s="562" t="s">
        <v>2646</v>
      </c>
      <c r="B517" s="563" t="s">
        <v>4415</v>
      </c>
      <c r="C517" s="564">
        <v>43872</v>
      </c>
      <c r="D517" s="562">
        <v>2</v>
      </c>
      <c r="E517" s="562">
        <v>2</v>
      </c>
      <c r="F517" s="562">
        <f>IFERROR(Tableau1[[#This Row],[Score]]/Tableau1[[#This Row],[Nb]],0)</f>
        <v>1</v>
      </c>
    </row>
    <row r="518" spans="1:6" ht="30" customHeight="1" x14ac:dyDescent="0.3">
      <c r="A518" s="562" t="s">
        <v>2633</v>
      </c>
      <c r="B518" s="563" t="s">
        <v>2748</v>
      </c>
      <c r="C518" s="564">
        <v>43872</v>
      </c>
      <c r="D518" s="562">
        <v>3</v>
      </c>
      <c r="E518" s="562">
        <v>3</v>
      </c>
      <c r="F518" s="562">
        <f>IFERROR(Tableau1[[#This Row],[Score]]/Tableau1[[#This Row],[Nb]],0)</f>
        <v>1</v>
      </c>
    </row>
    <row r="519" spans="1:6" ht="30" customHeight="1" x14ac:dyDescent="0.3">
      <c r="A519" s="562" t="s">
        <v>6161</v>
      </c>
      <c r="B519" s="563" t="s">
        <v>6162</v>
      </c>
      <c r="C519" s="564">
        <v>43872</v>
      </c>
      <c r="D519" s="562">
        <v>4</v>
      </c>
      <c r="E519" s="562">
        <v>-4</v>
      </c>
      <c r="F519" s="562">
        <f>IFERROR(Tableau1[[#This Row],[Score]]/Tableau1[[#This Row],[Nb]],0)</f>
        <v>-1</v>
      </c>
    </row>
    <row r="520" spans="1:6" ht="30" customHeight="1" x14ac:dyDescent="0.3">
      <c r="A520" s="562" t="s">
        <v>2658</v>
      </c>
      <c r="B520" s="563" t="s">
        <v>2659</v>
      </c>
      <c r="C520" s="564">
        <v>43872</v>
      </c>
      <c r="D520" s="562">
        <v>4</v>
      </c>
      <c r="E520" s="562">
        <v>4</v>
      </c>
      <c r="F520" s="562">
        <f>IFERROR(Tableau1[[#This Row],[Score]]/Tableau1[[#This Row],[Nb]],0)</f>
        <v>1</v>
      </c>
    </row>
    <row r="521" spans="1:6" ht="30" customHeight="1" x14ac:dyDescent="0.3">
      <c r="A521" s="562" t="s">
        <v>6310</v>
      </c>
      <c r="B521" s="563" t="s">
        <v>6311</v>
      </c>
      <c r="C521" s="564">
        <v>43887</v>
      </c>
      <c r="D521" s="562">
        <v>7</v>
      </c>
      <c r="E521" s="562">
        <v>7</v>
      </c>
      <c r="F521" s="562">
        <f>IFERROR(Tableau1[[#This Row],[Score]]/Tableau1[[#This Row],[Nb]],0)</f>
        <v>1</v>
      </c>
    </row>
    <row r="522" spans="1:6" ht="30" customHeight="1" x14ac:dyDescent="0.3">
      <c r="A522" s="562" t="s">
        <v>2778</v>
      </c>
      <c r="B522" s="563" t="s">
        <v>2779</v>
      </c>
      <c r="C522" s="564">
        <v>43900</v>
      </c>
      <c r="D522" s="562">
        <v>2</v>
      </c>
      <c r="E522" s="562">
        <v>2</v>
      </c>
      <c r="F522" s="562">
        <f>IFERROR(Tableau1[[#This Row],[Score]]/Tableau1[[#This Row],[Nb]],0)</f>
        <v>1</v>
      </c>
    </row>
    <row r="523" spans="1:6" ht="30" customHeight="1" x14ac:dyDescent="0.3">
      <c r="A523" s="589" t="s">
        <v>2832</v>
      </c>
      <c r="B523" s="590" t="s">
        <v>2833</v>
      </c>
      <c r="C523" s="591">
        <v>43962</v>
      </c>
      <c r="D523" s="562">
        <v>0</v>
      </c>
      <c r="E523" s="562">
        <v>0</v>
      </c>
      <c r="F523" s="589">
        <f>IFERROR(Tableau1[[#This Row],[Score]]/Tableau1[[#This Row],[Nb]],0)</f>
        <v>0</v>
      </c>
    </row>
    <row r="524" spans="1:6" ht="30" customHeight="1" x14ac:dyDescent="0.3">
      <c r="A524" s="562" t="s">
        <v>2822</v>
      </c>
      <c r="B524" s="597" t="s">
        <v>6644</v>
      </c>
      <c r="C524" s="564">
        <v>43962</v>
      </c>
      <c r="D524" s="562">
        <v>3</v>
      </c>
      <c r="E524" s="562">
        <v>1</v>
      </c>
      <c r="F524" s="562">
        <f>IFERROR(Tableau1[[#This Row],[Score]]/Tableau1[[#This Row],[Nb]],0)</f>
        <v>0.33333333333333331</v>
      </c>
    </row>
    <row r="525" spans="1:6" ht="30" customHeight="1" x14ac:dyDescent="0.3">
      <c r="A525" s="562" t="s">
        <v>5355</v>
      </c>
      <c r="B525" s="563" t="s">
        <v>5356</v>
      </c>
      <c r="C525" s="564">
        <v>43969</v>
      </c>
      <c r="D525" s="562">
        <v>1</v>
      </c>
      <c r="E525" s="562">
        <v>-1</v>
      </c>
      <c r="F525" s="562">
        <f>IFERROR(Tableau1[[#This Row],[Score]]/Tableau1[[#This Row],[Nb]],0)</f>
        <v>-1</v>
      </c>
    </row>
    <row r="526" spans="1:6" ht="30" customHeight="1" x14ac:dyDescent="0.3">
      <c r="A526" s="562" t="s">
        <v>2858</v>
      </c>
      <c r="B526" s="563" t="s">
        <v>2859</v>
      </c>
      <c r="C526" s="564">
        <v>43969</v>
      </c>
      <c r="D526" s="562">
        <v>6</v>
      </c>
      <c r="E526" s="562">
        <v>6</v>
      </c>
      <c r="F526" s="562">
        <f>IFERROR(Tableau1[[#This Row],[Score]]/Tableau1[[#This Row],[Nb]],0)</f>
        <v>1</v>
      </c>
    </row>
    <row r="527" spans="1:6" ht="30" customHeight="1" x14ac:dyDescent="0.3">
      <c r="A527" s="562" t="s">
        <v>2929</v>
      </c>
      <c r="B527" s="563" t="s">
        <v>5080</v>
      </c>
      <c r="C527" s="564">
        <v>43977</v>
      </c>
      <c r="D527" s="562">
        <v>0</v>
      </c>
      <c r="E527" s="562">
        <v>0</v>
      </c>
      <c r="F527" s="562">
        <f>IFERROR(Tableau1[[#This Row],[Score]]/Tableau1[[#This Row],[Nb]],0)</f>
        <v>0</v>
      </c>
    </row>
    <row r="528" spans="1:6" ht="30" customHeight="1" x14ac:dyDescent="0.3">
      <c r="A528" s="562" t="s">
        <v>6215</v>
      </c>
      <c r="B528" s="563" t="s">
        <v>6268</v>
      </c>
      <c r="C528" s="564">
        <v>43984</v>
      </c>
      <c r="D528" s="562">
        <v>1</v>
      </c>
      <c r="E528" s="562">
        <v>-1</v>
      </c>
      <c r="F528" s="562">
        <f>IFERROR(Tableau1[[#This Row],[Score]]/Tableau1[[#This Row],[Nb]],0)</f>
        <v>-1</v>
      </c>
    </row>
    <row r="529" spans="1:6" ht="30" customHeight="1" x14ac:dyDescent="0.3">
      <c r="A529" s="562" t="s">
        <v>4906</v>
      </c>
      <c r="B529" s="563" t="s">
        <v>5572</v>
      </c>
      <c r="C529" s="564">
        <v>44004</v>
      </c>
      <c r="D529" s="562">
        <v>0</v>
      </c>
      <c r="E529" s="562">
        <v>0</v>
      </c>
      <c r="F529" s="562">
        <f>IFERROR(Tableau1[[#This Row],[Score]]/Tableau1[[#This Row],[Nb]],0)</f>
        <v>0</v>
      </c>
    </row>
    <row r="530" spans="1:6" ht="30" customHeight="1" x14ac:dyDescent="0.3">
      <c r="A530" s="562" t="s">
        <v>3061</v>
      </c>
      <c r="B530" s="612" t="s">
        <v>6653</v>
      </c>
      <c r="C530" s="564">
        <v>44004</v>
      </c>
      <c r="D530" s="562">
        <v>1</v>
      </c>
      <c r="E530" s="562">
        <v>-1</v>
      </c>
      <c r="F530" s="562">
        <f>IFERROR(Tableau1[[#This Row],[Score]]/Tableau1[[#This Row],[Nb]],0)</f>
        <v>-1</v>
      </c>
    </row>
    <row r="531" spans="1:6" ht="30" customHeight="1" x14ac:dyDescent="0.3">
      <c r="A531" s="567" t="s">
        <v>5042</v>
      </c>
      <c r="B531" s="563" t="s">
        <v>5043</v>
      </c>
      <c r="C531" s="564">
        <v>44004</v>
      </c>
      <c r="D531" s="562">
        <v>6</v>
      </c>
      <c r="E531" s="562">
        <v>6</v>
      </c>
      <c r="F531" s="562">
        <f>IFERROR(Tableau1[[#This Row],[Score]]/Tableau1[[#This Row],[Nb]],0)</f>
        <v>1</v>
      </c>
    </row>
    <row r="532" spans="1:6" ht="30" customHeight="1" x14ac:dyDescent="0.3">
      <c r="A532" s="562" t="s">
        <v>3132</v>
      </c>
      <c r="B532" s="563" t="s">
        <v>3133</v>
      </c>
      <c r="C532" s="564">
        <v>44014</v>
      </c>
      <c r="D532" s="562">
        <v>4</v>
      </c>
      <c r="E532" s="562">
        <v>0</v>
      </c>
      <c r="F532" s="562">
        <f>IFERROR(Tableau1[[#This Row],[Score]]/Tableau1[[#This Row],[Nb]],0)</f>
        <v>0</v>
      </c>
    </row>
    <row r="533" spans="1:6" ht="30" customHeight="1" x14ac:dyDescent="0.3">
      <c r="A533" s="562" t="s">
        <v>3239</v>
      </c>
      <c r="B533" s="563" t="s">
        <v>6236</v>
      </c>
      <c r="C533" s="564">
        <v>44026</v>
      </c>
      <c r="D533" s="562">
        <v>0</v>
      </c>
      <c r="E533" s="562">
        <v>0</v>
      </c>
      <c r="F533" s="562">
        <f>IFERROR(Tableau1[[#This Row],[Score]]/Tableau1[[#This Row],[Nb]],0)</f>
        <v>0</v>
      </c>
    </row>
    <row r="534" spans="1:6" ht="30" customHeight="1" x14ac:dyDescent="0.3">
      <c r="A534" s="562" t="s">
        <v>3267</v>
      </c>
      <c r="B534" s="563" t="s">
        <v>3268</v>
      </c>
      <c r="C534" s="564">
        <v>44026</v>
      </c>
      <c r="D534" s="562">
        <v>1</v>
      </c>
      <c r="E534" s="562">
        <v>-1</v>
      </c>
      <c r="F534" s="562">
        <f>IFERROR(Tableau1[[#This Row],[Score]]/Tableau1[[#This Row],[Nb]],0)</f>
        <v>-1</v>
      </c>
    </row>
    <row r="535" spans="1:6" ht="30" customHeight="1" x14ac:dyDescent="0.3">
      <c r="A535" s="562" t="s">
        <v>3251</v>
      </c>
      <c r="B535" s="563" t="s">
        <v>3252</v>
      </c>
      <c r="C535" s="564">
        <v>44026</v>
      </c>
      <c r="D535" s="562">
        <v>5</v>
      </c>
      <c r="E535" s="562">
        <v>4</v>
      </c>
      <c r="F535" s="562">
        <f>IFERROR(Tableau1[[#This Row],[Score]]/Tableau1[[#This Row],[Nb]],0)</f>
        <v>0.8</v>
      </c>
    </row>
    <row r="536" spans="1:6" ht="30" customHeight="1" x14ac:dyDescent="0.3">
      <c r="A536" s="645" t="s">
        <v>3290</v>
      </c>
      <c r="B536" s="646" t="s">
        <v>3291</v>
      </c>
      <c r="C536" s="647">
        <v>44033</v>
      </c>
      <c r="D536" s="562">
        <v>0</v>
      </c>
      <c r="E536" s="562">
        <v>0</v>
      </c>
      <c r="F536" s="645">
        <f>IFERROR(Tableau1[[#This Row],[Score]]/Tableau1[[#This Row],[Nb]],0)</f>
        <v>0</v>
      </c>
    </row>
    <row r="537" spans="1:6" ht="30" customHeight="1" x14ac:dyDescent="0.3">
      <c r="A537" s="562" t="s">
        <v>3283</v>
      </c>
      <c r="B537" s="563" t="s">
        <v>3284</v>
      </c>
      <c r="C537" s="564">
        <v>44033</v>
      </c>
      <c r="D537" s="562">
        <v>4</v>
      </c>
      <c r="E537" s="562">
        <v>4</v>
      </c>
      <c r="F537" s="562">
        <f>IFERROR(Tableau1[[#This Row],[Score]]/Tableau1[[#This Row],[Nb]],0)</f>
        <v>1</v>
      </c>
    </row>
    <row r="538" spans="1:6" ht="30" customHeight="1" x14ac:dyDescent="0.3">
      <c r="A538" s="562" t="s">
        <v>3323</v>
      </c>
      <c r="B538" s="563" t="s">
        <v>3324</v>
      </c>
      <c r="C538" s="564">
        <v>44042</v>
      </c>
      <c r="D538" s="562">
        <v>2</v>
      </c>
      <c r="E538" s="562">
        <v>0</v>
      </c>
      <c r="F538" s="562">
        <f>IFERROR(Tableau1[[#This Row],[Score]]/Tableau1[[#This Row],[Nb]],0)</f>
        <v>0</v>
      </c>
    </row>
    <row r="539" spans="1:6" ht="30" customHeight="1" x14ac:dyDescent="0.3">
      <c r="A539" s="562" t="s">
        <v>3313</v>
      </c>
      <c r="B539" s="563" t="s">
        <v>3314</v>
      </c>
      <c r="C539" s="564">
        <v>44042</v>
      </c>
      <c r="D539" s="562">
        <v>4</v>
      </c>
      <c r="E539" s="562">
        <v>4</v>
      </c>
      <c r="F539" s="562">
        <f>IFERROR(Tableau1[[#This Row],[Score]]/Tableau1[[#This Row],[Nb]],0)</f>
        <v>1</v>
      </c>
    </row>
    <row r="540" spans="1:6" ht="30" customHeight="1" x14ac:dyDescent="0.3">
      <c r="A540" s="609" t="s">
        <v>3394</v>
      </c>
      <c r="B540" s="610" t="s">
        <v>3395</v>
      </c>
      <c r="C540" s="611">
        <v>44046</v>
      </c>
      <c r="D540" s="562">
        <v>1</v>
      </c>
      <c r="E540" s="562">
        <v>-1</v>
      </c>
      <c r="F540" s="609">
        <f>IFERROR(Tableau1[[#This Row],[Score]]/Tableau1[[#This Row],[Nb]],0)</f>
        <v>-1</v>
      </c>
    </row>
    <row r="541" spans="1:6" ht="30" customHeight="1" x14ac:dyDescent="0.3">
      <c r="A541" s="562" t="s">
        <v>3388</v>
      </c>
      <c r="B541" s="563" t="s">
        <v>3389</v>
      </c>
      <c r="C541" s="564">
        <v>44046</v>
      </c>
      <c r="D541" s="562">
        <v>7</v>
      </c>
      <c r="E541" s="562">
        <v>-1</v>
      </c>
      <c r="F541" s="562">
        <f>IFERROR(Tableau1[[#This Row],[Score]]/Tableau1[[#This Row],[Nb]],0)</f>
        <v>-0.14285714285714285</v>
      </c>
    </row>
    <row r="542" spans="1:6" ht="30" customHeight="1" x14ac:dyDescent="0.3">
      <c r="A542" s="562" t="s">
        <v>3444</v>
      </c>
      <c r="B542" s="563" t="s">
        <v>3445</v>
      </c>
      <c r="C542" s="564">
        <v>44053</v>
      </c>
      <c r="D542" s="562">
        <v>5</v>
      </c>
      <c r="E542" s="562">
        <v>-1</v>
      </c>
      <c r="F542" s="562">
        <f>IFERROR(Tableau1[[#This Row],[Score]]/Tableau1[[#This Row],[Nb]],0)</f>
        <v>-0.2</v>
      </c>
    </row>
    <row r="543" spans="1:6" ht="30" customHeight="1" x14ac:dyDescent="0.3">
      <c r="A543" s="562" t="s">
        <v>3438</v>
      </c>
      <c r="B543" s="563" t="s">
        <v>3439</v>
      </c>
      <c r="C543" s="564">
        <v>44053</v>
      </c>
      <c r="D543" s="562">
        <v>4</v>
      </c>
      <c r="E543" s="562">
        <v>4</v>
      </c>
      <c r="F543" s="562">
        <f>IFERROR(Tableau1[[#This Row],[Score]]/Tableau1[[#This Row],[Nb]],0)</f>
        <v>1</v>
      </c>
    </row>
    <row r="544" spans="1:6" ht="30" customHeight="1" x14ac:dyDescent="0.3">
      <c r="A544" s="562" t="s">
        <v>3485</v>
      </c>
      <c r="B544" s="563" t="s">
        <v>3486</v>
      </c>
      <c r="C544" s="564">
        <v>44221</v>
      </c>
      <c r="D544" s="562">
        <v>2</v>
      </c>
      <c r="E544" s="562">
        <v>-2</v>
      </c>
      <c r="F544" s="562">
        <f>IFERROR(Tableau1[[#This Row],[Score]]/Tableau1[[#This Row],[Nb]],0)</f>
        <v>-1</v>
      </c>
    </row>
    <row r="545" spans="1:6" ht="30" customHeight="1" x14ac:dyDescent="0.3">
      <c r="A545" s="562" t="s">
        <v>3668</v>
      </c>
      <c r="B545" s="563" t="s">
        <v>3669</v>
      </c>
      <c r="C545" s="564">
        <v>44242</v>
      </c>
      <c r="D545" s="562">
        <v>1</v>
      </c>
      <c r="E545" s="562">
        <v>-1</v>
      </c>
      <c r="F545" s="562">
        <f>IFERROR(Tableau1[[#This Row],[Score]]/Tableau1[[#This Row],[Nb]],0)</f>
        <v>-1</v>
      </c>
    </row>
    <row r="546" spans="1:6" ht="30" customHeight="1" x14ac:dyDescent="0.3">
      <c r="A546" s="562" t="s">
        <v>3748</v>
      </c>
      <c r="B546" s="563" t="s">
        <v>3749</v>
      </c>
      <c r="C546" s="564">
        <v>44249</v>
      </c>
      <c r="D546" s="562">
        <v>0</v>
      </c>
      <c r="E546" s="562">
        <v>0</v>
      </c>
      <c r="F546" s="562">
        <f>IFERROR(Tableau1[[#This Row],[Score]]/Tableau1[[#This Row],[Nb]],0)</f>
        <v>0</v>
      </c>
    </row>
    <row r="547" spans="1:6" ht="30" customHeight="1" x14ac:dyDescent="0.3">
      <c r="A547" s="562" t="s">
        <v>3885</v>
      </c>
      <c r="B547" s="563" t="s">
        <v>3886</v>
      </c>
      <c r="C547" s="564">
        <v>44258</v>
      </c>
      <c r="D547" s="562">
        <v>0</v>
      </c>
      <c r="E547" s="562">
        <v>0</v>
      </c>
      <c r="F547" s="562">
        <f>IFERROR(Tableau1[[#This Row],[Score]]/Tableau1[[#This Row],[Nb]],0)</f>
        <v>0</v>
      </c>
    </row>
    <row r="548" spans="1:6" ht="30" customHeight="1" x14ac:dyDescent="0.3">
      <c r="A548" s="562" t="s">
        <v>3986</v>
      </c>
      <c r="B548" s="563" t="s">
        <v>3987</v>
      </c>
      <c r="C548" s="564">
        <v>44262</v>
      </c>
      <c r="D548" s="562">
        <v>0</v>
      </c>
      <c r="E548" s="562">
        <v>0</v>
      </c>
      <c r="F548" s="562">
        <f>IFERROR(Tableau1[[#This Row],[Score]]/Tableau1[[#This Row],[Nb]],0)</f>
        <v>0</v>
      </c>
    </row>
    <row r="549" spans="1:6" ht="30" customHeight="1" x14ac:dyDescent="0.3">
      <c r="A549" s="562" t="s">
        <v>4000</v>
      </c>
      <c r="B549" s="563" t="s">
        <v>4001</v>
      </c>
      <c r="C549" s="564">
        <v>44262</v>
      </c>
      <c r="D549" s="562">
        <v>0</v>
      </c>
      <c r="E549" s="562">
        <v>0</v>
      </c>
      <c r="F549" s="562">
        <f>IFERROR(Tableau1[[#This Row],[Score]]/Tableau1[[#This Row],[Nb]],0)</f>
        <v>0</v>
      </c>
    </row>
    <row r="550" spans="1:6" ht="30" customHeight="1" x14ac:dyDescent="0.3">
      <c r="A550" s="562" t="s">
        <v>3952</v>
      </c>
      <c r="B550" s="563" t="s">
        <v>3953</v>
      </c>
      <c r="C550" s="564">
        <v>44262</v>
      </c>
      <c r="D550" s="562">
        <v>2</v>
      </c>
      <c r="E550" s="562">
        <v>2</v>
      </c>
      <c r="F550" s="562">
        <f>IFERROR(Tableau1[[#This Row],[Score]]/Tableau1[[#This Row],[Nb]],0)</f>
        <v>1</v>
      </c>
    </row>
    <row r="551" spans="1:6" ht="30" customHeight="1" x14ac:dyDescent="0.3">
      <c r="A551" s="562" t="s">
        <v>6062</v>
      </c>
      <c r="B551" s="563" t="s">
        <v>4119</v>
      </c>
      <c r="C551" s="564">
        <v>44269</v>
      </c>
      <c r="D551" s="562">
        <v>1</v>
      </c>
      <c r="E551" s="562">
        <v>1</v>
      </c>
      <c r="F551" s="562">
        <f>IFERROR(Tableau1[[#This Row],[Score]]/Tableau1[[#This Row],[Nb]],0)</f>
        <v>1</v>
      </c>
    </row>
    <row r="552" spans="1:6" ht="30" customHeight="1" x14ac:dyDescent="0.3">
      <c r="A552" s="562" t="s">
        <v>6061</v>
      </c>
      <c r="B552" s="563" t="s">
        <v>4119</v>
      </c>
      <c r="C552" s="564">
        <v>44271</v>
      </c>
      <c r="D552" s="562">
        <v>1</v>
      </c>
      <c r="E552" s="562">
        <v>-1</v>
      </c>
      <c r="F552" s="562">
        <f>IFERROR(Tableau1[[#This Row],[Score]]/Tableau1[[#This Row],[Nb]],0)</f>
        <v>-1</v>
      </c>
    </row>
    <row r="553" spans="1:6" ht="30" customHeight="1" x14ac:dyDescent="0.3">
      <c r="A553" s="562" t="s">
        <v>4153</v>
      </c>
      <c r="B553" s="563" t="s">
        <v>4154</v>
      </c>
      <c r="C553" s="564">
        <v>44271</v>
      </c>
      <c r="D553" s="562">
        <v>5</v>
      </c>
      <c r="E553" s="562">
        <v>5</v>
      </c>
      <c r="F553" s="562">
        <f>IFERROR(Tableau1[[#This Row],[Score]]/Tableau1[[#This Row],[Nb]],0)</f>
        <v>1</v>
      </c>
    </row>
    <row r="554" spans="1:6" ht="30" customHeight="1" x14ac:dyDescent="0.3">
      <c r="A554" s="562" t="s">
        <v>4416</v>
      </c>
      <c r="B554" s="563" t="s">
        <v>4414</v>
      </c>
      <c r="C554" s="564">
        <v>44299</v>
      </c>
      <c r="D554" s="562">
        <v>4</v>
      </c>
      <c r="E554" s="562">
        <v>4</v>
      </c>
      <c r="F554" s="562">
        <f>IFERROR(Tableau1[[#This Row],[Score]]/Tableau1[[#This Row],[Nb]],0)</f>
        <v>1</v>
      </c>
    </row>
    <row r="555" spans="1:6" ht="30" customHeight="1" x14ac:dyDescent="0.3">
      <c r="A555" s="562" t="s">
        <v>4688</v>
      </c>
      <c r="B555" s="563" t="s">
        <v>4689</v>
      </c>
      <c r="C555" s="564">
        <v>44357</v>
      </c>
      <c r="D555" s="562">
        <v>1</v>
      </c>
      <c r="E555" s="562">
        <v>1</v>
      </c>
      <c r="F555" s="562">
        <f>IFERROR(Tableau1[[#This Row],[Score]]/Tableau1[[#This Row],[Nb]],0)</f>
        <v>1</v>
      </c>
    </row>
    <row r="556" spans="1:6" ht="30" customHeight="1" x14ac:dyDescent="0.3">
      <c r="A556" s="562" t="s">
        <v>4726</v>
      </c>
      <c r="B556" s="563" t="s">
        <v>4727</v>
      </c>
      <c r="C556" s="564">
        <v>44366</v>
      </c>
      <c r="D556" s="562">
        <v>0</v>
      </c>
      <c r="E556" s="562">
        <v>0</v>
      </c>
      <c r="F556" s="562">
        <f>IFERROR(Tableau1[[#This Row],[Score]]/Tableau1[[#This Row],[Nb]],0)</f>
        <v>0</v>
      </c>
    </row>
    <row r="557" spans="1:6" ht="30" customHeight="1" x14ac:dyDescent="0.3">
      <c r="A557" s="562" t="s">
        <v>4736</v>
      </c>
      <c r="B557" s="563" t="s">
        <v>4735</v>
      </c>
      <c r="C557" s="564">
        <v>44366</v>
      </c>
      <c r="D557" s="562">
        <v>2</v>
      </c>
      <c r="E557" s="562">
        <v>-2</v>
      </c>
      <c r="F557" s="562">
        <f>IFERROR(Tableau1[[#This Row],[Score]]/Tableau1[[#This Row],[Nb]],0)</f>
        <v>-1</v>
      </c>
    </row>
    <row r="558" spans="1:6" ht="30" customHeight="1" x14ac:dyDescent="0.3">
      <c r="A558" s="568" t="s">
        <v>4751</v>
      </c>
      <c r="B558" s="563" t="s">
        <v>4752</v>
      </c>
      <c r="C558" s="564">
        <v>44369</v>
      </c>
      <c r="D558" s="562">
        <v>2</v>
      </c>
      <c r="E558" s="562">
        <v>2</v>
      </c>
      <c r="F558" s="562">
        <f>IFERROR(Tableau1[[#This Row],[Score]]/Tableau1[[#This Row],[Nb]],0)</f>
        <v>1</v>
      </c>
    </row>
    <row r="559" spans="1:6" ht="30" customHeight="1" x14ac:dyDescent="0.3">
      <c r="A559" s="568" t="s">
        <v>4756</v>
      </c>
      <c r="B559" s="563" t="s">
        <v>4757</v>
      </c>
      <c r="C559" s="564">
        <v>44371</v>
      </c>
      <c r="D559" s="562">
        <v>1</v>
      </c>
      <c r="E559" s="562">
        <v>1</v>
      </c>
      <c r="F559" s="562">
        <f>IFERROR(Tableau1[[#This Row],[Score]]/Tableau1[[#This Row],[Nb]],0)</f>
        <v>1</v>
      </c>
    </row>
    <row r="560" spans="1:6" ht="30" customHeight="1" x14ac:dyDescent="0.3">
      <c r="A560" s="562" t="s">
        <v>6256</v>
      </c>
      <c r="B560" s="563" t="s">
        <v>4795</v>
      </c>
      <c r="C560" s="564">
        <v>44381</v>
      </c>
      <c r="D560" s="562">
        <v>5</v>
      </c>
      <c r="E560" s="562">
        <v>5</v>
      </c>
      <c r="F560" s="562">
        <f>IFERROR(Tableau1[[#This Row],[Score]]/Tableau1[[#This Row],[Nb]],0)</f>
        <v>1</v>
      </c>
    </row>
    <row r="561" spans="1:6" ht="30" customHeight="1" x14ac:dyDescent="0.3">
      <c r="A561" s="562" t="s">
        <v>4860</v>
      </c>
      <c r="B561" s="563" t="s">
        <v>4861</v>
      </c>
      <c r="C561" s="564">
        <v>44395</v>
      </c>
      <c r="D561" s="562">
        <v>1</v>
      </c>
      <c r="E561" s="562">
        <v>1</v>
      </c>
      <c r="F561" s="562">
        <f>IFERROR(Tableau1[[#This Row],[Score]]/Tableau1[[#This Row],[Nb]],0)</f>
        <v>1</v>
      </c>
    </row>
    <row r="562" spans="1:6" ht="30" customHeight="1" x14ac:dyDescent="0.3">
      <c r="A562" s="562" t="s">
        <v>5144</v>
      </c>
      <c r="B562" s="563" t="s">
        <v>5143</v>
      </c>
      <c r="C562" s="564">
        <v>44395</v>
      </c>
      <c r="D562" s="562">
        <v>2</v>
      </c>
      <c r="E562" s="562">
        <v>2</v>
      </c>
      <c r="F562" s="562">
        <f>IFERROR(Tableau1[[#This Row],[Score]]/Tableau1[[#This Row],[Nb]],0)</f>
        <v>1</v>
      </c>
    </row>
    <row r="563" spans="1:6" ht="30" customHeight="1" x14ac:dyDescent="0.3">
      <c r="A563" s="562" t="s">
        <v>6587</v>
      </c>
      <c r="B563" s="563" t="s">
        <v>4862</v>
      </c>
      <c r="C563" s="564">
        <v>44395</v>
      </c>
      <c r="D563" s="562">
        <v>3</v>
      </c>
      <c r="E563" s="562">
        <v>3</v>
      </c>
      <c r="F563" s="562">
        <f>IFERROR(Tableau1[[#This Row],[Score]]/Tableau1[[#This Row],[Nb]],0)</f>
        <v>1</v>
      </c>
    </row>
    <row r="564" spans="1:6" ht="30" customHeight="1" x14ac:dyDescent="0.3">
      <c r="A564" s="562" t="s">
        <v>4831</v>
      </c>
      <c r="B564" s="563" t="s">
        <v>4832</v>
      </c>
      <c r="C564" s="564">
        <v>44395</v>
      </c>
      <c r="D564" s="562">
        <v>4</v>
      </c>
      <c r="E564" s="562">
        <v>4</v>
      </c>
      <c r="F564" s="562">
        <f>IFERROR(Tableau1[[#This Row],[Score]]/Tableau1[[#This Row],[Nb]],0)</f>
        <v>1</v>
      </c>
    </row>
    <row r="565" spans="1:6" ht="30" customHeight="1" x14ac:dyDescent="0.3">
      <c r="A565" s="562" t="s">
        <v>6240</v>
      </c>
      <c r="B565" s="563" t="s">
        <v>6608</v>
      </c>
      <c r="C565" s="564">
        <v>44398</v>
      </c>
      <c r="D565" s="562">
        <v>4</v>
      </c>
      <c r="E565" s="562">
        <v>4</v>
      </c>
      <c r="F565" s="562">
        <f>IFERROR(Tableau1[[#This Row],[Score]]/Tableau1[[#This Row],[Nb]],0)</f>
        <v>1</v>
      </c>
    </row>
    <row r="566" spans="1:6" ht="30" customHeight="1" x14ac:dyDescent="0.3">
      <c r="A566" s="562" t="s">
        <v>4923</v>
      </c>
      <c r="B566" s="563" t="s">
        <v>5228</v>
      </c>
      <c r="C566" s="564">
        <v>44418</v>
      </c>
      <c r="D566" s="562">
        <v>2</v>
      </c>
      <c r="E566" s="562">
        <v>0</v>
      </c>
      <c r="F566" s="562">
        <f>IFERROR(Tableau1[[#This Row],[Score]]/Tableau1[[#This Row],[Nb]],0)</f>
        <v>0</v>
      </c>
    </row>
    <row r="567" spans="1:6" ht="30" customHeight="1" x14ac:dyDescent="0.3">
      <c r="A567" s="562" t="s">
        <v>4930</v>
      </c>
      <c r="B567" s="563" t="s">
        <v>4931</v>
      </c>
      <c r="C567" s="564">
        <v>44422</v>
      </c>
      <c r="D567" s="562">
        <v>0</v>
      </c>
      <c r="E567" s="562">
        <v>0</v>
      </c>
      <c r="F567" s="562">
        <f>IFERROR(Tableau1[[#This Row],[Score]]/Tableau1[[#This Row],[Nb]],0)</f>
        <v>0</v>
      </c>
    </row>
    <row r="568" spans="1:6" ht="30" customHeight="1" x14ac:dyDescent="0.3">
      <c r="A568" s="562" t="s">
        <v>4929</v>
      </c>
      <c r="B568" s="563" t="s">
        <v>6619</v>
      </c>
      <c r="C568" s="564">
        <v>44422</v>
      </c>
      <c r="D568" s="562">
        <v>1</v>
      </c>
      <c r="E568" s="562">
        <v>1</v>
      </c>
      <c r="F568" s="562">
        <f>IFERROR(Tableau1[[#This Row],[Score]]/Tableau1[[#This Row],[Nb]],0)</f>
        <v>1</v>
      </c>
    </row>
    <row r="569" spans="1:6" ht="30" customHeight="1" x14ac:dyDescent="0.3">
      <c r="A569" s="562" t="s">
        <v>4946</v>
      </c>
      <c r="B569" s="563" t="s">
        <v>4947</v>
      </c>
      <c r="C569" s="564">
        <v>44425</v>
      </c>
      <c r="D569" s="562">
        <v>3</v>
      </c>
      <c r="E569" s="562">
        <v>1</v>
      </c>
      <c r="F569" s="562">
        <f>IFERROR(Tableau1[[#This Row],[Score]]/Tableau1[[#This Row],[Nb]],0)</f>
        <v>0.33333333333333331</v>
      </c>
    </row>
    <row r="570" spans="1:6" ht="30" customHeight="1" x14ac:dyDescent="0.3">
      <c r="A570" s="562" t="s">
        <v>5565</v>
      </c>
      <c r="B570" s="563" t="s">
        <v>4987</v>
      </c>
      <c r="C570" s="564">
        <v>44434</v>
      </c>
      <c r="D570" s="562">
        <v>4</v>
      </c>
      <c r="E570" s="562">
        <v>4</v>
      </c>
      <c r="F570" s="562">
        <f>IFERROR(Tableau1[[#This Row],[Score]]/Tableau1[[#This Row],[Nb]],0)</f>
        <v>1</v>
      </c>
    </row>
    <row r="571" spans="1:6" ht="30" customHeight="1" x14ac:dyDescent="0.3">
      <c r="A571" s="589" t="s">
        <v>5017</v>
      </c>
      <c r="B571" s="590" t="s">
        <v>5018</v>
      </c>
      <c r="C571" s="591">
        <v>44442</v>
      </c>
      <c r="D571" s="562">
        <v>1</v>
      </c>
      <c r="E571" s="562">
        <v>1</v>
      </c>
      <c r="F571" s="589">
        <f>IFERROR(Tableau1[[#This Row],[Score]]/Tableau1[[#This Row],[Nb]],0)</f>
        <v>1</v>
      </c>
    </row>
    <row r="572" spans="1:6" ht="30" customHeight="1" x14ac:dyDescent="0.3">
      <c r="A572" s="562" t="s">
        <v>5015</v>
      </c>
      <c r="B572" s="563" t="s">
        <v>5016</v>
      </c>
      <c r="C572" s="564">
        <v>44442</v>
      </c>
      <c r="D572" s="562">
        <v>3</v>
      </c>
      <c r="E572" s="562">
        <v>3</v>
      </c>
      <c r="F572" s="562">
        <f>IFERROR(Tableau1[[#This Row],[Score]]/Tableau1[[#This Row],[Nb]],0)</f>
        <v>1</v>
      </c>
    </row>
    <row r="573" spans="1:6" ht="30" customHeight="1" x14ac:dyDescent="0.3">
      <c r="A573" s="562" t="s">
        <v>5139</v>
      </c>
      <c r="B573" s="563" t="s">
        <v>5077</v>
      </c>
      <c r="C573" s="564">
        <v>44457</v>
      </c>
      <c r="D573" s="562">
        <v>0</v>
      </c>
      <c r="E573" s="562">
        <v>0</v>
      </c>
      <c r="F573" s="562">
        <f>IFERROR(Tableau1[[#This Row],[Score]]/Tableau1[[#This Row],[Nb]],0)</f>
        <v>0</v>
      </c>
    </row>
    <row r="574" spans="1:6" ht="30" customHeight="1" x14ac:dyDescent="0.3">
      <c r="A574" s="562" t="s">
        <v>5177</v>
      </c>
      <c r="B574" s="563" t="s">
        <v>5178</v>
      </c>
      <c r="C574" s="564">
        <v>44494</v>
      </c>
      <c r="D574" s="562">
        <v>3</v>
      </c>
      <c r="E574" s="562">
        <v>3</v>
      </c>
      <c r="F574" s="562">
        <f>IFERROR(Tableau1[[#This Row],[Score]]/Tableau1[[#This Row],[Nb]],0)</f>
        <v>1</v>
      </c>
    </row>
    <row r="575" spans="1:6" ht="30" customHeight="1" x14ac:dyDescent="0.3">
      <c r="A575" s="562" t="s">
        <v>5239</v>
      </c>
      <c r="B575" s="571" t="s">
        <v>6628</v>
      </c>
      <c r="C575" s="564">
        <v>44521</v>
      </c>
      <c r="D575" s="562">
        <v>5</v>
      </c>
      <c r="E575" s="562">
        <v>5</v>
      </c>
      <c r="F575" s="562">
        <f>IFERROR(Tableau1[[#This Row],[Score]]/Tableau1[[#This Row],[Nb]],0)</f>
        <v>1</v>
      </c>
    </row>
    <row r="576" spans="1:6" ht="30" customHeight="1" x14ac:dyDescent="0.3">
      <c r="A576" s="562" t="s">
        <v>5263</v>
      </c>
      <c r="B576" s="563" t="s">
        <v>5264</v>
      </c>
      <c r="C576" s="564">
        <v>44524</v>
      </c>
      <c r="D576" s="562">
        <v>0</v>
      </c>
      <c r="E576" s="562">
        <v>0</v>
      </c>
      <c r="F576" s="562">
        <f>IFERROR(Tableau1[[#This Row],[Score]]/Tableau1[[#This Row],[Nb]],0)</f>
        <v>0</v>
      </c>
    </row>
    <row r="577" spans="1:6" ht="30" customHeight="1" x14ac:dyDescent="0.3">
      <c r="A577" s="562" t="s">
        <v>5265</v>
      </c>
      <c r="B577" s="563" t="s">
        <v>6523</v>
      </c>
      <c r="C577" s="564">
        <v>44524</v>
      </c>
      <c r="D577" s="562">
        <v>6</v>
      </c>
      <c r="E577" s="562">
        <v>4</v>
      </c>
      <c r="F577" s="562">
        <f>IFERROR(Tableau1[[#This Row],[Score]]/Tableau1[[#This Row],[Nb]],0)</f>
        <v>0.66666666666666663</v>
      </c>
    </row>
    <row r="578" spans="1:6" ht="30" customHeight="1" x14ac:dyDescent="0.3">
      <c r="A578" s="562" t="s">
        <v>5270</v>
      </c>
      <c r="B578" s="563" t="s">
        <v>5271</v>
      </c>
      <c r="C578" s="564">
        <v>44524</v>
      </c>
      <c r="D578" s="562">
        <v>9</v>
      </c>
      <c r="E578" s="562">
        <v>9</v>
      </c>
      <c r="F578" s="562">
        <f>IFERROR(Tableau1[[#This Row],[Score]]/Tableau1[[#This Row],[Nb]],0)</f>
        <v>1</v>
      </c>
    </row>
    <row r="579" spans="1:6" ht="30" customHeight="1" x14ac:dyDescent="0.3">
      <c r="A579" s="562" t="s">
        <v>6209</v>
      </c>
      <c r="B579" s="563" t="s">
        <v>6210</v>
      </c>
      <c r="C579" s="564">
        <v>44531</v>
      </c>
      <c r="D579" s="562">
        <v>2</v>
      </c>
      <c r="E579" s="562">
        <v>2</v>
      </c>
      <c r="F579" s="562">
        <f>IFERROR(Tableau1[[#This Row],[Score]]/Tableau1[[#This Row],[Nb]],0)</f>
        <v>1</v>
      </c>
    </row>
    <row r="580" spans="1:6" ht="30" customHeight="1" x14ac:dyDescent="0.3">
      <c r="A580" s="562" t="s">
        <v>5299</v>
      </c>
      <c r="B580" s="563" t="s">
        <v>5300</v>
      </c>
      <c r="C580" s="564">
        <v>44531</v>
      </c>
      <c r="D580" s="562">
        <v>4</v>
      </c>
      <c r="E580" s="562">
        <v>2</v>
      </c>
      <c r="F580" s="562">
        <f>IFERROR(Tableau1[[#This Row],[Score]]/Tableau1[[#This Row],[Nb]],0)</f>
        <v>0.5</v>
      </c>
    </row>
    <row r="581" spans="1:6" ht="30" customHeight="1" x14ac:dyDescent="0.3">
      <c r="A581" s="562" t="s">
        <v>5394</v>
      </c>
      <c r="B581" s="563" t="s">
        <v>5395</v>
      </c>
      <c r="C581" s="564">
        <v>44560</v>
      </c>
      <c r="D581" s="562">
        <v>3</v>
      </c>
      <c r="E581" s="562">
        <v>3</v>
      </c>
      <c r="F581" s="562">
        <f>IFERROR(Tableau1[[#This Row],[Score]]/Tableau1[[#This Row],[Nb]],0)</f>
        <v>1</v>
      </c>
    </row>
    <row r="582" spans="1:6" ht="30" customHeight="1" x14ac:dyDescent="0.3">
      <c r="A582" s="562" t="s">
        <v>6246</v>
      </c>
      <c r="B582" s="563" t="s">
        <v>6247</v>
      </c>
      <c r="C582" s="564">
        <v>44564</v>
      </c>
      <c r="D582" s="562">
        <v>1</v>
      </c>
      <c r="E582" s="562">
        <v>-1</v>
      </c>
      <c r="F582" s="562">
        <f>IFERROR(Tableau1[[#This Row],[Score]]/Tableau1[[#This Row],[Nb]],0)</f>
        <v>-1</v>
      </c>
    </row>
    <row r="583" spans="1:6" ht="30" customHeight="1" x14ac:dyDescent="0.3">
      <c r="A583" s="562" t="s">
        <v>5475</v>
      </c>
      <c r="B583" s="563" t="s">
        <v>5476</v>
      </c>
      <c r="C583" s="564">
        <v>44579</v>
      </c>
      <c r="D583" s="562">
        <v>0</v>
      </c>
      <c r="E583" s="562">
        <v>0</v>
      </c>
      <c r="F583" s="562">
        <f>IFERROR(Tableau1[[#This Row],[Score]]/Tableau1[[#This Row],[Nb]],0)</f>
        <v>0</v>
      </c>
    </row>
    <row r="584" spans="1:6" ht="30" customHeight="1" x14ac:dyDescent="0.3">
      <c r="A584" s="562" t="s">
        <v>5517</v>
      </c>
      <c r="B584" s="563" t="s">
        <v>6598</v>
      </c>
      <c r="C584" s="564">
        <v>44586</v>
      </c>
      <c r="D584" s="562">
        <v>2</v>
      </c>
      <c r="E584" s="562">
        <v>2</v>
      </c>
      <c r="F584" s="562">
        <f>IFERROR(Tableau1[[#This Row],[Score]]/Tableau1[[#This Row],[Nb]],0)</f>
        <v>1</v>
      </c>
    </row>
    <row r="585" spans="1:6" ht="30" customHeight="1" x14ac:dyDescent="0.3">
      <c r="A585" s="562" t="s">
        <v>5527</v>
      </c>
      <c r="B585" s="563" t="s">
        <v>5528</v>
      </c>
      <c r="C585" s="564">
        <v>44589</v>
      </c>
      <c r="D585" s="562">
        <v>4</v>
      </c>
      <c r="E585" s="562">
        <v>0</v>
      </c>
      <c r="F585" s="562">
        <f>IFERROR(Tableau1[[#This Row],[Score]]/Tableau1[[#This Row],[Nb]],0)</f>
        <v>0</v>
      </c>
    </row>
    <row r="586" spans="1:6" ht="30" customHeight="1" x14ac:dyDescent="0.3">
      <c r="A586" s="562" t="s">
        <v>6567</v>
      </c>
      <c r="B586" s="563" t="s">
        <v>6568</v>
      </c>
      <c r="C586" s="564">
        <v>44589</v>
      </c>
      <c r="D586" s="562">
        <v>6</v>
      </c>
      <c r="E586" s="562">
        <v>6</v>
      </c>
      <c r="F586" s="562">
        <f>IFERROR(Tableau1[[#This Row],[Score]]/Tableau1[[#This Row],[Nb]],0)</f>
        <v>1</v>
      </c>
    </row>
    <row r="587" spans="1:6" ht="30" customHeight="1" x14ac:dyDescent="0.3">
      <c r="A587" s="562" t="s">
        <v>5547</v>
      </c>
      <c r="B587" s="563" t="s">
        <v>5548</v>
      </c>
      <c r="C587" s="564">
        <v>44591</v>
      </c>
      <c r="D587" s="562">
        <v>1</v>
      </c>
      <c r="E587" s="562">
        <v>1</v>
      </c>
      <c r="F587" s="562">
        <f>IFERROR(Tableau1[[#This Row],[Score]]/Tableau1[[#This Row],[Nb]],0)</f>
        <v>1</v>
      </c>
    </row>
    <row r="588" spans="1:6" ht="30" customHeight="1" x14ac:dyDescent="0.3">
      <c r="A588" s="562" t="s">
        <v>5543</v>
      </c>
      <c r="B588" s="563" t="s">
        <v>5544</v>
      </c>
      <c r="C588" s="564">
        <v>44591</v>
      </c>
      <c r="D588" s="562">
        <v>5</v>
      </c>
      <c r="E588" s="562">
        <v>5</v>
      </c>
      <c r="F588" s="562">
        <f>IFERROR(Tableau1[[#This Row],[Score]]/Tableau1[[#This Row],[Nb]],0)</f>
        <v>1</v>
      </c>
    </row>
    <row r="589" spans="1:6" ht="30" customHeight="1" x14ac:dyDescent="0.3">
      <c r="A589" s="562" t="s">
        <v>5566</v>
      </c>
      <c r="B589" s="563" t="s">
        <v>5567</v>
      </c>
      <c r="C589" s="564">
        <v>44593</v>
      </c>
      <c r="D589" s="562">
        <v>2</v>
      </c>
      <c r="E589" s="562">
        <v>2</v>
      </c>
      <c r="F589" s="562">
        <f>IFERROR(Tableau1[[#This Row],[Score]]/Tableau1[[#This Row],[Nb]],0)</f>
        <v>1</v>
      </c>
    </row>
    <row r="590" spans="1:6" ht="30" customHeight="1" x14ac:dyDescent="0.3">
      <c r="A590" s="562" t="s">
        <v>6395</v>
      </c>
      <c r="B590" s="563" t="s">
        <v>6396</v>
      </c>
      <c r="C590" s="564">
        <v>44605</v>
      </c>
      <c r="D590" s="562">
        <v>4</v>
      </c>
      <c r="E590" s="562">
        <v>0</v>
      </c>
      <c r="F590" s="562">
        <f>IFERROR(Tableau1[[#This Row],[Score]]/Tableau1[[#This Row],[Nb]],0)</f>
        <v>0</v>
      </c>
    </row>
    <row r="591" spans="1:6" ht="30" customHeight="1" x14ac:dyDescent="0.3">
      <c r="A591" s="562" t="s">
        <v>5650</v>
      </c>
      <c r="B591" s="563" t="s">
        <v>5651</v>
      </c>
      <c r="C591" s="564">
        <v>44613</v>
      </c>
      <c r="D591" s="562">
        <v>1</v>
      </c>
      <c r="E591" s="562">
        <v>1</v>
      </c>
      <c r="F591" s="562">
        <f>IFERROR(Tableau1[[#This Row],[Score]]/Tableau1[[#This Row],[Nb]],0)</f>
        <v>1</v>
      </c>
    </row>
    <row r="592" spans="1:6" ht="30" customHeight="1" x14ac:dyDescent="0.3">
      <c r="A592" s="562" t="s">
        <v>6606</v>
      </c>
      <c r="B592" s="563" t="s">
        <v>6605</v>
      </c>
      <c r="C592" s="564">
        <v>44626</v>
      </c>
      <c r="D592" s="562">
        <v>1</v>
      </c>
      <c r="E592" s="562">
        <v>-1</v>
      </c>
      <c r="F592" s="562">
        <f>IFERROR(Tableau1[[#This Row],[Score]]/Tableau1[[#This Row],[Nb]],0)</f>
        <v>-1</v>
      </c>
    </row>
    <row r="593" spans="1:6" ht="30" customHeight="1" x14ac:dyDescent="0.3">
      <c r="A593" s="562" t="s">
        <v>5701</v>
      </c>
      <c r="B593" s="563" t="s">
        <v>5700</v>
      </c>
      <c r="C593" s="564">
        <v>44626</v>
      </c>
      <c r="D593" s="562">
        <v>4</v>
      </c>
      <c r="E593" s="562">
        <v>4</v>
      </c>
      <c r="F593" s="562">
        <f>IFERROR(Tableau1[[#This Row],[Score]]/Tableau1[[#This Row],[Nb]],0)</f>
        <v>1</v>
      </c>
    </row>
    <row r="594" spans="1:6" ht="30" customHeight="1" x14ac:dyDescent="0.3">
      <c r="A594" s="562" t="s">
        <v>5788</v>
      </c>
      <c r="B594" s="563" t="s">
        <v>5789</v>
      </c>
      <c r="C594" s="564">
        <v>44640</v>
      </c>
      <c r="D594" s="562">
        <v>3</v>
      </c>
      <c r="E594" s="562">
        <v>-1</v>
      </c>
      <c r="F594" s="562">
        <f>IFERROR(Tableau1[[#This Row],[Score]]/Tableau1[[#This Row],[Nb]],0)</f>
        <v>-0.33333333333333331</v>
      </c>
    </row>
    <row r="595" spans="1:6" ht="30" customHeight="1" x14ac:dyDescent="0.3">
      <c r="A595" s="609" t="s">
        <v>5812</v>
      </c>
      <c r="B595" s="610" t="s">
        <v>5813</v>
      </c>
      <c r="C595" s="611">
        <v>44647</v>
      </c>
      <c r="D595" s="562">
        <v>0</v>
      </c>
      <c r="E595" s="562">
        <v>0</v>
      </c>
      <c r="F595" s="609">
        <f>IFERROR(Tableau1[[#This Row],[Score]]/Tableau1[[#This Row],[Nb]],0)</f>
        <v>0</v>
      </c>
    </row>
    <row r="596" spans="1:6" ht="30" customHeight="1" x14ac:dyDescent="0.3">
      <c r="A596" s="562" t="s">
        <v>5882</v>
      </c>
      <c r="B596" s="563" t="s">
        <v>5883</v>
      </c>
      <c r="C596" s="564">
        <v>44666</v>
      </c>
      <c r="D596" s="562">
        <v>5</v>
      </c>
      <c r="E596" s="562">
        <v>3</v>
      </c>
      <c r="F596" s="562">
        <f>IFERROR(Tableau1[[#This Row],[Score]]/Tableau1[[#This Row],[Nb]],0)</f>
        <v>0.6</v>
      </c>
    </row>
    <row r="597" spans="1:6" ht="30" customHeight="1" x14ac:dyDescent="0.3">
      <c r="A597" s="617" t="s">
        <v>5888</v>
      </c>
      <c r="B597" s="618" t="s">
        <v>5889</v>
      </c>
      <c r="C597" s="619">
        <v>44667</v>
      </c>
      <c r="D597" s="562">
        <v>0</v>
      </c>
      <c r="E597" s="562">
        <v>0</v>
      </c>
      <c r="F597" s="617">
        <f>IFERROR(Tableau1[[#This Row],[Score]]/Tableau1[[#This Row],[Nb]],0)</f>
        <v>0</v>
      </c>
    </row>
    <row r="598" spans="1:6" ht="30" customHeight="1" x14ac:dyDescent="0.3">
      <c r="A598" s="645" t="s">
        <v>5896</v>
      </c>
      <c r="B598" s="646" t="s">
        <v>5897</v>
      </c>
      <c r="C598" s="647">
        <v>44670</v>
      </c>
      <c r="D598" s="562">
        <v>0</v>
      </c>
      <c r="E598" s="562">
        <v>0</v>
      </c>
      <c r="F598" s="645">
        <f>IFERROR(Tableau1[[#This Row],[Score]]/Tableau1[[#This Row],[Nb]],0)</f>
        <v>0</v>
      </c>
    </row>
    <row r="599" spans="1:6" ht="30" customHeight="1" x14ac:dyDescent="0.3">
      <c r="A599" s="562" t="s">
        <v>5924</v>
      </c>
      <c r="B599" s="563" t="s">
        <v>6144</v>
      </c>
      <c r="C599" s="564">
        <v>44680</v>
      </c>
      <c r="D599" s="562">
        <v>4</v>
      </c>
      <c r="E599" s="562">
        <v>0</v>
      </c>
      <c r="F599" s="562">
        <f>IFERROR(Tableau1[[#This Row],[Score]]/Tableau1[[#This Row],[Nb]],0)</f>
        <v>0</v>
      </c>
    </row>
    <row r="600" spans="1:6" ht="30" customHeight="1" x14ac:dyDescent="0.3">
      <c r="A600" s="562" t="s">
        <v>6384</v>
      </c>
      <c r="B600" s="563" t="s">
        <v>6385</v>
      </c>
      <c r="C600" s="564">
        <v>44684</v>
      </c>
      <c r="D600" s="562">
        <v>4</v>
      </c>
      <c r="E600" s="562">
        <v>0</v>
      </c>
      <c r="F600" s="562">
        <f>IFERROR(Tableau1[[#This Row],[Score]]/Tableau1[[#This Row],[Nb]],0)</f>
        <v>0</v>
      </c>
    </row>
    <row r="601" spans="1:6" ht="30" customHeight="1" x14ac:dyDescent="0.3">
      <c r="A601" s="562" t="s">
        <v>6370</v>
      </c>
      <c r="B601" s="563" t="s">
        <v>6371</v>
      </c>
      <c r="C601" s="564">
        <v>44687</v>
      </c>
      <c r="D601" s="562">
        <v>2</v>
      </c>
      <c r="E601" s="562">
        <v>2</v>
      </c>
      <c r="F601" s="562">
        <f>IFERROR(Tableau1[[#This Row],[Score]]/Tableau1[[#This Row],[Nb]],0)</f>
        <v>1</v>
      </c>
    </row>
    <row r="602" spans="1:6" ht="30" customHeight="1" x14ac:dyDescent="0.3">
      <c r="A602" s="593" t="s">
        <v>5991</v>
      </c>
      <c r="B602" s="594" t="s">
        <v>5992</v>
      </c>
      <c r="C602" s="595">
        <v>44707</v>
      </c>
      <c r="D602" s="562">
        <v>1</v>
      </c>
      <c r="E602" s="562">
        <v>1</v>
      </c>
      <c r="F602" s="593">
        <f>IFERROR(Tableau1[[#This Row],[Score]]/Tableau1[[#This Row],[Nb]],0)</f>
        <v>1</v>
      </c>
    </row>
    <row r="603" spans="1:6" ht="30" customHeight="1" x14ac:dyDescent="0.3">
      <c r="A603" s="562" t="s">
        <v>6012</v>
      </c>
      <c r="B603" s="563" t="s">
        <v>6013</v>
      </c>
      <c r="C603" s="564">
        <v>44710</v>
      </c>
      <c r="D603" s="562">
        <v>3</v>
      </c>
      <c r="E603" s="562">
        <v>3</v>
      </c>
      <c r="F603" s="562">
        <f>IFERROR(Tableau1[[#This Row],[Score]]/Tableau1[[#This Row],[Nb]],0)</f>
        <v>1</v>
      </c>
    </row>
    <row r="604" spans="1:6" ht="30" customHeight="1" x14ac:dyDescent="0.3">
      <c r="A604" s="562" t="s">
        <v>6025</v>
      </c>
      <c r="B604" s="563" t="s">
        <v>6057</v>
      </c>
      <c r="C604" s="564">
        <v>44714</v>
      </c>
      <c r="D604" s="562">
        <v>0</v>
      </c>
      <c r="E604" s="562">
        <v>0</v>
      </c>
      <c r="F604" s="562">
        <f>IFERROR(Tableau1[[#This Row],[Score]]/Tableau1[[#This Row],[Nb]],0)</f>
        <v>0</v>
      </c>
    </row>
    <row r="605" spans="1:6" ht="30" customHeight="1" x14ac:dyDescent="0.3">
      <c r="A605" s="562" t="s">
        <v>6060</v>
      </c>
      <c r="B605" s="563" t="s">
        <v>6204</v>
      </c>
      <c r="C605" s="564">
        <v>44730</v>
      </c>
      <c r="D605" s="562">
        <v>0</v>
      </c>
      <c r="E605" s="562">
        <v>0</v>
      </c>
      <c r="F605" s="562">
        <f>IFERROR(Tableau1[[#This Row],[Score]]/Tableau1[[#This Row],[Nb]],0)</f>
        <v>0</v>
      </c>
    </row>
    <row r="606" spans="1:6" ht="30" customHeight="1" x14ac:dyDescent="0.3">
      <c r="A606" s="562" t="s">
        <v>6101</v>
      </c>
      <c r="B606" s="563" t="s">
        <v>6102</v>
      </c>
      <c r="C606" s="564">
        <v>44751</v>
      </c>
      <c r="D606" s="562">
        <v>3</v>
      </c>
      <c r="E606" s="562">
        <v>3</v>
      </c>
      <c r="F606" s="562">
        <f>IFERROR(Tableau1[[#This Row],[Score]]/Tableau1[[#This Row],[Nb]],0)</f>
        <v>1</v>
      </c>
    </row>
    <row r="607" spans="1:6" ht="30" customHeight="1" x14ac:dyDescent="0.3">
      <c r="A607" s="649" t="s">
        <v>5508</v>
      </c>
      <c r="B607" s="650" t="s">
        <v>5509</v>
      </c>
      <c r="C607" s="651">
        <v>44584</v>
      </c>
      <c r="D607" s="649">
        <v>0</v>
      </c>
      <c r="E607" s="649">
        <v>0</v>
      </c>
      <c r="F607" s="649">
        <f>IFERROR(Tableau1[[#This Row],[Score]]/Tableau1[[#This Row],[Nb]],0)</f>
        <v>0</v>
      </c>
    </row>
    <row r="608" spans="1:6" ht="30" customHeight="1" x14ac:dyDescent="0.3">
      <c r="A608" s="649" t="s">
        <v>4789</v>
      </c>
      <c r="B608" s="650" t="s">
        <v>4790</v>
      </c>
      <c r="C608" s="651">
        <v>44379</v>
      </c>
      <c r="D608" s="649">
        <v>0</v>
      </c>
      <c r="E608" s="649">
        <v>0</v>
      </c>
      <c r="F608" s="649">
        <f>IFERROR(Tableau1[[#This Row],[Score]]/Tableau1[[#This Row],[Nb]],0)</f>
        <v>0</v>
      </c>
    </row>
    <row r="609" spans="1:6" ht="30" customHeight="1" x14ac:dyDescent="0.3">
      <c r="A609" s="654" t="s">
        <v>3381</v>
      </c>
      <c r="B609" s="655" t="s">
        <v>6518</v>
      </c>
      <c r="C609" s="656">
        <v>43237</v>
      </c>
      <c r="D609" s="649">
        <v>0</v>
      </c>
      <c r="E609" s="649">
        <v>0</v>
      </c>
      <c r="F609" s="657">
        <f>IFERROR(Tableau1[[#This Row],[Score]]/Tableau1[[#This Row],[Nb]],0)</f>
        <v>0</v>
      </c>
    </row>
    <row r="610" spans="1:6" ht="30" customHeight="1" x14ac:dyDescent="0.3">
      <c r="A610" s="654" t="s">
        <v>4161</v>
      </c>
      <c r="B610" s="655" t="s">
        <v>4162</v>
      </c>
      <c r="C610" s="656">
        <v>44272</v>
      </c>
      <c r="D610" s="649">
        <v>0</v>
      </c>
      <c r="E610" s="649">
        <v>0</v>
      </c>
      <c r="F610" s="657">
        <f>IFERROR(Tableau1[[#This Row],[Score]]/Tableau1[[#This Row],[Nb]],0)</f>
        <v>0</v>
      </c>
    </row>
    <row r="611" spans="1:6" ht="30" customHeight="1" x14ac:dyDescent="0.3">
      <c r="A611" s="654" t="s">
        <v>1977</v>
      </c>
      <c r="B611" s="655" t="s">
        <v>1978</v>
      </c>
      <c r="C611" s="656">
        <v>43605</v>
      </c>
      <c r="D611" s="649">
        <v>0</v>
      </c>
      <c r="E611" s="649">
        <v>0</v>
      </c>
      <c r="F611" s="657">
        <f>IFERROR(Tableau1[[#This Row],[Score]]/Tableau1[[#This Row],[Nb]],0)</f>
        <v>0</v>
      </c>
    </row>
    <row r="612" spans="1:6" ht="30" customHeight="1" x14ac:dyDescent="0.3">
      <c r="A612" s="654" t="s">
        <v>4455</v>
      </c>
      <c r="B612" s="655" t="s">
        <v>4456</v>
      </c>
      <c r="C612" s="656">
        <v>41621</v>
      </c>
      <c r="D612" s="649">
        <v>0</v>
      </c>
      <c r="E612" s="649">
        <v>0</v>
      </c>
      <c r="F612" s="657">
        <f>IFERROR(Tableau1[[#This Row],[Score]]/Tableau1[[#This Row],[Nb]],0)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2FE8-C801-46AC-8D41-D3B8005BD16A}">
  <sheetPr codeName="Feuil7"/>
  <dimension ref="A1:H17"/>
  <sheetViews>
    <sheetView showGridLines="0" zoomScaleNormal="100" workbookViewId="0"/>
  </sheetViews>
  <sheetFormatPr baseColWidth="10" defaultColWidth="11.5546875" defaultRowHeight="19.95" customHeight="1" x14ac:dyDescent="0.3"/>
  <cols>
    <col min="1" max="1" width="5.6640625" style="153" customWidth="1"/>
    <col min="2" max="5" width="11.6640625" style="153" customWidth="1"/>
    <col min="6" max="6" width="2.33203125" style="153" customWidth="1"/>
    <col min="7" max="7" width="24.21875" style="153" bestFit="1" customWidth="1"/>
    <col min="8" max="8" width="16.109375" style="153" bestFit="1" customWidth="1"/>
    <col min="9" max="16384" width="11.5546875" style="153"/>
  </cols>
  <sheetData>
    <row r="1" spans="1:8" ht="19.95" customHeight="1" x14ac:dyDescent="0.25">
      <c r="A1" s="155"/>
      <c r="B1" s="155"/>
      <c r="C1" s="155"/>
      <c r="D1" s="155"/>
      <c r="E1" s="155"/>
      <c r="F1" s="166"/>
      <c r="G1" s="166"/>
      <c r="H1" s="166"/>
    </row>
    <row r="3" spans="1:8" ht="15" x14ac:dyDescent="0.3">
      <c r="G3" s="661" t="s">
        <v>1461</v>
      </c>
      <c r="H3" s="652" t="s">
        <v>6294</v>
      </c>
    </row>
    <row r="4" spans="1:8" ht="15" x14ac:dyDescent="0.3">
      <c r="G4" s="652">
        <v>0</v>
      </c>
      <c r="H4" s="653">
        <v>71</v>
      </c>
    </row>
    <row r="5" spans="1:8" ht="15" x14ac:dyDescent="0.3">
      <c r="G5" s="652">
        <v>1</v>
      </c>
      <c r="H5" s="653">
        <v>129</v>
      </c>
    </row>
    <row r="6" spans="1:8" ht="15" x14ac:dyDescent="0.3">
      <c r="G6" s="652">
        <v>2</v>
      </c>
      <c r="H6" s="653">
        <v>111</v>
      </c>
    </row>
    <row r="7" spans="1:8" ht="15" x14ac:dyDescent="0.3">
      <c r="G7" s="652">
        <v>3</v>
      </c>
      <c r="H7" s="653">
        <v>94</v>
      </c>
    </row>
    <row r="8" spans="1:8" ht="15" x14ac:dyDescent="0.3">
      <c r="G8" s="652">
        <v>4</v>
      </c>
      <c r="H8" s="653">
        <v>75</v>
      </c>
    </row>
    <row r="9" spans="1:8" ht="15" x14ac:dyDescent="0.3">
      <c r="G9" s="652">
        <v>5</v>
      </c>
      <c r="H9" s="653">
        <v>59</v>
      </c>
    </row>
    <row r="10" spans="1:8" ht="15" x14ac:dyDescent="0.3">
      <c r="G10" s="652">
        <v>6</v>
      </c>
      <c r="H10" s="653">
        <v>33</v>
      </c>
    </row>
    <row r="11" spans="1:8" ht="15" x14ac:dyDescent="0.3">
      <c r="G11" s="652">
        <v>7</v>
      </c>
      <c r="H11" s="653">
        <v>16</v>
      </c>
    </row>
    <row r="12" spans="1:8" ht="15" x14ac:dyDescent="0.3">
      <c r="G12" s="652">
        <v>8</v>
      </c>
      <c r="H12" s="653">
        <v>10</v>
      </c>
    </row>
    <row r="13" spans="1:8" ht="15" x14ac:dyDescent="0.3">
      <c r="G13" s="652">
        <v>9</v>
      </c>
      <c r="H13" s="653">
        <v>6</v>
      </c>
    </row>
    <row r="14" spans="1:8" ht="15" x14ac:dyDescent="0.3">
      <c r="G14" s="652">
        <v>10</v>
      </c>
      <c r="H14" s="653">
        <v>5</v>
      </c>
    </row>
    <row r="15" spans="1:8" ht="15" x14ac:dyDescent="0.3">
      <c r="G15" s="652">
        <v>11</v>
      </c>
      <c r="H15" s="653">
        <v>1</v>
      </c>
    </row>
    <row r="16" spans="1:8" ht="15" x14ac:dyDescent="0.3">
      <c r="G16" s="652">
        <v>12</v>
      </c>
      <c r="H16" s="653">
        <v>1</v>
      </c>
    </row>
    <row r="17" spans="7:8" ht="15" x14ac:dyDescent="0.3">
      <c r="G17" s="652" t="s">
        <v>1462</v>
      </c>
      <c r="H17" s="653">
        <v>611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201C-F708-462A-B4E7-E372965CE7A0}">
  <dimension ref="A16:B26"/>
  <sheetViews>
    <sheetView showGridLines="0" workbookViewId="0">
      <pane ySplit="16" topLeftCell="A17" activePane="bottomLeft" state="frozen"/>
      <selection pane="bottomLeft" activeCell="A27" sqref="A27"/>
    </sheetView>
  </sheetViews>
  <sheetFormatPr baseColWidth="10" defaultRowHeight="19.95" customHeight="1" x14ac:dyDescent="0.3"/>
  <cols>
    <col min="1" max="1" width="12.109375" style="248" bestFit="1" customWidth="1"/>
    <col min="2" max="2" width="20.21875" style="248" customWidth="1"/>
    <col min="3" max="16384" width="11.5546875" style="248"/>
  </cols>
  <sheetData>
    <row r="16" spans="1:2" ht="19.95" customHeight="1" x14ac:dyDescent="0.3">
      <c r="A16" s="248" t="s">
        <v>0</v>
      </c>
      <c r="B16" s="248" t="s">
        <v>6445</v>
      </c>
    </row>
    <row r="17" spans="1:2" ht="19.95" customHeight="1" x14ac:dyDescent="0.3">
      <c r="A17" s="249">
        <v>44924</v>
      </c>
      <c r="B17" s="248">
        <v>439</v>
      </c>
    </row>
    <row r="18" spans="1:2" ht="19.95" customHeight="1" x14ac:dyDescent="0.3">
      <c r="A18" s="293">
        <v>44925</v>
      </c>
      <c r="B18" s="292">
        <v>446</v>
      </c>
    </row>
    <row r="19" spans="1:2" ht="19.95" customHeight="1" x14ac:dyDescent="0.3">
      <c r="A19" s="303">
        <v>44927</v>
      </c>
      <c r="B19" s="302">
        <v>452</v>
      </c>
    </row>
    <row r="20" spans="1:2" ht="19.95" customHeight="1" x14ac:dyDescent="0.3">
      <c r="A20" s="356">
        <v>44936</v>
      </c>
      <c r="B20" s="355">
        <v>482</v>
      </c>
    </row>
    <row r="21" spans="1:2" ht="19.95" customHeight="1" x14ac:dyDescent="0.3">
      <c r="A21" s="361">
        <v>44941</v>
      </c>
      <c r="B21" s="360">
        <v>499</v>
      </c>
    </row>
    <row r="22" spans="1:2" ht="19.95" customHeight="1" x14ac:dyDescent="0.3">
      <c r="A22" s="416">
        <v>44948</v>
      </c>
      <c r="B22" s="415">
        <v>535</v>
      </c>
    </row>
    <row r="23" spans="1:2" ht="19.95" customHeight="1" x14ac:dyDescent="0.3">
      <c r="A23" s="496">
        <v>44962</v>
      </c>
      <c r="B23" s="495">
        <v>570</v>
      </c>
    </row>
    <row r="24" spans="1:2" ht="19.95" customHeight="1" x14ac:dyDescent="0.3">
      <c r="A24" s="546">
        <v>44969</v>
      </c>
      <c r="B24" s="545">
        <v>585</v>
      </c>
    </row>
    <row r="25" spans="1:2" ht="19.95" customHeight="1" x14ac:dyDescent="0.3">
      <c r="A25" s="565">
        <v>44976</v>
      </c>
      <c r="B25" s="561">
        <v>595</v>
      </c>
    </row>
    <row r="26" spans="1:2" ht="19.95" customHeight="1" x14ac:dyDescent="0.3">
      <c r="A26" s="632">
        <v>44983</v>
      </c>
      <c r="B26" s="631">
        <v>604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voc_macro</vt:lpstr>
      <vt:lpstr>voc</vt:lpstr>
      <vt:lpstr>corrections</vt:lpstr>
      <vt:lpstr>version_GCD</vt:lpstr>
      <vt:lpstr>version_words</vt:lpstr>
      <vt:lpstr>theme_macro</vt:lpstr>
      <vt:lpstr>theme</vt:lpstr>
      <vt:lpstr>theme_GCD</vt:lpstr>
      <vt:lpstr>theme_words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Benoit Delorme</dc:creator>
  <cp:lastModifiedBy>Benoit Delorme</cp:lastModifiedBy>
  <cp:lastPrinted>2023-01-18T19:31:47Z</cp:lastPrinted>
  <dcterms:created xsi:type="dcterms:W3CDTF">2017-05-14T18:01:11Z</dcterms:created>
  <dcterms:modified xsi:type="dcterms:W3CDTF">2023-03-01T19:17:00Z</dcterms:modified>
</cp:coreProperties>
</file>