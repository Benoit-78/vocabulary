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media/image4.png" ContentType="image/png"/>
  <Override PartName="/xl/media/image5.png" ContentType="image/png"/>
  <Override PartName="/xl/media/image6.png" ContentType="image/png"/>
  <Override PartName="/xl/media/image10.png" ContentType="image/png"/>
  <Override PartName="/xl/media/image7.png" ContentType="image/png"/>
  <Override PartName="/xl/media/image8.png" ContentType="image/png"/>
  <Override PartName="/xl/media/image9.png" ContentType="image/png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drawings/_rels/drawing4.xml.rels" ContentType="application/vnd.openxmlformats-package.relationships+xml"/>
  <Override PartName="/xl/drawings/_rels/drawing3.xml.rels" ContentType="application/vnd.openxmlformats-package.relationships+xml"/>
  <Override PartName="/xl/drawings/_rels/drawing1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ctrlProps/ctrlProps2.xml" ContentType="application/vnd.ms-excel.controlproperties+xml"/>
  <Override PartName="/xl/tables/table4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voc" sheetId="1" state="visible" r:id="rId4"/>
    <sheet name="voc_macro" sheetId="2" state="visible" r:id="rId5"/>
    <sheet name="corrections" sheetId="3" state="visible" r:id="rId6"/>
    <sheet name="GCD" sheetId="4" state="visible" r:id="rId7"/>
    <sheet name="Histoire" sheetId="5" state="visible" r:id="rId8"/>
  </sheets>
  <calcPr iterateCount="100" refMode="A1" iterate="false" iterateDelta="0.0001"/>
  <pivotCaches>
    <pivotCache cacheId="1" r:id="rId10"/>
  </pivotCaches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<sst xmlns="http://schemas.openxmlformats.org/spreadsheetml/2006/main" count="777" uniqueCount="716">
  <si>
    <t xml:space="preserve">Brasileiro</t>
  </si>
  <si>
    <t xml:space="preserve">français</t>
  </si>
  <si>
    <t xml:space="preserve">date</t>
  </si>
  <si>
    <t xml:space="preserve">Nb</t>
  </si>
  <si>
    <t xml:space="preserve">Score</t>
  </si>
  <si>
    <t xml:space="preserve">branco</t>
  </si>
  <si>
    <t xml:space="preserve">blanc</t>
  </si>
  <si>
    <t xml:space="preserve">maduro</t>
  </si>
  <si>
    <t xml:space="preserve">mûr</t>
  </si>
  <si>
    <t xml:space="preserve">a praia</t>
  </si>
  <si>
    <t xml:space="preserve">la plage</t>
  </si>
  <si>
    <t xml:space="preserve">o sorvete</t>
  </si>
  <si>
    <t xml:space="preserve">le sorbet</t>
  </si>
  <si>
    <t xml:space="preserve">gelado</t>
  </si>
  <si>
    <t xml:space="preserve">glacé</t>
  </si>
  <si>
    <t xml:space="preserve">escuro</t>
  </si>
  <si>
    <t xml:space="preserve">obscur</t>
  </si>
  <si>
    <t xml:space="preserve">a floresta</t>
  </si>
  <si>
    <t xml:space="preserve">la forêt</t>
  </si>
  <si>
    <t xml:space="preserve">a comida</t>
  </si>
  <si>
    <t xml:space="preserve">la nourriture</t>
  </si>
  <si>
    <t xml:space="preserve">o vizinho</t>
  </si>
  <si>
    <t xml:space="preserve">le voisin</t>
  </si>
  <si>
    <t xml:space="preserve">o espelho</t>
  </si>
  <si>
    <t xml:space="preserve">le miroir</t>
  </si>
  <si>
    <t xml:space="preserve">a sala</t>
  </si>
  <si>
    <t xml:space="preserve">le salon</t>
  </si>
  <si>
    <t xml:space="preserve">a moeda nacional</t>
  </si>
  <si>
    <t xml:space="preserve">la monnaie nationale</t>
  </si>
  <si>
    <t xml:space="preserve">o dinheiro</t>
  </si>
  <si>
    <t xml:space="preserve">l'argent</t>
  </si>
  <si>
    <t xml:space="preserve">perto</t>
  </si>
  <si>
    <t xml:space="preserve">près</t>
  </si>
  <si>
    <t xml:space="preserve">o quarteirão</t>
  </si>
  <si>
    <t xml:space="preserve">le pâté de maisons</t>
  </si>
  <si>
    <t xml:space="preserve">o irmão</t>
  </si>
  <si>
    <t xml:space="preserve">le frère</t>
  </si>
  <si>
    <t xml:space="preserve">o trem</t>
  </si>
  <si>
    <t xml:space="preserve">le train</t>
  </si>
  <si>
    <t xml:space="preserve">em ponto</t>
  </si>
  <si>
    <t xml:space="preserve">ponctuellement, pile</t>
  </si>
  <si>
    <t xml:space="preserve">o prazer</t>
  </si>
  <si>
    <t xml:space="preserve">le plaisir</t>
  </si>
  <si>
    <t xml:space="preserve">a canção</t>
  </si>
  <si>
    <t xml:space="preserve">la chanson</t>
  </si>
  <si>
    <t xml:space="preserve">o ingresso</t>
  </si>
  <si>
    <t xml:space="preserve">le billet</t>
  </si>
  <si>
    <t xml:space="preserve">o jogo</t>
  </si>
  <si>
    <t xml:space="preserve">le jeu</t>
  </si>
  <si>
    <t xml:space="preserve">o time</t>
  </si>
  <si>
    <t xml:space="preserve">l'équipe (de foot)</t>
  </si>
  <si>
    <t xml:space="preserve">Parece que ...</t>
  </si>
  <si>
    <t xml:space="preserve">Il semble que …</t>
  </si>
  <si>
    <t xml:space="preserve">a certeza</t>
  </si>
  <si>
    <t xml:space="preserve">la certitude</t>
  </si>
  <si>
    <t xml:space="preserve">Não atende</t>
  </si>
  <si>
    <t xml:space="preserve">Ca ne répond pas</t>
  </si>
  <si>
    <t xml:space="preserve">esperar</t>
  </si>
  <si>
    <t xml:space="preserve">attendre</t>
  </si>
  <si>
    <t xml:space="preserve">resolver</t>
  </si>
  <si>
    <t xml:space="preserve">résoudre</t>
  </si>
  <si>
    <t xml:space="preserve">sinto</t>
  </si>
  <si>
    <t xml:space="preserve">je regrette</t>
  </si>
  <si>
    <t xml:space="preserve">a manhã</t>
  </si>
  <si>
    <t xml:space="preserve">le matin</t>
  </si>
  <si>
    <t xml:space="preserve">avisar</t>
  </si>
  <si>
    <t xml:space="preserve">prévenir</t>
  </si>
  <si>
    <t xml:space="preserve">até logo</t>
  </si>
  <si>
    <t xml:space="preserve">à bientôt</t>
  </si>
  <si>
    <t xml:space="preserve">a lua</t>
  </si>
  <si>
    <t xml:space="preserve">la lune</t>
  </si>
  <si>
    <t xml:space="preserve">a tarde</t>
  </si>
  <si>
    <t xml:space="preserve">l'après-midi</t>
  </si>
  <si>
    <t xml:space="preserve">perguntar</t>
  </si>
  <si>
    <t xml:space="preserve">demander</t>
  </si>
  <si>
    <t xml:space="preserve">a balconista</t>
  </si>
  <si>
    <t xml:space="preserve">la vendeuse</t>
  </si>
  <si>
    <t xml:space="preserve">o arroz</t>
  </si>
  <si>
    <t xml:space="preserve">le riz</t>
  </si>
  <si>
    <t xml:space="preserve">o feijão</t>
  </si>
  <si>
    <t xml:space="preserve">le haricot</t>
  </si>
  <si>
    <t xml:space="preserve">desligado</t>
  </si>
  <si>
    <t xml:space="preserve">distrait (délié)</t>
  </si>
  <si>
    <t xml:space="preserve">a recado</t>
  </si>
  <si>
    <t xml:space="preserve">le message</t>
  </si>
  <si>
    <t xml:space="preserve">cedo</t>
  </si>
  <si>
    <t xml:space="preserve">tôt</t>
  </si>
  <si>
    <t xml:space="preserve">atrasado</t>
  </si>
  <si>
    <t xml:space="preserve">en retard</t>
  </si>
  <si>
    <t xml:space="preserve">o sorte</t>
  </si>
  <si>
    <t xml:space="preserve">la chance</t>
  </si>
  <si>
    <t xml:space="preserve">o avô</t>
  </si>
  <si>
    <t xml:space="preserve">le grand-père</t>
  </si>
  <si>
    <t xml:space="preserve">o rolo</t>
  </si>
  <si>
    <t xml:space="preserve">le rouleau</t>
  </si>
  <si>
    <t xml:space="preserve">a palha</t>
  </si>
  <si>
    <t xml:space="preserve">la paille</t>
  </si>
  <si>
    <t xml:space="preserve">acho</t>
  </si>
  <si>
    <t xml:space="preserve">je trouve</t>
  </si>
  <si>
    <t xml:space="preserve">ruim</t>
  </si>
  <si>
    <t xml:space="preserve">mauvais</t>
  </si>
  <si>
    <t xml:space="preserve">o cheiro</t>
  </si>
  <si>
    <t xml:space="preserve">l'odeur</t>
  </si>
  <si>
    <t xml:space="preserve">demoro</t>
  </si>
  <si>
    <t xml:space="preserve">je m'attarde</t>
  </si>
  <si>
    <t xml:space="preserve">a medida</t>
  </si>
  <si>
    <t xml:space="preserve">la mesure</t>
  </si>
  <si>
    <t xml:space="preserve">a colher</t>
  </si>
  <si>
    <t xml:space="preserve">la cuiller</t>
  </si>
  <si>
    <t xml:space="preserve">o gelo</t>
  </si>
  <si>
    <t xml:space="preserve">la glace</t>
  </si>
  <si>
    <t xml:space="preserve">beber</t>
  </si>
  <si>
    <t xml:space="preserve">boire</t>
  </si>
  <si>
    <t xml:space="preserve">Cuidado !</t>
  </si>
  <si>
    <t xml:space="preserve">Attention !</t>
  </si>
  <si>
    <t xml:space="preserve">a saúde</t>
  </si>
  <si>
    <t xml:space="preserve">la santé</t>
  </si>
  <si>
    <t xml:space="preserve">tomar</t>
  </si>
  <si>
    <t xml:space="preserve">prendre</t>
  </si>
  <si>
    <t xml:space="preserve">último</t>
  </si>
  <si>
    <t xml:space="preserve">dernier</t>
  </si>
  <si>
    <t xml:space="preserve">pequeno</t>
  </si>
  <si>
    <t xml:space="preserve">petit</t>
  </si>
  <si>
    <t xml:space="preserve">a côr</t>
  </si>
  <si>
    <t xml:space="preserve">la couleur</t>
  </si>
  <si>
    <t xml:space="preserve">levar</t>
  </si>
  <si>
    <t xml:space="preserve">emporter</t>
  </si>
  <si>
    <t xml:space="preserve">sair</t>
  </si>
  <si>
    <t xml:space="preserve">sortir</t>
  </si>
  <si>
    <t xml:space="preserve">lotado</t>
  </si>
  <si>
    <t xml:space="preserve">bondé</t>
  </si>
  <si>
    <t xml:space="preserve">o lugar</t>
  </si>
  <si>
    <t xml:space="preserve">l'endroit</t>
  </si>
  <si>
    <t xml:space="preserve">sentar</t>
  </si>
  <si>
    <t xml:space="preserve">asseoir</t>
  </si>
  <si>
    <t xml:space="preserve">ficar</t>
  </si>
  <si>
    <t xml:space="preserve">rester</t>
  </si>
  <si>
    <t xml:space="preserve">carregar</t>
  </si>
  <si>
    <t xml:space="preserve">porter</t>
  </si>
  <si>
    <t xml:space="preserve">a cabeça</t>
  </si>
  <si>
    <t xml:space="preserve">la tête</t>
  </si>
  <si>
    <t xml:space="preserve">esqueço</t>
  </si>
  <si>
    <t xml:space="preserve">j'oublie</t>
  </si>
  <si>
    <t xml:space="preserve">frio</t>
  </si>
  <si>
    <t xml:space="preserve">frais, froid</t>
  </si>
  <si>
    <t xml:space="preserve">o paletó</t>
  </si>
  <si>
    <t xml:space="preserve">la veste</t>
  </si>
  <si>
    <t xml:space="preserve">lã</t>
  </si>
  <si>
    <t xml:space="preserve">la laine</t>
  </si>
  <si>
    <t xml:space="preserve">estranho</t>
  </si>
  <si>
    <t xml:space="preserve">étrange</t>
  </si>
  <si>
    <t xml:space="preserve">por acaso</t>
  </si>
  <si>
    <t xml:space="preserve">par hasard</t>
  </si>
  <si>
    <t xml:space="preserve">aí</t>
  </si>
  <si>
    <t xml:space="preserve">là</t>
  </si>
  <si>
    <t xml:space="preserve">cheio de …</t>
  </si>
  <si>
    <t xml:space="preserve">plein de …</t>
  </si>
  <si>
    <t xml:space="preserve">preciso</t>
  </si>
  <si>
    <t xml:space="preserve">j'ai besoin</t>
  </si>
  <si>
    <t xml:space="preserve">apanhá</t>
  </si>
  <si>
    <t xml:space="preserve">chercher</t>
  </si>
  <si>
    <t xml:space="preserve">pronto</t>
  </si>
  <si>
    <t xml:space="preserve">prêt</t>
  </si>
  <si>
    <t xml:space="preserve">depois</t>
  </si>
  <si>
    <t xml:space="preserve">après</t>
  </si>
  <si>
    <t xml:space="preserve">divirta</t>
  </si>
  <si>
    <t xml:space="preserve">se distraire</t>
  </si>
  <si>
    <t xml:space="preserve">felizmente</t>
  </si>
  <si>
    <t xml:space="preserve">heureusement</t>
  </si>
  <si>
    <t xml:space="preserve">ainda</t>
  </si>
  <si>
    <t xml:space="preserve">encore</t>
  </si>
  <si>
    <t xml:space="preserve">a platéia</t>
  </si>
  <si>
    <t xml:space="preserve">l'orchestre</t>
  </si>
  <si>
    <t xml:space="preserve">a gente fina</t>
  </si>
  <si>
    <t xml:space="preserve">le gratin</t>
  </si>
  <si>
    <t xml:space="preserve">a almofada</t>
  </si>
  <si>
    <t xml:space="preserve">le coussin</t>
  </si>
  <si>
    <t xml:space="preserve">o chão</t>
  </si>
  <si>
    <t xml:space="preserve">le sol</t>
  </si>
  <si>
    <t xml:space="preserve">a feira</t>
  </si>
  <si>
    <t xml:space="preserve">le marché</t>
  </si>
  <si>
    <t xml:space="preserve">peixe</t>
  </si>
  <si>
    <t xml:space="preserve">du poisson</t>
  </si>
  <si>
    <t xml:space="preserve">hortelã</t>
  </si>
  <si>
    <t xml:space="preserve">la menthe</t>
  </si>
  <si>
    <t xml:space="preserve">o costume</t>
  </si>
  <si>
    <t xml:space="preserve">l'habitude</t>
  </si>
  <si>
    <t xml:space="preserve">a maçã</t>
  </si>
  <si>
    <t xml:space="preserve">la pomme</t>
  </si>
  <si>
    <t xml:space="preserve">a abacaxi</t>
  </si>
  <si>
    <t xml:space="preserve">l'ananas</t>
  </si>
  <si>
    <t xml:space="preserve">a laranja</t>
  </si>
  <si>
    <t xml:space="preserve">l'orange</t>
  </si>
  <si>
    <t xml:space="preserve">o carro</t>
  </si>
  <si>
    <t xml:space="preserve">la voiture</t>
  </si>
  <si>
    <t xml:space="preserve">o semáforo</t>
  </si>
  <si>
    <t xml:space="preserve">le feu de circulation</t>
  </si>
  <si>
    <t xml:space="preserve">peço</t>
  </si>
  <si>
    <t xml:space="preserve">je demande</t>
  </si>
  <si>
    <t xml:space="preserve">o algodão</t>
  </si>
  <si>
    <t xml:space="preserve">le coton</t>
  </si>
  <si>
    <t xml:space="preserve">a limpeza</t>
  </si>
  <si>
    <t xml:space="preserve">le nettoyage</t>
  </si>
  <si>
    <t xml:space="preserve">em voz baixa</t>
  </si>
  <si>
    <t xml:space="preserve">à voix basse</t>
  </si>
  <si>
    <t xml:space="preserve">odeio</t>
  </si>
  <si>
    <t xml:space="preserve">je déteste</t>
  </si>
  <si>
    <t xml:space="preserve">sozinho</t>
  </si>
  <si>
    <t xml:space="preserve">seul</t>
  </si>
  <si>
    <t xml:space="preserve">o peso</t>
  </si>
  <si>
    <t xml:space="preserve">le poids</t>
  </si>
  <si>
    <t xml:space="preserve">doí</t>
  </si>
  <si>
    <t xml:space="preserve">ça fait mal</t>
  </si>
  <si>
    <t xml:space="preserve">pagar</t>
  </si>
  <si>
    <t xml:space="preserve">payer</t>
  </si>
  <si>
    <t xml:space="preserve">o imposto</t>
  </si>
  <si>
    <t xml:space="preserve">l'impôt</t>
  </si>
  <si>
    <t xml:space="preserve">o aluguei</t>
  </si>
  <si>
    <t xml:space="preserve">le loyer</t>
  </si>
  <si>
    <t xml:space="preserve">a licença</t>
  </si>
  <si>
    <t xml:space="preserve">l'autorisation</t>
  </si>
  <si>
    <t xml:space="preserve">Pois não</t>
  </si>
  <si>
    <t xml:space="preserve">Mais certainement</t>
  </si>
  <si>
    <t xml:space="preserve">a dôr</t>
  </si>
  <si>
    <t xml:space="preserve">la douleur</t>
  </si>
  <si>
    <t xml:space="preserve">o pescoço</t>
  </si>
  <si>
    <t xml:space="preserve">le cou</t>
  </si>
  <si>
    <t xml:space="preserve">aborrecido</t>
  </si>
  <si>
    <t xml:space="preserve">ennuyé, embêté</t>
  </si>
  <si>
    <t xml:space="preserve">o jeito</t>
  </si>
  <si>
    <t xml:space="preserve">la façon, la manière</t>
  </si>
  <si>
    <t xml:space="preserve">amanhã</t>
  </si>
  <si>
    <t xml:space="preserve">demain</t>
  </si>
  <si>
    <t xml:space="preserve">voltar</t>
  </si>
  <si>
    <t xml:space="preserve">retourner, revenir</t>
  </si>
  <si>
    <t xml:space="preserve">providenciar</t>
  </si>
  <si>
    <t xml:space="preserve">préparer</t>
  </si>
  <si>
    <t xml:space="preserve">assim</t>
  </si>
  <si>
    <t xml:space="preserve">ainsi</t>
  </si>
  <si>
    <t xml:space="preserve">o nome</t>
  </si>
  <si>
    <t xml:space="preserve">le nom</t>
  </si>
  <si>
    <t xml:space="preserve">geralmente</t>
  </si>
  <si>
    <t xml:space="preserve">généralement</t>
  </si>
  <si>
    <t xml:space="preserve">Fica combinado</t>
  </si>
  <si>
    <t xml:space="preserve">C'est d'accord</t>
  </si>
  <si>
    <t xml:space="preserve">nada</t>
  </si>
  <si>
    <t xml:space="preserve">rien</t>
  </si>
  <si>
    <t xml:space="preserve">o passeio</t>
  </si>
  <si>
    <t xml:space="preserve">la promenade</t>
  </si>
  <si>
    <t xml:space="preserve">dar</t>
  </si>
  <si>
    <t xml:space="preserve">donner</t>
  </si>
  <si>
    <t xml:space="preserve">as crianças</t>
  </si>
  <si>
    <t xml:space="preserve">les enfants</t>
  </si>
  <si>
    <t xml:space="preserve">vir</t>
  </si>
  <si>
    <t xml:space="preserve">venir</t>
  </si>
  <si>
    <t xml:space="preserve">a roupa</t>
  </si>
  <si>
    <t xml:space="preserve">le linge</t>
  </si>
  <si>
    <t xml:space="preserve">a noite</t>
  </si>
  <si>
    <t xml:space="preserve">la nuit</t>
  </si>
  <si>
    <t xml:space="preserve">a folga</t>
  </si>
  <si>
    <t xml:space="preserve">le congé</t>
  </si>
  <si>
    <t xml:space="preserve">buscar</t>
  </si>
  <si>
    <t xml:space="preserve">dentro</t>
  </si>
  <si>
    <t xml:space="preserve">à l'intérieur</t>
  </si>
  <si>
    <t xml:space="preserve">a afilhada</t>
  </si>
  <si>
    <t xml:space="preserve">la filleule</t>
  </si>
  <si>
    <t xml:space="preserve">receber</t>
  </si>
  <si>
    <t xml:space="preserve">recevoir</t>
  </si>
  <si>
    <t xml:space="preserve">chore</t>
  </si>
  <si>
    <t xml:space="preserve">pleurer</t>
  </si>
  <si>
    <t xml:space="preserve">Eu não ligo para …</t>
  </si>
  <si>
    <t xml:space="preserve">Je ne m'intéresse pas à …</t>
  </si>
  <si>
    <t xml:space="preserve">o cavalo</t>
  </si>
  <si>
    <t xml:space="preserve">le cheval</t>
  </si>
  <si>
    <t xml:space="preserve">o bicho</t>
  </si>
  <si>
    <t xml:space="preserve">l'animal</t>
  </si>
  <si>
    <t xml:space="preserve">a padaria</t>
  </si>
  <si>
    <t xml:space="preserve">la boulangerie</t>
  </si>
  <si>
    <t xml:space="preserve">a chuva</t>
  </si>
  <si>
    <t xml:space="preserve">la pluie</t>
  </si>
  <si>
    <t xml:space="preserve">a moçada</t>
  </si>
  <si>
    <t xml:space="preserve">les jeunes gens</t>
  </si>
  <si>
    <t xml:space="preserve">a bofetada</t>
  </si>
  <si>
    <t xml:space="preserve">la gifle</t>
  </si>
  <si>
    <t xml:space="preserve">gostar de</t>
  </si>
  <si>
    <t xml:space="preserve">aimer, apprécier</t>
  </si>
  <si>
    <t xml:space="preserve">a viagem</t>
  </si>
  <si>
    <t xml:space="preserve">le voyage</t>
  </si>
  <si>
    <t xml:space="preserve">o roteiro</t>
  </si>
  <si>
    <t xml:space="preserve">l'itinéraire</t>
  </si>
  <si>
    <t xml:space="preserve">descansar</t>
  </si>
  <si>
    <t xml:space="preserve">se reposer</t>
  </si>
  <si>
    <t xml:space="preserve">um pouquinho</t>
  </si>
  <si>
    <t xml:space="preserve">un petit peu</t>
  </si>
  <si>
    <t xml:space="preserve">conhecer</t>
  </si>
  <si>
    <t xml:space="preserve">connaître</t>
  </si>
  <si>
    <t xml:space="preserve">estrangeiro</t>
  </si>
  <si>
    <t xml:space="preserve">étranger</t>
  </si>
  <si>
    <t xml:space="preserve">se hospedar</t>
  </si>
  <si>
    <t xml:space="preserve">se loger</t>
  </si>
  <si>
    <t xml:space="preserve">barato</t>
  </si>
  <si>
    <t xml:space="preserve">bon marché</t>
  </si>
  <si>
    <t xml:space="preserve">o serviço</t>
  </si>
  <si>
    <t xml:space="preserve">le travail, l'activité professionnelle</t>
  </si>
  <si>
    <t xml:space="preserve">o navio</t>
  </si>
  <si>
    <t xml:space="preserve">le bateau</t>
  </si>
  <si>
    <t xml:space="preserve">agradável</t>
  </si>
  <si>
    <t xml:space="preserve">agréable</t>
  </si>
  <si>
    <t xml:space="preserve">o calor</t>
  </si>
  <si>
    <t xml:space="preserve">la chaleur</t>
  </si>
  <si>
    <t xml:space="preserve">o meio</t>
  </si>
  <si>
    <t xml:space="preserve">le milieu</t>
  </si>
  <si>
    <t xml:space="preserve">a vela</t>
  </si>
  <si>
    <t xml:space="preserve">la bougie</t>
  </si>
  <si>
    <t xml:space="preserve">a rainha</t>
  </si>
  <si>
    <t xml:space="preserve">la reine</t>
  </si>
  <si>
    <t xml:space="preserve">cada um</t>
  </si>
  <si>
    <t xml:space="preserve">chacun</t>
  </si>
  <si>
    <t xml:space="preserve">rezar</t>
  </si>
  <si>
    <t xml:space="preserve">prier</t>
  </si>
  <si>
    <t xml:space="preserve">jogar</t>
  </si>
  <si>
    <t xml:space="preserve">lancer</t>
  </si>
  <si>
    <t xml:space="preserve">seguinte (adj.)</t>
  </si>
  <si>
    <t xml:space="preserve">suivant</t>
  </si>
  <si>
    <t xml:space="preserve">a crença</t>
  </si>
  <si>
    <t xml:space="preserve">la croyance</t>
  </si>
  <si>
    <t xml:space="preserve">a camada</t>
  </si>
  <si>
    <t xml:space="preserve">la couche</t>
  </si>
  <si>
    <t xml:space="preserve">acender</t>
  </si>
  <si>
    <t xml:space="preserve">allumer</t>
  </si>
  <si>
    <t xml:space="preserve">ao vivo</t>
  </si>
  <si>
    <t xml:space="preserve">en direct</t>
  </si>
  <si>
    <t xml:space="preserve">a loja</t>
  </si>
  <si>
    <t xml:space="preserve">le magasin, la boutique</t>
  </si>
  <si>
    <t xml:space="preserve">ontem</t>
  </si>
  <si>
    <t xml:space="preserve">hier</t>
  </si>
  <si>
    <t xml:space="preserve">o cartão de credito</t>
  </si>
  <si>
    <t xml:space="preserve">la carte de crédit</t>
  </si>
  <si>
    <t xml:space="preserve">provável</t>
  </si>
  <si>
    <t xml:space="preserve">probable</t>
  </si>
  <si>
    <t xml:space="preserve">a meia</t>
  </si>
  <si>
    <t xml:space="preserve">la chaussette</t>
  </si>
  <si>
    <t xml:space="preserve">o presente</t>
  </si>
  <si>
    <t xml:space="preserve">le cadeau</t>
  </si>
  <si>
    <t xml:space="preserve">o conjunto</t>
  </si>
  <si>
    <t xml:space="preserve">l'ensemble</t>
  </si>
  <si>
    <t xml:space="preserve">o casamento</t>
  </si>
  <si>
    <t xml:space="preserve">le mariage</t>
  </si>
  <si>
    <t xml:space="preserve">possível</t>
  </si>
  <si>
    <t xml:space="preserve">possible</t>
  </si>
  <si>
    <t xml:space="preserve">a coluna social</t>
  </si>
  <si>
    <t xml:space="preserve">le carnet mondain</t>
  </si>
  <si>
    <t xml:space="preserve">se chamar</t>
  </si>
  <si>
    <t xml:space="preserve">s'appeler</t>
  </si>
  <si>
    <t xml:space="preserve">os noivos</t>
  </si>
  <si>
    <t xml:space="preserve">les fiancés</t>
  </si>
  <si>
    <t xml:space="preserve">os casados</t>
  </si>
  <si>
    <t xml:space="preserve">les mariés</t>
  </si>
  <si>
    <t xml:space="preserve">o carinho</t>
  </si>
  <si>
    <t xml:space="preserve">la tendresse</t>
  </si>
  <si>
    <t xml:space="preserve">arrumar</t>
  </si>
  <si>
    <t xml:space="preserve">ranger / se trouver</t>
  </si>
  <si>
    <t xml:space="preserve">trocar</t>
  </si>
  <si>
    <t xml:space="preserve">échanger</t>
  </si>
  <si>
    <t xml:space="preserve">a flôr</t>
  </si>
  <si>
    <t xml:space="preserve">la fleur</t>
  </si>
  <si>
    <t xml:space="preserve">brigar</t>
  </si>
  <si>
    <t xml:space="preserve">se battre, se disputer</t>
  </si>
  <si>
    <t xml:space="preserve">um amor de Carnaval</t>
  </si>
  <si>
    <t xml:space="preserve">un béguin</t>
  </si>
  <si>
    <t xml:space="preserve">fora</t>
  </si>
  <si>
    <t xml:space="preserve">à l'extérieur</t>
  </si>
  <si>
    <t xml:space="preserve">o calçado</t>
  </si>
  <si>
    <t xml:space="preserve">la chaussure</t>
  </si>
  <si>
    <t xml:space="preserve">a drogaria</t>
  </si>
  <si>
    <t xml:space="preserve">la pharmacie</t>
  </si>
  <si>
    <t xml:space="preserve">o pedreiro</t>
  </si>
  <si>
    <t xml:space="preserve">le maçon</t>
  </si>
  <si>
    <t xml:space="preserve">o subúrbio</t>
  </si>
  <si>
    <t xml:space="preserve">la banlieue</t>
  </si>
  <si>
    <t xml:space="preserve">o mês</t>
  </si>
  <si>
    <t xml:space="preserve">le mois</t>
  </si>
  <si>
    <t xml:space="preserve">a ponte</t>
  </si>
  <si>
    <t xml:space="preserve">le pont</t>
  </si>
  <si>
    <t xml:space="preserve">a rodoviária</t>
  </si>
  <si>
    <t xml:space="preserve">la gare routière</t>
  </si>
  <si>
    <t xml:space="preserve">convidar</t>
  </si>
  <si>
    <t xml:space="preserve">inviter</t>
  </si>
  <si>
    <t xml:space="preserve">à esquerda</t>
  </si>
  <si>
    <t xml:space="preserve">à gauche</t>
  </si>
  <si>
    <t xml:space="preserve">gritar</t>
  </si>
  <si>
    <t xml:space="preserve">crier</t>
  </si>
  <si>
    <t xml:space="preserve">alguém</t>
  </si>
  <si>
    <t xml:space="preserve">quelqu'un</t>
  </si>
  <si>
    <t xml:space="preserve">retratar</t>
  </si>
  <si>
    <t xml:space="preserve">photographier</t>
  </si>
  <si>
    <t xml:space="preserve">a sabia</t>
  </si>
  <si>
    <t xml:space="preserve">une espère d'oiseau très populaire du Brésil</t>
  </si>
  <si>
    <t xml:space="preserve">a mão</t>
  </si>
  <si>
    <t xml:space="preserve">la main</t>
  </si>
  <si>
    <t xml:space="preserve">pular</t>
  </si>
  <si>
    <t xml:space="preserve">plonger</t>
  </si>
  <si>
    <t xml:space="preserve">escutar</t>
  </si>
  <si>
    <t xml:space="preserve">écouter</t>
  </si>
  <si>
    <t xml:space="preserve">agora</t>
  </si>
  <si>
    <t xml:space="preserve">maintenant</t>
  </si>
  <si>
    <t xml:space="preserve">parar</t>
  </si>
  <si>
    <t xml:space="preserve">s'arrêter</t>
  </si>
  <si>
    <t xml:space="preserve">o braço</t>
  </si>
  <si>
    <t xml:space="preserve">le bras</t>
  </si>
  <si>
    <t xml:space="preserve">a praça</t>
  </si>
  <si>
    <t xml:space="preserve">la place (en ville)</t>
  </si>
  <si>
    <t xml:space="preserve">andar</t>
  </si>
  <si>
    <t xml:space="preserve">marcher</t>
  </si>
  <si>
    <t xml:space="preserve">reto</t>
  </si>
  <si>
    <t xml:space="preserve">tout droit</t>
  </si>
  <si>
    <t xml:space="preserve">então</t>
  </si>
  <si>
    <t xml:space="preserve">alors</t>
  </si>
  <si>
    <t xml:space="preserve">do lado de lá</t>
  </si>
  <si>
    <t xml:space="preserve">de l'autre côté</t>
  </si>
  <si>
    <t xml:space="preserve">a calçada</t>
  </si>
  <si>
    <t xml:space="preserve">le trottoir</t>
  </si>
  <si>
    <t xml:space="preserve">ali</t>
  </si>
  <si>
    <t xml:space="preserve">là-bas</t>
  </si>
  <si>
    <t xml:space="preserve">a esquina</t>
  </si>
  <si>
    <t xml:space="preserve">le coin</t>
  </si>
  <si>
    <t xml:space="preserve">o prédio</t>
  </si>
  <si>
    <t xml:space="preserve">l'immeuble</t>
  </si>
  <si>
    <t xml:space="preserve">a andar</t>
  </si>
  <si>
    <t xml:space="preserve">l'étage</t>
  </si>
  <si>
    <t xml:space="preserve">o fim de semana</t>
  </si>
  <si>
    <t xml:space="preserve">le week-end</t>
  </si>
  <si>
    <t xml:space="preserve">a media</t>
  </si>
  <si>
    <t xml:space="preserve"> la moyenne</t>
  </si>
  <si>
    <t xml:space="preserve">um jovem</t>
  </si>
  <si>
    <t xml:space="preserve">un jeune</t>
  </si>
  <si>
    <t xml:space="preserve">a alegria</t>
  </si>
  <si>
    <t xml:space="preserve">la joie</t>
  </si>
  <si>
    <t xml:space="preserve">deixar</t>
  </si>
  <si>
    <t xml:space="preserve">laisser</t>
  </si>
  <si>
    <t xml:space="preserve">acabar</t>
  </si>
  <si>
    <t xml:space="preserve">terminer, finir</t>
  </si>
  <si>
    <t xml:space="preserve">bastante</t>
  </si>
  <si>
    <t xml:space="preserve">suffisamment</t>
  </si>
  <si>
    <t xml:space="preserve">os talheres</t>
  </si>
  <si>
    <t xml:space="preserve">les couverts (d'une table)</t>
  </si>
  <si>
    <t xml:space="preserve">o prato</t>
  </si>
  <si>
    <t xml:space="preserve">l'assiette</t>
  </si>
  <si>
    <t xml:space="preserve">o condomínio</t>
  </si>
  <si>
    <t xml:space="preserve">les charges locatives</t>
  </si>
  <si>
    <t xml:space="preserve">aprontar</t>
  </si>
  <si>
    <t xml:space="preserve">o coragem</t>
  </si>
  <si>
    <t xml:space="preserve">le courage</t>
  </si>
  <si>
    <t xml:space="preserve">o cunhado</t>
  </si>
  <si>
    <t xml:space="preserve">le beau-frère</t>
  </si>
  <si>
    <t xml:space="preserve">apesar</t>
  </si>
  <si>
    <t xml:space="preserve">malgré</t>
  </si>
  <si>
    <t xml:space="preserve">a idade</t>
  </si>
  <si>
    <t xml:space="preserve">l'âge</t>
  </si>
  <si>
    <t xml:space="preserve">a verdade</t>
  </si>
  <si>
    <t xml:space="preserve">la vérité</t>
  </si>
  <si>
    <t xml:space="preserve">maravilho</t>
  </si>
  <si>
    <t xml:space="preserve">merveilleux</t>
  </si>
  <si>
    <t xml:space="preserve">a mulher</t>
  </si>
  <si>
    <t xml:space="preserve">la femme</t>
  </si>
  <si>
    <t xml:space="preserve">o direito</t>
  </si>
  <si>
    <t xml:space="preserve">le droit</t>
  </si>
  <si>
    <t xml:space="preserve">desafinado</t>
  </si>
  <si>
    <t xml:space="preserve">désaccordé, faux (musique)</t>
  </si>
  <si>
    <t xml:space="preserve">aficionado</t>
  </si>
  <si>
    <t xml:space="preserve">adepte, fan / affectueux</t>
  </si>
  <si>
    <t xml:space="preserve">por outro lado</t>
  </si>
  <si>
    <t xml:space="preserve">d'un autre côté</t>
  </si>
  <si>
    <t xml:space="preserve">bascamente</t>
  </si>
  <si>
    <t xml:space="preserve">essentiellement</t>
  </si>
  <si>
    <t xml:space="preserve">a mudança</t>
  </si>
  <si>
    <t xml:space="preserve">le changement</t>
  </si>
  <si>
    <t xml:space="preserve">queimadas</t>
  </si>
  <si>
    <t xml:space="preserve">brûlé</t>
  </si>
  <si>
    <t xml:space="preserve">pegando</t>
  </si>
  <si>
    <t xml:space="preserve">contagieux</t>
  </si>
  <si>
    <t xml:space="preserve">o estrago</t>
  </si>
  <si>
    <t xml:space="preserve">le dommage</t>
  </si>
  <si>
    <t xml:space="preserve">da certo</t>
  </si>
  <si>
    <t xml:space="preserve">ça marche</t>
  </si>
  <si>
    <t xml:space="preserve">a pesquisa</t>
  </si>
  <si>
    <t xml:space="preserve">la recherche</t>
  </si>
  <si>
    <t xml:space="preserve">a poeira</t>
  </si>
  <si>
    <t xml:space="preserve">la poussière</t>
  </si>
  <si>
    <t xml:space="preserve">a rajada</t>
  </si>
  <si>
    <t xml:space="preserve">la rafale</t>
  </si>
  <si>
    <t xml:space="preserve">o granizo</t>
  </si>
  <si>
    <t xml:space="preserve">la grêle</t>
  </si>
  <si>
    <t xml:space="preserve">o bafado</t>
  </si>
  <si>
    <t xml:space="preserve">le souffle</t>
  </si>
  <si>
    <t xml:space="preserve">os raios (?)</t>
  </si>
  <si>
    <t xml:space="preserve">les rayons / l'ensoleillement</t>
  </si>
  <si>
    <t xml:space="preserve">os fomento</t>
  </si>
  <si>
    <t xml:space="preserve">la promotion</t>
  </si>
  <si>
    <t xml:space="preserve">fechado</t>
  </si>
  <si>
    <t xml:space="preserve">fermé</t>
  </si>
  <si>
    <t xml:space="preserve">amarelo</t>
  </si>
  <si>
    <t xml:space="preserve">jaune</t>
  </si>
  <si>
    <t xml:space="preserve">a senha</t>
  </si>
  <si>
    <t xml:space="preserve">le mot de passe</t>
  </si>
  <si>
    <t xml:space="preserve">a ameaça</t>
  </si>
  <si>
    <t xml:space="preserve">la menace</t>
  </si>
  <si>
    <t xml:space="preserve">a abordagem</t>
  </si>
  <si>
    <t xml:space="preserve">l'approche</t>
  </si>
  <si>
    <t xml:space="preserve">levemente</t>
  </si>
  <si>
    <t xml:space="preserve">légèrement</t>
  </si>
  <si>
    <t xml:space="preserve">o gráfico de pizza</t>
  </si>
  <si>
    <t xml:space="preserve">le diagramme camembert</t>
  </si>
  <si>
    <t xml:space="preserve">apenas</t>
  </si>
  <si>
    <t xml:space="preserve">seulement</t>
  </si>
  <si>
    <t xml:space="preserve">a amostra</t>
  </si>
  <si>
    <t xml:space="preserve">l'échantillon, l'exemple</t>
  </si>
  <si>
    <t xml:space="preserve">próxima</t>
  </si>
  <si>
    <t xml:space="preserve">limpar</t>
  </si>
  <si>
    <t xml:space="preserve">nettoyer, effacer</t>
  </si>
  <si>
    <t xml:space="preserve">a trovoada</t>
  </si>
  <si>
    <t xml:space="preserve">l'orage</t>
  </si>
  <si>
    <t xml:space="preserve">a qualquer hora</t>
  </si>
  <si>
    <t xml:space="preserve">à toute heure</t>
  </si>
  <si>
    <t xml:space="preserve">esquecido</t>
  </si>
  <si>
    <t xml:space="preserve">oublié</t>
  </si>
  <si>
    <t xml:space="preserve">o cargo de liderança</t>
  </si>
  <si>
    <t xml:space="preserve">la position de leader</t>
  </si>
  <si>
    <t xml:space="preserve">pancadas</t>
  </si>
  <si>
    <t xml:space="preserve">des vents forts</t>
  </si>
  <si>
    <t xml:space="preserve">enchente</t>
  </si>
  <si>
    <t xml:space="preserve">l'inondation</t>
  </si>
  <si>
    <t xml:space="preserve">espalhar</t>
  </si>
  <si>
    <t xml:space="preserve">se propager</t>
  </si>
  <si>
    <t xml:space="preserve">alagar</t>
  </si>
  <si>
    <t xml:space="preserve">inonder</t>
  </si>
  <si>
    <t xml:space="preserve">nadar</t>
  </si>
  <si>
    <t xml:space="preserve">nager</t>
  </si>
  <si>
    <t xml:space="preserve">a janela</t>
  </si>
  <si>
    <t xml:space="preserve">la fenêtre</t>
  </si>
  <si>
    <t xml:space="preserve">na tela</t>
  </si>
  <si>
    <t xml:space="preserve">sur l'écran</t>
  </si>
  <si>
    <t xml:space="preserve">aluguel (common name)</t>
  </si>
  <si>
    <t xml:space="preserve">la location</t>
  </si>
  <si>
    <t xml:space="preserve">a lenda</t>
  </si>
  <si>
    <t xml:space="preserve">la légende</t>
  </si>
  <si>
    <t xml:space="preserve">o superavit</t>
  </si>
  <si>
    <t xml:space="preserve">un surplus, un excédent</t>
  </si>
  <si>
    <t xml:space="preserve">o desempenho</t>
  </si>
  <si>
    <t xml:space="preserve">la performance</t>
  </si>
  <si>
    <t xml:space="preserve">o morador</t>
  </si>
  <si>
    <t xml:space="preserve">le résident</t>
  </si>
  <si>
    <t xml:space="preserve">roupas</t>
  </si>
  <si>
    <t xml:space="preserve">vêtements / prêt-à-porter</t>
  </si>
  <si>
    <t xml:space="preserve">dentre outros</t>
  </si>
  <si>
    <t xml:space="preserve">entre autres</t>
  </si>
  <si>
    <t xml:space="preserve">entrei em contato com</t>
  </si>
  <si>
    <t xml:space="preserve">Je suis entré en contact avec</t>
  </si>
  <si>
    <t xml:space="preserve">Nombre de révisions</t>
  </si>
  <si>
    <t xml:space="preserve">Date</t>
  </si>
  <si>
    <t xml:space="preserve">N°</t>
  </si>
  <si>
    <t xml:space="preserve">Nombre de questions posées</t>
  </si>
  <si>
    <t xml:space="preserve">% test</t>
  </si>
  <si>
    <t xml:space="preserve">% rattrapage</t>
  </si>
  <si>
    <t xml:space="preserve">Moyenne test</t>
  </si>
  <si>
    <t xml:space="preserve">+3σ test</t>
  </si>
  <si>
    <t xml:space="preserve">-3σ test</t>
  </si>
  <si>
    <t xml:space="preserve">Moyenne rattrapage</t>
  </si>
  <si>
    <t xml:space="preserve">+3σ rattrapage</t>
  </si>
  <si>
    <t xml:space="preserve">-3σ rattrapage</t>
  </si>
  <si>
    <t xml:space="preserve">Il attendait impatiemment qu'ils partent.</t>
  </si>
  <si>
    <t xml:space="preserve">tranche, versement</t>
  </si>
  <si>
    <t xml:space="preserve">minimum, réduit à l’essentiel</t>
  </si>
  <si>
    <t xml:space="preserve">le goudron</t>
  </si>
  <si>
    <t xml:space="preserve">peaux (de bête)</t>
  </si>
  <si>
    <t xml:space="preserve">la hanche</t>
  </si>
  <si>
    <t xml:space="preserve">la noix de muscade</t>
  </si>
  <si>
    <t xml:space="preserve">ferme, solide</t>
  </si>
  <si>
    <t xml:space="preserve">la fin est proche</t>
  </si>
  <si>
    <t xml:space="preserve">s’inscrire</t>
  </si>
  <si>
    <t xml:space="preserve">plissé</t>
  </si>
  <si>
    <t xml:space="preserve">un tremblement</t>
  </si>
  <si>
    <t xml:space="preserve">le museau, le groin</t>
  </si>
  <si>
    <t xml:space="preserve">baratin</t>
  </si>
  <si>
    <t xml:space="preserve">éclatement, scission</t>
  </si>
  <si>
    <t xml:space="preserve">paperasserie</t>
  </si>
  <si>
    <t xml:space="preserve">la clémence</t>
  </si>
  <si>
    <t xml:space="preserve">une boîte de conserve de haricots</t>
  </si>
  <si>
    <t xml:space="preserve">chanceler, vaciller, tituber</t>
  </si>
  <si>
    <t xml:space="preserve">le coup de chance</t>
  </si>
  <si>
    <t xml:space="preserve">a janitor</t>
  </si>
  <si>
    <t xml:space="preserve">un concierge</t>
  </si>
  <si>
    <t xml:space="preserve">vague</t>
  </si>
  <si>
    <t xml:space="preserve">a paycheck</t>
  </si>
  <si>
    <t xml:space="preserve">un salaire</t>
  </si>
  <si>
    <t xml:space="preserve">bafouer, fouler aux pied</t>
  </si>
  <si>
    <t xml:space="preserve">a dale</t>
  </si>
  <si>
    <t xml:space="preserve">une vallée</t>
  </si>
  <si>
    <t xml:space="preserve">série de match de foot</t>
  </si>
  <si>
    <t xml:space="preserve">lead time</t>
  </si>
  <si>
    <t xml:space="preserve">délai de mise en œuvre</t>
  </si>
  <si>
    <t xml:space="preserve">effet de levier, infuence</t>
  </si>
  <si>
    <t xml:space="preserve">a knave</t>
  </si>
  <si>
    <t xml:space="preserve">un fripon, un coquin</t>
  </si>
  <si>
    <t xml:space="preserve">trait, caractéristique</t>
  </si>
  <si>
    <t xml:space="preserve">to assuage</t>
  </si>
  <si>
    <t xml:space="preserve">apaiser</t>
  </si>
  <si>
    <t xml:space="preserve">incroyable, saisissant</t>
  </si>
  <si>
    <t xml:space="preserve">to go bust</t>
  </si>
  <si>
    <t xml:space="preserve">faire faillite</t>
  </si>
  <si>
    <t xml:space="preserve">les béquilles</t>
  </si>
  <si>
    <t xml:space="preserve">to abate</t>
  </si>
  <si>
    <t xml:space="preserve">diminuer</t>
  </si>
  <si>
    <t xml:space="preserve">saut de haie</t>
  </si>
  <si>
    <t xml:space="preserve">fern (common name)</t>
  </si>
  <si>
    <t xml:space="preserve">la fougère</t>
  </si>
  <si>
    <t xml:space="preserve">Bonne chance !</t>
  </si>
  <si>
    <t xml:space="preserve">a mongrel</t>
  </si>
  <si>
    <t xml:space="preserve">un bâtard / un métis</t>
  </si>
  <si>
    <t xml:space="preserve">un crachoir</t>
  </si>
  <si>
    <t xml:space="preserve">a spur</t>
  </si>
  <si>
    <t xml:space="preserve">un éperon</t>
  </si>
  <si>
    <t xml:space="preserve">borné</t>
  </si>
  <si>
    <t xml:space="preserve">a retrieval</t>
  </si>
  <si>
    <t xml:space="preserve">une récupération, un recouvrement</t>
  </si>
  <si>
    <t xml:space="preserve">s’évanouir</t>
  </si>
  <si>
    <t xml:space="preserve">to get by</t>
  </si>
  <si>
    <t xml:space="preserve">se débrouiller, s’en sortir</t>
  </si>
  <si>
    <t xml:space="preserve">les incisives</t>
  </si>
  <si>
    <t xml:space="preserve">stilted</t>
  </si>
  <si>
    <t xml:space="preserve">guindé</t>
  </si>
  <si>
    <t xml:space="preserve">une tache</t>
  </si>
  <si>
    <t xml:space="preserve">a straitjacket</t>
  </si>
  <si>
    <t xml:space="preserve">une camisole de force</t>
  </si>
  <si>
    <t xml:space="preserve">ceci étant</t>
  </si>
  <si>
    <t xml:space="preserve">a nook</t>
  </si>
  <si>
    <t xml:space="preserve">un coin</t>
  </si>
  <si>
    <t xml:space="preserve">releveur de compteur</t>
  </si>
  <si>
    <t xml:space="preserve">quaint</t>
  </si>
  <si>
    <t xml:space="preserve">pittoresque, original</t>
  </si>
  <si>
    <t xml:space="preserve">nippes</t>
  </si>
  <si>
    <t xml:space="preserve">a clipboard</t>
  </si>
  <si>
    <t xml:space="preserve">un presse-papier</t>
  </si>
  <si>
    <t xml:space="preserve">un relâchement</t>
  </si>
  <si>
    <t xml:space="preserve">subsidized</t>
  </si>
  <si>
    <t xml:space="preserve">subventionné</t>
  </si>
  <si>
    <t xml:space="preserve">terne, mat, ennuyeux</t>
  </si>
  <si>
    <t xml:space="preserve">nigh</t>
  </si>
  <si>
    <t xml:space="preserve">une folie</t>
  </si>
  <si>
    <t xml:space="preserve">a rim</t>
  </si>
  <si>
    <t xml:space="preserve">une jante</t>
  </si>
  <si>
    <t xml:space="preserve">une bête / une personne ignorante</t>
  </si>
  <si>
    <t xml:space="preserve">a tip</t>
  </si>
  <si>
    <t xml:space="preserve">un conseil, un tuyau</t>
  </si>
  <si>
    <t xml:space="preserve">gronder (tonnerre, …)</t>
  </si>
  <si>
    <t xml:space="preserve">attrition</t>
  </si>
  <si>
    <t xml:space="preserve">usure</t>
  </si>
  <si>
    <t xml:space="preserve">rassemblement, réunion</t>
  </si>
  <si>
    <t xml:space="preserve">with respect to</t>
  </si>
  <si>
    <t xml:space="preserve">par rapport à</t>
  </si>
  <si>
    <t xml:space="preserve">faire visiter</t>
  </si>
  <si>
    <t xml:space="preserve">to tromp</t>
  </si>
  <si>
    <t xml:space="preserve">marcher sur un terrain difficile</t>
  </si>
  <si>
    <t xml:space="preserve">attraper</t>
  </si>
  <si>
    <t xml:space="preserve">boisterous</t>
  </si>
  <si>
    <t xml:space="preserve">bruyant, tapageur, tumultueux</t>
  </si>
  <si>
    <t xml:space="preserve">un parvenu, un arriviste</t>
  </si>
  <si>
    <t xml:space="preserve">to wring</t>
  </si>
  <si>
    <t xml:space="preserve">essorer</t>
  </si>
  <si>
    <t xml:space="preserve">cinglant, acerbe</t>
  </si>
  <si>
    <t xml:space="preserve">a lurch</t>
  </si>
  <si>
    <t xml:space="preserve">une embardée</t>
  </si>
  <si>
    <t xml:space="preserve">une mainmise</t>
  </si>
  <si>
    <t xml:space="preserve">Découvert</t>
  </si>
  <si>
    <t xml:space="preserve">conque (coquillage)</t>
  </si>
  <si>
    <t xml:space="preserve">croustillant</t>
  </si>
  <si>
    <t xml:space="preserve">trébucher, broncher, tomber sur</t>
  </si>
  <si>
    <t xml:space="preserve">Expédier, envoyer</t>
  </si>
  <si>
    <t xml:space="preserve">mésaventures</t>
  </si>
  <si>
    <t xml:space="preserve">Publicité tapageuse, battage, matraquage</t>
  </si>
  <si>
    <t xml:space="preserve">recueillir</t>
  </si>
  <si>
    <t xml:space="preserve">escrocs</t>
  </si>
  <si>
    <t xml:space="preserve">bouillant</t>
  </si>
  <si>
    <t xml:space="preserve">teintures</t>
  </si>
  <si>
    <t xml:space="preserve">De peur d'être mal compris, …</t>
  </si>
  <si>
    <t xml:space="preserve">il s'affala dans son fauteuil</t>
  </si>
  <si>
    <t xml:space="preserve">Corrections</t>
  </si>
  <si>
    <t xml:space="preserve">Moy</t>
  </si>
  <si>
    <t xml:space="preserve">Nombre de Brasileiro</t>
  </si>
  <si>
    <t xml:space="preserve">% pas demandés</t>
  </si>
  <si>
    <t xml:space="preserve">Nombre de tests</t>
  </si>
  <si>
    <t xml:space="preserve">Mots jamais demandés</t>
  </si>
  <si>
    <t xml:space="preserve">Total Result</t>
  </si>
  <si>
    <t xml:space="preserve">N.</t>
  </si>
  <si>
    <t xml:space="preserve">Modification</t>
  </si>
  <si>
    <t xml:space="preserve">Raison</t>
  </si>
  <si>
    <t xml:space="preserve">Grands principes de l'ISO 9000:2015</t>
  </si>
  <si>
    <t xml:space="preserve">Création du document</t>
  </si>
  <si>
    <t xml:space="preserve">Niveau obtenu suite à évaluation de mon niveau en anglais sur le site @ du CAE : B2.</t>
  </si>
  <si>
    <t xml:space="preserve">O</t>
  </si>
  <si>
    <t xml:space="preserve">Orientation client</t>
  </si>
  <si>
    <t xml:space="preserve">Création de la colonne "Date"</t>
  </si>
  <si>
    <t xml:space="preserve">Nécessité de suivre l'alternance anglais/allemand</t>
  </si>
  <si>
    <t xml:space="preserve">L</t>
  </si>
  <si>
    <t xml:space="preserve">Leadership</t>
  </si>
  <si>
    <t xml:space="preserve">Suppression des onglets de grammaire</t>
  </si>
  <si>
    <t xml:space="preserve">Pas consultés</t>
  </si>
  <si>
    <t xml:space="preserve">I</t>
  </si>
  <si>
    <t xml:space="preserve">Implication du personnel</t>
  </si>
  <si>
    <t xml:space="preserve">Enrichissement</t>
  </si>
  <si>
    <t xml:space="preserve">A</t>
  </si>
  <si>
    <t xml:space="preserve">Approche processus</t>
  </si>
  <si>
    <t xml:space="preserve">Amélioration continue</t>
  </si>
  <si>
    <t xml:space="preserve">Approche factuelle pour la prise de décision</t>
  </si>
  <si>
    <t xml:space="preserve">R</t>
  </si>
  <si>
    <t xml:space="preserve">Relations mutuellement bénéfiques</t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</si>
</sst>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m/d/yyyy"/>
    <numFmt numFmtId="166" formatCode="0"/>
    <numFmt numFmtId="167" formatCode="d\-mmm"/>
    <numFmt numFmtId="168" formatCode="0.00%"/>
    <numFmt numFmtId="169" formatCode="General"/>
    <numFmt numFmtId="170" formatCode="0%"/>
  </numFmts>
  <fonts count="1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2"/>
      <color theme="1"/>
      <name val="Arial"/>
      <family val="2"/>
      <charset val="1"/>
    </font>
    <font>
      <sz val="12"/>
      <color theme="0" tint="-0.05"/>
      <name val="Arial"/>
      <family val="2"/>
      <charset val="1"/>
    </font>
    <font>
      <sz val="12"/>
      <color theme="0"/>
      <name val="Arial"/>
      <family val="2"/>
      <charset val="1"/>
    </font>
    <font>
      <sz val="10"/>
      <color theme="1"/>
      <name val="Arial"/>
      <family val="2"/>
      <charset val="1"/>
    </font>
    <font>
      <sz val="12"/>
      <color rgb="FFFF0000"/>
      <name val="Arial"/>
      <family val="2"/>
      <charset val="1"/>
    </font>
    <font>
      <b val="true"/>
      <sz val="12"/>
      <color theme="1"/>
      <name val="Arial"/>
      <family val="2"/>
      <charset val="1"/>
    </font>
    <font>
      <b val="true"/>
      <sz val="12"/>
      <color theme="0" tint="-0.05"/>
      <name val="Arial"/>
      <family val="2"/>
      <charset val="1"/>
    </font>
    <font>
      <sz val="9"/>
      <color rgb="FF595959"/>
      <name val="Calibri"/>
      <family val="2"/>
    </font>
    <font>
      <sz val="12"/>
      <color rgb="FF000000"/>
      <name val="Arial"/>
      <family val="0"/>
      <charset val="1"/>
    </font>
    <font>
      <sz val="12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5" tint="0.5999"/>
        <bgColor rgb="FFFBE5D6"/>
      </patternFill>
    </fill>
  </fills>
  <borders count="14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 style="thin"/>
      <bottom style="thin"/>
      <diagonal/>
    </border>
  </borders>
  <cellStyleXfs count="26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</cellStyleXfs>
  <cellXfs count="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left" vertical="center" textRotation="0" wrapText="true" indent="0" shrinkToFit="false"/>
      <protection locked="true" hidden="false"/>
    </xf>
    <xf numFmtId="164" fontId="5" fillId="0" borderId="0" xfId="0" applyFont="true" applyBorder="false" applyAlignment="true" applyProtection="false">
      <alignment horizontal="right" vertical="center" textRotation="0" wrapText="tru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5" fontId="5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9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5" fontId="10" fillId="3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0" fillId="3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10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11" fillId="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8" fillId="2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6" fontId="8" fillId="2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8" fillId="2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7" fontId="5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6" fontId="8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8" fillId="2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" xfId="2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5" xfId="2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0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6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7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9" fontId="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8" xfId="23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9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5" fillId="0" borderId="0" xfId="19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8" fontId="5" fillId="0" borderId="0" xfId="19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0" borderId="10" xfId="21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1" xfId="24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4" fillId="0" borderId="12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1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0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12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ivot Table Corner" xfId="20"/>
    <cellStyle name="Pivot Table Value" xfId="21"/>
    <cellStyle name="Pivot Table Field" xfId="22"/>
    <cellStyle name="Pivot Table Category" xfId="23"/>
    <cellStyle name="Pivot Table Title" xfId="24"/>
    <cellStyle name="Pivot Table Result" xfId="25"/>
  </cellStyles>
  <dxfs count="2"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F2F2"/>
      <rgbColor rgb="FFCCFFFF"/>
      <rgbColor rgb="FF660066"/>
      <rgbColor rgb="FFFF8080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BE5D6"/>
      <rgbColor rgb="FF99CCFF"/>
      <rgbColor rgb="FFFF99CC"/>
      <rgbColor rgb="FFCC99FF"/>
      <rgbColor rgb="FFF8CBAD"/>
      <rgbColor rgb="FF3366FF"/>
      <rgbColor rgb="FF33CCCC"/>
      <rgbColor rgb="FF99CC00"/>
      <rgbColor rgb="FFFFCC00"/>
      <rgbColor rgb="FFFF9900"/>
      <rgbColor rgb="FFED7D31"/>
      <rgbColor rgb="FF59595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sharedStrings" Target="sharedStrings.xml"/><Relationship Id="rId10" Type="http://schemas.openxmlformats.org/officeDocument/2006/relationships/pivotCacheDefinition" Target="pivotCache/pivotCacheDefinition1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spPr>
            <a:solidFill>
              <a:srgbClr val="0070c0"/>
            </a:solidFill>
            <a:ln w="28440">
              <a:noFill/>
            </a:ln>
          </c:spPr>
          <c:marker>
            <c:symbol val="circle"/>
            <c:size val="5"/>
            <c:spPr>
              <a:solidFill>
                <a:srgbClr val="0070c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voc_macro!$D$12:$D$163</c:f>
              <c:numCache>
                <c:formatCode>0</c:formatCode>
                <c:ptCount val="152"/>
                <c:pt idx="0">
                  <c:v>74</c:v>
                </c:pt>
                <c:pt idx="1">
                  <c:v>86</c:v>
                </c:pt>
                <c:pt idx="2">
                  <c:v>88</c:v>
                </c:pt>
                <c:pt idx="3">
                  <c:v>91</c:v>
                </c:pt>
                <c:pt idx="4">
                  <c:v>93</c:v>
                </c:pt>
                <c:pt idx="5">
                  <c:v>93</c:v>
                </c:pt>
                <c:pt idx="6">
                  <c:v>78</c:v>
                </c:pt>
                <c:pt idx="7">
                  <c:v>78</c:v>
                </c:pt>
              </c:numCache>
            </c:numRef>
          </c:val>
          <c:smooth val="0"/>
        </c:ser>
        <c:ser>
          <c:idx val="1"/>
          <c:order val="1"/>
          <c:spPr>
            <a:solidFill>
              <a:srgbClr val="000000"/>
            </a:solidFill>
            <a:ln cap="rnd" w="28440">
              <a:solidFill>
                <a:srgbClr val="00000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voc_macro!$K$12:$K$163</c:f>
              <c:numCache>
                <c:formatCode>0</c:formatCode>
                <c:ptCount val="152"/>
                <c:pt idx="0">
                  <c:v>106.148424435615</c:v>
                </c:pt>
                <c:pt idx="1">
                  <c:v>106.148424435615</c:v>
                </c:pt>
                <c:pt idx="2">
                  <c:v>106.148424435615</c:v>
                </c:pt>
                <c:pt idx="3">
                  <c:v>106.148424435615</c:v>
                </c:pt>
                <c:pt idx="4">
                  <c:v>106.148424435615</c:v>
                </c:pt>
                <c:pt idx="5">
                  <c:v>106.148424435615</c:v>
                </c:pt>
                <c:pt idx="6">
                  <c:v>106.148424435615</c:v>
                </c:pt>
                <c:pt idx="7">
                  <c:v>106.148424435615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11788989"/>
        <c:axId val="77282251"/>
      </c:lineChart>
      <c:catAx>
        <c:axId val="1178898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77282251"/>
        <c:crosses val="autoZero"/>
        <c:auto val="1"/>
        <c:lblAlgn val="ctr"/>
        <c:lblOffset val="100"/>
        <c:noMultiLvlLbl val="0"/>
      </c:catAx>
      <c:valAx>
        <c:axId val="77282251"/>
        <c:scaling>
          <c:orientation val="minMax"/>
          <c:max val="10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1788989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lineChart>
        <c:grouping val="standard"/>
        <c:varyColors val="0"/>
        <c:ser>
          <c:idx val="0"/>
          <c:order val="0"/>
          <c:spPr>
            <a:solidFill>
              <a:srgbClr val="ed7d31"/>
            </a:solidFill>
            <a:ln w="28440">
              <a:noFill/>
            </a:ln>
          </c:spPr>
          <c:marker>
            <c:symbol val="circle"/>
            <c:size val="5"/>
            <c:spPr>
              <a:solidFill>
                <a:srgbClr val="ed7d31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voc_macro!$E$12:$E$163</c:f>
              <c:numCache>
                <c:formatCode>0</c:formatCode>
                <c:ptCount val="152"/>
                <c:pt idx="0">
                  <c:v>69.2307692307692</c:v>
                </c:pt>
                <c:pt idx="1">
                  <c:v>71.4285714285714</c:v>
                </c:pt>
                <c:pt idx="2">
                  <c:v>83.3333333333333</c:v>
                </c:pt>
                <c:pt idx="3">
                  <c:v>100</c:v>
                </c:pt>
                <c:pt idx="4">
                  <c:v>71.4285714285714</c:v>
                </c:pt>
                <c:pt idx="5">
                  <c:v>71.4285714285714</c:v>
                </c:pt>
                <c:pt idx="6">
                  <c:v>90.9090909090909</c:v>
                </c:pt>
                <c:pt idx="7">
                  <c:v>86.3636363636364</c:v>
                </c:pt>
              </c:numCache>
            </c:numRef>
          </c:val>
          <c:smooth val="0"/>
        </c:ser>
        <c:ser>
          <c:idx val="1"/>
          <c:order val="1"/>
          <c:spPr>
            <a:solidFill>
              <a:srgbClr val="000000"/>
            </a:solidFill>
            <a:ln cap="rnd" w="28440">
              <a:solidFill>
                <a:srgbClr val="000000"/>
              </a:solidFill>
              <a:prstDash val="sysDot"/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voc_macro!$N$12:$N$163</c:f>
              <c:numCache>
                <c:formatCode>0</c:formatCode>
                <c:ptCount val="152"/>
                <c:pt idx="0">
                  <c:v>112.42119100608</c:v>
                </c:pt>
                <c:pt idx="1">
                  <c:v>112.42119100608</c:v>
                </c:pt>
                <c:pt idx="2">
                  <c:v>112.42119100608</c:v>
                </c:pt>
                <c:pt idx="3">
                  <c:v>112.42119100608</c:v>
                </c:pt>
                <c:pt idx="4">
                  <c:v>112.42119100608</c:v>
                </c:pt>
                <c:pt idx="5">
                  <c:v>112.42119100608</c:v>
                </c:pt>
                <c:pt idx="6">
                  <c:v>112.42119100608</c:v>
                </c:pt>
                <c:pt idx="7">
                  <c:v>112.42119100608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84642297"/>
        <c:axId val="18737935"/>
      </c:lineChart>
      <c:catAx>
        <c:axId val="84642297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1"/>
        <c:majorTickMark val="out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8737935"/>
        <c:crosses val="autoZero"/>
        <c:auto val="1"/>
        <c:lblAlgn val="ctr"/>
        <c:lblOffset val="100"/>
        <c:noMultiLvlLbl val="0"/>
      </c:catAx>
      <c:valAx>
        <c:axId val="18737935"/>
        <c:scaling>
          <c:orientation val="minMax"/>
          <c:max val="10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4642297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fr-FR" sz="1200" spc="-1" strike="noStrike">
                <a:solidFill>
                  <a:srgbClr val="000000"/>
                </a:solidFill>
                <a:latin typeface="Arial"/>
              </a:defRPr>
            </a:pPr>
            <a:r>
              <a:rPr b="0" lang="fr-FR" sz="1200" spc="-1" strike="noStrike">
                <a:solidFill>
                  <a:srgbClr val="000000"/>
                </a:solidFill>
                <a:latin typeface="Arial"/>
              </a:rPr>
              <a:t>Nombre de corrections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ineChart>
        <c:grouping val="standard"/>
        <c:varyColors val="0"/>
        <c:ser>
          <c:idx val="0"/>
          <c:order val="0"/>
          <c:tx>
            <c:strRef>
              <c:f>corrections!$A$18</c:f>
              <c:strCache>
                <c:ptCount val="1"/>
                <c:pt idx="0">
                  <c:v>Corrections</c:v>
                </c:pt>
              </c:strCache>
            </c:strRef>
          </c:tx>
          <c:spPr>
            <a:solidFill>
              <a:srgbClr val="000000"/>
            </a:solidFill>
            <a:ln cap="rnd" w="3240">
              <a:solidFill>
                <a:srgbClr val="000000"/>
              </a:solidFill>
              <a:round/>
            </a:ln>
          </c:spPr>
          <c:marker>
            <c:symbol val="circle"/>
            <c:size val="8"/>
            <c:spPr>
              <a:solidFill>
                <a:srgbClr val="000000"/>
              </a:solidFill>
            </c:spPr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trendline>
            <c:spPr>
              <a:ln cap="rnd" w="3240">
                <a:solidFill>
                  <a:srgbClr val="000000"/>
                </a:solidFill>
                <a:round/>
              </a:ln>
            </c:spPr>
            <c:trendlineType val="movingAvg"/>
            <c:period val="5"/>
            <c:forward val="0"/>
            <c:backward val="0"/>
            <c:dispRSqr val="0"/>
            <c:dispEq val="0"/>
          </c:trendline>
          <c:val>
            <c:numRef>
              <c:f>corrections!$A$19:$A$24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corrections!$B$18</c:f>
              <c:strCache>
                <c:ptCount val="1"/>
                <c:pt idx="0">
                  <c:v>Moy</c:v>
                </c:pt>
              </c:strCache>
            </c:strRef>
          </c:tx>
          <c:spPr>
            <a:solidFill>
              <a:srgbClr val="000000"/>
            </a:solidFill>
            <a:ln cap="rnd" w="19080">
              <a:solidFill>
                <a:srgbClr val="000000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corrections!$B$19:$B$24</c:f>
              <c:numCache>
                <c:formatCode>0</c:formatCode>
                <c:ptCount val="6"/>
                <c:pt idx="0">
                  <c:v>0.333333333333333</c:v>
                </c:pt>
                <c:pt idx="1">
                  <c:v>0.333333333333333</c:v>
                </c:pt>
                <c:pt idx="2">
                  <c:v>0.333333333333333</c:v>
                </c:pt>
                <c:pt idx="3">
                  <c:v>0.333333333333333</c:v>
                </c:pt>
                <c:pt idx="4">
                  <c:v>0.333333333333333</c:v>
                </c:pt>
                <c:pt idx="5">
                  <c:v>0.333333333333333</c:v>
                </c:pt>
              </c:numCache>
            </c:numRef>
          </c:val>
          <c:smooth val="0"/>
        </c:ser>
        <c:hiLowLines>
          <c:spPr>
            <a:ln w="0">
              <a:noFill/>
            </a:ln>
          </c:spPr>
        </c:hiLowLines>
        <c:marker val="1"/>
        <c:axId val="39682012"/>
        <c:axId val="29173950"/>
      </c:lineChart>
      <c:catAx>
        <c:axId val="396820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29173950"/>
        <c:crosses val="autoZero"/>
        <c:auto val="1"/>
        <c:lblAlgn val="ctr"/>
        <c:lblOffset val="100"/>
        <c:noMultiLvlLbl val="0"/>
      </c:catAx>
      <c:valAx>
        <c:axId val="29173950"/>
        <c:scaling>
          <c:orientation val="minMax"/>
          <c:max val="25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3968201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fr-FR" sz="1200" spc="-1" strike="noStrike">
                <a:solidFill>
                  <a:srgbClr val="000000"/>
                </a:solidFill>
                <a:latin typeface="Arial"/>
              </a:defRPr>
            </a:pPr>
            <a:r>
              <a:rPr b="0" lang="fr-FR" sz="1200" spc="-1" strike="noStrike">
                <a:solidFill>
                  <a:srgbClr val="000000"/>
                </a:solidFill>
                <a:latin typeface="Arial"/>
              </a:rPr>
              <a:t>Proportion de mots jamais demandés selon le nombre de tests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areaChart>
        <c:grouping val="standard"/>
        <c:ser>
          <c:idx val="0"/>
          <c:order val="0"/>
          <c:tx>
            <c:strRef>
              <c:f>GCD!$I$3</c:f>
              <c:strCache>
                <c:ptCount val="1"/>
                <c:pt idx="0">
                  <c:v>% pas demandés</c:v>
                </c:pt>
              </c:strCache>
            </c:strRef>
          </c:tx>
          <c:spPr>
            <a:solidFill>
              <a:srgbClr val="fbe5d6"/>
            </a:solidFill>
            <a:ln w="12600">
              <a:solidFill>
                <a:srgbClr val="ed7d31"/>
              </a:solidFill>
              <a:round/>
            </a:ln>
          </c:spP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val>
            <c:numRef>
              <c:f>GCD!$I$4:$I$5</c:f>
              <c:numCache>
                <c:formatCode>0.00%</c:formatCode>
                <c:ptCount val="2"/>
                <c:pt idx="0">
                  <c:v>0.1221</c:v>
                </c:pt>
                <c:pt idx="1">
                  <c:v>0.194</c:v>
                </c:pt>
              </c:numCache>
            </c:numRef>
          </c:val>
        </c:ser>
        <c:axId val="99781756"/>
        <c:axId val="10245333"/>
      </c:areaChart>
      <c:catAx>
        <c:axId val="99781756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10245333"/>
        <c:crosses val="autoZero"/>
        <c:auto val="1"/>
        <c:lblAlgn val="ctr"/>
        <c:lblOffset val="100"/>
        <c:noMultiLvlLbl val="0"/>
      </c:catAx>
      <c:valAx>
        <c:axId val="10245333"/>
        <c:scaling>
          <c:orientation val="minMax"/>
          <c:max val="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0.00%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9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99781756"/>
        <c:crosses val="autoZero"/>
        <c:crossBetween val="midCat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200" spc="-1" strike="noStrike">
                <a:solidFill>
                  <a:srgbClr val="000000"/>
                </a:solidFill>
                <a:latin typeface="Arial"/>
              </a:defRPr>
            </a:pPr>
            <a:r>
              <a:rPr b="0" lang="en-US" sz="1200" spc="-1" strike="noStrike">
                <a:solidFill>
                  <a:srgbClr val="000000"/>
                </a:solidFill>
                <a:latin typeface="Arial"/>
              </a:rPr>
              <a:t>Nombre de mots demandés n-fois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GCD!$B$3</c:f>
              <c:strCache>
                <c:ptCount val="1"/>
                <c:pt idx="0">
                  <c:v>Nombre de Brasileiro</c:v>
                </c:pt>
              </c:strCache>
            </c:strRef>
          </c:tx>
          <c:spPr>
            <a:solidFill>
              <a:srgbClr val="ed7d31"/>
            </a:solid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GCD!$A$4:$A$19</c:f>
              <c:strCach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15</c:v>
                </c:pt>
                <c:pt idx="14">
                  <c:v>Total Result</c:v>
                </c:pt>
                <c:pt idx="15">
                  <c:v/>
                </c:pt>
              </c:strCache>
            </c:strRef>
          </c:cat>
          <c:val>
            <c:numRef>
              <c:f>GCD!$B$4:$B$19</c:f>
              <c:numCache>
                <c:formatCode>General</c:formatCode>
                <c:ptCount val="16"/>
                <c:pt idx="0">
                  <c:v>91</c:v>
                </c:pt>
                <c:pt idx="1">
                  <c:v>36</c:v>
                </c:pt>
                <c:pt idx="2">
                  <c:v>16</c:v>
                </c:pt>
                <c:pt idx="3">
                  <c:v>15</c:v>
                </c:pt>
                <c:pt idx="4">
                  <c:v>14</c:v>
                </c:pt>
                <c:pt idx="5">
                  <c:v>25</c:v>
                </c:pt>
                <c:pt idx="6">
                  <c:v>28</c:v>
                </c:pt>
                <c:pt idx="7">
                  <c:v>22</c:v>
                </c:pt>
                <c:pt idx="8">
                  <c:v>13</c:v>
                </c:pt>
                <c:pt idx="9">
                  <c:v>10</c:v>
                </c:pt>
                <c:pt idx="10">
                  <c:v>3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278</c:v>
                </c:pt>
              </c:numCache>
            </c:numRef>
          </c:val>
        </c:ser>
        <c:gapWidth val="15"/>
        <c:overlap val="-27"/>
        <c:axId val="33329364"/>
        <c:axId val="77469076"/>
      </c:barChart>
      <c:catAx>
        <c:axId val="333293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77469076"/>
        <c:crosses val="autoZero"/>
        <c:auto val="1"/>
        <c:lblAlgn val="ctr"/>
        <c:lblOffset val="100"/>
        <c:noMultiLvlLbl val="0"/>
      </c:catAx>
      <c:valAx>
        <c:axId val="77469076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6480">
            <a:noFill/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Arial"/>
              </a:defRPr>
            </a:pPr>
          </a:p>
        </c:txPr>
        <c:crossAx val="33329364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trlProps/ctrlProps2.xml><?xml version="1.0" encoding="utf-8"?>
<formControlPr xmlns="http://schemas.microsoft.com/office/spreadsheetml/2009/9/main" objectType="Button" lockText="1"/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image" Target="../media/image4.png"/><Relationship Id="rId7" Type="http://schemas.openxmlformats.org/officeDocument/2006/relationships/image" Target="../media/image5.png"/><Relationship Id="rId8" Type="http://schemas.openxmlformats.org/officeDocument/2006/relationships/image" Target="../media/image6.png"/><Relationship Id="rId9" Type="http://schemas.openxmlformats.org/officeDocument/2006/relationships/image" Target="../media/image7.png"/><Relationship Id="rId10" Type="http://schemas.openxmlformats.org/officeDocument/2006/relationships/image" Target="../media/image8.png"/><Relationship Id="rId11" Type="http://schemas.openxmlformats.org/officeDocument/2006/relationships/image" Target="../media/image9.png"/><Relationship Id="rId12" Type="http://schemas.openxmlformats.org/officeDocument/2006/relationships/image" Target="../media/image10.png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_rels/drawing4.xml.rels><?xml version="1.0" encoding="UTF-8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834480</xdr:colOff>
      <xdr:row>0</xdr:row>
      <xdr:rowOff>76320</xdr:rowOff>
    </xdr:from>
    <xdr:to>
      <xdr:col>11</xdr:col>
      <xdr:colOff>145440</xdr:colOff>
      <xdr:row>9</xdr:row>
      <xdr:rowOff>446760</xdr:rowOff>
    </xdr:to>
    <xdr:graphicFrame>
      <xdr:nvGraphicFramePr>
        <xdr:cNvPr id="0" name="Graphique 11"/>
        <xdr:cNvGraphicFramePr/>
      </xdr:nvGraphicFramePr>
      <xdr:xfrm>
        <a:off x="3982320" y="76320"/>
        <a:ext cx="7047720" cy="53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291240</xdr:colOff>
      <xdr:row>0</xdr:row>
      <xdr:rowOff>77400</xdr:rowOff>
    </xdr:from>
    <xdr:to>
      <xdr:col>16</xdr:col>
      <xdr:colOff>730080</xdr:colOff>
      <xdr:row>9</xdr:row>
      <xdr:rowOff>447840</xdr:rowOff>
    </xdr:to>
    <xdr:graphicFrame>
      <xdr:nvGraphicFramePr>
        <xdr:cNvPr id="1" name="Graphique 12"/>
        <xdr:cNvGraphicFramePr/>
      </xdr:nvGraphicFramePr>
      <xdr:xfrm>
        <a:off x="11175840" y="77400"/>
        <a:ext cx="7017480" cy="53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101520</xdr:colOff>
      <xdr:row>2</xdr:row>
      <xdr:rowOff>276840</xdr:rowOff>
    </xdr:from>
    <xdr:to>
      <xdr:col>0</xdr:col>
      <xdr:colOff>1085400</xdr:colOff>
      <xdr:row>3</xdr:row>
      <xdr:rowOff>586440</xdr:rowOff>
    </xdr:to>
    <xdr:pic>
      <xdr:nvPicPr>
        <xdr:cNvPr id="2" name="Image 30" descr="Drapeau"/>
        <xdr:cNvPicPr/>
      </xdr:nvPicPr>
      <xdr:blipFill>
        <a:blip r:embed="rId3"/>
        <a:stretch/>
      </xdr:blipFill>
      <xdr:spPr>
        <a:xfrm>
          <a:off x="101520" y="1038960"/>
          <a:ext cx="983880" cy="69048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101520</xdr:colOff>
      <xdr:row>0</xdr:row>
      <xdr:rowOff>101520</xdr:rowOff>
    </xdr:from>
    <xdr:to>
      <xdr:col>0</xdr:col>
      <xdr:colOff>915120</xdr:colOff>
      <xdr:row>1</xdr:row>
      <xdr:rowOff>260280</xdr:rowOff>
    </xdr:to>
    <xdr:pic>
      <xdr:nvPicPr>
        <xdr:cNvPr id="3" name="Image 31" descr="Drapeau"/>
        <xdr:cNvPicPr/>
      </xdr:nvPicPr>
      <xdr:blipFill>
        <a:blip r:embed="rId4"/>
        <a:stretch/>
      </xdr:blipFill>
      <xdr:spPr>
        <a:xfrm>
          <a:off x="101520" y="101520"/>
          <a:ext cx="813600" cy="5396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117720</xdr:colOff>
      <xdr:row>7</xdr:row>
      <xdr:rowOff>330120</xdr:rowOff>
    </xdr:from>
    <xdr:to>
      <xdr:col>0</xdr:col>
      <xdr:colOff>927360</xdr:colOff>
      <xdr:row>8</xdr:row>
      <xdr:rowOff>222120</xdr:rowOff>
    </xdr:to>
    <xdr:pic>
      <xdr:nvPicPr>
        <xdr:cNvPr id="4" name="Image 33" descr="Drapeau"/>
        <xdr:cNvPicPr/>
      </xdr:nvPicPr>
      <xdr:blipFill>
        <a:blip r:embed="rId5"/>
        <a:stretch/>
      </xdr:blipFill>
      <xdr:spPr>
        <a:xfrm>
          <a:off x="117720" y="4064040"/>
          <a:ext cx="809640" cy="5396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117720</xdr:colOff>
      <xdr:row>9</xdr:row>
      <xdr:rowOff>25200</xdr:rowOff>
    </xdr:from>
    <xdr:to>
      <xdr:col>0</xdr:col>
      <xdr:colOff>929880</xdr:colOff>
      <xdr:row>9</xdr:row>
      <xdr:rowOff>564840</xdr:rowOff>
    </xdr:to>
    <xdr:pic>
      <xdr:nvPicPr>
        <xdr:cNvPr id="5" name="Image 34" descr="Drapeau"/>
        <xdr:cNvPicPr/>
      </xdr:nvPicPr>
      <xdr:blipFill>
        <a:blip r:embed="rId6"/>
        <a:stretch/>
      </xdr:blipFill>
      <xdr:spPr>
        <a:xfrm>
          <a:off x="117720" y="5054400"/>
          <a:ext cx="812160" cy="5396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1</xdr:col>
      <xdr:colOff>209160</xdr:colOff>
      <xdr:row>7</xdr:row>
      <xdr:rowOff>322920</xdr:rowOff>
    </xdr:from>
    <xdr:to>
      <xdr:col>2</xdr:col>
      <xdr:colOff>784440</xdr:colOff>
      <xdr:row>8</xdr:row>
      <xdr:rowOff>214920</xdr:rowOff>
    </xdr:to>
    <xdr:pic>
      <xdr:nvPicPr>
        <xdr:cNvPr id="6" name="Image 35" descr="Drapeau"/>
        <xdr:cNvPicPr/>
      </xdr:nvPicPr>
      <xdr:blipFill>
        <a:blip r:embed="rId7"/>
        <a:stretch/>
      </xdr:blipFill>
      <xdr:spPr>
        <a:xfrm>
          <a:off x="1540080" y="4056840"/>
          <a:ext cx="935280" cy="5396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1</xdr:col>
      <xdr:colOff>201600</xdr:colOff>
      <xdr:row>4</xdr:row>
      <xdr:rowOff>315000</xdr:rowOff>
    </xdr:from>
    <xdr:to>
      <xdr:col>2</xdr:col>
      <xdr:colOff>937440</xdr:colOff>
      <xdr:row>5</xdr:row>
      <xdr:rowOff>207000</xdr:rowOff>
    </xdr:to>
    <xdr:pic>
      <xdr:nvPicPr>
        <xdr:cNvPr id="7" name="Image 36" descr="Drapeau"/>
        <xdr:cNvPicPr/>
      </xdr:nvPicPr>
      <xdr:blipFill>
        <a:blip r:embed="rId8"/>
        <a:stretch/>
      </xdr:blipFill>
      <xdr:spPr>
        <a:xfrm>
          <a:off x="1532520" y="2105640"/>
          <a:ext cx="1095840" cy="5396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1</xdr:col>
      <xdr:colOff>209160</xdr:colOff>
      <xdr:row>5</xdr:row>
      <xdr:rowOff>622080</xdr:rowOff>
    </xdr:from>
    <xdr:to>
      <xdr:col>2</xdr:col>
      <xdr:colOff>677160</xdr:colOff>
      <xdr:row>6</xdr:row>
      <xdr:rowOff>514080</xdr:rowOff>
    </xdr:to>
    <xdr:pic>
      <xdr:nvPicPr>
        <xdr:cNvPr id="8" name="Image 37" descr="Drapeau"/>
        <xdr:cNvPicPr/>
      </xdr:nvPicPr>
      <xdr:blipFill>
        <a:blip r:embed="rId9"/>
        <a:stretch/>
      </xdr:blipFill>
      <xdr:spPr>
        <a:xfrm>
          <a:off x="1540080" y="3060360"/>
          <a:ext cx="828000" cy="54000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101520</xdr:colOff>
      <xdr:row>4</xdr:row>
      <xdr:rowOff>291960</xdr:rowOff>
    </xdr:from>
    <xdr:to>
      <xdr:col>0</xdr:col>
      <xdr:colOff>915120</xdr:colOff>
      <xdr:row>5</xdr:row>
      <xdr:rowOff>183960</xdr:rowOff>
    </xdr:to>
    <xdr:pic>
      <xdr:nvPicPr>
        <xdr:cNvPr id="9" name="Image 38" descr="Drapeau de Macao"/>
        <xdr:cNvPicPr/>
      </xdr:nvPicPr>
      <xdr:blipFill>
        <a:blip r:embed="rId10"/>
        <a:stretch/>
      </xdr:blipFill>
      <xdr:spPr>
        <a:xfrm>
          <a:off x="101520" y="2082600"/>
          <a:ext cx="813600" cy="5396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1</xdr:col>
      <xdr:colOff>209160</xdr:colOff>
      <xdr:row>9</xdr:row>
      <xdr:rowOff>14400</xdr:rowOff>
    </xdr:from>
    <xdr:to>
      <xdr:col>2</xdr:col>
      <xdr:colOff>936720</xdr:colOff>
      <xdr:row>9</xdr:row>
      <xdr:rowOff>554040</xdr:rowOff>
    </xdr:to>
    <xdr:pic>
      <xdr:nvPicPr>
        <xdr:cNvPr id="10" name="Image 39" descr="Drapeau"/>
        <xdr:cNvPicPr/>
      </xdr:nvPicPr>
      <xdr:blipFill>
        <a:blip r:embed="rId11"/>
        <a:stretch/>
      </xdr:blipFill>
      <xdr:spPr>
        <a:xfrm>
          <a:off x="1540080" y="5043600"/>
          <a:ext cx="1087560" cy="53964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xdr:twoCellAnchor editAs="oneCell">
    <xdr:from>
      <xdr:col>0</xdr:col>
      <xdr:colOff>101520</xdr:colOff>
      <xdr:row>5</xdr:row>
      <xdr:rowOff>635040</xdr:rowOff>
    </xdr:from>
    <xdr:to>
      <xdr:col>0</xdr:col>
      <xdr:colOff>1181160</xdr:colOff>
      <xdr:row>6</xdr:row>
      <xdr:rowOff>527040</xdr:rowOff>
    </xdr:to>
    <xdr:pic>
      <xdr:nvPicPr>
        <xdr:cNvPr id="11" name="Image 40" descr="Drapeau"/>
        <xdr:cNvPicPr/>
      </xdr:nvPicPr>
      <xdr:blipFill>
        <a:blip r:embed="rId12"/>
        <a:stretch/>
      </xdr:blipFill>
      <xdr:spPr>
        <a:xfrm>
          <a:off x="101520" y="3073320"/>
          <a:ext cx="1079640" cy="540000"/>
        </a:xfrm>
        <a:prstGeom prst="rect">
          <a:avLst/>
        </a:prstGeom>
        <a:ln w="0">
          <a:solidFill>
            <a:srgbClr val="000000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Lancer le tes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Lancer le test</a:t>
              </a:r>
            </a:p>
          </xdr:txBody>
        </xdr:sp>
        <xdr:clientData/>
      </xdr:twoCellAnchor>
    </mc:Choice>
  </mc:AlternateContent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83880</xdr:colOff>
      <xdr:row>0</xdr:row>
      <xdr:rowOff>87480</xdr:rowOff>
    </xdr:from>
    <xdr:to>
      <xdr:col>4</xdr:col>
      <xdr:colOff>1048680</xdr:colOff>
      <xdr:row>16</xdr:row>
      <xdr:rowOff>29520</xdr:rowOff>
    </xdr:to>
    <xdr:graphicFrame>
      <xdr:nvGraphicFramePr>
        <xdr:cNvPr id="12" name="Graphique 2"/>
        <xdr:cNvGraphicFramePr/>
      </xdr:nvGraphicFramePr>
      <xdr:xfrm>
        <a:off x="83880" y="87480"/>
        <a:ext cx="5522760" cy="359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9</xdr:col>
      <xdr:colOff>190440</xdr:colOff>
      <xdr:row>2</xdr:row>
      <xdr:rowOff>95400</xdr:rowOff>
    </xdr:from>
    <xdr:to>
      <xdr:col>13</xdr:col>
      <xdr:colOff>620280</xdr:colOff>
      <xdr:row>30</xdr:row>
      <xdr:rowOff>145800</xdr:rowOff>
    </xdr:to>
    <xdr:graphicFrame>
      <xdr:nvGraphicFramePr>
        <xdr:cNvPr id="13" name="Graphique 3"/>
        <xdr:cNvGraphicFramePr/>
      </xdr:nvGraphicFramePr>
      <xdr:xfrm>
        <a:off x="9284760" y="457200"/>
        <a:ext cx="3401640" cy="5384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449640</xdr:colOff>
      <xdr:row>2</xdr:row>
      <xdr:rowOff>34200</xdr:rowOff>
    </xdr:from>
    <xdr:to>
      <xdr:col>7</xdr:col>
      <xdr:colOff>86760</xdr:colOff>
      <xdr:row>30</xdr:row>
      <xdr:rowOff>84600</xdr:rowOff>
    </xdr:to>
    <xdr:graphicFrame>
      <xdr:nvGraphicFramePr>
        <xdr:cNvPr id="14" name="Graphique 1"/>
        <xdr:cNvGraphicFramePr/>
      </xdr:nvGraphicFramePr>
      <xdr:xfrm>
        <a:off x="3277440" y="396000"/>
        <a:ext cx="3351600" cy="5384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278" createdVersion="3">
  <cacheSource type="worksheet">
    <worksheetSource ref="A1:E279" sheet="voc"/>
  </cacheSource>
  <cacheFields count="5">
    <cacheField name="Brasileiro" numFmtId="0">
      <sharedItems count="278">
        <s v="a abacaxi"/>
        <s v="a abordagem"/>
        <s v="a afilhada"/>
        <s v="a alegria"/>
        <s v="a almofada"/>
        <s v="a ameaça"/>
        <s v="a amostra"/>
        <s v="a andar"/>
        <s v="a balconista"/>
        <s v="a bofetada"/>
        <s v="a cabeça"/>
        <s v="a calçada"/>
        <s v="a camada"/>
        <s v="a canção"/>
        <s v="a certeza"/>
        <s v="a chuva"/>
        <s v="a colher"/>
        <s v="a coluna social"/>
        <s v="a comida"/>
        <s v="a côr"/>
        <s v="a crença"/>
        <s v="a dôr"/>
        <s v="a drogaria"/>
        <s v="à esquerda"/>
        <s v="a esquina"/>
        <s v="a feira"/>
        <s v="a flôr"/>
        <s v="a floresta"/>
        <s v="a folga"/>
        <s v="a gente fina"/>
        <s v="a idade"/>
        <s v="a janela"/>
        <s v="a laranja"/>
        <s v="a lenda"/>
        <s v="a licença"/>
        <s v="a limpeza"/>
        <s v="a loja"/>
        <s v="a lua"/>
        <s v="a maçã"/>
        <s v="a manhã"/>
        <s v="a mão"/>
        <s v="a media"/>
        <s v="a medida"/>
        <s v="a meia"/>
        <s v="a moçada"/>
        <s v="a moeda nacional"/>
        <s v="a mudança"/>
        <s v="a mulher"/>
        <s v="a noite"/>
        <s v="a padaria"/>
        <s v="a palha"/>
        <s v="a pesquisa"/>
        <s v="a platéia"/>
        <s v="a poeira"/>
        <s v="a ponte"/>
        <s v="a praça"/>
        <s v="a praia"/>
        <s v="a qualquer hora"/>
        <s v="a rainha"/>
        <s v="a rajada"/>
        <s v="a recado"/>
        <s v="a rodoviária"/>
        <s v="a roupa"/>
        <s v="a sabia"/>
        <s v="a sala"/>
        <s v="a saúde"/>
        <s v="a senha"/>
        <s v="a tarde"/>
        <s v="a trovoada"/>
        <s v="a vela"/>
        <s v="a verdade"/>
        <s v="a viagem"/>
        <s v="aborrecido"/>
        <s v="acabar"/>
        <s v="acender"/>
        <s v="acho"/>
        <s v="aficionado"/>
        <s v="agora"/>
        <s v="agradável"/>
        <s v="aí"/>
        <s v="ainda"/>
        <s v="alagar"/>
        <s v="alguém"/>
        <s v="ali"/>
        <s v="aluguel (common name)"/>
        <s v="amanhã"/>
        <s v="amarelo"/>
        <s v="andar"/>
        <s v="ao vivo"/>
        <s v="apanhá"/>
        <s v="apenas"/>
        <s v="apesar"/>
        <s v="aprontar"/>
        <s v="arrumar"/>
        <s v="as crianças"/>
        <s v="assim"/>
        <s v="até logo"/>
        <s v="atrasado"/>
        <s v="avisar"/>
        <s v="barato"/>
        <s v="bascamente"/>
        <s v="bastante"/>
        <s v="beber"/>
        <s v="branco"/>
        <s v="brigar"/>
        <s v="buscar"/>
        <s v="cada um"/>
        <s v="carregar"/>
        <s v="cedo"/>
        <s v="cheio de …"/>
        <s v="chore"/>
        <s v="conhecer"/>
        <s v="convidar"/>
        <s v="Cuidado !"/>
        <s v="da certo"/>
        <s v="dar"/>
        <s v="deixar"/>
        <s v="demoro"/>
        <s v="dentre outros"/>
        <s v="dentro"/>
        <s v="depois"/>
        <s v="desafinado"/>
        <s v="descansar"/>
        <s v="desligado"/>
        <s v="divirta"/>
        <s v="do lado de lá"/>
        <s v="doí"/>
        <s v="em ponto"/>
        <s v="em voz baixa"/>
        <s v="enchente"/>
        <s v="então"/>
        <s v="entrei em contato com"/>
        <s v="escuro"/>
        <s v="escutar"/>
        <s v="espalhar"/>
        <s v="esperar"/>
        <s v="esquecido"/>
        <s v="esqueço"/>
        <s v="estrangeiro"/>
        <s v="estranho"/>
        <s v="Eu não ligo para …"/>
        <s v="fechado"/>
        <s v="felizmente"/>
        <s v="Fica combinado"/>
        <s v="ficar"/>
        <s v="fora"/>
        <s v="frio"/>
        <s v="gelado"/>
        <s v="geralmente"/>
        <s v="gostar de"/>
        <s v="gritar"/>
        <s v="hortelã"/>
        <s v="jogar"/>
        <s v="lã"/>
        <s v="levar"/>
        <s v="levemente"/>
        <s v="limpar"/>
        <s v="lotado"/>
        <s v="maduro"/>
        <s v="maravilho"/>
        <s v="na tela"/>
        <s v="nada"/>
        <s v="nadar"/>
        <s v="Não atende"/>
        <s v="o algodão"/>
        <s v="o aluguei"/>
        <s v="o arroz"/>
        <s v="o avô"/>
        <s v="o bafado"/>
        <s v="o bicho"/>
        <s v="o braço"/>
        <s v="o calçado"/>
        <s v="o calor"/>
        <s v="o cargo de liderança"/>
        <s v="o carinho"/>
        <s v="o carro"/>
        <s v="o cartão de credito"/>
        <s v="o casamento"/>
        <s v="o cavalo"/>
        <s v="o chão"/>
        <s v="o cheiro"/>
        <s v="o condomínio"/>
        <s v="o conjunto"/>
        <s v="o coragem"/>
        <s v="o costume"/>
        <s v="o cunhado"/>
        <s v="o desempenho"/>
        <s v="o dinheiro"/>
        <s v="o direito"/>
        <s v="o espelho"/>
        <s v="o estrago"/>
        <s v="o feijão"/>
        <s v="o fim de semana"/>
        <s v="o gelo"/>
        <s v="o gráfico de pizza"/>
        <s v="o granizo"/>
        <s v="o imposto"/>
        <s v="o ingresso"/>
        <s v="o irmão"/>
        <s v="o jeito"/>
        <s v="o jogo"/>
        <s v="o lugar"/>
        <s v="o meio"/>
        <s v="o mês"/>
        <s v="o morador"/>
        <s v="o navio"/>
        <s v="o nome"/>
        <s v="o paletó"/>
        <s v="o passeio"/>
        <s v="o pedreiro"/>
        <s v="o pescoço"/>
        <s v="o peso"/>
        <s v="o prato"/>
        <s v="o prazer"/>
        <s v="o prédio"/>
        <s v="o presente"/>
        <s v="o quarteirão"/>
        <s v="o rolo"/>
        <s v="o roteiro"/>
        <s v="o semáforo"/>
        <s v="o serviço"/>
        <s v="o sorte"/>
        <s v="o sorvete"/>
        <s v="o subúrbio"/>
        <s v="o superavit"/>
        <s v="o time"/>
        <s v="o trem"/>
        <s v="o vizinho"/>
        <s v="odeio"/>
        <s v="ontem"/>
        <s v="os casados"/>
        <s v="os fomento"/>
        <s v="os noivos"/>
        <s v="os raios (?)"/>
        <s v="os talheres"/>
        <s v="pagar"/>
        <s v="pancadas"/>
        <s v="parar"/>
        <s v="Parece que ..."/>
        <s v="peço"/>
        <s v="pegando"/>
        <s v="peixe"/>
        <s v="pequeno"/>
        <s v="perguntar"/>
        <s v="perto"/>
        <s v="Pois não"/>
        <s v="por acaso"/>
        <s v="por outro lado"/>
        <s v="possível"/>
        <s v="preciso"/>
        <s v="pronto"/>
        <s v="provável"/>
        <s v="providenciar"/>
        <s v="próxima"/>
        <s v="pular"/>
        <s v="queimadas"/>
        <s v="receber"/>
        <s v="resolver"/>
        <s v="reto"/>
        <s v="retratar"/>
        <s v="rezar"/>
        <s v="roupas"/>
        <s v="ruim"/>
        <s v="sair"/>
        <s v="se chamar"/>
        <s v="se hospedar"/>
        <s v="seguinte (adj.)"/>
        <s v="sentar"/>
        <s v="sinto"/>
        <s v="sozinho"/>
        <s v="tomar"/>
        <s v="trocar"/>
        <s v="último"/>
        <s v="um amor de Carnaval"/>
        <s v="um jovem"/>
        <s v="um pouquinho"/>
        <s v="vir"/>
        <s v="voltar"/>
      </sharedItems>
    </cacheField>
    <cacheField name="français" numFmtId="0">
      <sharedItems count="275">
        <s v=" la moyenne"/>
        <s v="à bientôt"/>
        <s v="à gauche"/>
        <s v="à l'extérieur"/>
        <s v="à l'intérieur"/>
        <s v="à toute heure"/>
        <s v="à voix basse"/>
        <s v="adepte, fan / affectueux"/>
        <s v="agréable"/>
        <s v="aimer, apprécier"/>
        <s v="ainsi"/>
        <s v="allumer"/>
        <s v="alors"/>
        <s v="après"/>
        <s v="asseoir"/>
        <s v="attendre"/>
        <s v="Attention !"/>
        <s v="blanc"/>
        <s v="boire"/>
        <s v="bon marché"/>
        <s v="bondé"/>
        <s v="brûlé"/>
        <s v="C'est d'accord"/>
        <s v="ça fait mal"/>
        <s v="ça marche"/>
        <s v="Ca ne répond pas"/>
        <s v="chacun"/>
        <s v="chercher"/>
        <s v="connaître"/>
        <s v="contagieux"/>
        <s v="crier"/>
        <s v="d'un autre côté"/>
        <s v="de l'autre côté"/>
        <s v="demain"/>
        <s v="demander"/>
        <s v="dernier"/>
        <s v="des vents forts"/>
        <s v="désaccordé, faux (musique)"/>
        <s v="distrait (délié)"/>
        <s v="donner"/>
        <s v="du poisson"/>
        <s v="échanger"/>
        <s v="écouter"/>
        <s v="emporter"/>
        <s v="en direct"/>
        <s v="en retard"/>
        <s v="encore"/>
        <s v="ennuyé, embêté"/>
        <s v="entre autres"/>
        <s v="essentiellement"/>
        <s v="étrange"/>
        <s v="étranger"/>
        <s v="fermé"/>
        <s v="frais, froid"/>
        <s v="généralement"/>
        <s v="glacé"/>
        <s v="heureusement"/>
        <s v="hier"/>
        <s v="Il semble que …"/>
        <s v="inonder"/>
        <s v="inviter"/>
        <s v="j'ai besoin"/>
        <s v="j'oublie"/>
        <s v="jaune"/>
        <s v="je demande"/>
        <s v="je déteste"/>
        <s v="je m'attarde"/>
        <s v="Je ne m'intéresse pas à …"/>
        <s v="je regrette"/>
        <s v="Je suis entré en contact avec"/>
        <s v="je trouve"/>
        <s v="l'âge"/>
        <s v="l'ananas"/>
        <s v="l'animal"/>
        <s v="l'approche"/>
        <s v="l'après-midi"/>
        <s v="l'argent"/>
        <s v="l'assiette"/>
        <s v="l'autorisation"/>
        <s v="l'échantillon, l'exemple"/>
        <s v="l'endroit"/>
        <s v="l'ensemble"/>
        <s v="l'équipe (de foot)"/>
        <s v="l'étage"/>
        <s v="l'habitude"/>
        <s v="l'immeuble"/>
        <s v="l'impôt"/>
        <s v="l'inondation"/>
        <s v="l'itinéraire"/>
        <s v="l'odeur"/>
        <s v="l'orage"/>
        <s v="l'orange"/>
        <s v="l'orchestre"/>
        <s v="là"/>
        <s v="la banlieue"/>
        <s v="la bougie"/>
        <s v="la boulangerie"/>
        <s v="la carte de crédit"/>
        <s v="la certitude"/>
        <s v="la chaleur"/>
        <s v="la chance"/>
        <s v="la chanson"/>
        <s v="la chaussette"/>
        <s v="la chaussure"/>
        <s v="la couche"/>
        <s v="la couleur"/>
        <s v="la croyance"/>
        <s v="la cuiller"/>
        <s v="la douleur"/>
        <s v="la façon, la manière"/>
        <s v="la femme"/>
        <s v="la fenêtre"/>
        <s v="la filleule"/>
        <s v="la fleur"/>
        <s v="la forêt"/>
        <s v="la gare routière"/>
        <s v="la gifle"/>
        <s v="la glace"/>
        <s v="la grêle"/>
        <s v="la joie"/>
        <s v="la laine"/>
        <s v="la légende"/>
        <s v="la location"/>
        <s v="la lune"/>
        <s v="la main"/>
        <s v="la menace"/>
        <s v="la menthe"/>
        <s v="la mesure"/>
        <s v="la monnaie nationale"/>
        <s v="la nourriture"/>
        <s v="la nuit"/>
        <s v="la paille"/>
        <s v="la performance"/>
        <s v="la pharmacie"/>
        <s v="la place (en ville)"/>
        <s v="la plage"/>
        <s v="la pluie"/>
        <s v="la pomme"/>
        <s v="la position de leader"/>
        <s v="la poussière"/>
        <s v="la promenade"/>
        <s v="la promotion"/>
        <s v="la rafale"/>
        <s v="la recherche"/>
        <s v="la reine"/>
        <s v="la santé"/>
        <s v="la tendresse"/>
        <s v="la tête"/>
        <s v="la vendeuse"/>
        <s v="la vérité"/>
        <s v="la veste"/>
        <s v="la voiture"/>
        <s v="là-bas"/>
        <s v="laisser"/>
        <s v="lancer"/>
        <s v="le bateau"/>
        <s v="le beau-frère"/>
        <s v="le billet"/>
        <s v="le bras"/>
        <s v="le cadeau"/>
        <s v="le carnet mondain"/>
        <s v="le changement"/>
        <s v="le cheval"/>
        <s v="le coin"/>
        <s v="le congé"/>
        <s v="le coton"/>
        <s v="le cou"/>
        <s v="le courage"/>
        <s v="le coussin"/>
        <s v="le diagramme camembert"/>
        <s v="le dommage"/>
        <s v="le droit"/>
        <s v="le feu de circulation"/>
        <s v="le frère"/>
        <s v="le grand-père"/>
        <s v="le gratin"/>
        <s v="le haricot"/>
        <s v="le jeu"/>
        <s v="le linge"/>
        <s v="le loyer"/>
        <s v="le maçon"/>
        <s v="le magasin, la boutique"/>
        <s v="le marché"/>
        <s v="le mariage"/>
        <s v="le matin"/>
        <s v="le message"/>
        <s v="le milieu"/>
        <s v="le miroir"/>
        <s v="le mois"/>
        <s v="le mot de passe"/>
        <s v="le nettoyage"/>
        <s v="le nom"/>
        <s v="le pâté de maisons"/>
        <s v="le plaisir"/>
        <s v="le poids"/>
        <s v="le pont"/>
        <s v="le résident"/>
        <s v="le riz"/>
        <s v="le rouleau"/>
        <s v="le salon"/>
        <s v="le sol"/>
        <s v="le sorbet"/>
        <s v="le souffle"/>
        <s v="le train"/>
        <s v="le travail, l'activité professionnelle"/>
        <s v="le trottoir"/>
        <s v="le voisin"/>
        <s v="le voyage"/>
        <s v="le week-end"/>
        <s v="légèrement"/>
        <s v="les charges locatives"/>
        <s v="les couverts (d'une table)"/>
        <s v="les enfants"/>
        <s v="les fiancés"/>
        <s v="les jeunes gens"/>
        <s v="les mariés"/>
        <s v="les rayons / l'ensoleillement"/>
        <s v="maintenant"/>
        <s v="Mais certainement"/>
        <s v="malgré"/>
        <s v="marcher"/>
        <s v="mauvais"/>
        <s v="merveilleux"/>
        <s v="mûr"/>
        <s v="nager"/>
        <s v="nettoyer, effacer"/>
        <s v="obscur"/>
        <s v="oublié"/>
        <s v="par hasard"/>
        <s v="payer"/>
        <s v="petit"/>
        <s v="photographier"/>
        <s v="plein de …"/>
        <s v="pleurer"/>
        <s v="plonger"/>
        <s v="ponctuellement, pile"/>
        <s v="porter"/>
        <s v="possible"/>
        <s v="prendre"/>
        <s v="préparer"/>
        <s v="près"/>
        <s v="prêt"/>
        <s v="prévenir"/>
        <s v="prier"/>
        <s v="probable"/>
        <s v="quelqu'un"/>
        <s v="ranger / se trouver"/>
        <s v="recevoir"/>
        <s v="résoudre"/>
        <s v="rester"/>
        <s v="retourner, revenir"/>
        <s v="rien"/>
        <s v="s'appeler"/>
        <s v="s'arrêter"/>
        <s v="se battre, se disputer"/>
        <s v="se distraire"/>
        <s v="se loger"/>
        <s v="se propager"/>
        <s v="se reposer"/>
        <s v="seul"/>
        <s v="seulement"/>
        <s v="sortir"/>
        <s v="suffisamment"/>
        <s v="suivant"/>
        <s v="sur l'écran"/>
        <s v="terminer, finir"/>
        <s v="tôt"/>
        <s v="tout droit"/>
        <s v="un béguin"/>
        <s v="un jeune"/>
        <s v="un petit peu"/>
        <s v="un surplus, un excédent"/>
        <s v="une espère d'oiseau très populaire du Brésil"/>
        <s v="venir"/>
        <s v="vêtements / prêt-à-porter"/>
      </sharedItems>
    </cacheField>
    <cacheField name="date" numFmtId="0">
      <sharedItems containsNonDate="0" containsDate="1" containsString="0" containsBlank="1" minDate="2021-06-18T00:00:00" maxDate="2024-03-02T00:00:00" count="36">
        <d v="2021-06-18T00:00:00"/>
        <d v="2021-06-23T00:00:00"/>
        <d v="2021-06-25T00:00:00"/>
        <d v="2021-06-29T00:00:00"/>
        <d v="2021-06-30T00:00:00"/>
        <d v="2021-07-01T00:00:00"/>
        <d v="2021-07-03T00:00:00"/>
        <d v="2021-07-21T00:00:00"/>
        <d v="2021-07-22T00:00:00"/>
        <d v="2021-07-24T00:00:00"/>
        <d v="2021-07-25T00:00:00"/>
        <d v="2021-08-01T00:00:00"/>
        <d v="2021-08-12T00:00:00"/>
        <d v="2021-09-02T00:00:00"/>
        <d v="2021-10-04T00:00:00"/>
        <d v="2021-10-13T00:00:00"/>
        <d v="2021-10-30T00:00:00"/>
        <d v="2021-11-02T00:00:00"/>
        <d v="2021-11-07T00:00:00"/>
        <d v="2021-11-12T00:00:00"/>
        <d v="2021-11-15T00:00:00"/>
        <d v="2022-01-28T00:00:00"/>
        <d v="2022-01-31T00:00:00"/>
        <d v="2022-02-03T00:00:00"/>
        <d v="2022-03-05T00:00:00"/>
        <d v="2022-03-07T00:00:00"/>
        <d v="2022-03-09T00:00:00"/>
        <d v="2022-03-10T00:00:00"/>
        <d v="2022-03-14T00:00:00"/>
        <d v="2022-03-15T00:00:00"/>
        <d v="2022-03-20T00:00:00"/>
        <d v="2022-04-02T00:00:00"/>
        <d v="2022-04-14T00:00:00"/>
        <d v="2022-05-03T00:00:00"/>
        <d v="2024-03-02T00:00:00"/>
        <m/>
      </sharedItems>
    </cacheField>
    <cacheField name="Nb" numFmtId="0">
      <sharedItems containsSemiMixedTypes="0" containsString="0" containsNumber="1" containsInteger="1" minValue="0" maxValue="15" count="14">
        <n v="0"/>
        <n v="1"/>
        <n v="2"/>
        <n v="3"/>
        <n v="4"/>
        <n v="5"/>
        <n v="6"/>
        <n v="7"/>
        <n v="8"/>
        <n v="9"/>
        <n v="10"/>
        <n v="11"/>
        <n v="12"/>
        <n v="15"/>
      </sharedItems>
    </cacheField>
    <cacheField name="Score" numFmtId="0">
      <sharedItems containsSemiMixedTypes="0" containsString="0" containsNumber="1" containsInteger="1" minValue="0" maxValue="0" count="1">
        <n v="0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8">
  <r>
    <x v="103"/>
    <x v="17"/>
    <x v="35"/>
    <x v="13"/>
    <x v="0"/>
  </r>
  <r>
    <x v="158"/>
    <x v="223"/>
    <x v="35"/>
    <x v="5"/>
    <x v="0"/>
  </r>
  <r>
    <x v="56"/>
    <x v="135"/>
    <x v="0"/>
    <x v="7"/>
    <x v="0"/>
  </r>
  <r>
    <x v="222"/>
    <x v="201"/>
    <x v="0"/>
    <x v="6"/>
    <x v="0"/>
  </r>
  <r>
    <x v="147"/>
    <x v="55"/>
    <x v="0"/>
    <x v="5"/>
    <x v="0"/>
  </r>
  <r>
    <x v="132"/>
    <x v="226"/>
    <x v="0"/>
    <x v="8"/>
    <x v="0"/>
  </r>
  <r>
    <x v="27"/>
    <x v="114"/>
    <x v="0"/>
    <x v="7"/>
    <x v="0"/>
  </r>
  <r>
    <x v="18"/>
    <x v="129"/>
    <x v="0"/>
    <x v="9"/>
    <x v="0"/>
  </r>
  <r>
    <x v="227"/>
    <x v="206"/>
    <x v="0"/>
    <x v="8"/>
    <x v="0"/>
  </r>
  <r>
    <x v="189"/>
    <x v="187"/>
    <x v="0"/>
    <x v="4"/>
    <x v="0"/>
  </r>
  <r>
    <x v="64"/>
    <x v="199"/>
    <x v="0"/>
    <x v="6"/>
    <x v="0"/>
  </r>
  <r>
    <x v="45"/>
    <x v="128"/>
    <x v="0"/>
    <x v="6"/>
    <x v="0"/>
  </r>
  <r>
    <x v="187"/>
    <x v="76"/>
    <x v="0"/>
    <x v="6"/>
    <x v="0"/>
  </r>
  <r>
    <x v="244"/>
    <x v="240"/>
    <x v="0"/>
    <x v="7"/>
    <x v="0"/>
  </r>
  <r>
    <x v="216"/>
    <x v="192"/>
    <x v="0"/>
    <x v="12"/>
    <x v="0"/>
  </r>
  <r>
    <x v="198"/>
    <x v="173"/>
    <x v="0"/>
    <x v="6"/>
    <x v="0"/>
  </r>
  <r>
    <x v="226"/>
    <x v="203"/>
    <x v="0"/>
    <x v="8"/>
    <x v="0"/>
  </r>
  <r>
    <x v="127"/>
    <x v="235"/>
    <x v="0"/>
    <x v="5"/>
    <x v="0"/>
  </r>
  <r>
    <x v="213"/>
    <x v="193"/>
    <x v="0"/>
    <x v="5"/>
    <x v="0"/>
  </r>
  <r>
    <x v="13"/>
    <x v="101"/>
    <x v="0"/>
    <x v="7"/>
    <x v="0"/>
  </r>
  <r>
    <x v="197"/>
    <x v="157"/>
    <x v="0"/>
    <x v="6"/>
    <x v="0"/>
  </r>
  <r>
    <x v="200"/>
    <x v="177"/>
    <x v="0"/>
    <x v="9"/>
    <x v="0"/>
  </r>
  <r>
    <x v="225"/>
    <x v="82"/>
    <x v="0"/>
    <x v="6"/>
    <x v="0"/>
  </r>
  <r>
    <x v="238"/>
    <x v="58"/>
    <x v="0"/>
    <x v="6"/>
    <x v="0"/>
  </r>
  <r>
    <x v="14"/>
    <x v="98"/>
    <x v="0"/>
    <x v="6"/>
    <x v="0"/>
  </r>
  <r>
    <x v="163"/>
    <x v="25"/>
    <x v="0"/>
    <x v="7"/>
    <x v="0"/>
  </r>
  <r>
    <x v="135"/>
    <x v="15"/>
    <x v="0"/>
    <x v="7"/>
    <x v="0"/>
  </r>
  <r>
    <x v="257"/>
    <x v="248"/>
    <x v="0"/>
    <x v="6"/>
    <x v="0"/>
  </r>
  <r>
    <x v="268"/>
    <x v="68"/>
    <x v="0"/>
    <x v="9"/>
    <x v="0"/>
  </r>
  <r>
    <x v="39"/>
    <x v="184"/>
    <x v="0"/>
    <x v="4"/>
    <x v="0"/>
  </r>
  <r>
    <x v="98"/>
    <x v="242"/>
    <x v="0"/>
    <x v="10"/>
    <x v="0"/>
  </r>
  <r>
    <x v="96"/>
    <x v="1"/>
    <x v="0"/>
    <x v="6"/>
    <x v="0"/>
  </r>
  <r>
    <x v="37"/>
    <x v="123"/>
    <x v="0"/>
    <x v="7"/>
    <x v="0"/>
  </r>
  <r>
    <x v="67"/>
    <x v="75"/>
    <x v="0"/>
    <x v="8"/>
    <x v="0"/>
  </r>
  <r>
    <x v="243"/>
    <x v="34"/>
    <x v="0"/>
    <x v="6"/>
    <x v="0"/>
  </r>
  <r>
    <x v="8"/>
    <x v="148"/>
    <x v="0"/>
    <x v="9"/>
    <x v="0"/>
  </r>
  <r>
    <x v="166"/>
    <x v="197"/>
    <x v="0"/>
    <x v="7"/>
    <x v="0"/>
  </r>
  <r>
    <x v="191"/>
    <x v="176"/>
    <x v="0"/>
    <x v="3"/>
    <x v="0"/>
  </r>
  <r>
    <x v="123"/>
    <x v="38"/>
    <x v="0"/>
    <x v="8"/>
    <x v="0"/>
  </r>
  <r>
    <x v="60"/>
    <x v="185"/>
    <x v="0"/>
    <x v="4"/>
    <x v="0"/>
  </r>
  <r>
    <x v="108"/>
    <x v="266"/>
    <x v="0"/>
    <x v="8"/>
    <x v="0"/>
  </r>
  <r>
    <x v="97"/>
    <x v="45"/>
    <x v="0"/>
    <x v="6"/>
    <x v="0"/>
  </r>
  <r>
    <x v="221"/>
    <x v="100"/>
    <x v="0"/>
    <x v="9"/>
    <x v="0"/>
  </r>
  <r>
    <x v="167"/>
    <x v="174"/>
    <x v="0"/>
    <x v="6"/>
    <x v="0"/>
  </r>
  <r>
    <x v="217"/>
    <x v="198"/>
    <x v="0"/>
    <x v="6"/>
    <x v="0"/>
  </r>
  <r>
    <x v="50"/>
    <x v="131"/>
    <x v="0"/>
    <x v="5"/>
    <x v="0"/>
  </r>
  <r>
    <x v="75"/>
    <x v="70"/>
    <x v="0"/>
    <x v="10"/>
    <x v="0"/>
  </r>
  <r>
    <x v="262"/>
    <x v="221"/>
    <x v="0"/>
    <x v="5"/>
    <x v="0"/>
  </r>
  <r>
    <x v="180"/>
    <x v="89"/>
    <x v="0"/>
    <x v="6"/>
    <x v="0"/>
  </r>
  <r>
    <x v="117"/>
    <x v="66"/>
    <x v="0"/>
    <x v="8"/>
    <x v="0"/>
  </r>
  <r>
    <x v="42"/>
    <x v="127"/>
    <x v="0"/>
    <x v="7"/>
    <x v="0"/>
  </r>
  <r>
    <x v="16"/>
    <x v="107"/>
    <x v="0"/>
    <x v="7"/>
    <x v="0"/>
  </r>
  <r>
    <x v="193"/>
    <x v="117"/>
    <x v="0"/>
    <x v="7"/>
    <x v="0"/>
  </r>
  <r>
    <x v="102"/>
    <x v="18"/>
    <x v="0"/>
    <x v="5"/>
    <x v="0"/>
  </r>
  <r>
    <x v="113"/>
    <x v="16"/>
    <x v="0"/>
    <x v="7"/>
    <x v="0"/>
  </r>
  <r>
    <x v="65"/>
    <x v="145"/>
    <x v="0"/>
    <x v="5"/>
    <x v="0"/>
  </r>
  <r>
    <x v="270"/>
    <x v="238"/>
    <x v="0"/>
    <x v="9"/>
    <x v="0"/>
  </r>
  <r>
    <x v="272"/>
    <x v="35"/>
    <x v="0"/>
    <x v="6"/>
    <x v="0"/>
  </r>
  <r>
    <x v="242"/>
    <x v="230"/>
    <x v="0"/>
    <x v="7"/>
    <x v="0"/>
  </r>
  <r>
    <x v="19"/>
    <x v="105"/>
    <x v="0"/>
    <x v="4"/>
    <x v="0"/>
  </r>
  <r>
    <x v="154"/>
    <x v="43"/>
    <x v="0"/>
    <x v="11"/>
    <x v="0"/>
  </r>
  <r>
    <x v="263"/>
    <x v="261"/>
    <x v="0"/>
    <x v="6"/>
    <x v="0"/>
  </r>
  <r>
    <x v="157"/>
    <x v="20"/>
    <x v="0"/>
    <x v="7"/>
    <x v="0"/>
  </r>
  <r>
    <x v="201"/>
    <x v="80"/>
    <x v="0"/>
    <x v="10"/>
    <x v="0"/>
  </r>
  <r>
    <x v="267"/>
    <x v="14"/>
    <x v="0"/>
    <x v="5"/>
    <x v="0"/>
  </r>
  <r>
    <x v="144"/>
    <x v="249"/>
    <x v="0"/>
    <x v="6"/>
    <x v="0"/>
  </r>
  <r>
    <x v="107"/>
    <x v="236"/>
    <x v="0"/>
    <x v="7"/>
    <x v="0"/>
  </r>
  <r>
    <x v="10"/>
    <x v="147"/>
    <x v="0"/>
    <x v="3"/>
    <x v="0"/>
  </r>
  <r>
    <x v="137"/>
    <x v="62"/>
    <x v="0"/>
    <x v="9"/>
    <x v="0"/>
  </r>
  <r>
    <x v="146"/>
    <x v="53"/>
    <x v="0"/>
    <x v="5"/>
    <x v="0"/>
  </r>
  <r>
    <x v="207"/>
    <x v="150"/>
    <x v="0"/>
    <x v="11"/>
    <x v="0"/>
  </r>
  <r>
    <x v="153"/>
    <x v="120"/>
    <x v="0"/>
    <x v="7"/>
    <x v="0"/>
  </r>
  <r>
    <x v="139"/>
    <x v="50"/>
    <x v="0"/>
    <x v="5"/>
    <x v="0"/>
  </r>
  <r>
    <x v="246"/>
    <x v="228"/>
    <x v="0"/>
    <x v="6"/>
    <x v="0"/>
  </r>
  <r>
    <x v="79"/>
    <x v="93"/>
    <x v="0"/>
    <x v="5"/>
    <x v="0"/>
  </r>
  <r>
    <x v="109"/>
    <x v="232"/>
    <x v="0"/>
    <x v="6"/>
    <x v="0"/>
  </r>
  <r>
    <x v="249"/>
    <x v="61"/>
    <x v="0"/>
    <x v="9"/>
    <x v="0"/>
  </r>
  <r>
    <x v="89"/>
    <x v="27"/>
    <x v="0"/>
    <x v="8"/>
    <x v="0"/>
  </r>
  <r>
    <x v="250"/>
    <x v="241"/>
    <x v="0"/>
    <x v="6"/>
    <x v="0"/>
  </r>
  <r>
    <x v="120"/>
    <x v="13"/>
    <x v="0"/>
    <x v="7"/>
    <x v="0"/>
  </r>
  <r>
    <x v="124"/>
    <x v="255"/>
    <x v="0"/>
    <x v="6"/>
    <x v="0"/>
  </r>
  <r>
    <x v="142"/>
    <x v="56"/>
    <x v="0"/>
    <x v="7"/>
    <x v="0"/>
  </r>
  <r>
    <x v="80"/>
    <x v="46"/>
    <x v="0"/>
    <x v="7"/>
    <x v="0"/>
  </r>
  <r>
    <x v="52"/>
    <x v="92"/>
    <x v="0"/>
    <x v="5"/>
    <x v="0"/>
  </r>
  <r>
    <x v="29"/>
    <x v="175"/>
    <x v="0"/>
    <x v="8"/>
    <x v="0"/>
  </r>
  <r>
    <x v="4"/>
    <x v="168"/>
    <x v="0"/>
    <x v="6"/>
    <x v="0"/>
  </r>
  <r>
    <x v="179"/>
    <x v="200"/>
    <x v="0"/>
    <x v="5"/>
    <x v="0"/>
  </r>
  <r>
    <x v="25"/>
    <x v="182"/>
    <x v="0"/>
    <x v="7"/>
    <x v="0"/>
  </r>
  <r>
    <x v="241"/>
    <x v="40"/>
    <x v="0"/>
    <x v="8"/>
    <x v="0"/>
  </r>
  <r>
    <x v="151"/>
    <x v="126"/>
    <x v="0"/>
    <x v="5"/>
    <x v="0"/>
  </r>
  <r>
    <x v="184"/>
    <x v="84"/>
    <x v="0"/>
    <x v="8"/>
    <x v="0"/>
  </r>
  <r>
    <x v="38"/>
    <x v="137"/>
    <x v="0"/>
    <x v="9"/>
    <x v="0"/>
  </r>
  <r>
    <x v="0"/>
    <x v="72"/>
    <x v="0"/>
    <x v="8"/>
    <x v="0"/>
  </r>
  <r>
    <x v="32"/>
    <x v="91"/>
    <x v="0"/>
    <x v="6"/>
    <x v="0"/>
  </r>
  <r>
    <x v="175"/>
    <x v="151"/>
    <x v="0"/>
    <x v="5"/>
    <x v="0"/>
  </r>
  <r>
    <x v="219"/>
    <x v="172"/>
    <x v="0"/>
    <x v="6"/>
    <x v="0"/>
  </r>
  <r>
    <x v="239"/>
    <x v="64"/>
    <x v="0"/>
    <x v="9"/>
    <x v="0"/>
  </r>
  <r>
    <x v="164"/>
    <x v="165"/>
    <x v="0"/>
    <x v="5"/>
    <x v="0"/>
  </r>
  <r>
    <x v="35"/>
    <x v="190"/>
    <x v="0"/>
    <x v="11"/>
    <x v="0"/>
  </r>
  <r>
    <x v="128"/>
    <x v="6"/>
    <x v="0"/>
    <x v="5"/>
    <x v="0"/>
  </r>
  <r>
    <x v="228"/>
    <x v="65"/>
    <x v="0"/>
    <x v="5"/>
    <x v="0"/>
  </r>
  <r>
    <x v="269"/>
    <x v="259"/>
    <x v="0"/>
    <x v="3"/>
    <x v="0"/>
  </r>
  <r>
    <x v="211"/>
    <x v="194"/>
    <x v="0"/>
    <x v="2"/>
    <x v="0"/>
  </r>
  <r>
    <x v="126"/>
    <x v="23"/>
    <x v="0"/>
    <x v="3"/>
    <x v="0"/>
  </r>
  <r>
    <x v="235"/>
    <x v="229"/>
    <x v="0"/>
    <x v="2"/>
    <x v="0"/>
  </r>
  <r>
    <x v="196"/>
    <x v="86"/>
    <x v="0"/>
    <x v="5"/>
    <x v="0"/>
  </r>
  <r>
    <x v="165"/>
    <x v="179"/>
    <x v="0"/>
    <x v="7"/>
    <x v="0"/>
  </r>
  <r>
    <x v="34"/>
    <x v="78"/>
    <x v="0"/>
    <x v="3"/>
    <x v="0"/>
  </r>
  <r>
    <x v="245"/>
    <x v="218"/>
    <x v="0"/>
    <x v="4"/>
    <x v="0"/>
  </r>
  <r>
    <x v="21"/>
    <x v="108"/>
    <x v="0"/>
    <x v="3"/>
    <x v="0"/>
  </r>
  <r>
    <x v="210"/>
    <x v="166"/>
    <x v="0"/>
    <x v="4"/>
    <x v="0"/>
  </r>
  <r>
    <x v="72"/>
    <x v="47"/>
    <x v="0"/>
    <x v="2"/>
    <x v="0"/>
  </r>
  <r>
    <x v="199"/>
    <x v="109"/>
    <x v="0"/>
    <x v="6"/>
    <x v="0"/>
  </r>
  <r>
    <x v="85"/>
    <x v="33"/>
    <x v="0"/>
    <x v="2"/>
    <x v="0"/>
  </r>
  <r>
    <x v="277"/>
    <x v="250"/>
    <x v="0"/>
    <x v="3"/>
    <x v="0"/>
  </r>
  <r>
    <x v="252"/>
    <x v="239"/>
    <x v="0"/>
    <x v="3"/>
    <x v="0"/>
  </r>
  <r>
    <x v="95"/>
    <x v="10"/>
    <x v="0"/>
    <x v="4"/>
    <x v="0"/>
  </r>
  <r>
    <x v="206"/>
    <x v="191"/>
    <x v="0"/>
    <x v="4"/>
    <x v="0"/>
  </r>
  <r>
    <x v="148"/>
    <x v="54"/>
    <x v="0"/>
    <x v="5"/>
    <x v="0"/>
  </r>
  <r>
    <x v="143"/>
    <x v="22"/>
    <x v="0"/>
    <x v="4"/>
    <x v="0"/>
  </r>
  <r>
    <x v="161"/>
    <x v="251"/>
    <x v="0"/>
    <x v="5"/>
    <x v="0"/>
  </r>
  <r>
    <x v="208"/>
    <x v="140"/>
    <x v="0"/>
    <x v="1"/>
    <x v="0"/>
  </r>
  <r>
    <x v="115"/>
    <x v="39"/>
    <x v="0"/>
    <x v="5"/>
    <x v="0"/>
  </r>
  <r>
    <x v="94"/>
    <x v="212"/>
    <x v="0"/>
    <x v="2"/>
    <x v="0"/>
  </r>
  <r>
    <x v="276"/>
    <x v="273"/>
    <x v="0"/>
    <x v="4"/>
    <x v="0"/>
  </r>
  <r>
    <x v="62"/>
    <x v="178"/>
    <x v="0"/>
    <x v="4"/>
    <x v="0"/>
  </r>
  <r>
    <x v="48"/>
    <x v="130"/>
    <x v="0"/>
    <x v="8"/>
    <x v="0"/>
  </r>
  <r>
    <x v="28"/>
    <x v="164"/>
    <x v="0"/>
    <x v="1"/>
    <x v="0"/>
  </r>
  <r>
    <x v="105"/>
    <x v="27"/>
    <x v="0"/>
    <x v="6"/>
    <x v="0"/>
  </r>
  <r>
    <x v="119"/>
    <x v="4"/>
    <x v="0"/>
    <x v="0"/>
    <x v="0"/>
  </r>
  <r>
    <x v="2"/>
    <x v="112"/>
    <x v="1"/>
    <x v="3"/>
    <x v="0"/>
  </r>
  <r>
    <x v="256"/>
    <x v="247"/>
    <x v="1"/>
    <x v="3"/>
    <x v="0"/>
  </r>
  <r>
    <x v="110"/>
    <x v="233"/>
    <x v="1"/>
    <x v="2"/>
    <x v="0"/>
  </r>
  <r>
    <x v="140"/>
    <x v="67"/>
    <x v="1"/>
    <x v="5"/>
    <x v="0"/>
  </r>
  <r>
    <x v="178"/>
    <x v="162"/>
    <x v="1"/>
    <x v="3"/>
    <x v="0"/>
  </r>
  <r>
    <x v="169"/>
    <x v="73"/>
    <x v="1"/>
    <x v="2"/>
    <x v="0"/>
  </r>
  <r>
    <x v="49"/>
    <x v="96"/>
    <x v="1"/>
    <x v="4"/>
    <x v="0"/>
  </r>
  <r>
    <x v="15"/>
    <x v="136"/>
    <x v="1"/>
    <x v="2"/>
    <x v="0"/>
  </r>
  <r>
    <x v="44"/>
    <x v="214"/>
    <x v="1"/>
    <x v="7"/>
    <x v="0"/>
  </r>
  <r>
    <x v="9"/>
    <x v="116"/>
    <x v="1"/>
    <x v="1"/>
    <x v="0"/>
  </r>
  <r>
    <x v="149"/>
    <x v="9"/>
    <x v="2"/>
    <x v="5"/>
    <x v="0"/>
  </r>
  <r>
    <x v="71"/>
    <x v="207"/>
    <x v="2"/>
    <x v="1"/>
    <x v="0"/>
  </r>
  <r>
    <x v="218"/>
    <x v="88"/>
    <x v="2"/>
    <x v="1"/>
    <x v="0"/>
  </r>
  <r>
    <x v="122"/>
    <x v="258"/>
    <x v="2"/>
    <x v="2"/>
    <x v="0"/>
  </r>
  <r>
    <x v="275"/>
    <x v="270"/>
    <x v="2"/>
    <x v="2"/>
    <x v="0"/>
  </r>
  <r>
    <x v="111"/>
    <x v="28"/>
    <x v="2"/>
    <x v="3"/>
    <x v="0"/>
  </r>
  <r>
    <x v="138"/>
    <x v="51"/>
    <x v="2"/>
    <x v="3"/>
    <x v="0"/>
  </r>
  <r>
    <x v="265"/>
    <x v="256"/>
    <x v="2"/>
    <x v="3"/>
    <x v="0"/>
  </r>
  <r>
    <x v="99"/>
    <x v="19"/>
    <x v="2"/>
    <x v="2"/>
    <x v="0"/>
  </r>
  <r>
    <x v="220"/>
    <x v="204"/>
    <x v="2"/>
    <x v="0"/>
    <x v="0"/>
  </r>
  <r>
    <x v="205"/>
    <x v="155"/>
    <x v="2"/>
    <x v="2"/>
    <x v="0"/>
  </r>
  <r>
    <x v="78"/>
    <x v="8"/>
    <x v="2"/>
    <x v="1"/>
    <x v="0"/>
  </r>
  <r>
    <x v="172"/>
    <x v="99"/>
    <x v="2"/>
    <x v="2"/>
    <x v="0"/>
  </r>
  <r>
    <x v="202"/>
    <x v="186"/>
    <x v="3"/>
    <x v="2"/>
    <x v="0"/>
  </r>
  <r>
    <x v="69"/>
    <x v="95"/>
    <x v="3"/>
    <x v="4"/>
    <x v="0"/>
  </r>
  <r>
    <x v="58"/>
    <x v="144"/>
    <x v="3"/>
    <x v="2"/>
    <x v="0"/>
  </r>
  <r>
    <x v="106"/>
    <x v="26"/>
    <x v="3"/>
    <x v="2"/>
    <x v="0"/>
  </r>
  <r>
    <x v="260"/>
    <x v="243"/>
    <x v="3"/>
    <x v="0"/>
    <x v="0"/>
  </r>
  <r>
    <x v="152"/>
    <x v="154"/>
    <x v="3"/>
    <x v="1"/>
    <x v="0"/>
  </r>
  <r>
    <x v="266"/>
    <x v="263"/>
    <x v="3"/>
    <x v="1"/>
    <x v="0"/>
  </r>
  <r>
    <x v="20"/>
    <x v="106"/>
    <x v="3"/>
    <x v="1"/>
    <x v="0"/>
  </r>
  <r>
    <x v="12"/>
    <x v="104"/>
    <x v="3"/>
    <x v="4"/>
    <x v="0"/>
  </r>
  <r>
    <x v="74"/>
    <x v="11"/>
    <x v="3"/>
    <x v="1"/>
    <x v="0"/>
  </r>
  <r>
    <x v="88"/>
    <x v="44"/>
    <x v="4"/>
    <x v="1"/>
    <x v="0"/>
  </r>
  <r>
    <x v="36"/>
    <x v="181"/>
    <x v="5"/>
    <x v="1"/>
    <x v="0"/>
  </r>
  <r>
    <x v="229"/>
    <x v="57"/>
    <x v="5"/>
    <x v="1"/>
    <x v="0"/>
  </r>
  <r>
    <x v="176"/>
    <x v="97"/>
    <x v="5"/>
    <x v="1"/>
    <x v="0"/>
  </r>
  <r>
    <x v="251"/>
    <x v="244"/>
    <x v="5"/>
    <x v="0"/>
    <x v="0"/>
  </r>
  <r>
    <x v="43"/>
    <x v="102"/>
    <x v="5"/>
    <x v="3"/>
    <x v="0"/>
  </r>
  <r>
    <x v="215"/>
    <x v="159"/>
    <x v="5"/>
    <x v="0"/>
    <x v="0"/>
  </r>
  <r>
    <x v="182"/>
    <x v="81"/>
    <x v="5"/>
    <x v="0"/>
    <x v="0"/>
  </r>
  <r>
    <x v="177"/>
    <x v="183"/>
    <x v="5"/>
    <x v="1"/>
    <x v="0"/>
  </r>
  <r>
    <x v="248"/>
    <x v="237"/>
    <x v="5"/>
    <x v="1"/>
    <x v="0"/>
  </r>
  <r>
    <x v="17"/>
    <x v="160"/>
    <x v="5"/>
    <x v="1"/>
    <x v="0"/>
  </r>
  <r>
    <x v="264"/>
    <x v="252"/>
    <x v="6"/>
    <x v="1"/>
    <x v="0"/>
  </r>
  <r>
    <x v="232"/>
    <x v="213"/>
    <x v="6"/>
    <x v="0"/>
    <x v="0"/>
  </r>
  <r>
    <x v="230"/>
    <x v="215"/>
    <x v="6"/>
    <x v="0"/>
    <x v="0"/>
  </r>
  <r>
    <x v="174"/>
    <x v="146"/>
    <x v="6"/>
    <x v="0"/>
    <x v="0"/>
  </r>
  <r>
    <x v="93"/>
    <x v="246"/>
    <x v="6"/>
    <x v="0"/>
    <x v="0"/>
  </r>
  <r>
    <x v="271"/>
    <x v="41"/>
    <x v="6"/>
    <x v="0"/>
    <x v="0"/>
  </r>
  <r>
    <x v="26"/>
    <x v="113"/>
    <x v="6"/>
    <x v="1"/>
    <x v="0"/>
  </r>
  <r>
    <x v="104"/>
    <x v="254"/>
    <x v="6"/>
    <x v="1"/>
    <x v="0"/>
  </r>
  <r>
    <x v="273"/>
    <x v="268"/>
    <x v="6"/>
    <x v="1"/>
    <x v="0"/>
  </r>
  <r>
    <x v="145"/>
    <x v="3"/>
    <x v="7"/>
    <x v="1"/>
    <x v="0"/>
  </r>
  <r>
    <x v="171"/>
    <x v="103"/>
    <x v="7"/>
    <x v="1"/>
    <x v="0"/>
  </r>
  <r>
    <x v="22"/>
    <x v="133"/>
    <x v="7"/>
    <x v="0"/>
    <x v="0"/>
  </r>
  <r>
    <x v="209"/>
    <x v="180"/>
    <x v="7"/>
    <x v="0"/>
    <x v="0"/>
  </r>
  <r>
    <x v="223"/>
    <x v="94"/>
    <x v="7"/>
    <x v="0"/>
    <x v="0"/>
  </r>
  <r>
    <x v="203"/>
    <x v="188"/>
    <x v="7"/>
    <x v="0"/>
    <x v="0"/>
  </r>
  <r>
    <x v="54"/>
    <x v="195"/>
    <x v="7"/>
    <x v="1"/>
    <x v="0"/>
  </r>
  <r>
    <x v="61"/>
    <x v="115"/>
    <x v="7"/>
    <x v="1"/>
    <x v="0"/>
  </r>
  <r>
    <x v="112"/>
    <x v="60"/>
    <x v="7"/>
    <x v="1"/>
    <x v="0"/>
  </r>
  <r>
    <x v="23"/>
    <x v="2"/>
    <x v="7"/>
    <x v="1"/>
    <x v="0"/>
  </r>
  <r>
    <x v="150"/>
    <x v="30"/>
    <x v="8"/>
    <x v="1"/>
    <x v="0"/>
  </r>
  <r>
    <x v="82"/>
    <x v="245"/>
    <x v="8"/>
    <x v="0"/>
    <x v="0"/>
  </r>
  <r>
    <x v="259"/>
    <x v="231"/>
    <x v="8"/>
    <x v="0"/>
    <x v="0"/>
  </r>
  <r>
    <x v="63"/>
    <x v="272"/>
    <x v="8"/>
    <x v="0"/>
    <x v="0"/>
  </r>
  <r>
    <x v="40"/>
    <x v="124"/>
    <x v="8"/>
    <x v="0"/>
    <x v="0"/>
  </r>
  <r>
    <x v="254"/>
    <x v="234"/>
    <x v="8"/>
    <x v="0"/>
    <x v="0"/>
  </r>
  <r>
    <x v="133"/>
    <x v="42"/>
    <x v="8"/>
    <x v="1"/>
    <x v="0"/>
  </r>
  <r>
    <x v="77"/>
    <x v="217"/>
    <x v="8"/>
    <x v="1"/>
    <x v="0"/>
  </r>
  <r>
    <x v="237"/>
    <x v="253"/>
    <x v="8"/>
    <x v="1"/>
    <x v="0"/>
  </r>
  <r>
    <x v="170"/>
    <x v="158"/>
    <x v="8"/>
    <x v="1"/>
    <x v="0"/>
  </r>
  <r>
    <x v="55"/>
    <x v="134"/>
    <x v="8"/>
    <x v="0"/>
    <x v="0"/>
  </r>
  <r>
    <x v="87"/>
    <x v="220"/>
    <x v="8"/>
    <x v="0"/>
    <x v="0"/>
  </r>
  <r>
    <x v="258"/>
    <x v="267"/>
    <x v="8"/>
    <x v="0"/>
    <x v="0"/>
  </r>
  <r>
    <x v="130"/>
    <x v="12"/>
    <x v="8"/>
    <x v="0"/>
    <x v="0"/>
  </r>
  <r>
    <x v="125"/>
    <x v="32"/>
    <x v="8"/>
    <x v="0"/>
    <x v="0"/>
  </r>
  <r>
    <x v="11"/>
    <x v="205"/>
    <x v="8"/>
    <x v="1"/>
    <x v="0"/>
  </r>
  <r>
    <x v="83"/>
    <x v="152"/>
    <x v="8"/>
    <x v="1"/>
    <x v="0"/>
  </r>
  <r>
    <x v="24"/>
    <x v="163"/>
    <x v="8"/>
    <x v="1"/>
    <x v="0"/>
  </r>
  <r>
    <x v="214"/>
    <x v="85"/>
    <x v="8"/>
    <x v="1"/>
    <x v="0"/>
  </r>
  <r>
    <x v="7"/>
    <x v="83"/>
    <x v="8"/>
    <x v="0"/>
    <x v="0"/>
  </r>
  <r>
    <x v="192"/>
    <x v="208"/>
    <x v="9"/>
    <x v="0"/>
    <x v="0"/>
  </r>
  <r>
    <x v="41"/>
    <x v="0"/>
    <x v="10"/>
    <x v="0"/>
    <x v="0"/>
  </r>
  <r>
    <x v="274"/>
    <x v="269"/>
    <x v="11"/>
    <x v="0"/>
    <x v="0"/>
  </r>
  <r>
    <x v="3"/>
    <x v="119"/>
    <x v="11"/>
    <x v="0"/>
    <x v="0"/>
  </r>
  <r>
    <x v="116"/>
    <x v="153"/>
    <x v="11"/>
    <x v="0"/>
    <x v="0"/>
  </r>
  <r>
    <x v="73"/>
    <x v="265"/>
    <x v="11"/>
    <x v="0"/>
    <x v="0"/>
  </r>
  <r>
    <x v="101"/>
    <x v="262"/>
    <x v="11"/>
    <x v="0"/>
    <x v="0"/>
  </r>
  <r>
    <x v="234"/>
    <x v="211"/>
    <x v="11"/>
    <x v="0"/>
    <x v="0"/>
  </r>
  <r>
    <x v="212"/>
    <x v="77"/>
    <x v="11"/>
    <x v="0"/>
    <x v="0"/>
  </r>
  <r>
    <x v="181"/>
    <x v="210"/>
    <x v="11"/>
    <x v="0"/>
    <x v="0"/>
  </r>
  <r>
    <x v="92"/>
    <x v="239"/>
    <x v="11"/>
    <x v="0"/>
    <x v="0"/>
  </r>
  <r>
    <x v="183"/>
    <x v="167"/>
    <x v="11"/>
    <x v="0"/>
    <x v="0"/>
  </r>
  <r>
    <x v="185"/>
    <x v="156"/>
    <x v="11"/>
    <x v="0"/>
    <x v="0"/>
  </r>
  <r>
    <x v="91"/>
    <x v="219"/>
    <x v="11"/>
    <x v="0"/>
    <x v="0"/>
  </r>
  <r>
    <x v="30"/>
    <x v="71"/>
    <x v="11"/>
    <x v="0"/>
    <x v="0"/>
  </r>
  <r>
    <x v="70"/>
    <x v="149"/>
    <x v="11"/>
    <x v="0"/>
    <x v="0"/>
  </r>
  <r>
    <x v="159"/>
    <x v="222"/>
    <x v="11"/>
    <x v="0"/>
    <x v="0"/>
  </r>
  <r>
    <x v="47"/>
    <x v="110"/>
    <x v="11"/>
    <x v="0"/>
    <x v="0"/>
  </r>
  <r>
    <x v="188"/>
    <x v="171"/>
    <x v="11"/>
    <x v="0"/>
    <x v="0"/>
  </r>
  <r>
    <x v="121"/>
    <x v="37"/>
    <x v="12"/>
    <x v="0"/>
    <x v="0"/>
  </r>
  <r>
    <x v="76"/>
    <x v="7"/>
    <x v="12"/>
    <x v="0"/>
    <x v="0"/>
  </r>
  <r>
    <x v="247"/>
    <x v="31"/>
    <x v="13"/>
    <x v="0"/>
    <x v="0"/>
  </r>
  <r>
    <x v="100"/>
    <x v="49"/>
    <x v="14"/>
    <x v="0"/>
    <x v="0"/>
  </r>
  <r>
    <x v="46"/>
    <x v="161"/>
    <x v="14"/>
    <x v="0"/>
    <x v="0"/>
  </r>
  <r>
    <x v="255"/>
    <x v="21"/>
    <x v="14"/>
    <x v="0"/>
    <x v="0"/>
  </r>
  <r>
    <x v="240"/>
    <x v="29"/>
    <x v="14"/>
    <x v="0"/>
    <x v="0"/>
  </r>
  <r>
    <x v="190"/>
    <x v="170"/>
    <x v="14"/>
    <x v="0"/>
    <x v="0"/>
  </r>
  <r>
    <x v="114"/>
    <x v="24"/>
    <x v="14"/>
    <x v="0"/>
    <x v="0"/>
  </r>
  <r>
    <x v="51"/>
    <x v="143"/>
    <x v="15"/>
    <x v="0"/>
    <x v="0"/>
  </r>
  <r>
    <x v="53"/>
    <x v="139"/>
    <x v="16"/>
    <x v="0"/>
    <x v="0"/>
  </r>
  <r>
    <x v="59"/>
    <x v="142"/>
    <x v="16"/>
    <x v="0"/>
    <x v="0"/>
  </r>
  <r>
    <x v="195"/>
    <x v="118"/>
    <x v="16"/>
    <x v="0"/>
    <x v="0"/>
  </r>
  <r>
    <x v="168"/>
    <x v="202"/>
    <x v="17"/>
    <x v="0"/>
    <x v="0"/>
  </r>
  <r>
    <x v="233"/>
    <x v="216"/>
    <x v="18"/>
    <x v="0"/>
    <x v="0"/>
  </r>
  <r>
    <x v="231"/>
    <x v="141"/>
    <x v="19"/>
    <x v="0"/>
    <x v="0"/>
  </r>
  <r>
    <x v="141"/>
    <x v="52"/>
    <x v="19"/>
    <x v="0"/>
    <x v="0"/>
  </r>
  <r>
    <x v="86"/>
    <x v="63"/>
    <x v="20"/>
    <x v="0"/>
    <x v="0"/>
  </r>
  <r>
    <x v="66"/>
    <x v="189"/>
    <x v="21"/>
    <x v="0"/>
    <x v="0"/>
  </r>
  <r>
    <x v="5"/>
    <x v="125"/>
    <x v="21"/>
    <x v="0"/>
    <x v="0"/>
  </r>
  <r>
    <x v="1"/>
    <x v="74"/>
    <x v="21"/>
    <x v="0"/>
    <x v="0"/>
  </r>
  <r>
    <x v="155"/>
    <x v="209"/>
    <x v="21"/>
    <x v="0"/>
    <x v="0"/>
  </r>
  <r>
    <x v="194"/>
    <x v="169"/>
    <x v="21"/>
    <x v="0"/>
    <x v="0"/>
  </r>
  <r>
    <x v="90"/>
    <x v="260"/>
    <x v="21"/>
    <x v="0"/>
    <x v="0"/>
  </r>
  <r>
    <x v="6"/>
    <x v="79"/>
    <x v="22"/>
    <x v="0"/>
    <x v="0"/>
  </r>
  <r>
    <x v="253"/>
    <x v="263"/>
    <x v="23"/>
    <x v="0"/>
    <x v="0"/>
  </r>
  <r>
    <x v="156"/>
    <x v="225"/>
    <x v="23"/>
    <x v="0"/>
    <x v="0"/>
  </r>
  <r>
    <x v="68"/>
    <x v="90"/>
    <x v="24"/>
    <x v="0"/>
    <x v="0"/>
  </r>
  <r>
    <x v="57"/>
    <x v="5"/>
    <x v="24"/>
    <x v="0"/>
    <x v="0"/>
  </r>
  <r>
    <x v="136"/>
    <x v="227"/>
    <x v="25"/>
    <x v="0"/>
    <x v="0"/>
  </r>
  <r>
    <x v="173"/>
    <x v="138"/>
    <x v="26"/>
    <x v="0"/>
    <x v="0"/>
  </r>
  <r>
    <x v="236"/>
    <x v="36"/>
    <x v="26"/>
    <x v="0"/>
    <x v="0"/>
  </r>
  <r>
    <x v="129"/>
    <x v="87"/>
    <x v="27"/>
    <x v="0"/>
    <x v="0"/>
  </r>
  <r>
    <x v="134"/>
    <x v="257"/>
    <x v="27"/>
    <x v="0"/>
    <x v="0"/>
  </r>
  <r>
    <x v="81"/>
    <x v="59"/>
    <x v="27"/>
    <x v="0"/>
    <x v="0"/>
  </r>
  <r>
    <x v="162"/>
    <x v="224"/>
    <x v="28"/>
    <x v="0"/>
    <x v="0"/>
  </r>
  <r>
    <x v="31"/>
    <x v="111"/>
    <x v="28"/>
    <x v="0"/>
    <x v="0"/>
  </r>
  <r>
    <x v="160"/>
    <x v="264"/>
    <x v="28"/>
    <x v="0"/>
    <x v="0"/>
  </r>
  <r>
    <x v="84"/>
    <x v="122"/>
    <x v="29"/>
    <x v="0"/>
    <x v="0"/>
  </r>
  <r>
    <x v="33"/>
    <x v="121"/>
    <x v="30"/>
    <x v="0"/>
    <x v="0"/>
  </r>
  <r>
    <x v="224"/>
    <x v="271"/>
    <x v="31"/>
    <x v="0"/>
    <x v="0"/>
  </r>
  <r>
    <x v="186"/>
    <x v="132"/>
    <x v="31"/>
    <x v="0"/>
    <x v="0"/>
  </r>
  <r>
    <x v="204"/>
    <x v="196"/>
    <x v="32"/>
    <x v="0"/>
    <x v="0"/>
  </r>
  <r>
    <x v="261"/>
    <x v="274"/>
    <x v="33"/>
    <x v="0"/>
    <x v="0"/>
  </r>
  <r>
    <x v="118"/>
    <x v="48"/>
    <x v="34"/>
    <x v="0"/>
    <x v="0"/>
  </r>
  <r>
    <x v="131"/>
    <x v="69"/>
    <x v="34"/>
    <x v="0"/>
    <x v="0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pivotTable1.xml><?xml version="1.0" encoding="utf-8"?>
<pivotTableDefinition xmlns="http://schemas.openxmlformats.org/spreadsheetml/2006/main" name="Tableau croisé dynamique2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3:B18" firstHeaderRow="1" firstDataRow="1" firstDataCol="1"/>
  <pivotFields count="5">
    <pivotField dataField="1" showAll="0"/>
    <pivotField showAll="0"/>
    <pivotField showAl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compact="0" showAll="0"/>
  </pivotFields>
  <rowFields count="1">
    <field x="3"/>
  </rowFields>
  <dataFields count="1">
    <dataField name="Nombre de Brasileiro" fld="0" subtotal="count" numFmtId="164"/>
  </dataFields>
  <pivotTableStyleInfo name="PivotStyleLight17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au2" displayName="Tableau2" ref="A1:D5" headerRowCount="1" totalsRowCount="0" totalsRowShown="0">
  <autoFilter ref="A1:D5"/>
  <tableColumns count="4">
    <tableColumn id="1" name="N."/>
    <tableColumn id="2" name="Modification"/>
    <tableColumn id="3" name="Date"/>
    <tableColumn id="4" name="Raison"/>
  </tableColumns>
</table>
</file>

<file path=xl/tables/table2.xml><?xml version="1.0" encoding="utf-8"?>
<table xmlns="http://schemas.openxmlformats.org/spreadsheetml/2006/main" id="2" name="Tableau3" displayName="Tableau3" ref="A18:B24" headerRowCount="1" totalsRowCount="0" totalsRowShown="0">
  <autoFilter ref="A18:B24"/>
  <tableColumns count="2">
    <tableColumn id="1" name="Corrections"/>
    <tableColumn id="2" name="Moy"/>
  </tableColumns>
</table>
</file>

<file path=xl/tables/table3.xml><?xml version="1.0" encoding="utf-8"?>
<table xmlns="http://schemas.openxmlformats.org/spreadsheetml/2006/main" id="3" name="Tableau56" displayName="Tableau56" ref="I3:I5" headerRowCount="1" totalsRowCount="0" totalsRowShown="0">
  <autoFilter ref="I3:I5"/>
  <tableColumns count="1">
    <tableColumn id="1" name="% pas demandés"/>
  </tableColumns>
</table>
</file>

<file path=xl/tables/table4.xml><?xml version="1.0" encoding="utf-8"?>
<table xmlns="http://schemas.openxmlformats.org/spreadsheetml/2006/main" id="4" name="Tableau6" displayName="Tableau6" ref="A1:E279" headerRowCount="1" totalsRowCount="0" totalsRowShown="0">
  <autoFilter ref="A1:E279"/>
  <tableColumns count="5">
    <tableColumn id="1" name="Brasileiro"/>
    <tableColumn id="2" name="français"/>
    <tableColumn id="3" name="date"/>
    <tableColumn id="4" name="Nb"/>
    <tableColumn id="5" name="Score"/>
  </tableColumns>
</table>
</file>

<file path=xl/theme/theme1.xml><?xml version="1.0" encoding="utf-8"?>
<a:theme xmlns:a="http://schemas.openxmlformats.org/drawingml/2006/main" xmlns:r="http://schemas.openxmlformats.org/officeDocument/2006/relationships" name="Thème 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s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table" Target="../tables/table2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3.xml"/><Relationship Id="rId3" Type="http://schemas.openxmlformats.org/officeDocument/2006/relationships/pivotTable" Target="../pivotTables/pivotTable1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279"/>
  <sheetViews>
    <sheetView showFormulas="false" showGridLines="fals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257" activePane="bottomLeft" state="frozen"/>
      <selection pane="topLeft" activeCell="A1" activeCellId="0" sqref="A1"/>
      <selection pane="bottomLeft" activeCell="A280" activeCellId="0" sqref="A280"/>
    </sheetView>
  </sheetViews>
  <sheetFormatPr defaultColWidth="11.4453125" defaultRowHeight="30" zeroHeight="false" outlineLevelRow="0" outlineLevelCol="0"/>
  <cols>
    <col collapsed="false" customWidth="true" hidden="false" outlineLevel="0" max="1" min="1" style="1" width="60.67"/>
    <col collapsed="false" customWidth="true" hidden="false" outlineLevel="0" max="2" min="2" style="2" width="60.67"/>
    <col collapsed="false" customWidth="true" hidden="false" outlineLevel="0" max="3" min="3" style="2" width="12.44"/>
    <col collapsed="false" customWidth="false" hidden="false" outlineLevel="0" max="16384" min="4" style="2" width="11.44"/>
  </cols>
  <sheetData>
    <row r="1" customFormat="false" ht="19.5" hidden="false" customHeight="tru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</row>
    <row r="2" customFormat="false" ht="30" hidden="false" customHeight="true" outlineLevel="0" collapsed="false">
      <c r="A2" s="3" t="s">
        <v>5</v>
      </c>
      <c r="B2" s="4" t="s">
        <v>6</v>
      </c>
      <c r="C2" s="5"/>
      <c r="D2" s="2" t="n">
        <v>15</v>
      </c>
      <c r="E2" s="2" t="n">
        <v>0</v>
      </c>
    </row>
    <row r="3" customFormat="false" ht="30" hidden="false" customHeight="true" outlineLevel="0" collapsed="false">
      <c r="A3" s="3" t="s">
        <v>7</v>
      </c>
      <c r="B3" s="4" t="s">
        <v>8</v>
      </c>
      <c r="C3" s="5"/>
      <c r="D3" s="2" t="n">
        <v>5</v>
      </c>
      <c r="E3" s="2" t="n">
        <v>0</v>
      </c>
    </row>
    <row r="4" customFormat="false" ht="30" hidden="false" customHeight="true" outlineLevel="0" collapsed="false">
      <c r="A4" s="3" t="s">
        <v>9</v>
      </c>
      <c r="B4" s="4" t="s">
        <v>10</v>
      </c>
      <c r="C4" s="5" t="n">
        <v>44365</v>
      </c>
      <c r="D4" s="2" t="n">
        <v>7</v>
      </c>
      <c r="E4" s="2" t="n">
        <v>0</v>
      </c>
    </row>
    <row r="5" customFormat="false" ht="30" hidden="false" customHeight="true" outlineLevel="0" collapsed="false">
      <c r="A5" s="3" t="s">
        <v>11</v>
      </c>
      <c r="B5" s="4" t="s">
        <v>12</v>
      </c>
      <c r="C5" s="5" t="n">
        <v>44365</v>
      </c>
      <c r="D5" s="2" t="n">
        <v>6</v>
      </c>
      <c r="E5" s="2" t="n">
        <v>0</v>
      </c>
    </row>
    <row r="6" customFormat="false" ht="30" hidden="false" customHeight="true" outlineLevel="0" collapsed="false">
      <c r="A6" s="3" t="s">
        <v>13</v>
      </c>
      <c r="B6" s="4" t="s">
        <v>14</v>
      </c>
      <c r="C6" s="5" t="n">
        <v>44365</v>
      </c>
      <c r="D6" s="2" t="n">
        <v>5</v>
      </c>
      <c r="E6" s="2" t="n">
        <v>0</v>
      </c>
    </row>
    <row r="7" customFormat="false" ht="30" hidden="false" customHeight="true" outlineLevel="0" collapsed="false">
      <c r="A7" s="3" t="s">
        <v>15</v>
      </c>
      <c r="B7" s="4" t="s">
        <v>16</v>
      </c>
      <c r="C7" s="5" t="n">
        <v>44365</v>
      </c>
      <c r="D7" s="2" t="n">
        <v>8</v>
      </c>
      <c r="E7" s="2" t="n">
        <v>0</v>
      </c>
    </row>
    <row r="8" customFormat="false" ht="30" hidden="false" customHeight="true" outlineLevel="0" collapsed="false">
      <c r="A8" s="3" t="s">
        <v>17</v>
      </c>
      <c r="B8" s="4" t="s">
        <v>18</v>
      </c>
      <c r="C8" s="5" t="n">
        <v>44365</v>
      </c>
      <c r="D8" s="2" t="n">
        <v>7</v>
      </c>
      <c r="E8" s="2" t="n">
        <v>0</v>
      </c>
    </row>
    <row r="9" customFormat="false" ht="30" hidden="false" customHeight="true" outlineLevel="0" collapsed="false">
      <c r="A9" s="3" t="s">
        <v>19</v>
      </c>
      <c r="B9" s="4" t="s">
        <v>20</v>
      </c>
      <c r="C9" s="5" t="n">
        <v>44365</v>
      </c>
      <c r="D9" s="2" t="n">
        <v>9</v>
      </c>
      <c r="E9" s="2" t="n">
        <v>0</v>
      </c>
    </row>
    <row r="10" customFormat="false" ht="30" hidden="false" customHeight="true" outlineLevel="0" collapsed="false">
      <c r="A10" s="3" t="s">
        <v>21</v>
      </c>
      <c r="B10" s="4" t="s">
        <v>22</v>
      </c>
      <c r="C10" s="5" t="n">
        <v>44365</v>
      </c>
      <c r="D10" s="2" t="n">
        <v>8</v>
      </c>
      <c r="E10" s="2" t="n">
        <v>0</v>
      </c>
    </row>
    <row r="11" customFormat="false" ht="30" hidden="false" customHeight="true" outlineLevel="0" collapsed="false">
      <c r="A11" s="3" t="s">
        <v>23</v>
      </c>
      <c r="B11" s="4" t="s">
        <v>24</v>
      </c>
      <c r="C11" s="5" t="n">
        <v>44365</v>
      </c>
      <c r="D11" s="2" t="n">
        <v>4</v>
      </c>
      <c r="E11" s="2" t="n">
        <v>0</v>
      </c>
    </row>
    <row r="12" customFormat="false" ht="30" hidden="false" customHeight="true" outlineLevel="0" collapsed="false">
      <c r="A12" s="3" t="s">
        <v>25</v>
      </c>
      <c r="B12" s="4" t="s">
        <v>26</v>
      </c>
      <c r="C12" s="5" t="n">
        <v>44365</v>
      </c>
      <c r="D12" s="2" t="n">
        <v>6</v>
      </c>
      <c r="E12" s="2" t="n">
        <v>0</v>
      </c>
    </row>
    <row r="13" customFormat="false" ht="30" hidden="false" customHeight="true" outlineLevel="0" collapsed="false">
      <c r="A13" s="3" t="s">
        <v>27</v>
      </c>
      <c r="B13" s="4" t="s">
        <v>28</v>
      </c>
      <c r="C13" s="5" t="n">
        <v>44365</v>
      </c>
      <c r="D13" s="2" t="n">
        <v>6</v>
      </c>
      <c r="E13" s="2" t="n">
        <v>0</v>
      </c>
    </row>
    <row r="14" customFormat="false" ht="30" hidden="false" customHeight="true" outlineLevel="0" collapsed="false">
      <c r="A14" s="3" t="s">
        <v>29</v>
      </c>
      <c r="B14" s="4" t="s">
        <v>30</v>
      </c>
      <c r="C14" s="5" t="n">
        <v>44365</v>
      </c>
      <c r="D14" s="2" t="n">
        <v>6</v>
      </c>
      <c r="E14" s="2" t="n">
        <v>0</v>
      </c>
    </row>
    <row r="15" customFormat="false" ht="30" hidden="false" customHeight="true" outlineLevel="0" collapsed="false">
      <c r="A15" s="3" t="s">
        <v>31</v>
      </c>
      <c r="B15" s="4" t="s">
        <v>32</v>
      </c>
      <c r="C15" s="5" t="n">
        <v>44365</v>
      </c>
      <c r="D15" s="2" t="n">
        <v>7</v>
      </c>
      <c r="E15" s="2" t="n">
        <v>0</v>
      </c>
    </row>
    <row r="16" customFormat="false" ht="30" hidden="false" customHeight="true" outlineLevel="0" collapsed="false">
      <c r="A16" s="3" t="s">
        <v>33</v>
      </c>
      <c r="B16" s="4" t="s">
        <v>34</v>
      </c>
      <c r="C16" s="5" t="n">
        <v>44365</v>
      </c>
      <c r="D16" s="2" t="n">
        <v>12</v>
      </c>
      <c r="E16" s="2" t="n">
        <v>0</v>
      </c>
    </row>
    <row r="17" customFormat="false" ht="30" hidden="false" customHeight="true" outlineLevel="0" collapsed="false">
      <c r="A17" s="3" t="s">
        <v>35</v>
      </c>
      <c r="B17" s="4" t="s">
        <v>36</v>
      </c>
      <c r="C17" s="5" t="n">
        <v>44365</v>
      </c>
      <c r="D17" s="2" t="n">
        <v>6</v>
      </c>
      <c r="E17" s="2" t="n">
        <v>0</v>
      </c>
    </row>
    <row r="18" customFormat="false" ht="30" hidden="false" customHeight="true" outlineLevel="0" collapsed="false">
      <c r="A18" s="3" t="s">
        <v>37</v>
      </c>
      <c r="B18" s="4" t="s">
        <v>38</v>
      </c>
      <c r="C18" s="5" t="n">
        <v>44365</v>
      </c>
      <c r="D18" s="2" t="n">
        <v>8</v>
      </c>
      <c r="E18" s="2" t="n">
        <v>0</v>
      </c>
    </row>
    <row r="19" customFormat="false" ht="30" hidden="false" customHeight="true" outlineLevel="0" collapsed="false">
      <c r="A19" s="3" t="s">
        <v>39</v>
      </c>
      <c r="B19" s="4" t="s">
        <v>40</v>
      </c>
      <c r="C19" s="5" t="n">
        <v>44365</v>
      </c>
      <c r="D19" s="2" t="n">
        <v>5</v>
      </c>
      <c r="E19" s="2" t="n">
        <v>0</v>
      </c>
    </row>
    <row r="20" customFormat="false" ht="30" hidden="false" customHeight="true" outlineLevel="0" collapsed="false">
      <c r="A20" s="3" t="s">
        <v>41</v>
      </c>
      <c r="B20" s="4" t="s">
        <v>42</v>
      </c>
      <c r="C20" s="5" t="n">
        <v>44365</v>
      </c>
      <c r="D20" s="2" t="n">
        <v>5</v>
      </c>
      <c r="E20" s="2" t="n">
        <v>0</v>
      </c>
    </row>
    <row r="21" customFormat="false" ht="30" hidden="false" customHeight="true" outlineLevel="0" collapsed="false">
      <c r="A21" s="3" t="s">
        <v>43</v>
      </c>
      <c r="B21" s="4" t="s">
        <v>44</v>
      </c>
      <c r="C21" s="5" t="n">
        <v>44365</v>
      </c>
      <c r="D21" s="2" t="n">
        <v>7</v>
      </c>
      <c r="E21" s="2" t="n">
        <v>0</v>
      </c>
    </row>
    <row r="22" customFormat="false" ht="30" hidden="false" customHeight="true" outlineLevel="0" collapsed="false">
      <c r="A22" s="3" t="s">
        <v>45</v>
      </c>
      <c r="B22" s="4" t="s">
        <v>46</v>
      </c>
      <c r="C22" s="5" t="n">
        <v>44365</v>
      </c>
      <c r="D22" s="2" t="n">
        <v>6</v>
      </c>
      <c r="E22" s="2" t="n">
        <v>0</v>
      </c>
    </row>
    <row r="23" customFormat="false" ht="30" hidden="false" customHeight="true" outlineLevel="0" collapsed="false">
      <c r="A23" s="3" t="s">
        <v>47</v>
      </c>
      <c r="B23" s="4" t="s">
        <v>48</v>
      </c>
      <c r="C23" s="5" t="n">
        <v>44365</v>
      </c>
      <c r="D23" s="2" t="n">
        <v>9</v>
      </c>
      <c r="E23" s="2" t="n">
        <v>0</v>
      </c>
    </row>
    <row r="24" customFormat="false" ht="30" hidden="false" customHeight="true" outlineLevel="0" collapsed="false">
      <c r="A24" s="3" t="s">
        <v>49</v>
      </c>
      <c r="B24" s="4" t="s">
        <v>50</v>
      </c>
      <c r="C24" s="5" t="n">
        <v>44365</v>
      </c>
      <c r="D24" s="2" t="n">
        <v>6</v>
      </c>
      <c r="E24" s="2" t="n">
        <v>0</v>
      </c>
    </row>
    <row r="25" customFormat="false" ht="30" hidden="false" customHeight="true" outlineLevel="0" collapsed="false">
      <c r="A25" s="3" t="s">
        <v>51</v>
      </c>
      <c r="B25" s="4" t="s">
        <v>52</v>
      </c>
      <c r="C25" s="5" t="n">
        <v>44365</v>
      </c>
      <c r="D25" s="2" t="n">
        <v>6</v>
      </c>
      <c r="E25" s="2" t="n">
        <v>0</v>
      </c>
    </row>
    <row r="26" customFormat="false" ht="30" hidden="false" customHeight="true" outlineLevel="0" collapsed="false">
      <c r="A26" s="3" t="s">
        <v>53</v>
      </c>
      <c r="B26" s="4" t="s">
        <v>54</v>
      </c>
      <c r="C26" s="5" t="n">
        <v>44365</v>
      </c>
      <c r="D26" s="2" t="n">
        <v>6</v>
      </c>
      <c r="E26" s="2" t="n">
        <v>0</v>
      </c>
    </row>
    <row r="27" customFormat="false" ht="30" hidden="false" customHeight="true" outlineLevel="0" collapsed="false">
      <c r="A27" s="3" t="s">
        <v>55</v>
      </c>
      <c r="B27" s="4" t="s">
        <v>56</v>
      </c>
      <c r="C27" s="5" t="n">
        <v>44365</v>
      </c>
      <c r="D27" s="2" t="n">
        <v>7</v>
      </c>
      <c r="E27" s="2" t="n">
        <v>0</v>
      </c>
    </row>
    <row r="28" customFormat="false" ht="30" hidden="false" customHeight="true" outlineLevel="0" collapsed="false">
      <c r="A28" s="3" t="s">
        <v>57</v>
      </c>
      <c r="B28" s="4" t="s">
        <v>58</v>
      </c>
      <c r="C28" s="5" t="n">
        <v>44365</v>
      </c>
      <c r="D28" s="2" t="n">
        <v>7</v>
      </c>
      <c r="E28" s="2" t="n">
        <v>0</v>
      </c>
    </row>
    <row r="29" customFormat="false" ht="30" hidden="false" customHeight="true" outlineLevel="0" collapsed="false">
      <c r="A29" s="3" t="s">
        <v>59</v>
      </c>
      <c r="B29" s="4" t="s">
        <v>60</v>
      </c>
      <c r="C29" s="5" t="n">
        <v>44365</v>
      </c>
      <c r="D29" s="2" t="n">
        <v>6</v>
      </c>
      <c r="E29" s="2" t="n">
        <v>0</v>
      </c>
    </row>
    <row r="30" customFormat="false" ht="30" hidden="false" customHeight="true" outlineLevel="0" collapsed="false">
      <c r="A30" s="3" t="s">
        <v>61</v>
      </c>
      <c r="B30" s="4" t="s">
        <v>62</v>
      </c>
      <c r="C30" s="5" t="n">
        <v>44365</v>
      </c>
      <c r="D30" s="2" t="n">
        <v>9</v>
      </c>
      <c r="E30" s="2" t="n">
        <v>0</v>
      </c>
    </row>
    <row r="31" customFormat="false" ht="30" hidden="false" customHeight="true" outlineLevel="0" collapsed="false">
      <c r="A31" s="3" t="s">
        <v>63</v>
      </c>
      <c r="B31" s="4" t="s">
        <v>64</v>
      </c>
      <c r="C31" s="5" t="n">
        <v>44365</v>
      </c>
      <c r="D31" s="2" t="n">
        <v>4</v>
      </c>
      <c r="E31" s="2" t="n">
        <v>0</v>
      </c>
    </row>
    <row r="32" customFormat="false" ht="30" hidden="false" customHeight="true" outlineLevel="0" collapsed="false">
      <c r="A32" s="3" t="s">
        <v>65</v>
      </c>
      <c r="B32" s="4" t="s">
        <v>66</v>
      </c>
      <c r="C32" s="5" t="n">
        <v>44365</v>
      </c>
      <c r="D32" s="2" t="n">
        <v>10</v>
      </c>
      <c r="E32" s="2" t="n">
        <v>0</v>
      </c>
    </row>
    <row r="33" customFormat="false" ht="30" hidden="false" customHeight="true" outlineLevel="0" collapsed="false">
      <c r="A33" s="3" t="s">
        <v>67</v>
      </c>
      <c r="B33" s="4" t="s">
        <v>68</v>
      </c>
      <c r="C33" s="5" t="n">
        <v>44365</v>
      </c>
      <c r="D33" s="2" t="n">
        <v>6</v>
      </c>
      <c r="E33" s="2" t="n">
        <v>0</v>
      </c>
    </row>
    <row r="34" customFormat="false" ht="30" hidden="false" customHeight="true" outlineLevel="0" collapsed="false">
      <c r="A34" s="3" t="s">
        <v>69</v>
      </c>
      <c r="B34" s="4" t="s">
        <v>70</v>
      </c>
      <c r="C34" s="5" t="n">
        <v>44365</v>
      </c>
      <c r="D34" s="2" t="n">
        <v>7</v>
      </c>
      <c r="E34" s="2" t="n">
        <v>0</v>
      </c>
    </row>
    <row r="35" customFormat="false" ht="30" hidden="false" customHeight="true" outlineLevel="0" collapsed="false">
      <c r="A35" s="3" t="s">
        <v>71</v>
      </c>
      <c r="B35" s="4" t="s">
        <v>72</v>
      </c>
      <c r="C35" s="5" t="n">
        <v>44365</v>
      </c>
      <c r="D35" s="2" t="n">
        <v>8</v>
      </c>
      <c r="E35" s="2" t="n">
        <v>0</v>
      </c>
    </row>
    <row r="36" customFormat="false" ht="30" hidden="false" customHeight="true" outlineLevel="0" collapsed="false">
      <c r="A36" s="3" t="s">
        <v>73</v>
      </c>
      <c r="B36" s="4" t="s">
        <v>74</v>
      </c>
      <c r="C36" s="5" t="n">
        <v>44365</v>
      </c>
      <c r="D36" s="2" t="n">
        <v>6</v>
      </c>
      <c r="E36" s="2" t="n">
        <v>0</v>
      </c>
    </row>
    <row r="37" customFormat="false" ht="30" hidden="false" customHeight="true" outlineLevel="0" collapsed="false">
      <c r="A37" s="3" t="s">
        <v>75</v>
      </c>
      <c r="B37" s="4" t="s">
        <v>76</v>
      </c>
      <c r="C37" s="5" t="n">
        <v>44365</v>
      </c>
      <c r="D37" s="2" t="n">
        <v>9</v>
      </c>
      <c r="E37" s="2" t="n">
        <v>0</v>
      </c>
    </row>
    <row r="38" customFormat="false" ht="30" hidden="false" customHeight="true" outlineLevel="0" collapsed="false">
      <c r="A38" s="3" t="s">
        <v>77</v>
      </c>
      <c r="B38" s="4" t="s">
        <v>78</v>
      </c>
      <c r="C38" s="5" t="n">
        <v>44365</v>
      </c>
      <c r="D38" s="2" t="n">
        <v>7</v>
      </c>
      <c r="E38" s="2" t="n">
        <v>0</v>
      </c>
    </row>
    <row r="39" customFormat="false" ht="30" hidden="false" customHeight="true" outlineLevel="0" collapsed="false">
      <c r="A39" s="3" t="s">
        <v>79</v>
      </c>
      <c r="B39" s="4" t="s">
        <v>80</v>
      </c>
      <c r="C39" s="5" t="n">
        <v>44365</v>
      </c>
      <c r="D39" s="2" t="n">
        <v>3</v>
      </c>
      <c r="E39" s="2" t="n">
        <v>0</v>
      </c>
    </row>
    <row r="40" customFormat="false" ht="30" hidden="false" customHeight="true" outlineLevel="0" collapsed="false">
      <c r="A40" s="3" t="s">
        <v>81</v>
      </c>
      <c r="B40" s="4" t="s">
        <v>82</v>
      </c>
      <c r="C40" s="5" t="n">
        <v>44365</v>
      </c>
      <c r="D40" s="2" t="n">
        <v>8</v>
      </c>
      <c r="E40" s="2" t="n">
        <v>0</v>
      </c>
    </row>
    <row r="41" customFormat="false" ht="30" hidden="false" customHeight="true" outlineLevel="0" collapsed="false">
      <c r="A41" s="3" t="s">
        <v>83</v>
      </c>
      <c r="B41" s="4" t="s">
        <v>84</v>
      </c>
      <c r="C41" s="5" t="n">
        <v>44365</v>
      </c>
      <c r="D41" s="2" t="n">
        <v>4</v>
      </c>
      <c r="E41" s="2" t="n">
        <v>0</v>
      </c>
    </row>
    <row r="42" customFormat="false" ht="30" hidden="false" customHeight="true" outlineLevel="0" collapsed="false">
      <c r="A42" s="3" t="s">
        <v>85</v>
      </c>
      <c r="B42" s="4" t="s">
        <v>86</v>
      </c>
      <c r="C42" s="5" t="n">
        <v>44365</v>
      </c>
      <c r="D42" s="2" t="n">
        <v>8</v>
      </c>
      <c r="E42" s="2" t="n">
        <v>0</v>
      </c>
    </row>
    <row r="43" customFormat="false" ht="30" hidden="false" customHeight="true" outlineLevel="0" collapsed="false">
      <c r="A43" s="3" t="s">
        <v>87</v>
      </c>
      <c r="B43" s="4" t="s">
        <v>88</v>
      </c>
      <c r="C43" s="5" t="n">
        <v>44365</v>
      </c>
      <c r="D43" s="2" t="n">
        <v>6</v>
      </c>
      <c r="E43" s="2" t="n">
        <v>0</v>
      </c>
    </row>
    <row r="44" customFormat="false" ht="30" hidden="false" customHeight="true" outlineLevel="0" collapsed="false">
      <c r="A44" s="3" t="s">
        <v>89</v>
      </c>
      <c r="B44" s="4" t="s">
        <v>90</v>
      </c>
      <c r="C44" s="5" t="n">
        <v>44365</v>
      </c>
      <c r="D44" s="2" t="n">
        <v>9</v>
      </c>
      <c r="E44" s="2" t="n">
        <v>0</v>
      </c>
    </row>
    <row r="45" customFormat="false" ht="30" hidden="false" customHeight="true" outlineLevel="0" collapsed="false">
      <c r="A45" s="3" t="s">
        <v>91</v>
      </c>
      <c r="B45" s="4" t="s">
        <v>92</v>
      </c>
      <c r="C45" s="5" t="n">
        <v>44365</v>
      </c>
      <c r="D45" s="2" t="n">
        <v>6</v>
      </c>
      <c r="E45" s="2" t="n">
        <v>0</v>
      </c>
    </row>
    <row r="46" customFormat="false" ht="30" hidden="false" customHeight="true" outlineLevel="0" collapsed="false">
      <c r="A46" s="3" t="s">
        <v>93</v>
      </c>
      <c r="B46" s="4" t="s">
        <v>94</v>
      </c>
      <c r="C46" s="5" t="n">
        <v>44365</v>
      </c>
      <c r="D46" s="2" t="n">
        <v>6</v>
      </c>
      <c r="E46" s="2" t="n">
        <v>0</v>
      </c>
    </row>
    <row r="47" customFormat="false" ht="30" hidden="false" customHeight="true" outlineLevel="0" collapsed="false">
      <c r="A47" s="3" t="s">
        <v>95</v>
      </c>
      <c r="B47" s="4" t="s">
        <v>96</v>
      </c>
      <c r="C47" s="5" t="n">
        <v>44365</v>
      </c>
      <c r="D47" s="2" t="n">
        <v>5</v>
      </c>
      <c r="E47" s="2" t="n">
        <v>0</v>
      </c>
    </row>
    <row r="48" customFormat="false" ht="30" hidden="false" customHeight="true" outlineLevel="0" collapsed="false">
      <c r="A48" s="3" t="s">
        <v>97</v>
      </c>
      <c r="B48" s="4" t="s">
        <v>98</v>
      </c>
      <c r="C48" s="5" t="n">
        <v>44365</v>
      </c>
      <c r="D48" s="2" t="n">
        <v>10</v>
      </c>
      <c r="E48" s="2" t="n">
        <v>0</v>
      </c>
    </row>
    <row r="49" customFormat="false" ht="30" hidden="false" customHeight="true" outlineLevel="0" collapsed="false">
      <c r="A49" s="3" t="s">
        <v>99</v>
      </c>
      <c r="B49" s="4" t="s">
        <v>100</v>
      </c>
      <c r="C49" s="5" t="n">
        <v>44365</v>
      </c>
      <c r="D49" s="2" t="n">
        <v>5</v>
      </c>
      <c r="E49" s="2" t="n">
        <v>0</v>
      </c>
    </row>
    <row r="50" customFormat="false" ht="30" hidden="false" customHeight="true" outlineLevel="0" collapsed="false">
      <c r="A50" s="3" t="s">
        <v>101</v>
      </c>
      <c r="B50" s="4" t="s">
        <v>102</v>
      </c>
      <c r="C50" s="5" t="n">
        <v>44365</v>
      </c>
      <c r="D50" s="2" t="n">
        <v>6</v>
      </c>
      <c r="E50" s="2" t="n">
        <v>0</v>
      </c>
    </row>
    <row r="51" customFormat="false" ht="30" hidden="false" customHeight="true" outlineLevel="0" collapsed="false">
      <c r="A51" s="3" t="s">
        <v>103</v>
      </c>
      <c r="B51" s="4" t="s">
        <v>104</v>
      </c>
      <c r="C51" s="5" t="n">
        <v>44365</v>
      </c>
      <c r="D51" s="2" t="n">
        <v>8</v>
      </c>
      <c r="E51" s="2" t="n">
        <v>0</v>
      </c>
    </row>
    <row r="52" customFormat="false" ht="30" hidden="false" customHeight="true" outlineLevel="0" collapsed="false">
      <c r="A52" s="3" t="s">
        <v>105</v>
      </c>
      <c r="B52" s="4" t="s">
        <v>106</v>
      </c>
      <c r="C52" s="5" t="n">
        <v>44365</v>
      </c>
      <c r="D52" s="2" t="n">
        <v>7</v>
      </c>
      <c r="E52" s="2" t="n">
        <v>0</v>
      </c>
    </row>
    <row r="53" customFormat="false" ht="30" hidden="false" customHeight="true" outlineLevel="0" collapsed="false">
      <c r="A53" s="3" t="s">
        <v>107</v>
      </c>
      <c r="B53" s="4" t="s">
        <v>108</v>
      </c>
      <c r="C53" s="5" t="n">
        <v>44365</v>
      </c>
      <c r="D53" s="2" t="n">
        <v>7</v>
      </c>
      <c r="E53" s="2" t="n">
        <v>0</v>
      </c>
    </row>
    <row r="54" customFormat="false" ht="30" hidden="false" customHeight="true" outlineLevel="0" collapsed="false">
      <c r="A54" s="3" t="s">
        <v>109</v>
      </c>
      <c r="B54" s="4" t="s">
        <v>110</v>
      </c>
      <c r="C54" s="5" t="n">
        <v>44365</v>
      </c>
      <c r="D54" s="2" t="n">
        <v>7</v>
      </c>
      <c r="E54" s="2" t="n">
        <v>0</v>
      </c>
    </row>
    <row r="55" customFormat="false" ht="30" hidden="false" customHeight="true" outlineLevel="0" collapsed="false">
      <c r="A55" s="3" t="s">
        <v>111</v>
      </c>
      <c r="B55" s="4" t="s">
        <v>112</v>
      </c>
      <c r="C55" s="5" t="n">
        <v>44365</v>
      </c>
      <c r="D55" s="2" t="n">
        <v>5</v>
      </c>
      <c r="E55" s="2" t="n">
        <v>0</v>
      </c>
    </row>
    <row r="56" customFormat="false" ht="30" hidden="false" customHeight="true" outlineLevel="0" collapsed="false">
      <c r="A56" s="3" t="s">
        <v>113</v>
      </c>
      <c r="B56" s="4" t="s">
        <v>114</v>
      </c>
      <c r="C56" s="5" t="n">
        <v>44365</v>
      </c>
      <c r="D56" s="2" t="n">
        <v>7</v>
      </c>
      <c r="E56" s="2" t="n">
        <v>0</v>
      </c>
    </row>
    <row r="57" customFormat="false" ht="30" hidden="false" customHeight="true" outlineLevel="0" collapsed="false">
      <c r="A57" s="3" t="s">
        <v>115</v>
      </c>
      <c r="B57" s="4" t="s">
        <v>116</v>
      </c>
      <c r="C57" s="5" t="n">
        <v>44365</v>
      </c>
      <c r="D57" s="2" t="n">
        <v>5</v>
      </c>
      <c r="E57" s="2" t="n">
        <v>0</v>
      </c>
    </row>
    <row r="58" customFormat="false" ht="30" hidden="false" customHeight="true" outlineLevel="0" collapsed="false">
      <c r="A58" s="3" t="s">
        <v>117</v>
      </c>
      <c r="B58" s="4" t="s">
        <v>118</v>
      </c>
      <c r="C58" s="5" t="n">
        <v>44365</v>
      </c>
      <c r="D58" s="2" t="n">
        <v>9</v>
      </c>
      <c r="E58" s="2" t="n">
        <v>0</v>
      </c>
    </row>
    <row r="59" customFormat="false" ht="30" hidden="false" customHeight="true" outlineLevel="0" collapsed="false">
      <c r="A59" s="3" t="s">
        <v>119</v>
      </c>
      <c r="B59" s="4" t="s">
        <v>120</v>
      </c>
      <c r="C59" s="5" t="n">
        <v>44365</v>
      </c>
      <c r="D59" s="2" t="n">
        <v>6</v>
      </c>
      <c r="E59" s="2" t="n">
        <v>0</v>
      </c>
    </row>
    <row r="60" customFormat="false" ht="30" hidden="false" customHeight="true" outlineLevel="0" collapsed="false">
      <c r="A60" s="3" t="s">
        <v>121</v>
      </c>
      <c r="B60" s="4" t="s">
        <v>122</v>
      </c>
      <c r="C60" s="5" t="n">
        <v>44365</v>
      </c>
      <c r="D60" s="2" t="n">
        <v>7</v>
      </c>
      <c r="E60" s="2" t="n">
        <v>0</v>
      </c>
    </row>
    <row r="61" customFormat="false" ht="30" hidden="false" customHeight="true" outlineLevel="0" collapsed="false">
      <c r="A61" s="3" t="s">
        <v>123</v>
      </c>
      <c r="B61" s="4" t="s">
        <v>124</v>
      </c>
      <c r="C61" s="5" t="n">
        <v>44365</v>
      </c>
      <c r="D61" s="2" t="n">
        <v>4</v>
      </c>
      <c r="E61" s="2" t="n">
        <v>0</v>
      </c>
    </row>
    <row r="62" customFormat="false" ht="30" hidden="false" customHeight="true" outlineLevel="0" collapsed="false">
      <c r="A62" s="3" t="s">
        <v>125</v>
      </c>
      <c r="B62" s="4" t="s">
        <v>126</v>
      </c>
      <c r="C62" s="5" t="n">
        <v>44365</v>
      </c>
      <c r="D62" s="2" t="n">
        <v>11</v>
      </c>
      <c r="E62" s="2" t="n">
        <v>0</v>
      </c>
    </row>
    <row r="63" customFormat="false" ht="30" hidden="false" customHeight="true" outlineLevel="0" collapsed="false">
      <c r="A63" s="3" t="s">
        <v>127</v>
      </c>
      <c r="B63" s="4" t="s">
        <v>128</v>
      </c>
      <c r="C63" s="5" t="n">
        <v>44365</v>
      </c>
      <c r="D63" s="2" t="n">
        <v>6</v>
      </c>
      <c r="E63" s="2" t="n">
        <v>0</v>
      </c>
    </row>
    <row r="64" customFormat="false" ht="30" hidden="false" customHeight="true" outlineLevel="0" collapsed="false">
      <c r="A64" s="3" t="s">
        <v>129</v>
      </c>
      <c r="B64" s="4" t="s">
        <v>130</v>
      </c>
      <c r="C64" s="5" t="n">
        <v>44365</v>
      </c>
      <c r="D64" s="2" t="n">
        <v>7</v>
      </c>
      <c r="E64" s="2" t="n">
        <v>0</v>
      </c>
    </row>
    <row r="65" customFormat="false" ht="30" hidden="false" customHeight="true" outlineLevel="0" collapsed="false">
      <c r="A65" s="3" t="s">
        <v>131</v>
      </c>
      <c r="B65" s="4" t="s">
        <v>132</v>
      </c>
      <c r="C65" s="5" t="n">
        <v>44365</v>
      </c>
      <c r="D65" s="2" t="n">
        <v>10</v>
      </c>
      <c r="E65" s="2" t="n">
        <v>0</v>
      </c>
    </row>
    <row r="66" customFormat="false" ht="30" hidden="false" customHeight="true" outlineLevel="0" collapsed="false">
      <c r="A66" s="3" t="s">
        <v>133</v>
      </c>
      <c r="B66" s="4" t="s">
        <v>134</v>
      </c>
      <c r="C66" s="5" t="n">
        <v>44365</v>
      </c>
      <c r="D66" s="2" t="n">
        <v>5</v>
      </c>
      <c r="E66" s="2" t="n">
        <v>0</v>
      </c>
    </row>
    <row r="67" customFormat="false" ht="30" hidden="false" customHeight="true" outlineLevel="0" collapsed="false">
      <c r="A67" s="3" t="s">
        <v>135</v>
      </c>
      <c r="B67" s="4" t="s">
        <v>136</v>
      </c>
      <c r="C67" s="5" t="n">
        <v>44365</v>
      </c>
      <c r="D67" s="2" t="n">
        <v>6</v>
      </c>
      <c r="E67" s="2" t="n">
        <v>0</v>
      </c>
    </row>
    <row r="68" customFormat="false" ht="30" hidden="false" customHeight="true" outlineLevel="0" collapsed="false">
      <c r="A68" s="3" t="s">
        <v>137</v>
      </c>
      <c r="B68" s="4" t="s">
        <v>138</v>
      </c>
      <c r="C68" s="5" t="n">
        <v>44365</v>
      </c>
      <c r="D68" s="2" t="n">
        <v>7</v>
      </c>
      <c r="E68" s="2" t="n">
        <v>0</v>
      </c>
    </row>
    <row r="69" customFormat="false" ht="30" hidden="false" customHeight="true" outlineLevel="0" collapsed="false">
      <c r="A69" s="3" t="s">
        <v>139</v>
      </c>
      <c r="B69" s="4" t="s">
        <v>140</v>
      </c>
      <c r="C69" s="5" t="n">
        <v>44365</v>
      </c>
      <c r="D69" s="2" t="n">
        <v>3</v>
      </c>
      <c r="E69" s="2" t="n">
        <v>0</v>
      </c>
    </row>
    <row r="70" customFormat="false" ht="30" hidden="false" customHeight="true" outlineLevel="0" collapsed="false">
      <c r="A70" s="3" t="s">
        <v>141</v>
      </c>
      <c r="B70" s="4" t="s">
        <v>142</v>
      </c>
      <c r="C70" s="5" t="n">
        <v>44365</v>
      </c>
      <c r="D70" s="2" t="n">
        <v>9</v>
      </c>
      <c r="E70" s="2" t="n">
        <v>0</v>
      </c>
    </row>
    <row r="71" customFormat="false" ht="30" hidden="false" customHeight="true" outlineLevel="0" collapsed="false">
      <c r="A71" s="3" t="s">
        <v>143</v>
      </c>
      <c r="B71" s="4" t="s">
        <v>144</v>
      </c>
      <c r="C71" s="5" t="n">
        <v>44365</v>
      </c>
      <c r="D71" s="2" t="n">
        <v>5</v>
      </c>
      <c r="E71" s="2" t="n">
        <v>0</v>
      </c>
    </row>
    <row r="72" customFormat="false" ht="30" hidden="false" customHeight="true" outlineLevel="0" collapsed="false">
      <c r="A72" s="3" t="s">
        <v>145</v>
      </c>
      <c r="B72" s="4" t="s">
        <v>146</v>
      </c>
      <c r="C72" s="5" t="n">
        <v>44365</v>
      </c>
      <c r="D72" s="2" t="n">
        <v>11</v>
      </c>
      <c r="E72" s="2" t="n">
        <v>0</v>
      </c>
    </row>
    <row r="73" customFormat="false" ht="30" hidden="false" customHeight="true" outlineLevel="0" collapsed="false">
      <c r="A73" s="3" t="s">
        <v>147</v>
      </c>
      <c r="B73" s="4" t="s">
        <v>148</v>
      </c>
      <c r="C73" s="5" t="n">
        <v>44365</v>
      </c>
      <c r="D73" s="2" t="n">
        <v>7</v>
      </c>
      <c r="E73" s="2" t="n">
        <v>0</v>
      </c>
    </row>
    <row r="74" customFormat="false" ht="30" hidden="false" customHeight="true" outlineLevel="0" collapsed="false">
      <c r="A74" s="3" t="s">
        <v>149</v>
      </c>
      <c r="B74" s="4" t="s">
        <v>150</v>
      </c>
      <c r="C74" s="5" t="n">
        <v>44365</v>
      </c>
      <c r="D74" s="2" t="n">
        <v>5</v>
      </c>
      <c r="E74" s="2" t="n">
        <v>0</v>
      </c>
    </row>
    <row r="75" customFormat="false" ht="30" hidden="false" customHeight="true" outlineLevel="0" collapsed="false">
      <c r="A75" s="3" t="s">
        <v>151</v>
      </c>
      <c r="B75" s="4" t="s">
        <v>152</v>
      </c>
      <c r="C75" s="5" t="n">
        <v>44365</v>
      </c>
      <c r="D75" s="2" t="n">
        <v>6</v>
      </c>
      <c r="E75" s="2" t="n">
        <v>0</v>
      </c>
    </row>
    <row r="76" customFormat="false" ht="30" hidden="false" customHeight="true" outlineLevel="0" collapsed="false">
      <c r="A76" s="3" t="s">
        <v>153</v>
      </c>
      <c r="B76" s="4" t="s">
        <v>154</v>
      </c>
      <c r="C76" s="5" t="n">
        <v>44365</v>
      </c>
      <c r="D76" s="2" t="n">
        <v>5</v>
      </c>
      <c r="E76" s="2" t="n">
        <v>0</v>
      </c>
    </row>
    <row r="77" customFormat="false" ht="30" hidden="false" customHeight="true" outlineLevel="0" collapsed="false">
      <c r="A77" s="3" t="s">
        <v>155</v>
      </c>
      <c r="B77" s="4" t="s">
        <v>156</v>
      </c>
      <c r="C77" s="5" t="n">
        <v>44365</v>
      </c>
      <c r="D77" s="2" t="n">
        <v>6</v>
      </c>
      <c r="E77" s="2" t="n">
        <v>0</v>
      </c>
    </row>
    <row r="78" customFormat="false" ht="30" hidden="false" customHeight="true" outlineLevel="0" collapsed="false">
      <c r="A78" s="3" t="s">
        <v>157</v>
      </c>
      <c r="B78" s="4" t="s">
        <v>158</v>
      </c>
      <c r="C78" s="5" t="n">
        <v>44365</v>
      </c>
      <c r="D78" s="2" t="n">
        <v>9</v>
      </c>
      <c r="E78" s="2" t="n">
        <v>0</v>
      </c>
    </row>
    <row r="79" customFormat="false" ht="30" hidden="false" customHeight="true" outlineLevel="0" collapsed="false">
      <c r="A79" s="3" t="s">
        <v>159</v>
      </c>
      <c r="B79" s="4" t="s">
        <v>160</v>
      </c>
      <c r="C79" s="5" t="n">
        <v>44365</v>
      </c>
      <c r="D79" s="2" t="n">
        <v>8</v>
      </c>
      <c r="E79" s="2" t="n">
        <v>0</v>
      </c>
    </row>
    <row r="80" customFormat="false" ht="30" hidden="false" customHeight="true" outlineLevel="0" collapsed="false">
      <c r="A80" s="3" t="s">
        <v>161</v>
      </c>
      <c r="B80" s="4" t="s">
        <v>162</v>
      </c>
      <c r="C80" s="5" t="n">
        <v>44365</v>
      </c>
      <c r="D80" s="2" t="n">
        <v>6</v>
      </c>
      <c r="E80" s="2" t="n">
        <v>0</v>
      </c>
    </row>
    <row r="81" customFormat="false" ht="30" hidden="false" customHeight="true" outlineLevel="0" collapsed="false">
      <c r="A81" s="3" t="s">
        <v>163</v>
      </c>
      <c r="B81" s="4" t="s">
        <v>164</v>
      </c>
      <c r="C81" s="5" t="n">
        <v>44365</v>
      </c>
      <c r="D81" s="2" t="n">
        <v>7</v>
      </c>
      <c r="E81" s="2" t="n">
        <v>0</v>
      </c>
    </row>
    <row r="82" customFormat="false" ht="30" hidden="false" customHeight="true" outlineLevel="0" collapsed="false">
      <c r="A82" s="3" t="s">
        <v>165</v>
      </c>
      <c r="B82" s="4" t="s">
        <v>166</v>
      </c>
      <c r="C82" s="5" t="n">
        <v>44365</v>
      </c>
      <c r="D82" s="2" t="n">
        <v>6</v>
      </c>
      <c r="E82" s="2" t="n">
        <v>0</v>
      </c>
    </row>
    <row r="83" customFormat="false" ht="30" hidden="false" customHeight="true" outlineLevel="0" collapsed="false">
      <c r="A83" s="3" t="s">
        <v>167</v>
      </c>
      <c r="B83" s="4" t="s">
        <v>168</v>
      </c>
      <c r="C83" s="5" t="n">
        <v>44365</v>
      </c>
      <c r="D83" s="2" t="n">
        <v>7</v>
      </c>
      <c r="E83" s="2" t="n">
        <v>0</v>
      </c>
    </row>
    <row r="84" customFormat="false" ht="30" hidden="false" customHeight="true" outlineLevel="0" collapsed="false">
      <c r="A84" s="3" t="s">
        <v>169</v>
      </c>
      <c r="B84" s="4" t="s">
        <v>170</v>
      </c>
      <c r="C84" s="5" t="n">
        <v>44365</v>
      </c>
      <c r="D84" s="2" t="n">
        <v>7</v>
      </c>
      <c r="E84" s="2" t="n">
        <v>0</v>
      </c>
    </row>
    <row r="85" customFormat="false" ht="30" hidden="false" customHeight="true" outlineLevel="0" collapsed="false">
      <c r="A85" s="3" t="s">
        <v>171</v>
      </c>
      <c r="B85" s="4" t="s">
        <v>172</v>
      </c>
      <c r="C85" s="5" t="n">
        <v>44365</v>
      </c>
      <c r="D85" s="2" t="n">
        <v>5</v>
      </c>
      <c r="E85" s="2" t="n">
        <v>0</v>
      </c>
    </row>
    <row r="86" customFormat="false" ht="30" hidden="false" customHeight="true" outlineLevel="0" collapsed="false">
      <c r="A86" s="3" t="s">
        <v>173</v>
      </c>
      <c r="B86" s="4" t="s">
        <v>174</v>
      </c>
      <c r="C86" s="5" t="n">
        <v>44365</v>
      </c>
      <c r="D86" s="2" t="n">
        <v>8</v>
      </c>
      <c r="E86" s="2" t="n">
        <v>0</v>
      </c>
    </row>
    <row r="87" customFormat="false" ht="30" hidden="false" customHeight="true" outlineLevel="0" collapsed="false">
      <c r="A87" s="3" t="s">
        <v>175</v>
      </c>
      <c r="B87" s="4" t="s">
        <v>176</v>
      </c>
      <c r="C87" s="5" t="n">
        <v>44365</v>
      </c>
      <c r="D87" s="2" t="n">
        <v>6</v>
      </c>
      <c r="E87" s="2" t="n">
        <v>0</v>
      </c>
    </row>
    <row r="88" customFormat="false" ht="30" hidden="false" customHeight="true" outlineLevel="0" collapsed="false">
      <c r="A88" s="3" t="s">
        <v>177</v>
      </c>
      <c r="B88" s="4" t="s">
        <v>178</v>
      </c>
      <c r="C88" s="5" t="n">
        <v>44365</v>
      </c>
      <c r="D88" s="2" t="n">
        <v>5</v>
      </c>
      <c r="E88" s="2" t="n">
        <v>0</v>
      </c>
    </row>
    <row r="89" customFormat="false" ht="30" hidden="false" customHeight="true" outlineLevel="0" collapsed="false">
      <c r="A89" s="3" t="s">
        <v>179</v>
      </c>
      <c r="B89" s="4" t="s">
        <v>180</v>
      </c>
      <c r="C89" s="5" t="n">
        <v>44365</v>
      </c>
      <c r="D89" s="2" t="n">
        <v>7</v>
      </c>
      <c r="E89" s="2" t="n">
        <v>0</v>
      </c>
    </row>
    <row r="90" customFormat="false" ht="30" hidden="false" customHeight="true" outlineLevel="0" collapsed="false">
      <c r="A90" s="3" t="s">
        <v>181</v>
      </c>
      <c r="B90" s="4" t="s">
        <v>182</v>
      </c>
      <c r="C90" s="5" t="n">
        <v>44365</v>
      </c>
      <c r="D90" s="2" t="n">
        <v>8</v>
      </c>
      <c r="E90" s="2" t="n">
        <v>0</v>
      </c>
    </row>
    <row r="91" customFormat="false" ht="30" hidden="false" customHeight="true" outlineLevel="0" collapsed="false">
      <c r="A91" s="3" t="s">
        <v>183</v>
      </c>
      <c r="B91" s="4" t="s">
        <v>184</v>
      </c>
      <c r="C91" s="5" t="n">
        <v>44365</v>
      </c>
      <c r="D91" s="2" t="n">
        <v>5</v>
      </c>
      <c r="E91" s="2" t="n">
        <v>0</v>
      </c>
    </row>
    <row r="92" customFormat="false" ht="30" hidden="false" customHeight="true" outlineLevel="0" collapsed="false">
      <c r="A92" s="3" t="s">
        <v>185</v>
      </c>
      <c r="B92" s="4" t="s">
        <v>186</v>
      </c>
      <c r="C92" s="5" t="n">
        <v>44365</v>
      </c>
      <c r="D92" s="2" t="n">
        <v>8</v>
      </c>
      <c r="E92" s="2" t="n">
        <v>0</v>
      </c>
    </row>
    <row r="93" customFormat="false" ht="30" hidden="false" customHeight="true" outlineLevel="0" collapsed="false">
      <c r="A93" s="3" t="s">
        <v>187</v>
      </c>
      <c r="B93" s="4" t="s">
        <v>188</v>
      </c>
      <c r="C93" s="5" t="n">
        <v>44365</v>
      </c>
      <c r="D93" s="2" t="n">
        <v>9</v>
      </c>
      <c r="E93" s="2" t="n">
        <v>0</v>
      </c>
    </row>
    <row r="94" customFormat="false" ht="30" hidden="false" customHeight="true" outlineLevel="0" collapsed="false">
      <c r="A94" s="3" t="s">
        <v>189</v>
      </c>
      <c r="B94" s="4" t="s">
        <v>190</v>
      </c>
      <c r="C94" s="5" t="n">
        <v>44365</v>
      </c>
      <c r="D94" s="2" t="n">
        <v>8</v>
      </c>
      <c r="E94" s="2" t="n">
        <v>0</v>
      </c>
    </row>
    <row r="95" customFormat="false" ht="30" hidden="false" customHeight="true" outlineLevel="0" collapsed="false">
      <c r="A95" s="3" t="s">
        <v>191</v>
      </c>
      <c r="B95" s="4" t="s">
        <v>192</v>
      </c>
      <c r="C95" s="5" t="n">
        <v>44365</v>
      </c>
      <c r="D95" s="2" t="n">
        <v>6</v>
      </c>
      <c r="E95" s="2" t="n">
        <v>0</v>
      </c>
    </row>
    <row r="96" customFormat="false" ht="30" hidden="false" customHeight="true" outlineLevel="0" collapsed="false">
      <c r="A96" s="3" t="s">
        <v>193</v>
      </c>
      <c r="B96" s="4" t="s">
        <v>194</v>
      </c>
      <c r="C96" s="5" t="n">
        <v>44365</v>
      </c>
      <c r="D96" s="2" t="n">
        <v>5</v>
      </c>
      <c r="E96" s="2" t="n">
        <v>0</v>
      </c>
    </row>
    <row r="97" customFormat="false" ht="30" hidden="false" customHeight="true" outlineLevel="0" collapsed="false">
      <c r="A97" s="3" t="s">
        <v>195</v>
      </c>
      <c r="B97" s="4" t="s">
        <v>196</v>
      </c>
      <c r="C97" s="5" t="n">
        <v>44365</v>
      </c>
      <c r="D97" s="2" t="n">
        <v>6</v>
      </c>
      <c r="E97" s="2" t="n">
        <v>0</v>
      </c>
    </row>
    <row r="98" customFormat="false" ht="30" hidden="false" customHeight="true" outlineLevel="0" collapsed="false">
      <c r="A98" s="3" t="s">
        <v>197</v>
      </c>
      <c r="B98" s="4" t="s">
        <v>198</v>
      </c>
      <c r="C98" s="5" t="n">
        <v>44365</v>
      </c>
      <c r="D98" s="2" t="n">
        <v>9</v>
      </c>
      <c r="E98" s="2" t="n">
        <v>0</v>
      </c>
    </row>
    <row r="99" customFormat="false" ht="30" hidden="false" customHeight="true" outlineLevel="0" collapsed="false">
      <c r="A99" s="3" t="s">
        <v>199</v>
      </c>
      <c r="B99" s="4" t="s">
        <v>200</v>
      </c>
      <c r="C99" s="5" t="n">
        <v>44365</v>
      </c>
      <c r="D99" s="2" t="n">
        <v>5</v>
      </c>
      <c r="E99" s="2" t="n">
        <v>0</v>
      </c>
    </row>
    <row r="100" customFormat="false" ht="30" hidden="false" customHeight="true" outlineLevel="0" collapsed="false">
      <c r="A100" s="3" t="s">
        <v>201</v>
      </c>
      <c r="B100" s="4" t="s">
        <v>202</v>
      </c>
      <c r="C100" s="5" t="n">
        <v>44365</v>
      </c>
      <c r="D100" s="2" t="n">
        <v>11</v>
      </c>
      <c r="E100" s="2" t="n">
        <v>0</v>
      </c>
    </row>
    <row r="101" customFormat="false" ht="30" hidden="false" customHeight="true" outlineLevel="0" collapsed="false">
      <c r="A101" s="3" t="s">
        <v>203</v>
      </c>
      <c r="B101" s="4" t="s">
        <v>204</v>
      </c>
      <c r="C101" s="5" t="n">
        <v>44365</v>
      </c>
      <c r="D101" s="2" t="n">
        <v>5</v>
      </c>
      <c r="E101" s="2" t="n">
        <v>0</v>
      </c>
    </row>
    <row r="102" customFormat="false" ht="30" hidden="false" customHeight="true" outlineLevel="0" collapsed="false">
      <c r="A102" s="3" t="s">
        <v>205</v>
      </c>
      <c r="B102" s="4" t="s">
        <v>206</v>
      </c>
      <c r="C102" s="5" t="n">
        <v>44365</v>
      </c>
      <c r="D102" s="2" t="n">
        <v>5</v>
      </c>
      <c r="E102" s="2" t="n">
        <v>0</v>
      </c>
    </row>
    <row r="103" customFormat="false" ht="30" hidden="false" customHeight="true" outlineLevel="0" collapsed="false">
      <c r="A103" s="3" t="s">
        <v>207</v>
      </c>
      <c r="B103" s="4" t="s">
        <v>208</v>
      </c>
      <c r="C103" s="5" t="n">
        <v>44365</v>
      </c>
      <c r="D103" s="2" t="n">
        <v>3</v>
      </c>
      <c r="E103" s="2" t="n">
        <v>0</v>
      </c>
    </row>
    <row r="104" customFormat="false" ht="30" hidden="false" customHeight="true" outlineLevel="0" collapsed="false">
      <c r="A104" s="3" t="s">
        <v>209</v>
      </c>
      <c r="B104" s="4" t="s">
        <v>210</v>
      </c>
      <c r="C104" s="5" t="n">
        <v>44365</v>
      </c>
      <c r="D104" s="2" t="n">
        <v>2</v>
      </c>
      <c r="E104" s="2" t="n">
        <v>0</v>
      </c>
    </row>
    <row r="105" customFormat="false" ht="30" hidden="false" customHeight="true" outlineLevel="0" collapsed="false">
      <c r="A105" s="3" t="s">
        <v>211</v>
      </c>
      <c r="B105" s="4" t="s">
        <v>212</v>
      </c>
      <c r="C105" s="5" t="n">
        <v>44365</v>
      </c>
      <c r="D105" s="2" t="n">
        <v>3</v>
      </c>
      <c r="E105" s="2" t="n">
        <v>0</v>
      </c>
    </row>
    <row r="106" customFormat="false" ht="30" hidden="false" customHeight="true" outlineLevel="0" collapsed="false">
      <c r="A106" s="3" t="s">
        <v>213</v>
      </c>
      <c r="B106" s="4" t="s">
        <v>214</v>
      </c>
      <c r="C106" s="5" t="n">
        <v>44365</v>
      </c>
      <c r="D106" s="2" t="n">
        <v>2</v>
      </c>
      <c r="E106" s="2" t="n">
        <v>0</v>
      </c>
    </row>
    <row r="107" customFormat="false" ht="30" hidden="false" customHeight="true" outlineLevel="0" collapsed="false">
      <c r="A107" s="3" t="s">
        <v>215</v>
      </c>
      <c r="B107" s="4" t="s">
        <v>216</v>
      </c>
      <c r="C107" s="5" t="n">
        <v>44365</v>
      </c>
      <c r="D107" s="2" t="n">
        <v>5</v>
      </c>
      <c r="E107" s="2" t="n">
        <v>0</v>
      </c>
    </row>
    <row r="108" customFormat="false" ht="30" hidden="false" customHeight="true" outlineLevel="0" collapsed="false">
      <c r="A108" s="3" t="s">
        <v>217</v>
      </c>
      <c r="B108" s="4" t="s">
        <v>218</v>
      </c>
      <c r="C108" s="5" t="n">
        <v>44365</v>
      </c>
      <c r="D108" s="2" t="n">
        <v>7</v>
      </c>
      <c r="E108" s="2" t="n">
        <v>0</v>
      </c>
    </row>
    <row r="109" customFormat="false" ht="30" hidden="false" customHeight="true" outlineLevel="0" collapsed="false">
      <c r="A109" s="3" t="s">
        <v>219</v>
      </c>
      <c r="B109" s="4" t="s">
        <v>220</v>
      </c>
      <c r="C109" s="5" t="n">
        <v>44365</v>
      </c>
      <c r="D109" s="2" t="n">
        <v>3</v>
      </c>
      <c r="E109" s="2" t="n">
        <v>0</v>
      </c>
    </row>
    <row r="110" customFormat="false" ht="30" hidden="false" customHeight="true" outlineLevel="0" collapsed="false">
      <c r="A110" s="3" t="s">
        <v>221</v>
      </c>
      <c r="B110" s="4" t="s">
        <v>222</v>
      </c>
      <c r="C110" s="5" t="n">
        <v>44365</v>
      </c>
      <c r="D110" s="2" t="n">
        <v>4</v>
      </c>
      <c r="E110" s="2" t="n">
        <v>0</v>
      </c>
    </row>
    <row r="111" customFormat="false" ht="30" hidden="false" customHeight="true" outlineLevel="0" collapsed="false">
      <c r="A111" s="3" t="s">
        <v>223</v>
      </c>
      <c r="B111" s="4" t="s">
        <v>224</v>
      </c>
      <c r="C111" s="5" t="n">
        <v>44365</v>
      </c>
      <c r="D111" s="2" t="n">
        <v>3</v>
      </c>
      <c r="E111" s="2" t="n">
        <v>0</v>
      </c>
    </row>
    <row r="112" customFormat="false" ht="30" hidden="false" customHeight="true" outlineLevel="0" collapsed="false">
      <c r="A112" s="3" t="s">
        <v>225</v>
      </c>
      <c r="B112" s="4" t="s">
        <v>226</v>
      </c>
      <c r="C112" s="5" t="n">
        <v>44365</v>
      </c>
      <c r="D112" s="2" t="n">
        <v>4</v>
      </c>
      <c r="E112" s="2" t="n">
        <v>0</v>
      </c>
    </row>
    <row r="113" customFormat="false" ht="30" hidden="false" customHeight="true" outlineLevel="0" collapsed="false">
      <c r="A113" s="3" t="s">
        <v>227</v>
      </c>
      <c r="B113" s="4" t="s">
        <v>228</v>
      </c>
      <c r="C113" s="5" t="n">
        <v>44365</v>
      </c>
      <c r="D113" s="2" t="n">
        <v>2</v>
      </c>
      <c r="E113" s="2" t="n">
        <v>0</v>
      </c>
    </row>
    <row r="114" customFormat="false" ht="30" hidden="false" customHeight="true" outlineLevel="0" collapsed="false">
      <c r="A114" s="3" t="s">
        <v>229</v>
      </c>
      <c r="B114" s="4" t="s">
        <v>230</v>
      </c>
      <c r="C114" s="5" t="n">
        <v>44365</v>
      </c>
      <c r="D114" s="2" t="n">
        <v>6</v>
      </c>
      <c r="E114" s="2" t="n">
        <v>0</v>
      </c>
    </row>
    <row r="115" customFormat="false" ht="30" hidden="false" customHeight="true" outlineLevel="0" collapsed="false">
      <c r="A115" s="3" t="s">
        <v>231</v>
      </c>
      <c r="B115" s="4" t="s">
        <v>232</v>
      </c>
      <c r="C115" s="5" t="n">
        <v>44365</v>
      </c>
      <c r="D115" s="2" t="n">
        <v>2</v>
      </c>
      <c r="E115" s="2" t="n">
        <v>0</v>
      </c>
    </row>
    <row r="116" customFormat="false" ht="30" hidden="false" customHeight="true" outlineLevel="0" collapsed="false">
      <c r="A116" s="3" t="s">
        <v>233</v>
      </c>
      <c r="B116" s="4" t="s">
        <v>234</v>
      </c>
      <c r="C116" s="5" t="n">
        <v>44365</v>
      </c>
      <c r="D116" s="2" t="n">
        <v>3</v>
      </c>
      <c r="E116" s="2" t="n">
        <v>0</v>
      </c>
    </row>
    <row r="117" customFormat="false" ht="30" hidden="false" customHeight="true" outlineLevel="0" collapsed="false">
      <c r="A117" s="3" t="s">
        <v>235</v>
      </c>
      <c r="B117" s="4" t="s">
        <v>236</v>
      </c>
      <c r="C117" s="5" t="n">
        <v>44365</v>
      </c>
      <c r="D117" s="2" t="n">
        <v>3</v>
      </c>
      <c r="E117" s="2" t="n">
        <v>0</v>
      </c>
    </row>
    <row r="118" customFormat="false" ht="30" hidden="false" customHeight="true" outlineLevel="0" collapsed="false">
      <c r="A118" s="3" t="s">
        <v>237</v>
      </c>
      <c r="B118" s="4" t="s">
        <v>238</v>
      </c>
      <c r="C118" s="5" t="n">
        <v>44365</v>
      </c>
      <c r="D118" s="2" t="n">
        <v>4</v>
      </c>
      <c r="E118" s="2" t="n">
        <v>0</v>
      </c>
    </row>
    <row r="119" customFormat="false" ht="30" hidden="false" customHeight="true" outlineLevel="0" collapsed="false">
      <c r="A119" s="3" t="s">
        <v>239</v>
      </c>
      <c r="B119" s="4" t="s">
        <v>240</v>
      </c>
      <c r="C119" s="5" t="n">
        <v>44365</v>
      </c>
      <c r="D119" s="2" t="n">
        <v>4</v>
      </c>
      <c r="E119" s="2" t="n">
        <v>0</v>
      </c>
    </row>
    <row r="120" customFormat="false" ht="30" hidden="false" customHeight="true" outlineLevel="0" collapsed="false">
      <c r="A120" s="3" t="s">
        <v>241</v>
      </c>
      <c r="B120" s="4" t="s">
        <v>242</v>
      </c>
      <c r="C120" s="5" t="n">
        <v>44365</v>
      </c>
      <c r="D120" s="2" t="n">
        <v>5</v>
      </c>
      <c r="E120" s="2" t="n">
        <v>0</v>
      </c>
    </row>
    <row r="121" customFormat="false" ht="30" hidden="false" customHeight="true" outlineLevel="0" collapsed="false">
      <c r="A121" s="3" t="s">
        <v>243</v>
      </c>
      <c r="B121" s="4" t="s">
        <v>244</v>
      </c>
      <c r="C121" s="5" t="n">
        <v>44365</v>
      </c>
      <c r="D121" s="2" t="n">
        <v>4</v>
      </c>
      <c r="E121" s="2" t="n">
        <v>0</v>
      </c>
    </row>
    <row r="122" customFormat="false" ht="30" hidden="false" customHeight="true" outlineLevel="0" collapsed="false">
      <c r="A122" s="3" t="s">
        <v>245</v>
      </c>
      <c r="B122" s="4" t="s">
        <v>246</v>
      </c>
      <c r="C122" s="5" t="n">
        <v>44365</v>
      </c>
      <c r="D122" s="2" t="n">
        <v>5</v>
      </c>
      <c r="E122" s="2" t="n">
        <v>0</v>
      </c>
    </row>
    <row r="123" customFormat="false" ht="30" hidden="false" customHeight="true" outlineLevel="0" collapsed="false">
      <c r="A123" s="3" t="s">
        <v>247</v>
      </c>
      <c r="B123" s="4" t="s">
        <v>248</v>
      </c>
      <c r="C123" s="5" t="n">
        <v>44365</v>
      </c>
      <c r="D123" s="2" t="n">
        <v>1</v>
      </c>
      <c r="E123" s="2" t="n">
        <v>0</v>
      </c>
    </row>
    <row r="124" customFormat="false" ht="30" hidden="false" customHeight="true" outlineLevel="0" collapsed="false">
      <c r="A124" s="3" t="s">
        <v>249</v>
      </c>
      <c r="B124" s="4" t="s">
        <v>250</v>
      </c>
      <c r="C124" s="5" t="n">
        <v>44365</v>
      </c>
      <c r="D124" s="2" t="n">
        <v>5</v>
      </c>
      <c r="E124" s="2" t="n">
        <v>0</v>
      </c>
    </row>
    <row r="125" customFormat="false" ht="30" hidden="false" customHeight="true" outlineLevel="0" collapsed="false">
      <c r="A125" s="3" t="s">
        <v>251</v>
      </c>
      <c r="B125" s="4" t="s">
        <v>252</v>
      </c>
      <c r="C125" s="5" t="n">
        <v>44365</v>
      </c>
      <c r="D125" s="2" t="n">
        <v>2</v>
      </c>
      <c r="E125" s="2" t="n">
        <v>0</v>
      </c>
    </row>
    <row r="126" customFormat="false" ht="30" hidden="false" customHeight="true" outlineLevel="0" collapsed="false">
      <c r="A126" s="3" t="s">
        <v>253</v>
      </c>
      <c r="B126" s="4" t="s">
        <v>254</v>
      </c>
      <c r="C126" s="5" t="n">
        <v>44365</v>
      </c>
      <c r="D126" s="2" t="n">
        <v>4</v>
      </c>
      <c r="E126" s="2" t="n">
        <v>0</v>
      </c>
    </row>
    <row r="127" customFormat="false" ht="30" hidden="false" customHeight="true" outlineLevel="0" collapsed="false">
      <c r="A127" s="3" t="s">
        <v>255</v>
      </c>
      <c r="B127" s="4" t="s">
        <v>256</v>
      </c>
      <c r="C127" s="5" t="n">
        <v>44365</v>
      </c>
      <c r="D127" s="2" t="n">
        <v>4</v>
      </c>
      <c r="E127" s="2" t="n">
        <v>0</v>
      </c>
    </row>
    <row r="128" customFormat="false" ht="30" hidden="false" customHeight="true" outlineLevel="0" collapsed="false">
      <c r="A128" s="3" t="s">
        <v>257</v>
      </c>
      <c r="B128" s="4" t="s">
        <v>258</v>
      </c>
      <c r="C128" s="5" t="n">
        <v>44365</v>
      </c>
      <c r="D128" s="2" t="n">
        <v>8</v>
      </c>
      <c r="E128" s="2" t="n">
        <v>0</v>
      </c>
    </row>
    <row r="129" customFormat="false" ht="30" hidden="false" customHeight="true" outlineLevel="0" collapsed="false">
      <c r="A129" s="3" t="s">
        <v>259</v>
      </c>
      <c r="B129" s="4" t="s">
        <v>260</v>
      </c>
      <c r="C129" s="5" t="n">
        <v>44365</v>
      </c>
      <c r="D129" s="2" t="n">
        <v>1</v>
      </c>
      <c r="E129" s="2" t="n">
        <v>0</v>
      </c>
    </row>
    <row r="130" customFormat="false" ht="30" hidden="false" customHeight="true" outlineLevel="0" collapsed="false">
      <c r="A130" s="3" t="s">
        <v>261</v>
      </c>
      <c r="B130" s="4" t="s">
        <v>160</v>
      </c>
      <c r="C130" s="5" t="n">
        <v>44365</v>
      </c>
      <c r="D130" s="2" t="n">
        <v>6</v>
      </c>
      <c r="E130" s="2" t="n">
        <v>0</v>
      </c>
    </row>
    <row r="131" customFormat="false" ht="30" hidden="false" customHeight="true" outlineLevel="0" collapsed="false">
      <c r="A131" s="3" t="s">
        <v>262</v>
      </c>
      <c r="B131" s="4" t="s">
        <v>263</v>
      </c>
      <c r="C131" s="5" t="n">
        <v>44365</v>
      </c>
      <c r="D131" s="2" t="n">
        <v>0</v>
      </c>
      <c r="E131" s="2" t="n">
        <v>0</v>
      </c>
    </row>
    <row r="132" customFormat="false" ht="30" hidden="false" customHeight="true" outlineLevel="0" collapsed="false">
      <c r="A132" s="3" t="s">
        <v>264</v>
      </c>
      <c r="B132" s="4" t="s">
        <v>265</v>
      </c>
      <c r="C132" s="5" t="n">
        <v>44370</v>
      </c>
      <c r="D132" s="2" t="n">
        <v>3</v>
      </c>
      <c r="E132" s="2" t="n">
        <v>0</v>
      </c>
    </row>
    <row r="133" customFormat="false" ht="30" hidden="false" customHeight="true" outlineLevel="0" collapsed="false">
      <c r="A133" s="3" t="s">
        <v>266</v>
      </c>
      <c r="B133" s="4" t="s">
        <v>267</v>
      </c>
      <c r="C133" s="5" t="n">
        <v>44370</v>
      </c>
      <c r="D133" s="2" t="n">
        <v>3</v>
      </c>
      <c r="E133" s="2" t="n">
        <v>0</v>
      </c>
    </row>
    <row r="134" customFormat="false" ht="30" hidden="false" customHeight="true" outlineLevel="0" collapsed="false">
      <c r="A134" s="3" t="s">
        <v>268</v>
      </c>
      <c r="B134" s="4" t="s">
        <v>269</v>
      </c>
      <c r="C134" s="5" t="n">
        <v>44370</v>
      </c>
      <c r="D134" s="2" t="n">
        <v>2</v>
      </c>
      <c r="E134" s="2" t="n">
        <v>0</v>
      </c>
    </row>
    <row r="135" customFormat="false" ht="30" hidden="false" customHeight="true" outlineLevel="0" collapsed="false">
      <c r="A135" s="3" t="s">
        <v>270</v>
      </c>
      <c r="B135" s="4" t="s">
        <v>271</v>
      </c>
      <c r="C135" s="5" t="n">
        <v>44370</v>
      </c>
      <c r="D135" s="2" t="n">
        <v>5</v>
      </c>
      <c r="E135" s="2" t="n">
        <v>0</v>
      </c>
    </row>
    <row r="136" customFormat="false" ht="30" hidden="false" customHeight="true" outlineLevel="0" collapsed="false">
      <c r="A136" s="3" t="s">
        <v>272</v>
      </c>
      <c r="B136" s="4" t="s">
        <v>273</v>
      </c>
      <c r="C136" s="5" t="n">
        <v>44370</v>
      </c>
      <c r="D136" s="2" t="n">
        <v>3</v>
      </c>
      <c r="E136" s="2" t="n">
        <v>0</v>
      </c>
    </row>
    <row r="137" customFormat="false" ht="30" hidden="false" customHeight="true" outlineLevel="0" collapsed="false">
      <c r="A137" s="3" t="s">
        <v>274</v>
      </c>
      <c r="B137" s="4" t="s">
        <v>275</v>
      </c>
      <c r="C137" s="5" t="n">
        <v>44370</v>
      </c>
      <c r="D137" s="2" t="n">
        <v>2</v>
      </c>
      <c r="E137" s="2" t="n">
        <v>0</v>
      </c>
    </row>
    <row r="138" customFormat="false" ht="30" hidden="false" customHeight="true" outlineLevel="0" collapsed="false">
      <c r="A138" s="3" t="s">
        <v>276</v>
      </c>
      <c r="B138" s="4" t="s">
        <v>277</v>
      </c>
      <c r="C138" s="5" t="n">
        <v>44370</v>
      </c>
      <c r="D138" s="2" t="n">
        <v>4</v>
      </c>
      <c r="E138" s="2" t="n">
        <v>0</v>
      </c>
    </row>
    <row r="139" customFormat="false" ht="30" hidden="false" customHeight="true" outlineLevel="0" collapsed="false">
      <c r="A139" s="3" t="s">
        <v>278</v>
      </c>
      <c r="B139" s="4" t="s">
        <v>279</v>
      </c>
      <c r="C139" s="5" t="n">
        <v>44370</v>
      </c>
      <c r="D139" s="2" t="n">
        <v>2</v>
      </c>
      <c r="E139" s="2" t="n">
        <v>0</v>
      </c>
    </row>
    <row r="140" customFormat="false" ht="30" hidden="false" customHeight="true" outlineLevel="0" collapsed="false">
      <c r="A140" s="3" t="s">
        <v>280</v>
      </c>
      <c r="B140" s="4" t="s">
        <v>281</v>
      </c>
      <c r="C140" s="5" t="n">
        <v>44370</v>
      </c>
      <c r="D140" s="2" t="n">
        <v>7</v>
      </c>
      <c r="E140" s="2" t="n">
        <v>0</v>
      </c>
    </row>
    <row r="141" customFormat="false" ht="30" hidden="false" customHeight="true" outlineLevel="0" collapsed="false">
      <c r="A141" s="3" t="s">
        <v>282</v>
      </c>
      <c r="B141" s="4" t="s">
        <v>283</v>
      </c>
      <c r="C141" s="5" t="n">
        <v>44370</v>
      </c>
      <c r="D141" s="2" t="n">
        <v>1</v>
      </c>
      <c r="E141" s="2" t="n">
        <v>0</v>
      </c>
    </row>
    <row r="142" customFormat="false" ht="30" hidden="false" customHeight="true" outlineLevel="0" collapsed="false">
      <c r="A142" s="3" t="s">
        <v>284</v>
      </c>
      <c r="B142" s="4" t="s">
        <v>285</v>
      </c>
      <c r="C142" s="5" t="n">
        <v>44372</v>
      </c>
      <c r="D142" s="2" t="n">
        <v>5</v>
      </c>
      <c r="E142" s="2" t="n">
        <v>0</v>
      </c>
    </row>
    <row r="143" customFormat="false" ht="30" hidden="false" customHeight="true" outlineLevel="0" collapsed="false">
      <c r="A143" s="3" t="s">
        <v>286</v>
      </c>
      <c r="B143" s="4" t="s">
        <v>287</v>
      </c>
      <c r="C143" s="5" t="n">
        <v>44372</v>
      </c>
      <c r="D143" s="2" t="n">
        <v>1</v>
      </c>
      <c r="E143" s="2" t="n">
        <v>0</v>
      </c>
    </row>
    <row r="144" customFormat="false" ht="30" hidden="false" customHeight="true" outlineLevel="0" collapsed="false">
      <c r="A144" s="3" t="s">
        <v>288</v>
      </c>
      <c r="B144" s="4" t="s">
        <v>289</v>
      </c>
      <c r="C144" s="5" t="n">
        <v>44372</v>
      </c>
      <c r="D144" s="2" t="n">
        <v>1</v>
      </c>
      <c r="E144" s="2" t="n">
        <v>0</v>
      </c>
    </row>
    <row r="145" customFormat="false" ht="30" hidden="false" customHeight="true" outlineLevel="0" collapsed="false">
      <c r="A145" s="3" t="s">
        <v>290</v>
      </c>
      <c r="B145" s="4" t="s">
        <v>291</v>
      </c>
      <c r="C145" s="5" t="n">
        <v>44372</v>
      </c>
      <c r="D145" s="2" t="n">
        <v>2</v>
      </c>
      <c r="E145" s="2" t="n">
        <v>0</v>
      </c>
    </row>
    <row r="146" customFormat="false" ht="30" hidden="false" customHeight="true" outlineLevel="0" collapsed="false">
      <c r="A146" s="3" t="s">
        <v>292</v>
      </c>
      <c r="B146" s="4" t="s">
        <v>293</v>
      </c>
      <c r="C146" s="5" t="n">
        <v>44372</v>
      </c>
      <c r="D146" s="2" t="n">
        <v>2</v>
      </c>
      <c r="E146" s="2" t="n">
        <v>0</v>
      </c>
    </row>
    <row r="147" customFormat="false" ht="30" hidden="false" customHeight="true" outlineLevel="0" collapsed="false">
      <c r="A147" s="3" t="s">
        <v>294</v>
      </c>
      <c r="B147" s="4" t="s">
        <v>295</v>
      </c>
      <c r="C147" s="5" t="n">
        <v>44372</v>
      </c>
      <c r="D147" s="2" t="n">
        <v>3</v>
      </c>
      <c r="E147" s="2" t="n">
        <v>0</v>
      </c>
    </row>
    <row r="148" customFormat="false" ht="30" hidden="false" customHeight="true" outlineLevel="0" collapsed="false">
      <c r="A148" s="3" t="s">
        <v>296</v>
      </c>
      <c r="B148" s="4" t="s">
        <v>297</v>
      </c>
      <c r="C148" s="5" t="n">
        <v>44372</v>
      </c>
      <c r="D148" s="2" t="n">
        <v>3</v>
      </c>
      <c r="E148" s="2" t="n">
        <v>0</v>
      </c>
    </row>
    <row r="149" customFormat="false" ht="30" hidden="false" customHeight="true" outlineLevel="0" collapsed="false">
      <c r="A149" s="3" t="s">
        <v>298</v>
      </c>
      <c r="B149" s="4" t="s">
        <v>299</v>
      </c>
      <c r="C149" s="5" t="n">
        <v>44372</v>
      </c>
      <c r="D149" s="2" t="n">
        <v>3</v>
      </c>
      <c r="E149" s="2" t="n">
        <v>0</v>
      </c>
    </row>
    <row r="150" customFormat="false" ht="30" hidden="false" customHeight="true" outlineLevel="0" collapsed="false">
      <c r="A150" s="3" t="s">
        <v>300</v>
      </c>
      <c r="B150" s="4" t="s">
        <v>301</v>
      </c>
      <c r="C150" s="5" t="n">
        <v>44372</v>
      </c>
      <c r="D150" s="2" t="n">
        <v>2</v>
      </c>
      <c r="E150" s="2" t="n">
        <v>0</v>
      </c>
    </row>
    <row r="151" customFormat="false" ht="30" hidden="false" customHeight="true" outlineLevel="0" collapsed="false">
      <c r="A151" s="3" t="s">
        <v>302</v>
      </c>
      <c r="B151" s="4" t="s">
        <v>303</v>
      </c>
      <c r="C151" s="5" t="n">
        <v>44372</v>
      </c>
      <c r="D151" s="2" t="n">
        <v>0</v>
      </c>
      <c r="E151" s="2" t="n">
        <v>0</v>
      </c>
    </row>
    <row r="152" customFormat="false" ht="30" hidden="false" customHeight="true" outlineLevel="0" collapsed="false">
      <c r="A152" s="3" t="s">
        <v>304</v>
      </c>
      <c r="B152" s="4" t="s">
        <v>305</v>
      </c>
      <c r="C152" s="5" t="n">
        <v>44372</v>
      </c>
      <c r="D152" s="2" t="n">
        <v>2</v>
      </c>
      <c r="E152" s="2" t="n">
        <v>0</v>
      </c>
    </row>
    <row r="153" customFormat="false" ht="30" hidden="false" customHeight="true" outlineLevel="0" collapsed="false">
      <c r="A153" s="3" t="s">
        <v>306</v>
      </c>
      <c r="B153" s="4" t="s">
        <v>307</v>
      </c>
      <c r="C153" s="5" t="n">
        <v>44372</v>
      </c>
      <c r="D153" s="2" t="n">
        <v>1</v>
      </c>
      <c r="E153" s="2" t="n">
        <v>0</v>
      </c>
    </row>
    <row r="154" customFormat="false" ht="30" hidden="false" customHeight="true" outlineLevel="0" collapsed="false">
      <c r="A154" s="3" t="s">
        <v>308</v>
      </c>
      <c r="B154" s="4" t="s">
        <v>309</v>
      </c>
      <c r="C154" s="5" t="n">
        <v>44372</v>
      </c>
      <c r="D154" s="2" t="n">
        <v>2</v>
      </c>
      <c r="E154" s="2" t="n">
        <v>0</v>
      </c>
    </row>
    <row r="155" customFormat="false" ht="30" hidden="false" customHeight="true" outlineLevel="0" collapsed="false">
      <c r="A155" s="3" t="s">
        <v>310</v>
      </c>
      <c r="B155" s="4" t="s">
        <v>311</v>
      </c>
      <c r="C155" s="5" t="n">
        <v>44376</v>
      </c>
      <c r="D155" s="2" t="n">
        <v>2</v>
      </c>
      <c r="E155" s="2" t="n">
        <v>0</v>
      </c>
    </row>
    <row r="156" customFormat="false" ht="30" hidden="false" customHeight="true" outlineLevel="0" collapsed="false">
      <c r="A156" s="3" t="s">
        <v>312</v>
      </c>
      <c r="B156" s="4" t="s">
        <v>313</v>
      </c>
      <c r="C156" s="5" t="n">
        <v>44376</v>
      </c>
      <c r="D156" s="2" t="n">
        <v>4</v>
      </c>
      <c r="E156" s="2" t="n">
        <v>0</v>
      </c>
    </row>
    <row r="157" customFormat="false" ht="30" hidden="false" customHeight="true" outlineLevel="0" collapsed="false">
      <c r="A157" s="3" t="s">
        <v>314</v>
      </c>
      <c r="B157" s="4" t="s">
        <v>315</v>
      </c>
      <c r="C157" s="5" t="n">
        <v>44376</v>
      </c>
      <c r="D157" s="2" t="n">
        <v>2</v>
      </c>
      <c r="E157" s="2" t="n">
        <v>0</v>
      </c>
    </row>
    <row r="158" customFormat="false" ht="30" hidden="false" customHeight="true" outlineLevel="0" collapsed="false">
      <c r="A158" s="3" t="s">
        <v>316</v>
      </c>
      <c r="B158" s="4" t="s">
        <v>317</v>
      </c>
      <c r="C158" s="5" t="n">
        <v>44376</v>
      </c>
      <c r="D158" s="2" t="n">
        <v>2</v>
      </c>
      <c r="E158" s="2" t="n">
        <v>0</v>
      </c>
    </row>
    <row r="159" customFormat="false" ht="30" hidden="false" customHeight="true" outlineLevel="0" collapsed="false">
      <c r="A159" s="3" t="s">
        <v>318</v>
      </c>
      <c r="B159" s="4" t="s">
        <v>319</v>
      </c>
      <c r="C159" s="5" t="n">
        <v>44376</v>
      </c>
      <c r="D159" s="2" t="n">
        <v>0</v>
      </c>
      <c r="E159" s="2" t="n">
        <v>0</v>
      </c>
    </row>
    <row r="160" customFormat="false" ht="30" hidden="false" customHeight="true" outlineLevel="0" collapsed="false">
      <c r="A160" s="3" t="s">
        <v>320</v>
      </c>
      <c r="B160" s="4" t="s">
        <v>321</v>
      </c>
      <c r="C160" s="5" t="n">
        <v>44376</v>
      </c>
      <c r="D160" s="2" t="n">
        <v>1</v>
      </c>
      <c r="E160" s="2" t="n">
        <v>0</v>
      </c>
    </row>
    <row r="161" customFormat="false" ht="30" hidden="false" customHeight="true" outlineLevel="0" collapsed="false">
      <c r="A161" s="3" t="s">
        <v>322</v>
      </c>
      <c r="B161" s="4" t="s">
        <v>323</v>
      </c>
      <c r="C161" s="5" t="n">
        <v>44376</v>
      </c>
      <c r="D161" s="2" t="n">
        <v>1</v>
      </c>
      <c r="E161" s="2" t="n">
        <v>0</v>
      </c>
    </row>
    <row r="162" customFormat="false" ht="30" hidden="false" customHeight="true" outlineLevel="0" collapsed="false">
      <c r="A162" s="3" t="s">
        <v>324</v>
      </c>
      <c r="B162" s="4" t="s">
        <v>325</v>
      </c>
      <c r="C162" s="5" t="n">
        <v>44376</v>
      </c>
      <c r="D162" s="2" t="n">
        <v>1</v>
      </c>
      <c r="E162" s="2" t="n">
        <v>0</v>
      </c>
    </row>
    <row r="163" customFormat="false" ht="30" hidden="false" customHeight="true" outlineLevel="0" collapsed="false">
      <c r="A163" s="3" t="s">
        <v>326</v>
      </c>
      <c r="B163" s="4" t="s">
        <v>327</v>
      </c>
      <c r="C163" s="5" t="n">
        <v>44376</v>
      </c>
      <c r="D163" s="2" t="n">
        <v>4</v>
      </c>
      <c r="E163" s="2" t="n">
        <v>0</v>
      </c>
    </row>
    <row r="164" customFormat="false" ht="30" hidden="false" customHeight="true" outlineLevel="0" collapsed="false">
      <c r="A164" s="3" t="s">
        <v>328</v>
      </c>
      <c r="B164" s="4" t="s">
        <v>329</v>
      </c>
      <c r="C164" s="5" t="n">
        <v>44376</v>
      </c>
      <c r="D164" s="2" t="n">
        <v>1</v>
      </c>
      <c r="E164" s="2" t="n">
        <v>0</v>
      </c>
    </row>
    <row r="165" customFormat="false" ht="30" hidden="false" customHeight="true" outlineLevel="0" collapsed="false">
      <c r="A165" s="3" t="s">
        <v>330</v>
      </c>
      <c r="B165" s="4" t="s">
        <v>331</v>
      </c>
      <c r="C165" s="5" t="n">
        <v>44377</v>
      </c>
      <c r="D165" s="2" t="n">
        <v>1</v>
      </c>
      <c r="E165" s="2" t="n">
        <v>0</v>
      </c>
    </row>
    <row r="166" customFormat="false" ht="30" hidden="false" customHeight="true" outlineLevel="0" collapsed="false">
      <c r="A166" s="3" t="s">
        <v>332</v>
      </c>
      <c r="B166" s="4" t="s">
        <v>333</v>
      </c>
      <c r="C166" s="5" t="n">
        <v>44378</v>
      </c>
      <c r="D166" s="2" t="n">
        <v>1</v>
      </c>
      <c r="E166" s="2" t="n">
        <v>0</v>
      </c>
    </row>
    <row r="167" customFormat="false" ht="30" hidden="false" customHeight="true" outlineLevel="0" collapsed="false">
      <c r="A167" s="3" t="s">
        <v>334</v>
      </c>
      <c r="B167" s="4" t="s">
        <v>335</v>
      </c>
      <c r="C167" s="5" t="n">
        <v>44378</v>
      </c>
      <c r="D167" s="2" t="n">
        <v>1</v>
      </c>
      <c r="E167" s="2" t="n">
        <v>0</v>
      </c>
    </row>
    <row r="168" customFormat="false" ht="30" hidden="false" customHeight="true" outlineLevel="0" collapsed="false">
      <c r="A168" s="3" t="s">
        <v>336</v>
      </c>
      <c r="B168" s="4" t="s">
        <v>337</v>
      </c>
      <c r="C168" s="5" t="n">
        <v>44378</v>
      </c>
      <c r="D168" s="2" t="n">
        <v>1</v>
      </c>
      <c r="E168" s="2" t="n">
        <v>0</v>
      </c>
    </row>
    <row r="169" customFormat="false" ht="30" hidden="false" customHeight="true" outlineLevel="0" collapsed="false">
      <c r="A169" s="3" t="s">
        <v>338</v>
      </c>
      <c r="B169" s="4" t="s">
        <v>339</v>
      </c>
      <c r="C169" s="5" t="n">
        <v>44378</v>
      </c>
      <c r="D169" s="2" t="n">
        <v>0</v>
      </c>
      <c r="E169" s="2" t="n">
        <v>0</v>
      </c>
    </row>
    <row r="170" customFormat="false" ht="30" hidden="false" customHeight="true" outlineLevel="0" collapsed="false">
      <c r="A170" s="3" t="s">
        <v>340</v>
      </c>
      <c r="B170" s="4" t="s">
        <v>341</v>
      </c>
      <c r="C170" s="5" t="n">
        <v>44378</v>
      </c>
      <c r="D170" s="2" t="n">
        <v>3</v>
      </c>
      <c r="E170" s="2" t="n">
        <v>0</v>
      </c>
    </row>
    <row r="171" customFormat="false" ht="30" hidden="false" customHeight="true" outlineLevel="0" collapsed="false">
      <c r="A171" s="3" t="s">
        <v>342</v>
      </c>
      <c r="B171" s="4" t="s">
        <v>343</v>
      </c>
      <c r="C171" s="5" t="n">
        <v>44378</v>
      </c>
      <c r="D171" s="2" t="n">
        <v>0</v>
      </c>
      <c r="E171" s="2" t="n">
        <v>0</v>
      </c>
    </row>
    <row r="172" customFormat="false" ht="30" hidden="false" customHeight="true" outlineLevel="0" collapsed="false">
      <c r="A172" s="3" t="s">
        <v>344</v>
      </c>
      <c r="B172" s="4" t="s">
        <v>345</v>
      </c>
      <c r="C172" s="5" t="n">
        <v>44378</v>
      </c>
      <c r="D172" s="2" t="n">
        <v>0</v>
      </c>
      <c r="E172" s="2" t="n">
        <v>0</v>
      </c>
    </row>
    <row r="173" customFormat="false" ht="30" hidden="false" customHeight="true" outlineLevel="0" collapsed="false">
      <c r="A173" s="3" t="s">
        <v>346</v>
      </c>
      <c r="B173" s="4" t="s">
        <v>347</v>
      </c>
      <c r="C173" s="5" t="n">
        <v>44378</v>
      </c>
      <c r="D173" s="2" t="n">
        <v>1</v>
      </c>
      <c r="E173" s="2" t="n">
        <v>0</v>
      </c>
    </row>
    <row r="174" customFormat="false" ht="30" hidden="false" customHeight="true" outlineLevel="0" collapsed="false">
      <c r="A174" s="3" t="s">
        <v>348</v>
      </c>
      <c r="B174" s="4" t="s">
        <v>349</v>
      </c>
      <c r="C174" s="5" t="n">
        <v>44378</v>
      </c>
      <c r="D174" s="2" t="n">
        <v>1</v>
      </c>
      <c r="E174" s="2" t="n">
        <v>0</v>
      </c>
    </row>
    <row r="175" customFormat="false" ht="30" hidden="false" customHeight="true" outlineLevel="0" collapsed="false">
      <c r="A175" s="3" t="s">
        <v>350</v>
      </c>
      <c r="B175" s="4" t="s">
        <v>351</v>
      </c>
      <c r="C175" s="5" t="n">
        <v>44378</v>
      </c>
      <c r="D175" s="2" t="n">
        <v>1</v>
      </c>
      <c r="E175" s="2" t="n">
        <v>0</v>
      </c>
    </row>
    <row r="176" customFormat="false" ht="30" hidden="false" customHeight="true" outlineLevel="0" collapsed="false">
      <c r="A176" s="3" t="s">
        <v>352</v>
      </c>
      <c r="B176" s="4" t="s">
        <v>353</v>
      </c>
      <c r="C176" s="5" t="n">
        <v>44380</v>
      </c>
      <c r="D176" s="2" t="n">
        <v>1</v>
      </c>
      <c r="E176" s="2" t="n">
        <v>0</v>
      </c>
    </row>
    <row r="177" customFormat="false" ht="30" hidden="false" customHeight="true" outlineLevel="0" collapsed="false">
      <c r="A177" s="3" t="s">
        <v>354</v>
      </c>
      <c r="B177" s="4" t="s">
        <v>355</v>
      </c>
      <c r="C177" s="5" t="n">
        <v>44380</v>
      </c>
      <c r="D177" s="2" t="n">
        <v>0</v>
      </c>
      <c r="E177" s="2" t="n">
        <v>0</v>
      </c>
    </row>
    <row r="178" customFormat="false" ht="30" hidden="false" customHeight="true" outlineLevel="0" collapsed="false">
      <c r="A178" s="3" t="s">
        <v>356</v>
      </c>
      <c r="B178" s="4" t="s">
        <v>357</v>
      </c>
      <c r="C178" s="5" t="n">
        <v>44380</v>
      </c>
      <c r="D178" s="2" t="n">
        <v>0</v>
      </c>
      <c r="E178" s="2" t="n">
        <v>0</v>
      </c>
    </row>
    <row r="179" customFormat="false" ht="30" hidden="false" customHeight="true" outlineLevel="0" collapsed="false">
      <c r="A179" s="3" t="s">
        <v>358</v>
      </c>
      <c r="B179" s="4" t="s">
        <v>359</v>
      </c>
      <c r="C179" s="5" t="n">
        <v>44380</v>
      </c>
      <c r="D179" s="2" t="n">
        <v>0</v>
      </c>
      <c r="E179" s="2" t="n">
        <v>0</v>
      </c>
    </row>
    <row r="180" customFormat="false" ht="30" hidden="false" customHeight="true" outlineLevel="0" collapsed="false">
      <c r="A180" s="3" t="s">
        <v>360</v>
      </c>
      <c r="B180" s="4" t="s">
        <v>361</v>
      </c>
      <c r="C180" s="5" t="n">
        <v>44380</v>
      </c>
      <c r="D180" s="2" t="n">
        <v>0</v>
      </c>
      <c r="E180" s="2" t="n">
        <v>0</v>
      </c>
    </row>
    <row r="181" customFormat="false" ht="30" hidden="false" customHeight="true" outlineLevel="0" collapsed="false">
      <c r="A181" s="3" t="s">
        <v>362</v>
      </c>
      <c r="B181" s="4" t="s">
        <v>363</v>
      </c>
      <c r="C181" s="5" t="n">
        <v>44380</v>
      </c>
      <c r="D181" s="2" t="n">
        <v>0</v>
      </c>
      <c r="E181" s="2" t="n">
        <v>0</v>
      </c>
    </row>
    <row r="182" customFormat="false" ht="30" hidden="false" customHeight="true" outlineLevel="0" collapsed="false">
      <c r="A182" s="3" t="s">
        <v>364</v>
      </c>
      <c r="B182" s="4" t="s">
        <v>365</v>
      </c>
      <c r="C182" s="5" t="n">
        <v>44380</v>
      </c>
      <c r="D182" s="2" t="n">
        <v>1</v>
      </c>
      <c r="E182" s="2" t="n">
        <v>0</v>
      </c>
    </row>
    <row r="183" customFormat="false" ht="30" hidden="false" customHeight="true" outlineLevel="0" collapsed="false">
      <c r="A183" s="3" t="s">
        <v>366</v>
      </c>
      <c r="B183" s="4" t="s">
        <v>367</v>
      </c>
      <c r="C183" s="5" t="n">
        <v>44380</v>
      </c>
      <c r="D183" s="2" t="n">
        <v>1</v>
      </c>
      <c r="E183" s="2" t="n">
        <v>0</v>
      </c>
    </row>
    <row r="184" customFormat="false" ht="30" hidden="false" customHeight="true" outlineLevel="0" collapsed="false">
      <c r="A184" s="3" t="s">
        <v>368</v>
      </c>
      <c r="B184" s="4" t="s">
        <v>369</v>
      </c>
      <c r="C184" s="5" t="n">
        <v>44380</v>
      </c>
      <c r="D184" s="2" t="n">
        <v>1</v>
      </c>
      <c r="E184" s="2" t="n">
        <v>0</v>
      </c>
    </row>
    <row r="185" customFormat="false" ht="30" hidden="false" customHeight="true" outlineLevel="0" collapsed="false">
      <c r="A185" s="3" t="s">
        <v>370</v>
      </c>
      <c r="B185" s="4" t="s">
        <v>371</v>
      </c>
      <c r="C185" s="5" t="n">
        <v>44398</v>
      </c>
      <c r="D185" s="2" t="n">
        <v>1</v>
      </c>
      <c r="E185" s="2" t="n">
        <v>0</v>
      </c>
    </row>
    <row r="186" customFormat="false" ht="30" hidden="false" customHeight="true" outlineLevel="0" collapsed="false">
      <c r="A186" s="3" t="s">
        <v>372</v>
      </c>
      <c r="B186" s="4" t="s">
        <v>373</v>
      </c>
      <c r="C186" s="5" t="n">
        <v>44398</v>
      </c>
      <c r="D186" s="2" t="n">
        <v>1</v>
      </c>
      <c r="E186" s="2" t="n">
        <v>0</v>
      </c>
    </row>
    <row r="187" customFormat="false" ht="30" hidden="false" customHeight="true" outlineLevel="0" collapsed="false">
      <c r="A187" s="3" t="s">
        <v>374</v>
      </c>
      <c r="B187" s="4" t="s">
        <v>375</v>
      </c>
      <c r="C187" s="5" t="n">
        <v>44398</v>
      </c>
      <c r="D187" s="2" t="n">
        <v>0</v>
      </c>
      <c r="E187" s="2" t="n">
        <v>0</v>
      </c>
    </row>
    <row r="188" customFormat="false" ht="30" hidden="false" customHeight="true" outlineLevel="0" collapsed="false">
      <c r="A188" s="3" t="s">
        <v>376</v>
      </c>
      <c r="B188" s="4" t="s">
        <v>377</v>
      </c>
      <c r="C188" s="5" t="n">
        <v>44398</v>
      </c>
      <c r="D188" s="2" t="n">
        <v>0</v>
      </c>
      <c r="E188" s="2" t="n">
        <v>0</v>
      </c>
    </row>
    <row r="189" customFormat="false" ht="30" hidden="false" customHeight="true" outlineLevel="0" collapsed="false">
      <c r="A189" s="3" t="s">
        <v>378</v>
      </c>
      <c r="B189" s="4" t="s">
        <v>379</v>
      </c>
      <c r="C189" s="5" t="n">
        <v>44398</v>
      </c>
      <c r="D189" s="2" t="n">
        <v>0</v>
      </c>
      <c r="E189" s="2" t="n">
        <v>0</v>
      </c>
    </row>
    <row r="190" customFormat="false" ht="30" hidden="false" customHeight="true" outlineLevel="0" collapsed="false">
      <c r="A190" s="3" t="s">
        <v>380</v>
      </c>
      <c r="B190" s="4" t="s">
        <v>381</v>
      </c>
      <c r="C190" s="5" t="n">
        <v>44398</v>
      </c>
      <c r="D190" s="2" t="n">
        <v>0</v>
      </c>
      <c r="E190" s="2" t="n">
        <v>0</v>
      </c>
    </row>
    <row r="191" customFormat="false" ht="30" hidden="false" customHeight="true" outlineLevel="0" collapsed="false">
      <c r="A191" s="3" t="s">
        <v>382</v>
      </c>
      <c r="B191" s="4" t="s">
        <v>383</v>
      </c>
      <c r="C191" s="5" t="n">
        <v>44398</v>
      </c>
      <c r="D191" s="2" t="n">
        <v>1</v>
      </c>
      <c r="E191" s="2" t="n">
        <v>0</v>
      </c>
    </row>
    <row r="192" customFormat="false" ht="30" hidden="false" customHeight="true" outlineLevel="0" collapsed="false">
      <c r="A192" s="3" t="s">
        <v>384</v>
      </c>
      <c r="B192" s="4" t="s">
        <v>385</v>
      </c>
      <c r="C192" s="5" t="n">
        <v>44398</v>
      </c>
      <c r="D192" s="2" t="n">
        <v>1</v>
      </c>
      <c r="E192" s="2" t="n">
        <v>0</v>
      </c>
    </row>
    <row r="193" customFormat="false" ht="30" hidden="false" customHeight="true" outlineLevel="0" collapsed="false">
      <c r="A193" s="3" t="s">
        <v>386</v>
      </c>
      <c r="B193" s="4" t="s">
        <v>387</v>
      </c>
      <c r="C193" s="5" t="n">
        <v>44398</v>
      </c>
      <c r="D193" s="2" t="n">
        <v>1</v>
      </c>
      <c r="E193" s="2" t="n">
        <v>0</v>
      </c>
    </row>
    <row r="194" customFormat="false" ht="30" hidden="false" customHeight="true" outlineLevel="0" collapsed="false">
      <c r="A194" s="3" t="s">
        <v>388</v>
      </c>
      <c r="B194" s="4" t="s">
        <v>389</v>
      </c>
      <c r="C194" s="5" t="n">
        <v>44398</v>
      </c>
      <c r="D194" s="2" t="n">
        <v>1</v>
      </c>
      <c r="E194" s="2" t="n">
        <v>0</v>
      </c>
    </row>
    <row r="195" customFormat="false" ht="30" hidden="false" customHeight="true" outlineLevel="0" collapsed="false">
      <c r="A195" s="3" t="s">
        <v>390</v>
      </c>
      <c r="B195" s="4" t="s">
        <v>391</v>
      </c>
      <c r="C195" s="5" t="n">
        <v>44399</v>
      </c>
      <c r="D195" s="2" t="n">
        <v>1</v>
      </c>
      <c r="E195" s="2" t="n">
        <v>0</v>
      </c>
    </row>
    <row r="196" customFormat="false" ht="30" hidden="false" customHeight="true" outlineLevel="0" collapsed="false">
      <c r="A196" s="3" t="s">
        <v>392</v>
      </c>
      <c r="B196" s="4" t="s">
        <v>393</v>
      </c>
      <c r="C196" s="5" t="n">
        <v>44399</v>
      </c>
      <c r="D196" s="2" t="n">
        <v>0</v>
      </c>
      <c r="E196" s="2" t="n">
        <v>0</v>
      </c>
    </row>
    <row r="197" customFormat="false" ht="30" hidden="false" customHeight="true" outlineLevel="0" collapsed="false">
      <c r="A197" s="3" t="s">
        <v>394</v>
      </c>
      <c r="B197" s="4" t="s">
        <v>395</v>
      </c>
      <c r="C197" s="5" t="n">
        <v>44399</v>
      </c>
      <c r="D197" s="2" t="n">
        <v>0</v>
      </c>
      <c r="E197" s="2" t="n">
        <v>0</v>
      </c>
    </row>
    <row r="198" customFormat="false" ht="30" hidden="false" customHeight="true" outlineLevel="0" collapsed="false">
      <c r="A198" s="3" t="s">
        <v>396</v>
      </c>
      <c r="B198" s="4" t="s">
        <v>397</v>
      </c>
      <c r="C198" s="5" t="n">
        <v>44399</v>
      </c>
      <c r="D198" s="2" t="n">
        <v>0</v>
      </c>
      <c r="E198" s="2" t="n">
        <v>0</v>
      </c>
    </row>
    <row r="199" customFormat="false" ht="30" hidden="false" customHeight="true" outlineLevel="0" collapsed="false">
      <c r="A199" s="3" t="s">
        <v>398</v>
      </c>
      <c r="B199" s="4" t="s">
        <v>399</v>
      </c>
      <c r="C199" s="5" t="n">
        <v>44399</v>
      </c>
      <c r="D199" s="2" t="n">
        <v>0</v>
      </c>
      <c r="E199" s="2" t="n">
        <v>0</v>
      </c>
    </row>
    <row r="200" customFormat="false" ht="30" hidden="false" customHeight="true" outlineLevel="0" collapsed="false">
      <c r="A200" s="3" t="s">
        <v>400</v>
      </c>
      <c r="B200" s="4" t="s">
        <v>401</v>
      </c>
      <c r="C200" s="5" t="n">
        <v>44399</v>
      </c>
      <c r="D200" s="2" t="n">
        <v>0</v>
      </c>
      <c r="E200" s="2" t="n">
        <v>0</v>
      </c>
    </row>
    <row r="201" customFormat="false" ht="30" hidden="false" customHeight="true" outlineLevel="0" collapsed="false">
      <c r="A201" s="3" t="s">
        <v>402</v>
      </c>
      <c r="B201" s="4" t="s">
        <v>403</v>
      </c>
      <c r="C201" s="5" t="n">
        <v>44399</v>
      </c>
      <c r="D201" s="2" t="n">
        <v>1</v>
      </c>
      <c r="E201" s="2" t="n">
        <v>0</v>
      </c>
    </row>
    <row r="202" customFormat="false" ht="30" hidden="false" customHeight="true" outlineLevel="0" collapsed="false">
      <c r="A202" s="3" t="s">
        <v>404</v>
      </c>
      <c r="B202" s="4" t="s">
        <v>405</v>
      </c>
      <c r="C202" s="5" t="n">
        <v>44399</v>
      </c>
      <c r="D202" s="2" t="n">
        <v>1</v>
      </c>
      <c r="E202" s="2" t="n">
        <v>0</v>
      </c>
    </row>
    <row r="203" customFormat="false" ht="30" hidden="false" customHeight="true" outlineLevel="0" collapsed="false">
      <c r="A203" s="3" t="s">
        <v>406</v>
      </c>
      <c r="B203" s="4" t="s">
        <v>407</v>
      </c>
      <c r="C203" s="5" t="n">
        <v>44399</v>
      </c>
      <c r="D203" s="2" t="n">
        <v>1</v>
      </c>
      <c r="E203" s="2" t="n">
        <v>0</v>
      </c>
    </row>
    <row r="204" customFormat="false" ht="30" hidden="false" customHeight="true" outlineLevel="0" collapsed="false">
      <c r="A204" s="3" t="s">
        <v>408</v>
      </c>
      <c r="B204" s="4" t="s">
        <v>409</v>
      </c>
      <c r="C204" s="5" t="n">
        <v>44399</v>
      </c>
      <c r="D204" s="2" t="n">
        <v>1</v>
      </c>
      <c r="E204" s="2" t="n">
        <v>0</v>
      </c>
    </row>
    <row r="205" customFormat="false" ht="30" hidden="false" customHeight="true" outlineLevel="0" collapsed="false">
      <c r="A205" s="3" t="s">
        <v>410</v>
      </c>
      <c r="B205" s="4" t="s">
        <v>411</v>
      </c>
      <c r="C205" s="5" t="n">
        <v>44399</v>
      </c>
      <c r="D205" s="2" t="n">
        <v>0</v>
      </c>
      <c r="E205" s="2" t="n">
        <v>0</v>
      </c>
    </row>
    <row r="206" customFormat="false" ht="30" hidden="false" customHeight="true" outlineLevel="0" collapsed="false">
      <c r="A206" s="3" t="s">
        <v>412</v>
      </c>
      <c r="B206" s="4" t="s">
        <v>413</v>
      </c>
      <c r="C206" s="5" t="n">
        <v>44399</v>
      </c>
      <c r="D206" s="2" t="n">
        <v>0</v>
      </c>
      <c r="E206" s="2" t="n">
        <v>0</v>
      </c>
    </row>
    <row r="207" customFormat="false" ht="30" hidden="false" customHeight="true" outlineLevel="0" collapsed="false">
      <c r="A207" s="3" t="s">
        <v>414</v>
      </c>
      <c r="B207" s="4" t="s">
        <v>415</v>
      </c>
      <c r="C207" s="5" t="n">
        <v>44399</v>
      </c>
      <c r="D207" s="2" t="n">
        <v>0</v>
      </c>
      <c r="E207" s="2" t="n">
        <v>0</v>
      </c>
    </row>
    <row r="208" customFormat="false" ht="30" hidden="false" customHeight="true" outlineLevel="0" collapsed="false">
      <c r="A208" s="3" t="s">
        <v>416</v>
      </c>
      <c r="B208" s="4" t="s">
        <v>417</v>
      </c>
      <c r="C208" s="5" t="n">
        <v>44399</v>
      </c>
      <c r="D208" s="2" t="n">
        <v>0</v>
      </c>
      <c r="E208" s="2" t="n">
        <v>0</v>
      </c>
    </row>
    <row r="209" customFormat="false" ht="30" hidden="false" customHeight="true" outlineLevel="0" collapsed="false">
      <c r="A209" s="3" t="s">
        <v>418</v>
      </c>
      <c r="B209" s="4" t="s">
        <v>419</v>
      </c>
      <c r="C209" s="5" t="n">
        <v>44399</v>
      </c>
      <c r="D209" s="2" t="n">
        <v>0</v>
      </c>
      <c r="E209" s="2" t="n">
        <v>0</v>
      </c>
    </row>
    <row r="210" customFormat="false" ht="30" hidden="false" customHeight="true" outlineLevel="0" collapsed="false">
      <c r="A210" s="3" t="s">
        <v>420</v>
      </c>
      <c r="B210" s="4" t="s">
        <v>421</v>
      </c>
      <c r="C210" s="5" t="n">
        <v>44399</v>
      </c>
      <c r="D210" s="2" t="n">
        <v>1</v>
      </c>
      <c r="E210" s="2" t="n">
        <v>0</v>
      </c>
    </row>
    <row r="211" customFormat="false" ht="30" hidden="false" customHeight="true" outlineLevel="0" collapsed="false">
      <c r="A211" s="3" t="s">
        <v>422</v>
      </c>
      <c r="B211" s="4" t="s">
        <v>423</v>
      </c>
      <c r="C211" s="5" t="n">
        <v>44399</v>
      </c>
      <c r="D211" s="2" t="n">
        <v>1</v>
      </c>
      <c r="E211" s="2" t="n">
        <v>0</v>
      </c>
    </row>
    <row r="212" customFormat="false" ht="30" hidden="false" customHeight="true" outlineLevel="0" collapsed="false">
      <c r="A212" s="3" t="s">
        <v>424</v>
      </c>
      <c r="B212" s="4" t="s">
        <v>425</v>
      </c>
      <c r="C212" s="5" t="n">
        <v>44399</v>
      </c>
      <c r="D212" s="2" t="n">
        <v>1</v>
      </c>
      <c r="E212" s="2" t="n">
        <v>0</v>
      </c>
    </row>
    <row r="213" customFormat="false" ht="30" hidden="false" customHeight="true" outlineLevel="0" collapsed="false">
      <c r="A213" s="3" t="s">
        <v>426</v>
      </c>
      <c r="B213" s="4" t="s">
        <v>427</v>
      </c>
      <c r="C213" s="5" t="n">
        <v>44399</v>
      </c>
      <c r="D213" s="2" t="n">
        <v>1</v>
      </c>
      <c r="E213" s="2" t="n">
        <v>0</v>
      </c>
    </row>
    <row r="214" customFormat="false" ht="30" hidden="false" customHeight="true" outlineLevel="0" collapsed="false">
      <c r="A214" s="3" t="s">
        <v>428</v>
      </c>
      <c r="B214" s="4" t="s">
        <v>429</v>
      </c>
      <c r="C214" s="5" t="n">
        <v>44399</v>
      </c>
      <c r="D214" s="2" t="n">
        <v>0</v>
      </c>
      <c r="E214" s="2" t="n">
        <v>0</v>
      </c>
    </row>
    <row r="215" customFormat="false" ht="30" hidden="false" customHeight="true" outlineLevel="0" collapsed="false">
      <c r="A215" s="3" t="s">
        <v>430</v>
      </c>
      <c r="B215" s="4" t="s">
        <v>431</v>
      </c>
      <c r="C215" s="5" t="n">
        <v>44401</v>
      </c>
      <c r="D215" s="2" t="n">
        <v>0</v>
      </c>
      <c r="E215" s="2" t="n">
        <v>0</v>
      </c>
    </row>
    <row r="216" customFormat="false" ht="30" hidden="false" customHeight="true" outlineLevel="0" collapsed="false">
      <c r="A216" s="3" t="s">
        <v>432</v>
      </c>
      <c r="B216" s="4" t="s">
        <v>433</v>
      </c>
      <c r="C216" s="5" t="n">
        <v>44402</v>
      </c>
      <c r="D216" s="2" t="n">
        <v>0</v>
      </c>
      <c r="E216" s="2" t="n">
        <v>0</v>
      </c>
    </row>
    <row r="217" customFormat="false" ht="30" hidden="false" customHeight="true" outlineLevel="0" collapsed="false">
      <c r="A217" s="3" t="s">
        <v>434</v>
      </c>
      <c r="B217" s="4" t="s">
        <v>435</v>
      </c>
      <c r="C217" s="5" t="n">
        <v>44409</v>
      </c>
      <c r="D217" s="2" t="n">
        <v>0</v>
      </c>
      <c r="E217" s="2" t="n">
        <v>0</v>
      </c>
    </row>
    <row r="218" customFormat="false" ht="30" hidden="false" customHeight="true" outlineLevel="0" collapsed="false">
      <c r="A218" s="3" t="s">
        <v>436</v>
      </c>
      <c r="B218" s="4" t="s">
        <v>437</v>
      </c>
      <c r="C218" s="5" t="n">
        <v>44409</v>
      </c>
      <c r="D218" s="2" t="n">
        <v>0</v>
      </c>
      <c r="E218" s="2" t="n">
        <v>0</v>
      </c>
    </row>
    <row r="219" customFormat="false" ht="30" hidden="false" customHeight="true" outlineLevel="0" collapsed="false">
      <c r="A219" s="3" t="s">
        <v>438</v>
      </c>
      <c r="B219" s="4" t="s">
        <v>439</v>
      </c>
      <c r="C219" s="5" t="n">
        <v>44409</v>
      </c>
      <c r="D219" s="2" t="n">
        <v>0</v>
      </c>
      <c r="E219" s="2" t="n">
        <v>0</v>
      </c>
    </row>
    <row r="220" customFormat="false" ht="30" hidden="false" customHeight="true" outlineLevel="0" collapsed="false">
      <c r="A220" s="3" t="s">
        <v>440</v>
      </c>
      <c r="B220" s="4" t="s">
        <v>441</v>
      </c>
      <c r="C220" s="5" t="n">
        <v>44409</v>
      </c>
      <c r="D220" s="2" t="n">
        <v>0</v>
      </c>
      <c r="E220" s="2" t="n">
        <v>0</v>
      </c>
    </row>
    <row r="221" customFormat="false" ht="30" hidden="false" customHeight="true" outlineLevel="0" collapsed="false">
      <c r="A221" s="3" t="s">
        <v>442</v>
      </c>
      <c r="B221" s="4" t="s">
        <v>443</v>
      </c>
      <c r="C221" s="5" t="n">
        <v>44409</v>
      </c>
      <c r="D221" s="2" t="n">
        <v>0</v>
      </c>
      <c r="E221" s="2" t="n">
        <v>0</v>
      </c>
    </row>
    <row r="222" customFormat="false" ht="30" hidden="false" customHeight="true" outlineLevel="0" collapsed="false">
      <c r="A222" s="3" t="s">
        <v>444</v>
      </c>
      <c r="B222" s="4" t="s">
        <v>445</v>
      </c>
      <c r="C222" s="5" t="n">
        <v>44409</v>
      </c>
      <c r="D222" s="2" t="n">
        <v>0</v>
      </c>
      <c r="E222" s="2" t="n">
        <v>0</v>
      </c>
    </row>
    <row r="223" customFormat="false" ht="30" hidden="false" customHeight="true" outlineLevel="0" collapsed="false">
      <c r="A223" s="3" t="s">
        <v>446</v>
      </c>
      <c r="B223" s="4" t="s">
        <v>447</v>
      </c>
      <c r="C223" s="5" t="n">
        <v>44409</v>
      </c>
      <c r="D223" s="2" t="n">
        <v>0</v>
      </c>
      <c r="E223" s="2" t="n">
        <v>0</v>
      </c>
    </row>
    <row r="224" customFormat="false" ht="30" hidden="false" customHeight="true" outlineLevel="0" collapsed="false">
      <c r="A224" s="3" t="s">
        <v>448</v>
      </c>
      <c r="B224" s="4" t="s">
        <v>449</v>
      </c>
      <c r="C224" s="5" t="n">
        <v>44409</v>
      </c>
      <c r="D224" s="2" t="n">
        <v>0</v>
      </c>
      <c r="E224" s="2" t="n">
        <v>0</v>
      </c>
    </row>
    <row r="225" customFormat="false" ht="30" hidden="false" customHeight="true" outlineLevel="0" collapsed="false">
      <c r="A225" s="3" t="s">
        <v>450</v>
      </c>
      <c r="B225" s="4" t="s">
        <v>236</v>
      </c>
      <c r="C225" s="5" t="n">
        <v>44409</v>
      </c>
      <c r="D225" s="2" t="n">
        <v>0</v>
      </c>
      <c r="E225" s="2" t="n">
        <v>0</v>
      </c>
    </row>
    <row r="226" customFormat="false" ht="30" hidden="false" customHeight="true" outlineLevel="0" collapsed="false">
      <c r="A226" s="3" t="s">
        <v>451</v>
      </c>
      <c r="B226" s="4" t="s">
        <v>452</v>
      </c>
      <c r="C226" s="5" t="n">
        <v>44409</v>
      </c>
      <c r="D226" s="2" t="n">
        <v>0</v>
      </c>
      <c r="E226" s="2" t="n">
        <v>0</v>
      </c>
    </row>
    <row r="227" customFormat="false" ht="30" hidden="false" customHeight="true" outlineLevel="0" collapsed="false">
      <c r="A227" s="3" t="s">
        <v>453</v>
      </c>
      <c r="B227" s="4" t="s">
        <v>454</v>
      </c>
      <c r="C227" s="5" t="n">
        <v>44409</v>
      </c>
      <c r="D227" s="2" t="n">
        <v>0</v>
      </c>
      <c r="E227" s="2" t="n">
        <v>0</v>
      </c>
    </row>
    <row r="228" customFormat="false" ht="30" hidden="false" customHeight="true" outlineLevel="0" collapsed="false">
      <c r="A228" s="3" t="s">
        <v>455</v>
      </c>
      <c r="B228" s="4" t="s">
        <v>456</v>
      </c>
      <c r="C228" s="5" t="n">
        <v>44409</v>
      </c>
      <c r="D228" s="2" t="n">
        <v>0</v>
      </c>
      <c r="E228" s="2" t="n">
        <v>0</v>
      </c>
    </row>
    <row r="229" customFormat="false" ht="30" hidden="false" customHeight="true" outlineLevel="0" collapsed="false">
      <c r="A229" s="3" t="s">
        <v>457</v>
      </c>
      <c r="B229" s="4" t="s">
        <v>458</v>
      </c>
      <c r="C229" s="5" t="n">
        <v>44409</v>
      </c>
      <c r="D229" s="2" t="n">
        <v>0</v>
      </c>
      <c r="E229" s="2" t="n">
        <v>0</v>
      </c>
    </row>
    <row r="230" customFormat="false" ht="30" hidden="false" customHeight="true" outlineLevel="0" collapsed="false">
      <c r="A230" s="3" t="s">
        <v>459</v>
      </c>
      <c r="B230" s="4" t="s">
        <v>460</v>
      </c>
      <c r="C230" s="5" t="n">
        <v>44409</v>
      </c>
      <c r="D230" s="2" t="n">
        <v>0</v>
      </c>
      <c r="E230" s="2" t="n">
        <v>0</v>
      </c>
    </row>
    <row r="231" customFormat="false" ht="30" hidden="false" customHeight="true" outlineLevel="0" collapsed="false">
      <c r="A231" s="3" t="s">
        <v>461</v>
      </c>
      <c r="B231" s="4" t="s">
        <v>462</v>
      </c>
      <c r="C231" s="5" t="n">
        <v>44409</v>
      </c>
      <c r="D231" s="2" t="n">
        <v>0</v>
      </c>
      <c r="E231" s="2" t="n">
        <v>0</v>
      </c>
    </row>
    <row r="232" customFormat="false" ht="30" hidden="false" customHeight="true" outlineLevel="0" collapsed="false">
      <c r="A232" s="3" t="s">
        <v>463</v>
      </c>
      <c r="B232" s="4" t="s">
        <v>464</v>
      </c>
      <c r="C232" s="5" t="n">
        <v>44409</v>
      </c>
      <c r="D232" s="2" t="n">
        <v>0</v>
      </c>
      <c r="E232" s="2" t="n">
        <v>0</v>
      </c>
    </row>
    <row r="233" customFormat="false" ht="30" hidden="false" customHeight="true" outlineLevel="0" collapsed="false">
      <c r="A233" s="3" t="s">
        <v>465</v>
      </c>
      <c r="B233" s="4" t="s">
        <v>466</v>
      </c>
      <c r="C233" s="5" t="n">
        <v>44409</v>
      </c>
      <c r="D233" s="2" t="n">
        <v>0</v>
      </c>
      <c r="E233" s="2" t="n">
        <v>0</v>
      </c>
    </row>
    <row r="234" customFormat="false" ht="30" hidden="false" customHeight="true" outlineLevel="0" collapsed="false">
      <c r="A234" s="3" t="s">
        <v>467</v>
      </c>
      <c r="B234" s="4" t="s">
        <v>468</v>
      </c>
      <c r="C234" s="5" t="n">
        <v>44420</v>
      </c>
      <c r="D234" s="2" t="n">
        <v>0</v>
      </c>
      <c r="E234" s="2" t="n">
        <v>0</v>
      </c>
    </row>
    <row r="235" customFormat="false" ht="30" hidden="false" customHeight="true" outlineLevel="0" collapsed="false">
      <c r="A235" s="3" t="s">
        <v>469</v>
      </c>
      <c r="B235" s="4" t="s">
        <v>470</v>
      </c>
      <c r="C235" s="5" t="n">
        <v>44420</v>
      </c>
      <c r="D235" s="2" t="n">
        <v>0</v>
      </c>
      <c r="E235" s="2" t="n">
        <v>0</v>
      </c>
    </row>
    <row r="236" customFormat="false" ht="30" hidden="false" customHeight="true" outlineLevel="0" collapsed="false">
      <c r="A236" s="3" t="s">
        <v>471</v>
      </c>
      <c r="B236" s="4" t="s">
        <v>472</v>
      </c>
      <c r="C236" s="5" t="n">
        <v>44441</v>
      </c>
      <c r="D236" s="2" t="n">
        <v>0</v>
      </c>
      <c r="E236" s="2" t="n">
        <v>0</v>
      </c>
    </row>
    <row r="237" customFormat="false" ht="30" hidden="false" customHeight="true" outlineLevel="0" collapsed="false">
      <c r="A237" s="3" t="s">
        <v>473</v>
      </c>
      <c r="B237" s="4" t="s">
        <v>474</v>
      </c>
      <c r="C237" s="5" t="n">
        <v>44473</v>
      </c>
      <c r="D237" s="2" t="n">
        <v>0</v>
      </c>
      <c r="E237" s="2" t="n">
        <v>0</v>
      </c>
    </row>
    <row r="238" customFormat="false" ht="30" hidden="false" customHeight="true" outlineLevel="0" collapsed="false">
      <c r="A238" s="3" t="s">
        <v>475</v>
      </c>
      <c r="B238" s="4" t="s">
        <v>476</v>
      </c>
      <c r="C238" s="5" t="n">
        <v>44473</v>
      </c>
      <c r="D238" s="2" t="n">
        <v>0</v>
      </c>
      <c r="E238" s="2" t="n">
        <v>0</v>
      </c>
    </row>
    <row r="239" customFormat="false" ht="30" hidden="false" customHeight="true" outlineLevel="0" collapsed="false">
      <c r="A239" s="3" t="s">
        <v>477</v>
      </c>
      <c r="B239" s="4" t="s">
        <v>478</v>
      </c>
      <c r="C239" s="5" t="n">
        <v>44473</v>
      </c>
      <c r="D239" s="2" t="n">
        <v>0</v>
      </c>
      <c r="E239" s="2" t="n">
        <v>0</v>
      </c>
    </row>
    <row r="240" customFormat="false" ht="30" hidden="false" customHeight="true" outlineLevel="0" collapsed="false">
      <c r="A240" s="3" t="s">
        <v>479</v>
      </c>
      <c r="B240" s="4" t="s">
        <v>480</v>
      </c>
      <c r="C240" s="5" t="n">
        <v>44473</v>
      </c>
      <c r="D240" s="2" t="n">
        <v>0</v>
      </c>
      <c r="E240" s="2" t="n">
        <v>0</v>
      </c>
    </row>
    <row r="241" customFormat="false" ht="30" hidden="false" customHeight="true" outlineLevel="0" collapsed="false">
      <c r="A241" s="3" t="s">
        <v>481</v>
      </c>
      <c r="B241" s="4" t="s">
        <v>482</v>
      </c>
      <c r="C241" s="5" t="n">
        <v>44473</v>
      </c>
      <c r="D241" s="2" t="n">
        <v>0</v>
      </c>
      <c r="E241" s="2" t="n">
        <v>0</v>
      </c>
    </row>
    <row r="242" customFormat="false" ht="30" hidden="false" customHeight="true" outlineLevel="0" collapsed="false">
      <c r="A242" s="3" t="s">
        <v>483</v>
      </c>
      <c r="B242" s="4" t="s">
        <v>484</v>
      </c>
      <c r="C242" s="5" t="n">
        <v>44473</v>
      </c>
      <c r="D242" s="2" t="n">
        <v>0</v>
      </c>
      <c r="E242" s="2" t="n">
        <v>0</v>
      </c>
    </row>
    <row r="243" customFormat="false" ht="30" hidden="false" customHeight="true" outlineLevel="0" collapsed="false">
      <c r="A243" s="3" t="s">
        <v>485</v>
      </c>
      <c r="B243" s="4" t="s">
        <v>486</v>
      </c>
      <c r="C243" s="5" t="n">
        <v>44482</v>
      </c>
      <c r="D243" s="2" t="n">
        <v>0</v>
      </c>
      <c r="E243" s="2" t="n">
        <v>0</v>
      </c>
    </row>
    <row r="244" customFormat="false" ht="30" hidden="false" customHeight="true" outlineLevel="0" collapsed="false">
      <c r="A244" s="3" t="s">
        <v>487</v>
      </c>
      <c r="B244" s="4" t="s">
        <v>488</v>
      </c>
      <c r="C244" s="5" t="n">
        <v>44499</v>
      </c>
      <c r="D244" s="2" t="n">
        <v>0</v>
      </c>
      <c r="E244" s="2" t="n">
        <v>0</v>
      </c>
    </row>
    <row r="245" customFormat="false" ht="30" hidden="false" customHeight="true" outlineLevel="0" collapsed="false">
      <c r="A245" s="3" t="s">
        <v>489</v>
      </c>
      <c r="B245" s="4" t="s">
        <v>490</v>
      </c>
      <c r="C245" s="5" t="n">
        <v>44499</v>
      </c>
      <c r="D245" s="2" t="n">
        <v>0</v>
      </c>
      <c r="E245" s="2" t="n">
        <v>0</v>
      </c>
    </row>
    <row r="246" customFormat="false" ht="30" hidden="false" customHeight="true" outlineLevel="0" collapsed="false">
      <c r="A246" s="3" t="s">
        <v>491</v>
      </c>
      <c r="B246" s="4" t="s">
        <v>492</v>
      </c>
      <c r="C246" s="5" t="n">
        <v>44499</v>
      </c>
      <c r="D246" s="2" t="n">
        <v>0</v>
      </c>
      <c r="E246" s="2" t="n">
        <v>0</v>
      </c>
    </row>
    <row r="247" customFormat="false" ht="30" hidden="false" customHeight="true" outlineLevel="0" collapsed="false">
      <c r="A247" s="3" t="s">
        <v>493</v>
      </c>
      <c r="B247" s="4" t="s">
        <v>494</v>
      </c>
      <c r="C247" s="5" t="n">
        <v>44502</v>
      </c>
      <c r="D247" s="2" t="n">
        <v>0</v>
      </c>
      <c r="E247" s="2" t="n">
        <v>0</v>
      </c>
    </row>
    <row r="248" customFormat="false" ht="30" hidden="false" customHeight="true" outlineLevel="0" collapsed="false">
      <c r="A248" s="3" t="s">
        <v>495</v>
      </c>
      <c r="B248" s="4" t="s">
        <v>496</v>
      </c>
      <c r="C248" s="5" t="n">
        <v>44507</v>
      </c>
      <c r="D248" s="2" t="n">
        <v>0</v>
      </c>
      <c r="E248" s="2" t="n">
        <v>0</v>
      </c>
    </row>
    <row r="249" customFormat="false" ht="30" hidden="false" customHeight="true" outlineLevel="0" collapsed="false">
      <c r="A249" s="3" t="s">
        <v>497</v>
      </c>
      <c r="B249" s="4" t="s">
        <v>498</v>
      </c>
      <c r="C249" s="5" t="n">
        <v>44512</v>
      </c>
      <c r="D249" s="2" t="n">
        <v>0</v>
      </c>
      <c r="E249" s="2" t="n">
        <v>0</v>
      </c>
    </row>
    <row r="250" customFormat="false" ht="30" hidden="false" customHeight="true" outlineLevel="0" collapsed="false">
      <c r="A250" s="3" t="s">
        <v>499</v>
      </c>
      <c r="B250" s="4" t="s">
        <v>500</v>
      </c>
      <c r="C250" s="5" t="n">
        <v>44512</v>
      </c>
      <c r="D250" s="2" t="n">
        <v>0</v>
      </c>
      <c r="E250" s="2" t="n">
        <v>0</v>
      </c>
    </row>
    <row r="251" customFormat="false" ht="30" hidden="false" customHeight="true" outlineLevel="0" collapsed="false">
      <c r="A251" s="3" t="s">
        <v>501</v>
      </c>
      <c r="B251" s="4" t="s">
        <v>502</v>
      </c>
      <c r="C251" s="5" t="n">
        <v>44515</v>
      </c>
      <c r="D251" s="2" t="n">
        <v>0</v>
      </c>
      <c r="E251" s="2" t="n">
        <v>0</v>
      </c>
    </row>
    <row r="252" customFormat="false" ht="30" hidden="false" customHeight="true" outlineLevel="0" collapsed="false">
      <c r="A252" s="3" t="s">
        <v>503</v>
      </c>
      <c r="B252" s="4" t="s">
        <v>504</v>
      </c>
      <c r="C252" s="5" t="n">
        <v>44589</v>
      </c>
      <c r="D252" s="2" t="n">
        <v>0</v>
      </c>
      <c r="E252" s="2" t="n">
        <v>0</v>
      </c>
    </row>
    <row r="253" customFormat="false" ht="30" hidden="false" customHeight="true" outlineLevel="0" collapsed="false">
      <c r="A253" s="3" t="s">
        <v>505</v>
      </c>
      <c r="B253" s="4" t="s">
        <v>506</v>
      </c>
      <c r="C253" s="5" t="n">
        <v>44589</v>
      </c>
      <c r="D253" s="2" t="n">
        <v>0</v>
      </c>
      <c r="E253" s="2" t="n">
        <v>0</v>
      </c>
    </row>
    <row r="254" customFormat="false" ht="30" hidden="false" customHeight="true" outlineLevel="0" collapsed="false">
      <c r="A254" s="3" t="s">
        <v>507</v>
      </c>
      <c r="B254" s="4" t="s">
        <v>508</v>
      </c>
      <c r="C254" s="5" t="n">
        <v>44589</v>
      </c>
      <c r="D254" s="2" t="n">
        <v>0</v>
      </c>
      <c r="E254" s="2" t="n">
        <v>0</v>
      </c>
    </row>
    <row r="255" customFormat="false" ht="30" hidden="false" customHeight="true" outlineLevel="0" collapsed="false">
      <c r="A255" s="3" t="s">
        <v>509</v>
      </c>
      <c r="B255" s="4" t="s">
        <v>510</v>
      </c>
      <c r="C255" s="5" t="n">
        <v>44589</v>
      </c>
      <c r="D255" s="2" t="n">
        <v>0</v>
      </c>
      <c r="E255" s="2" t="n">
        <v>0</v>
      </c>
    </row>
    <row r="256" customFormat="false" ht="30" hidden="false" customHeight="true" outlineLevel="0" collapsed="false">
      <c r="A256" s="3" t="s">
        <v>511</v>
      </c>
      <c r="B256" s="4" t="s">
        <v>512</v>
      </c>
      <c r="C256" s="5" t="n">
        <v>44589</v>
      </c>
      <c r="D256" s="2" t="n">
        <v>0</v>
      </c>
      <c r="E256" s="2" t="n">
        <v>0</v>
      </c>
    </row>
    <row r="257" customFormat="false" ht="30" hidden="false" customHeight="true" outlineLevel="0" collapsed="false">
      <c r="A257" s="3" t="s">
        <v>513</v>
      </c>
      <c r="B257" s="4" t="s">
        <v>514</v>
      </c>
      <c r="C257" s="5" t="n">
        <v>44589</v>
      </c>
      <c r="D257" s="2" t="n">
        <v>0</v>
      </c>
      <c r="E257" s="2" t="n">
        <v>0</v>
      </c>
    </row>
    <row r="258" customFormat="false" ht="30" hidden="false" customHeight="true" outlineLevel="0" collapsed="false">
      <c r="A258" s="3" t="s">
        <v>515</v>
      </c>
      <c r="B258" s="4" t="s">
        <v>516</v>
      </c>
      <c r="C258" s="5" t="n">
        <v>44592</v>
      </c>
      <c r="D258" s="2" t="n">
        <v>0</v>
      </c>
      <c r="E258" s="2" t="n">
        <v>0</v>
      </c>
    </row>
    <row r="259" customFormat="false" ht="30" hidden="false" customHeight="true" outlineLevel="0" collapsed="false">
      <c r="A259" s="3" t="s">
        <v>517</v>
      </c>
      <c r="B259" s="4" t="s">
        <v>323</v>
      </c>
      <c r="C259" s="5" t="n">
        <v>44595</v>
      </c>
      <c r="D259" s="2" t="n">
        <v>0</v>
      </c>
      <c r="E259" s="2" t="n">
        <v>0</v>
      </c>
    </row>
    <row r="260" customFormat="false" ht="30" hidden="false" customHeight="true" outlineLevel="0" collapsed="false">
      <c r="A260" s="3" t="s">
        <v>518</v>
      </c>
      <c r="B260" s="4" t="s">
        <v>519</v>
      </c>
      <c r="C260" s="5" t="n">
        <v>44595</v>
      </c>
      <c r="D260" s="2" t="n">
        <v>0</v>
      </c>
      <c r="E260" s="2" t="n">
        <v>0</v>
      </c>
    </row>
    <row r="261" customFormat="false" ht="30" hidden="false" customHeight="true" outlineLevel="0" collapsed="false">
      <c r="A261" s="3" t="s">
        <v>520</v>
      </c>
      <c r="B261" s="4" t="s">
        <v>521</v>
      </c>
      <c r="C261" s="5" t="n">
        <v>44625</v>
      </c>
      <c r="D261" s="2" t="n">
        <v>0</v>
      </c>
      <c r="E261" s="2" t="n">
        <v>0</v>
      </c>
    </row>
    <row r="262" customFormat="false" ht="30" hidden="false" customHeight="true" outlineLevel="0" collapsed="false">
      <c r="A262" s="3" t="s">
        <v>522</v>
      </c>
      <c r="B262" s="4" t="s">
        <v>523</v>
      </c>
      <c r="C262" s="5" t="n">
        <v>44625</v>
      </c>
      <c r="D262" s="2" t="n">
        <v>0</v>
      </c>
      <c r="E262" s="2" t="n">
        <v>0</v>
      </c>
    </row>
    <row r="263" customFormat="false" ht="30" hidden="false" customHeight="true" outlineLevel="0" collapsed="false">
      <c r="A263" s="3" t="s">
        <v>524</v>
      </c>
      <c r="B263" s="4" t="s">
        <v>525</v>
      </c>
      <c r="C263" s="5" t="n">
        <v>44627</v>
      </c>
      <c r="D263" s="2" t="n">
        <v>0</v>
      </c>
      <c r="E263" s="2" t="n">
        <v>0</v>
      </c>
    </row>
    <row r="264" customFormat="false" ht="30" hidden="false" customHeight="true" outlineLevel="0" collapsed="false">
      <c r="A264" s="3" t="s">
        <v>526</v>
      </c>
      <c r="B264" s="4" t="s">
        <v>527</v>
      </c>
      <c r="C264" s="5" t="n">
        <v>44629</v>
      </c>
      <c r="D264" s="2" t="n">
        <v>0</v>
      </c>
      <c r="E264" s="2" t="n">
        <v>0</v>
      </c>
    </row>
    <row r="265" customFormat="false" ht="30" hidden="false" customHeight="true" outlineLevel="0" collapsed="false">
      <c r="A265" s="3" t="s">
        <v>528</v>
      </c>
      <c r="B265" s="4" t="s">
        <v>529</v>
      </c>
      <c r="C265" s="5" t="n">
        <v>44629</v>
      </c>
      <c r="D265" s="2" t="n">
        <v>0</v>
      </c>
      <c r="E265" s="2" t="n">
        <v>0</v>
      </c>
    </row>
    <row r="266" customFormat="false" ht="30" hidden="false" customHeight="true" outlineLevel="0" collapsed="false">
      <c r="A266" s="3" t="s">
        <v>530</v>
      </c>
      <c r="B266" s="4" t="s">
        <v>531</v>
      </c>
      <c r="C266" s="5" t="n">
        <v>44630</v>
      </c>
      <c r="D266" s="2" t="n">
        <v>0</v>
      </c>
      <c r="E266" s="2" t="n">
        <v>0</v>
      </c>
    </row>
    <row r="267" customFormat="false" ht="30" hidden="false" customHeight="true" outlineLevel="0" collapsed="false">
      <c r="A267" s="3" t="s">
        <v>532</v>
      </c>
      <c r="B267" s="4" t="s">
        <v>533</v>
      </c>
      <c r="C267" s="5" t="n">
        <v>44630</v>
      </c>
      <c r="D267" s="2" t="n">
        <v>0</v>
      </c>
      <c r="E267" s="2" t="n">
        <v>0</v>
      </c>
    </row>
    <row r="268" customFormat="false" ht="30" hidden="false" customHeight="true" outlineLevel="0" collapsed="false">
      <c r="A268" s="3" t="s">
        <v>534</v>
      </c>
      <c r="B268" s="4" t="s">
        <v>535</v>
      </c>
      <c r="C268" s="5" t="n">
        <v>44630</v>
      </c>
      <c r="D268" s="2" t="n">
        <v>0</v>
      </c>
      <c r="E268" s="2" t="n">
        <v>0</v>
      </c>
    </row>
    <row r="269" customFormat="false" ht="30" hidden="false" customHeight="true" outlineLevel="0" collapsed="false">
      <c r="A269" s="3" t="s">
        <v>536</v>
      </c>
      <c r="B269" s="4" t="s">
        <v>537</v>
      </c>
      <c r="C269" s="5" t="n">
        <v>44634</v>
      </c>
      <c r="D269" s="2" t="n">
        <v>0</v>
      </c>
      <c r="E269" s="2" t="n">
        <v>0</v>
      </c>
    </row>
    <row r="270" customFormat="false" ht="30" hidden="false" customHeight="true" outlineLevel="0" collapsed="false">
      <c r="A270" s="3" t="s">
        <v>538</v>
      </c>
      <c r="B270" s="4" t="s">
        <v>539</v>
      </c>
      <c r="C270" s="5" t="n">
        <v>44634</v>
      </c>
      <c r="D270" s="2" t="n">
        <v>0</v>
      </c>
      <c r="E270" s="2" t="n">
        <v>0</v>
      </c>
    </row>
    <row r="271" customFormat="false" ht="30" hidden="false" customHeight="true" outlineLevel="0" collapsed="false">
      <c r="A271" s="3" t="s">
        <v>540</v>
      </c>
      <c r="B271" s="4" t="s">
        <v>541</v>
      </c>
      <c r="C271" s="5" t="n">
        <v>44634</v>
      </c>
      <c r="D271" s="2" t="n">
        <v>0</v>
      </c>
      <c r="E271" s="2" t="n">
        <v>0</v>
      </c>
    </row>
    <row r="272" customFormat="false" ht="30" hidden="false" customHeight="true" outlineLevel="0" collapsed="false">
      <c r="A272" s="3" t="s">
        <v>542</v>
      </c>
      <c r="B272" s="4" t="s">
        <v>543</v>
      </c>
      <c r="C272" s="5" t="n">
        <v>44635</v>
      </c>
      <c r="D272" s="2" t="n">
        <v>0</v>
      </c>
      <c r="E272" s="2" t="n">
        <v>0</v>
      </c>
    </row>
    <row r="273" customFormat="false" ht="30" hidden="false" customHeight="true" outlineLevel="0" collapsed="false">
      <c r="A273" s="3" t="s">
        <v>544</v>
      </c>
      <c r="B273" s="4" t="s">
        <v>545</v>
      </c>
      <c r="C273" s="5" t="n">
        <v>44640</v>
      </c>
      <c r="D273" s="2" t="n">
        <v>0</v>
      </c>
      <c r="E273" s="2" t="n">
        <v>0</v>
      </c>
    </row>
    <row r="274" customFormat="false" ht="30" hidden="false" customHeight="true" outlineLevel="0" collapsed="false">
      <c r="A274" s="3" t="s">
        <v>546</v>
      </c>
      <c r="B274" s="4" t="s">
        <v>547</v>
      </c>
      <c r="C274" s="5" t="n">
        <v>44653</v>
      </c>
      <c r="D274" s="2" t="n">
        <v>0</v>
      </c>
      <c r="E274" s="2" t="n">
        <v>0</v>
      </c>
    </row>
    <row r="275" customFormat="false" ht="30" hidden="false" customHeight="true" outlineLevel="0" collapsed="false">
      <c r="A275" s="3" t="s">
        <v>548</v>
      </c>
      <c r="B275" s="4" t="s">
        <v>549</v>
      </c>
      <c r="C275" s="5" t="n">
        <v>44653</v>
      </c>
      <c r="D275" s="2" t="n">
        <v>0</v>
      </c>
      <c r="E275" s="2" t="n">
        <v>0</v>
      </c>
    </row>
    <row r="276" customFormat="false" ht="30" hidden="false" customHeight="true" outlineLevel="0" collapsed="false">
      <c r="A276" s="3" t="s">
        <v>550</v>
      </c>
      <c r="B276" s="4" t="s">
        <v>551</v>
      </c>
      <c r="C276" s="5" t="n">
        <v>44665</v>
      </c>
      <c r="D276" s="2" t="n">
        <v>0</v>
      </c>
      <c r="E276" s="2" t="n">
        <v>0</v>
      </c>
    </row>
    <row r="277" customFormat="false" ht="30" hidden="false" customHeight="true" outlineLevel="0" collapsed="false">
      <c r="A277" s="3" t="s">
        <v>552</v>
      </c>
      <c r="B277" s="4" t="s">
        <v>553</v>
      </c>
      <c r="C277" s="5" t="n">
        <v>44684</v>
      </c>
      <c r="D277" s="2" t="n">
        <v>0</v>
      </c>
      <c r="E277" s="2" t="n">
        <v>0</v>
      </c>
    </row>
    <row r="278" customFormat="false" ht="30" hidden="false" customHeight="true" outlineLevel="0" collapsed="false">
      <c r="A278" s="6" t="s">
        <v>554</v>
      </c>
      <c r="B278" s="7" t="s">
        <v>555</v>
      </c>
      <c r="C278" s="8" t="n">
        <v>45353</v>
      </c>
      <c r="D278" s="9" t="n">
        <v>0</v>
      </c>
      <c r="E278" s="9" t="n">
        <v>0</v>
      </c>
    </row>
    <row r="279" customFormat="false" ht="30" hidden="false" customHeight="true" outlineLevel="0" collapsed="false">
      <c r="A279" s="6" t="s">
        <v>556</v>
      </c>
      <c r="B279" s="7" t="s">
        <v>557</v>
      </c>
      <c r="C279" s="8" t="n">
        <v>45353</v>
      </c>
      <c r="D279" s="9" t="n">
        <v>0</v>
      </c>
      <c r="E279" s="9" t="n"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8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1" topLeftCell="A14" activePane="bottomLeft" state="frozen"/>
      <selection pane="topLeft" activeCell="A1" activeCellId="0" sqref="A1"/>
      <selection pane="bottomLeft" activeCell="D20" activeCellId="0" sqref="D20"/>
    </sheetView>
  </sheetViews>
  <sheetFormatPr defaultColWidth="20.66796875" defaultRowHeight="30" zeroHeight="false" outlineLevelRow="0" outlineLevelCol="0"/>
  <cols>
    <col collapsed="false" customWidth="true" hidden="false" outlineLevel="0" max="1" min="1" style="2" width="18.88"/>
    <col collapsed="false" customWidth="true" hidden="false" outlineLevel="0" max="2" min="2" style="2" width="5.11"/>
    <col collapsed="false" customWidth="false" hidden="false" outlineLevel="0" max="3" min="3" style="2" width="20.66"/>
    <col collapsed="false" customWidth="true" hidden="false" outlineLevel="0" max="5" min="4" style="2" width="14.67"/>
    <col collapsed="false" customWidth="false" hidden="false" outlineLevel="0" max="6" min="6" style="2" width="20.66"/>
    <col collapsed="false" customWidth="true" hidden="false" outlineLevel="0" max="8" min="7" style="10" width="3.88"/>
    <col collapsed="false" customWidth="false" hidden="false" outlineLevel="0" max="9" min="9" style="11" width="20.66"/>
    <col collapsed="false" customWidth="true" hidden="false" outlineLevel="0" max="13" min="10" style="12" width="15.66"/>
    <col collapsed="false" customWidth="false" hidden="false" outlineLevel="0" max="15" min="14" style="13" width="20.66"/>
    <col collapsed="false" customWidth="false" hidden="false" outlineLevel="0" max="18" min="16" style="2" width="20.66"/>
    <col collapsed="false" customWidth="true" hidden="false" outlineLevel="0" max="19" min="19" style="2" width="12.67"/>
    <col collapsed="false" customWidth="false" hidden="false" outlineLevel="0" max="16384" min="20" style="2" width="20.66"/>
  </cols>
  <sheetData>
    <row r="1" s="14" customFormat="true" ht="30" hidden="false" customHeight="true" outlineLevel="0" collapsed="false">
      <c r="F1" s="2"/>
      <c r="G1" s="10"/>
      <c r="H1" s="10"/>
      <c r="I1" s="11"/>
      <c r="J1" s="12"/>
      <c r="K1" s="12"/>
      <c r="L1" s="12"/>
      <c r="M1" s="12"/>
      <c r="N1" s="12"/>
      <c r="O1" s="12"/>
      <c r="Q1" s="15"/>
      <c r="R1" s="15"/>
    </row>
    <row r="2" s="14" customFormat="true" ht="30" hidden="false" customHeight="true" outlineLevel="0" collapsed="false">
      <c r="C2" s="16" t="s">
        <v>558</v>
      </c>
      <c r="F2" s="2"/>
      <c r="G2" s="10"/>
      <c r="H2" s="10"/>
      <c r="I2" s="11"/>
      <c r="J2" s="12"/>
      <c r="K2" s="12"/>
      <c r="L2" s="12"/>
      <c r="M2" s="12"/>
      <c r="N2" s="12"/>
      <c r="O2" s="12"/>
      <c r="S2" s="15"/>
    </row>
    <row r="3" s="14" customFormat="true" ht="30" hidden="false" customHeight="true" outlineLevel="0" collapsed="false">
      <c r="C3" s="14" t="n">
        <v>8</v>
      </c>
      <c r="F3" s="2"/>
      <c r="G3" s="10"/>
      <c r="H3" s="10"/>
      <c r="I3" s="11"/>
      <c r="J3" s="12"/>
      <c r="K3" s="12"/>
      <c r="L3" s="12"/>
      <c r="M3" s="12"/>
      <c r="N3" s="12"/>
      <c r="O3" s="12"/>
    </row>
    <row r="4" s="14" customFormat="true" ht="51" hidden="false" customHeight="true" outlineLevel="0" collapsed="false">
      <c r="F4" s="2"/>
      <c r="G4" s="10"/>
      <c r="H4" s="10"/>
      <c r="I4" s="11"/>
      <c r="J4" s="12"/>
      <c r="K4" s="12"/>
      <c r="L4" s="12"/>
      <c r="M4" s="12"/>
      <c r="N4" s="12"/>
      <c r="O4" s="12"/>
    </row>
    <row r="5" s="14" customFormat="true" ht="51" hidden="false" customHeight="true" outlineLevel="0" collapsed="false">
      <c r="F5" s="2"/>
      <c r="G5" s="10"/>
      <c r="H5" s="10"/>
      <c r="I5" s="11"/>
      <c r="J5" s="12"/>
      <c r="K5" s="12"/>
      <c r="L5" s="12"/>
      <c r="M5" s="12"/>
      <c r="N5" s="12"/>
      <c r="O5" s="12"/>
    </row>
    <row r="6" s="14" customFormat="true" ht="51" hidden="false" customHeight="true" outlineLevel="0" collapsed="false">
      <c r="C6" s="17"/>
      <c r="D6" s="17"/>
      <c r="F6" s="2"/>
      <c r="G6" s="18" t="s">
        <v>23</v>
      </c>
      <c r="H6" s="18" t="s">
        <v>24</v>
      </c>
      <c r="I6" s="11"/>
      <c r="J6" s="12"/>
      <c r="K6" s="12"/>
      <c r="L6" s="12"/>
      <c r="M6" s="12"/>
      <c r="N6" s="12"/>
      <c r="O6" s="12"/>
    </row>
    <row r="7" s="14" customFormat="true" ht="51" hidden="false" customHeight="true" outlineLevel="0" collapsed="false">
      <c r="F7" s="2"/>
      <c r="G7" s="18" t="s">
        <v>45</v>
      </c>
      <c r="H7" s="18" t="s">
        <v>46</v>
      </c>
      <c r="I7" s="11"/>
      <c r="J7" s="12"/>
      <c r="K7" s="12"/>
      <c r="L7" s="12"/>
      <c r="M7" s="12"/>
      <c r="N7" s="12"/>
      <c r="O7" s="12"/>
      <c r="S7" s="15"/>
    </row>
    <row r="8" s="14" customFormat="true" ht="51" hidden="false" customHeight="true" outlineLevel="0" collapsed="false">
      <c r="F8" s="2"/>
      <c r="G8" s="18" t="s">
        <v>61</v>
      </c>
      <c r="H8" s="18" t="s">
        <v>62</v>
      </c>
      <c r="I8" s="11"/>
      <c r="J8" s="12"/>
      <c r="K8" s="12"/>
      <c r="L8" s="12"/>
      <c r="M8" s="12"/>
      <c r="N8" s="12"/>
      <c r="O8" s="12"/>
    </row>
    <row r="9" s="14" customFormat="true" ht="51" hidden="false" customHeight="true" outlineLevel="0" collapsed="false">
      <c r="F9" s="2"/>
      <c r="G9" s="18" t="s">
        <v>65</v>
      </c>
      <c r="H9" s="18" t="s">
        <v>66</v>
      </c>
      <c r="I9" s="11"/>
      <c r="J9" s="12"/>
      <c r="K9" s="12"/>
      <c r="L9" s="12"/>
      <c r="M9" s="12"/>
      <c r="N9" s="12"/>
      <c r="O9" s="12"/>
    </row>
    <row r="10" s="14" customFormat="true" ht="51" hidden="false" customHeight="true" outlineLevel="0" collapsed="false">
      <c r="F10" s="2"/>
      <c r="G10" s="18" t="s">
        <v>67</v>
      </c>
      <c r="H10" s="18" t="s">
        <v>68</v>
      </c>
      <c r="I10" s="11"/>
      <c r="J10" s="12"/>
      <c r="K10" s="12"/>
      <c r="L10" s="12"/>
      <c r="M10" s="12"/>
      <c r="N10" s="12"/>
      <c r="O10" s="12"/>
    </row>
    <row r="11" customFormat="false" ht="30" hidden="false" customHeight="true" outlineLevel="0" collapsed="false">
      <c r="A11" s="19" t="s">
        <v>559</v>
      </c>
      <c r="B11" s="20" t="s">
        <v>560</v>
      </c>
      <c r="C11" s="20" t="s">
        <v>561</v>
      </c>
      <c r="D11" s="20" t="s">
        <v>562</v>
      </c>
      <c r="E11" s="20" t="s">
        <v>563</v>
      </c>
      <c r="F11" s="21"/>
      <c r="G11" s="18" t="s">
        <v>73</v>
      </c>
      <c r="H11" s="22" t="s">
        <v>74</v>
      </c>
      <c r="J11" s="23" t="s">
        <v>564</v>
      </c>
      <c r="K11" s="23" t="s">
        <v>565</v>
      </c>
      <c r="L11" s="23" t="s">
        <v>566</v>
      </c>
      <c r="M11" s="24" t="s">
        <v>567</v>
      </c>
      <c r="N11" s="23" t="s">
        <v>568</v>
      </c>
      <c r="O11" s="23" t="s">
        <v>569</v>
      </c>
    </row>
    <row r="12" customFormat="false" ht="30" hidden="false" customHeight="true" outlineLevel="0" collapsed="false">
      <c r="A12" s="5" t="n">
        <v>44368</v>
      </c>
      <c r="B12" s="2" t="n">
        <v>1</v>
      </c>
      <c r="D12" s="25" t="n">
        <v>74</v>
      </c>
      <c r="E12" s="25" t="n">
        <v>69.2307692307692</v>
      </c>
      <c r="F12" s="25"/>
      <c r="G12" s="18" t="s">
        <v>79</v>
      </c>
      <c r="H12" s="18" t="s">
        <v>80</v>
      </c>
      <c r="I12" s="26" t="s">
        <v>570</v>
      </c>
      <c r="J12" s="27" t="n">
        <f aca="false">AVERAGE($D$12:$D$68)</f>
        <v>85.125</v>
      </c>
      <c r="K12" s="27" t="n">
        <f aca="false">J12+3*STDEVPA($D$12:$D$68)</f>
        <v>106.148424435615</v>
      </c>
      <c r="L12" s="27" t="n">
        <f aca="false">J12-3*STDEVPA($D$12:$D$68)</f>
        <v>64.1015755643853</v>
      </c>
      <c r="M12" s="28" t="n">
        <f aca="false">AVERAGE($E$12:$E$68)</f>
        <v>80.515318015318</v>
      </c>
      <c r="N12" s="27" t="n">
        <f aca="false">M12+3*STDEVPA($E$12:$E$68)</f>
        <v>112.42119100608</v>
      </c>
      <c r="O12" s="27" t="n">
        <f aca="false">M12-3*STDEVPA($E$12:$E$68)</f>
        <v>48.6094450245556</v>
      </c>
    </row>
    <row r="13" customFormat="false" ht="30" hidden="false" customHeight="true" outlineLevel="0" collapsed="false">
      <c r="A13" s="29" t="n">
        <v>44369</v>
      </c>
      <c r="B13" s="30" t="n">
        <v>2</v>
      </c>
      <c r="C13" s="30"/>
      <c r="D13" s="31" t="n">
        <v>86</v>
      </c>
      <c r="E13" s="31" t="n">
        <v>71.4285714285714</v>
      </c>
      <c r="F13" s="25"/>
      <c r="G13" s="18" t="s">
        <v>81</v>
      </c>
      <c r="H13" s="18" t="s">
        <v>82</v>
      </c>
      <c r="I13" s="26" t="s">
        <v>571</v>
      </c>
      <c r="J13" s="27" t="n">
        <f aca="false">AVERAGE($D$12:$D$68)</f>
        <v>85.125</v>
      </c>
      <c r="K13" s="27" t="n">
        <f aca="false">J13+3*STDEVPA($D$12:$D$68)</f>
        <v>106.148424435615</v>
      </c>
      <c r="L13" s="27" t="n">
        <f aca="false">J13-3*STDEVPA($D$12:$D$68)</f>
        <v>64.1015755643853</v>
      </c>
      <c r="M13" s="28" t="n">
        <f aca="false">AVERAGE($E$12:$E$68)</f>
        <v>80.515318015318</v>
      </c>
      <c r="N13" s="27" t="n">
        <f aca="false">M13+3*STDEVPA($E$12:$E$68)</f>
        <v>112.42119100608</v>
      </c>
      <c r="O13" s="27" t="n">
        <f aca="false">M13-3*STDEVPA($E$12:$E$68)</f>
        <v>48.6094450245556</v>
      </c>
    </row>
    <row r="14" customFormat="false" ht="30" hidden="false" customHeight="true" outlineLevel="0" collapsed="false">
      <c r="A14" s="5" t="n">
        <v>44370</v>
      </c>
      <c r="B14" s="2" t="n">
        <v>3</v>
      </c>
      <c r="D14" s="25" t="n">
        <v>88</v>
      </c>
      <c r="E14" s="25" t="n">
        <v>83.3333333333333</v>
      </c>
      <c r="F14" s="25"/>
      <c r="G14" s="18" t="s">
        <v>83</v>
      </c>
      <c r="H14" s="18" t="s">
        <v>84</v>
      </c>
      <c r="I14" s="26" t="s">
        <v>572</v>
      </c>
      <c r="J14" s="27" t="n">
        <f aca="false">AVERAGE($D$12:$D$68)</f>
        <v>85.125</v>
      </c>
      <c r="K14" s="27" t="n">
        <f aca="false">J14+3*STDEVPA($D$12:$D$68)</f>
        <v>106.148424435615</v>
      </c>
      <c r="L14" s="27" t="n">
        <f aca="false">J14-3*STDEVPA($D$12:$D$68)</f>
        <v>64.1015755643853</v>
      </c>
      <c r="M14" s="28" t="n">
        <f aca="false">AVERAGE($E$12:$E$68)</f>
        <v>80.515318015318</v>
      </c>
      <c r="N14" s="27" t="n">
        <f aca="false">M14+3*STDEVPA($E$12:$E$68)</f>
        <v>112.42119100608</v>
      </c>
      <c r="O14" s="27" t="n">
        <f aca="false">M14-3*STDEVPA($E$12:$E$68)</f>
        <v>48.6094450245556</v>
      </c>
    </row>
    <row r="15" customFormat="false" ht="30" hidden="false" customHeight="true" outlineLevel="0" collapsed="false">
      <c r="A15" s="29" t="n">
        <v>44375</v>
      </c>
      <c r="B15" s="30" t="n">
        <v>4</v>
      </c>
      <c r="C15" s="30"/>
      <c r="D15" s="31" t="n">
        <v>91</v>
      </c>
      <c r="E15" s="31" t="n">
        <v>100</v>
      </c>
      <c r="F15" s="25"/>
      <c r="G15" s="18" t="s">
        <v>101</v>
      </c>
      <c r="H15" s="18" t="s">
        <v>102</v>
      </c>
      <c r="I15" s="26" t="s">
        <v>573</v>
      </c>
      <c r="J15" s="27" t="n">
        <f aca="false">AVERAGE($D$12:$D$68)</f>
        <v>85.125</v>
      </c>
      <c r="K15" s="27" t="n">
        <f aca="false">J15+3*STDEVPA($D$12:$D$68)</f>
        <v>106.148424435615</v>
      </c>
      <c r="L15" s="27" t="n">
        <f aca="false">J15-3*STDEVPA($D$12:$D$68)</f>
        <v>64.1015755643853</v>
      </c>
      <c r="M15" s="28" t="n">
        <f aca="false">AVERAGE($E$12:$E$68)</f>
        <v>80.515318015318</v>
      </c>
      <c r="N15" s="27" t="n">
        <f aca="false">M15+3*STDEVPA($E$12:$E$68)</f>
        <v>112.42119100608</v>
      </c>
      <c r="O15" s="27" t="n">
        <f aca="false">M15-3*STDEVPA($E$12:$E$68)</f>
        <v>48.6094450245556</v>
      </c>
    </row>
    <row r="16" customFormat="false" ht="30" hidden="false" customHeight="true" outlineLevel="0" collapsed="false">
      <c r="A16" s="5" t="n">
        <v>44376</v>
      </c>
      <c r="B16" s="2" t="n">
        <v>5</v>
      </c>
      <c r="D16" s="25" t="n">
        <v>93</v>
      </c>
      <c r="E16" s="25" t="n">
        <v>71.4285714285714</v>
      </c>
      <c r="F16" s="25"/>
      <c r="G16" s="18" t="s">
        <v>103</v>
      </c>
      <c r="H16" s="18" t="s">
        <v>104</v>
      </c>
      <c r="I16" s="26" t="s">
        <v>574</v>
      </c>
      <c r="J16" s="27" t="n">
        <f aca="false">AVERAGE($D$12:$D$68)</f>
        <v>85.125</v>
      </c>
      <c r="K16" s="27" t="n">
        <f aca="false">J16+3*STDEVPA($D$12:$D$68)</f>
        <v>106.148424435615</v>
      </c>
      <c r="L16" s="27" t="n">
        <f aca="false">J16-3*STDEVPA($D$12:$D$68)</f>
        <v>64.1015755643853</v>
      </c>
      <c r="M16" s="28" t="n">
        <f aca="false">AVERAGE($E$12:$E$68)</f>
        <v>80.515318015318</v>
      </c>
      <c r="N16" s="27" t="n">
        <f aca="false">M16+3*STDEVPA($E$12:$E$68)</f>
        <v>112.42119100608</v>
      </c>
      <c r="O16" s="27" t="n">
        <f aca="false">M16-3*STDEVPA($E$12:$E$68)</f>
        <v>48.6094450245556</v>
      </c>
    </row>
    <row r="17" customFormat="false" ht="30" hidden="false" customHeight="true" outlineLevel="0" collapsed="false">
      <c r="A17" s="29" t="n">
        <v>44379</v>
      </c>
      <c r="B17" s="30" t="n">
        <v>6</v>
      </c>
      <c r="C17" s="30"/>
      <c r="D17" s="31" t="n">
        <v>93</v>
      </c>
      <c r="E17" s="31" t="n">
        <v>71.4285714285714</v>
      </c>
      <c r="F17" s="25"/>
      <c r="G17" s="18" t="s">
        <v>105</v>
      </c>
      <c r="H17" s="18" t="s">
        <v>106</v>
      </c>
      <c r="I17" s="26" t="s">
        <v>575</v>
      </c>
      <c r="J17" s="27" t="n">
        <f aca="false">AVERAGE($D$12:$D$68)</f>
        <v>85.125</v>
      </c>
      <c r="K17" s="27" t="n">
        <f aca="false">J17+3*STDEVPA($D$12:$D$68)</f>
        <v>106.148424435615</v>
      </c>
      <c r="L17" s="27" t="n">
        <f aca="false">J17-3*STDEVPA($D$12:$D$68)</f>
        <v>64.1015755643853</v>
      </c>
      <c r="M17" s="28" t="n">
        <f aca="false">AVERAGE($E$12:$E$68)</f>
        <v>80.515318015318</v>
      </c>
      <c r="N17" s="27" t="n">
        <f aca="false">M17+3*STDEVPA($E$12:$E$68)</f>
        <v>112.42119100608</v>
      </c>
      <c r="O17" s="27" t="n">
        <f aca="false">M17-3*STDEVPA($E$12:$E$68)</f>
        <v>48.6094450245556</v>
      </c>
    </row>
    <row r="18" customFormat="false" ht="30" hidden="false" customHeight="true" outlineLevel="0" collapsed="false">
      <c r="A18" s="5" t="n">
        <v>44399</v>
      </c>
      <c r="B18" s="2" t="n">
        <v>7</v>
      </c>
      <c r="D18" s="25" t="n">
        <v>78</v>
      </c>
      <c r="E18" s="25" t="n">
        <v>90.9090909090909</v>
      </c>
      <c r="F18" s="25"/>
      <c r="G18" s="18" t="s">
        <v>141</v>
      </c>
      <c r="H18" s="18" t="s">
        <v>142</v>
      </c>
      <c r="I18" s="26" t="s">
        <v>576</v>
      </c>
      <c r="J18" s="27" t="n">
        <f aca="false">AVERAGE($D$12:$D$68)</f>
        <v>85.125</v>
      </c>
      <c r="K18" s="27" t="n">
        <f aca="false">J18+3*STDEVPA($D$12:$D$68)</f>
        <v>106.148424435615</v>
      </c>
      <c r="L18" s="27" t="n">
        <f aca="false">J18-3*STDEVPA($D$12:$D$68)</f>
        <v>64.1015755643853</v>
      </c>
      <c r="M18" s="28" t="n">
        <f aca="false">AVERAGE($E$12:$E$68)</f>
        <v>80.515318015318</v>
      </c>
      <c r="N18" s="27" t="n">
        <f aca="false">M18+3*STDEVPA($E$12:$E$68)</f>
        <v>112.42119100608</v>
      </c>
      <c r="O18" s="27" t="n">
        <f aca="false">M18-3*STDEVPA($E$12:$E$68)</f>
        <v>48.6094450245556</v>
      </c>
    </row>
    <row r="19" customFormat="false" ht="30" hidden="false" customHeight="true" outlineLevel="0" collapsed="false">
      <c r="A19" s="29" t="n">
        <v>44409</v>
      </c>
      <c r="B19" s="30" t="n">
        <v>8</v>
      </c>
      <c r="C19" s="30"/>
      <c r="D19" s="31" t="n">
        <v>78</v>
      </c>
      <c r="E19" s="31" t="n">
        <v>86.3636363636364</v>
      </c>
      <c r="F19" s="25"/>
      <c r="G19" s="18" t="s">
        <v>151</v>
      </c>
      <c r="H19" s="18" t="s">
        <v>152</v>
      </c>
      <c r="I19" s="26" t="s">
        <v>577</v>
      </c>
      <c r="J19" s="27" t="n">
        <f aca="false">AVERAGE($D$12:$D$68)</f>
        <v>85.125</v>
      </c>
      <c r="K19" s="27" t="n">
        <f aca="false">J19+3*STDEVPA($D$12:$D$68)</f>
        <v>106.148424435615</v>
      </c>
      <c r="L19" s="27" t="n">
        <f aca="false">J19-3*STDEVPA($D$12:$D$68)</f>
        <v>64.1015755643853</v>
      </c>
      <c r="M19" s="28" t="n">
        <f aca="false">AVERAGE($E$12:$E$68)</f>
        <v>80.515318015318</v>
      </c>
      <c r="N19" s="27" t="n">
        <f aca="false">M19+3*STDEVPA($E$12:$E$68)</f>
        <v>112.42119100608</v>
      </c>
      <c r="O19" s="27" t="n">
        <f aca="false">M19-3*STDEVPA($E$12:$E$68)</f>
        <v>48.6094450245556</v>
      </c>
    </row>
    <row r="20" customFormat="false" ht="30" hidden="false" customHeight="true" outlineLevel="0" collapsed="false">
      <c r="A20" s="5"/>
      <c r="D20" s="25"/>
      <c r="E20" s="25"/>
      <c r="F20" s="25"/>
      <c r="G20" s="18" t="s">
        <v>159</v>
      </c>
      <c r="H20" s="18" t="s">
        <v>160</v>
      </c>
      <c r="I20" s="26" t="s">
        <v>578</v>
      </c>
      <c r="J20" s="27"/>
      <c r="K20" s="27"/>
      <c r="L20" s="27"/>
      <c r="M20" s="28"/>
      <c r="N20" s="27"/>
      <c r="O20" s="27"/>
    </row>
    <row r="21" customFormat="false" ht="30" hidden="false" customHeight="true" outlineLevel="0" collapsed="false">
      <c r="A21" s="29"/>
      <c r="B21" s="30"/>
      <c r="C21" s="30"/>
      <c r="D21" s="31"/>
      <c r="E21" s="31"/>
      <c r="F21" s="25"/>
      <c r="G21" s="18" t="s">
        <v>163</v>
      </c>
      <c r="H21" s="18" t="s">
        <v>164</v>
      </c>
      <c r="I21" s="26" t="s">
        <v>579</v>
      </c>
      <c r="J21" s="27"/>
      <c r="K21" s="27"/>
      <c r="L21" s="27"/>
      <c r="M21" s="28"/>
      <c r="N21" s="27"/>
      <c r="O21" s="27"/>
    </row>
    <row r="22" customFormat="false" ht="30" hidden="false" customHeight="true" outlineLevel="0" collapsed="false">
      <c r="A22" s="5"/>
      <c r="D22" s="25"/>
      <c r="E22" s="25"/>
      <c r="F22" s="25"/>
      <c r="G22" s="18" t="s">
        <v>169</v>
      </c>
      <c r="H22" s="18" t="s">
        <v>170</v>
      </c>
      <c r="I22" s="26" t="s">
        <v>580</v>
      </c>
      <c r="J22" s="27"/>
      <c r="K22" s="27"/>
      <c r="L22" s="27"/>
      <c r="M22" s="28"/>
      <c r="N22" s="27"/>
      <c r="O22" s="27"/>
    </row>
    <row r="23" customFormat="false" ht="30" hidden="false" customHeight="true" outlineLevel="0" collapsed="false">
      <c r="A23" s="29"/>
      <c r="B23" s="30"/>
      <c r="C23" s="30"/>
      <c r="D23" s="31"/>
      <c r="E23" s="31"/>
      <c r="F23" s="25"/>
      <c r="G23" s="18" t="s">
        <v>171</v>
      </c>
      <c r="H23" s="18" t="s">
        <v>172</v>
      </c>
      <c r="I23" s="26" t="s">
        <v>581</v>
      </c>
      <c r="J23" s="27"/>
      <c r="K23" s="27"/>
      <c r="L23" s="27"/>
      <c r="M23" s="28"/>
      <c r="N23" s="27"/>
      <c r="O23" s="27"/>
    </row>
    <row r="24" customFormat="false" ht="30" hidden="false" customHeight="true" outlineLevel="0" collapsed="false">
      <c r="A24" s="5"/>
      <c r="D24" s="25"/>
      <c r="E24" s="25"/>
      <c r="F24" s="25"/>
      <c r="G24" s="18" t="s">
        <v>175</v>
      </c>
      <c r="H24" s="18" t="s">
        <v>176</v>
      </c>
      <c r="I24" s="26" t="s">
        <v>582</v>
      </c>
      <c r="J24" s="27"/>
      <c r="K24" s="27"/>
      <c r="L24" s="27"/>
      <c r="M24" s="28"/>
      <c r="N24" s="27"/>
      <c r="O24" s="27"/>
    </row>
    <row r="25" customFormat="false" ht="30" hidden="false" customHeight="true" outlineLevel="0" collapsed="false">
      <c r="A25" s="29"/>
      <c r="B25" s="30"/>
      <c r="C25" s="30"/>
      <c r="D25" s="31"/>
      <c r="E25" s="31"/>
      <c r="F25" s="25"/>
      <c r="G25" s="18" t="s">
        <v>179</v>
      </c>
      <c r="H25" s="18" t="s">
        <v>180</v>
      </c>
      <c r="I25" s="26" t="s">
        <v>583</v>
      </c>
      <c r="J25" s="27"/>
      <c r="K25" s="27"/>
      <c r="L25" s="27"/>
      <c r="M25" s="28"/>
      <c r="N25" s="27"/>
      <c r="O25" s="27"/>
    </row>
    <row r="26" customFormat="false" ht="30" hidden="false" customHeight="true" outlineLevel="0" collapsed="false">
      <c r="A26" s="5"/>
      <c r="D26" s="25"/>
      <c r="E26" s="25"/>
      <c r="F26" s="25"/>
      <c r="G26" s="18" t="s">
        <v>183</v>
      </c>
      <c r="H26" s="18" t="s">
        <v>184</v>
      </c>
      <c r="I26" s="26" t="s">
        <v>584</v>
      </c>
      <c r="J26" s="27"/>
      <c r="K26" s="27"/>
      <c r="L26" s="27"/>
      <c r="M26" s="28"/>
      <c r="N26" s="27"/>
      <c r="O26" s="27"/>
    </row>
    <row r="27" customFormat="false" ht="30" hidden="false" customHeight="true" outlineLevel="0" collapsed="false">
      <c r="A27" s="29"/>
      <c r="B27" s="30"/>
      <c r="C27" s="30"/>
      <c r="D27" s="31"/>
      <c r="E27" s="31"/>
      <c r="F27" s="25"/>
      <c r="G27" s="18" t="s">
        <v>197</v>
      </c>
      <c r="H27" s="18" t="s">
        <v>198</v>
      </c>
      <c r="I27" s="26" t="s">
        <v>585</v>
      </c>
      <c r="J27" s="27"/>
      <c r="K27" s="27"/>
      <c r="L27" s="27"/>
      <c r="M27" s="28"/>
      <c r="N27" s="27"/>
      <c r="O27" s="27"/>
    </row>
    <row r="28" customFormat="false" ht="30" hidden="false" customHeight="true" outlineLevel="0" collapsed="false">
      <c r="A28" s="5"/>
      <c r="D28" s="25"/>
      <c r="E28" s="25"/>
      <c r="F28" s="25"/>
      <c r="G28" s="18" t="s">
        <v>169</v>
      </c>
      <c r="H28" s="18" t="s">
        <v>170</v>
      </c>
      <c r="I28" s="26" t="s">
        <v>586</v>
      </c>
      <c r="J28" s="27"/>
      <c r="K28" s="27"/>
      <c r="L28" s="27"/>
      <c r="M28" s="28"/>
      <c r="N28" s="27"/>
      <c r="O28" s="27"/>
    </row>
    <row r="29" customFormat="false" ht="30" hidden="false" customHeight="true" outlineLevel="0" collapsed="false">
      <c r="A29" s="29"/>
      <c r="B29" s="30"/>
      <c r="C29" s="30"/>
      <c r="D29" s="31"/>
      <c r="E29" s="31"/>
      <c r="F29" s="25"/>
      <c r="G29" s="18" t="s">
        <v>175</v>
      </c>
      <c r="H29" s="18" t="s">
        <v>176</v>
      </c>
      <c r="I29" s="26" t="s">
        <v>587</v>
      </c>
      <c r="J29" s="27"/>
      <c r="K29" s="27"/>
      <c r="L29" s="27"/>
      <c r="M29" s="28"/>
      <c r="N29" s="27"/>
      <c r="O29" s="27"/>
    </row>
    <row r="30" customFormat="false" ht="30" hidden="false" customHeight="true" outlineLevel="0" collapsed="false">
      <c r="A30" s="5"/>
      <c r="D30" s="25"/>
      <c r="E30" s="25"/>
      <c r="F30" s="25"/>
      <c r="G30" s="18" t="s">
        <v>179</v>
      </c>
      <c r="H30" s="18" t="s">
        <v>180</v>
      </c>
      <c r="I30" s="26" t="s">
        <v>588</v>
      </c>
      <c r="J30" s="27"/>
      <c r="K30" s="27"/>
      <c r="L30" s="27"/>
      <c r="M30" s="28"/>
      <c r="N30" s="27"/>
      <c r="O30" s="27"/>
    </row>
    <row r="31" customFormat="false" ht="30" hidden="false" customHeight="true" outlineLevel="0" collapsed="false">
      <c r="A31" s="29"/>
      <c r="B31" s="30"/>
      <c r="C31" s="30"/>
      <c r="D31" s="31"/>
      <c r="E31" s="31"/>
      <c r="F31" s="25"/>
      <c r="G31" s="18" t="s">
        <v>183</v>
      </c>
      <c r="H31" s="18" t="s">
        <v>184</v>
      </c>
      <c r="I31" s="26" t="s">
        <v>589</v>
      </c>
      <c r="J31" s="27"/>
      <c r="K31" s="27"/>
      <c r="L31" s="27"/>
      <c r="M31" s="28"/>
      <c r="N31" s="27"/>
      <c r="O31" s="27"/>
    </row>
    <row r="32" customFormat="false" ht="30" hidden="false" customHeight="true" outlineLevel="0" collapsed="false">
      <c r="A32" s="5"/>
      <c r="D32" s="25"/>
      <c r="E32" s="25"/>
      <c r="F32" s="25"/>
      <c r="G32" s="18" t="s">
        <v>590</v>
      </c>
      <c r="H32" s="18" t="s">
        <v>591</v>
      </c>
      <c r="I32" s="26" t="s">
        <v>592</v>
      </c>
      <c r="J32" s="27"/>
      <c r="K32" s="27"/>
      <c r="L32" s="27"/>
      <c r="M32" s="28"/>
      <c r="N32" s="27"/>
      <c r="O32" s="27"/>
    </row>
    <row r="33" customFormat="false" ht="30" hidden="false" customHeight="true" outlineLevel="0" collapsed="false">
      <c r="A33" s="32"/>
      <c r="B33" s="30"/>
      <c r="C33" s="30"/>
      <c r="D33" s="31"/>
      <c r="E33" s="31"/>
      <c r="F33" s="25"/>
      <c r="G33" s="18" t="s">
        <v>593</v>
      </c>
      <c r="H33" s="18" t="s">
        <v>594</v>
      </c>
      <c r="I33" s="26" t="s">
        <v>595</v>
      </c>
      <c r="J33" s="27"/>
      <c r="K33" s="27"/>
      <c r="L33" s="27"/>
      <c r="M33" s="28"/>
      <c r="N33" s="27"/>
      <c r="O33" s="27"/>
    </row>
    <row r="34" customFormat="false" ht="30" hidden="false" customHeight="true" outlineLevel="0" collapsed="false">
      <c r="A34" s="5"/>
      <c r="D34" s="25"/>
      <c r="E34" s="25"/>
      <c r="F34" s="25"/>
      <c r="G34" s="18" t="s">
        <v>596</v>
      </c>
      <c r="H34" s="18" t="s">
        <v>597</v>
      </c>
      <c r="I34" s="26" t="s">
        <v>598</v>
      </c>
      <c r="J34" s="27"/>
      <c r="K34" s="27"/>
      <c r="L34" s="27"/>
      <c r="M34" s="28"/>
      <c r="N34" s="27"/>
      <c r="O34" s="27"/>
    </row>
    <row r="35" customFormat="false" ht="30" hidden="false" customHeight="true" outlineLevel="0" collapsed="false">
      <c r="A35" s="29"/>
      <c r="B35" s="30"/>
      <c r="C35" s="30"/>
      <c r="D35" s="31"/>
      <c r="E35" s="31"/>
      <c r="F35" s="25"/>
      <c r="G35" s="18" t="s">
        <v>599</v>
      </c>
      <c r="H35" s="18" t="s">
        <v>600</v>
      </c>
      <c r="I35" s="26" t="s">
        <v>601</v>
      </c>
      <c r="J35" s="27"/>
      <c r="K35" s="27"/>
      <c r="L35" s="27"/>
      <c r="M35" s="28"/>
      <c r="N35" s="27"/>
      <c r="O35" s="27"/>
    </row>
    <row r="36" customFormat="false" ht="30" hidden="false" customHeight="true" outlineLevel="0" collapsed="false">
      <c r="A36" s="5"/>
      <c r="D36" s="25"/>
      <c r="E36" s="25"/>
      <c r="F36" s="25"/>
      <c r="G36" s="18" t="s">
        <v>602</v>
      </c>
      <c r="H36" s="18" t="s">
        <v>603</v>
      </c>
      <c r="I36" s="26" t="s">
        <v>604</v>
      </c>
      <c r="J36" s="27"/>
      <c r="K36" s="27"/>
      <c r="L36" s="27"/>
      <c r="M36" s="28"/>
      <c r="N36" s="27"/>
      <c r="O36" s="27"/>
    </row>
    <row r="37" customFormat="false" ht="30" hidden="false" customHeight="true" outlineLevel="0" collapsed="false">
      <c r="A37" s="29"/>
      <c r="B37" s="30"/>
      <c r="C37" s="30"/>
      <c r="D37" s="31"/>
      <c r="E37" s="31"/>
      <c r="F37" s="25"/>
      <c r="G37" s="18" t="s">
        <v>605</v>
      </c>
      <c r="H37" s="18" t="s">
        <v>606</v>
      </c>
      <c r="I37" s="26" t="s">
        <v>607</v>
      </c>
      <c r="J37" s="27"/>
      <c r="K37" s="27"/>
      <c r="L37" s="27"/>
      <c r="M37" s="28"/>
      <c r="N37" s="27"/>
      <c r="O37" s="27"/>
    </row>
    <row r="38" customFormat="false" ht="30" hidden="false" customHeight="true" outlineLevel="0" collapsed="false">
      <c r="A38" s="5"/>
      <c r="D38" s="25"/>
      <c r="E38" s="25"/>
      <c r="F38" s="25"/>
      <c r="G38" s="18" t="s">
        <v>608</v>
      </c>
      <c r="H38" s="18" t="s">
        <v>609</v>
      </c>
      <c r="I38" s="26" t="s">
        <v>610</v>
      </c>
      <c r="J38" s="27"/>
      <c r="K38" s="27"/>
      <c r="L38" s="27"/>
      <c r="M38" s="28"/>
      <c r="N38" s="27"/>
      <c r="O38" s="27"/>
    </row>
    <row r="39" customFormat="false" ht="30" hidden="false" customHeight="true" outlineLevel="0" collapsed="false">
      <c r="A39" s="29"/>
      <c r="B39" s="30"/>
      <c r="C39" s="30"/>
      <c r="D39" s="31"/>
      <c r="E39" s="31"/>
      <c r="F39" s="25"/>
      <c r="G39" s="18" t="s">
        <v>611</v>
      </c>
      <c r="H39" s="18" t="s">
        <v>612</v>
      </c>
      <c r="I39" s="26" t="s">
        <v>613</v>
      </c>
      <c r="J39" s="27"/>
      <c r="K39" s="27"/>
      <c r="L39" s="27"/>
      <c r="M39" s="28"/>
      <c r="N39" s="27"/>
      <c r="O39" s="27"/>
    </row>
    <row r="40" customFormat="false" ht="30" hidden="false" customHeight="true" outlineLevel="0" collapsed="false">
      <c r="A40" s="5"/>
      <c r="D40" s="25"/>
      <c r="E40" s="25"/>
      <c r="F40" s="25"/>
      <c r="G40" s="18" t="s">
        <v>614</v>
      </c>
      <c r="H40" s="18" t="s">
        <v>615</v>
      </c>
      <c r="I40" s="26" t="s">
        <v>616</v>
      </c>
      <c r="J40" s="27"/>
      <c r="K40" s="27"/>
      <c r="L40" s="27"/>
      <c r="M40" s="28"/>
      <c r="N40" s="27"/>
      <c r="O40" s="27"/>
    </row>
    <row r="41" customFormat="false" ht="30" hidden="false" customHeight="true" outlineLevel="0" collapsed="false">
      <c r="A41" s="29"/>
      <c r="B41" s="30"/>
      <c r="C41" s="30"/>
      <c r="D41" s="31"/>
      <c r="E41" s="31"/>
      <c r="F41" s="25"/>
      <c r="G41" s="18" t="s">
        <v>617</v>
      </c>
      <c r="H41" s="18" t="s">
        <v>618</v>
      </c>
      <c r="I41" s="26" t="s">
        <v>619</v>
      </c>
      <c r="J41" s="27"/>
      <c r="K41" s="27"/>
      <c r="L41" s="27"/>
      <c r="M41" s="28"/>
      <c r="N41" s="27"/>
      <c r="O41" s="27"/>
    </row>
    <row r="42" customFormat="false" ht="30" hidden="false" customHeight="true" outlineLevel="0" collapsed="false">
      <c r="A42" s="5"/>
      <c r="D42" s="25"/>
      <c r="E42" s="25"/>
      <c r="F42" s="25"/>
      <c r="G42" s="18" t="s">
        <v>620</v>
      </c>
      <c r="H42" s="18" t="s">
        <v>621</v>
      </c>
      <c r="I42" s="26" t="s">
        <v>622</v>
      </c>
      <c r="J42" s="27"/>
      <c r="K42" s="27"/>
      <c r="L42" s="27"/>
      <c r="M42" s="28"/>
      <c r="N42" s="27"/>
      <c r="O42" s="27"/>
    </row>
    <row r="43" customFormat="false" ht="30" hidden="false" customHeight="true" outlineLevel="0" collapsed="false">
      <c r="A43" s="29"/>
      <c r="B43" s="30"/>
      <c r="C43" s="30"/>
      <c r="D43" s="31"/>
      <c r="E43" s="31"/>
      <c r="F43" s="25"/>
      <c r="G43" s="18" t="s">
        <v>623</v>
      </c>
      <c r="H43" s="18" t="s">
        <v>624</v>
      </c>
      <c r="I43" s="26" t="s">
        <v>625</v>
      </c>
      <c r="J43" s="27"/>
      <c r="K43" s="27"/>
      <c r="L43" s="27"/>
      <c r="M43" s="28"/>
      <c r="N43" s="27"/>
      <c r="O43" s="27"/>
    </row>
    <row r="44" customFormat="false" ht="30" hidden="false" customHeight="true" outlineLevel="0" collapsed="false">
      <c r="A44" s="5"/>
      <c r="D44" s="25"/>
      <c r="E44" s="25"/>
      <c r="F44" s="25"/>
      <c r="G44" s="18" t="s">
        <v>626</v>
      </c>
      <c r="H44" s="18" t="s">
        <v>627</v>
      </c>
      <c r="I44" s="26" t="s">
        <v>628</v>
      </c>
      <c r="J44" s="27"/>
      <c r="K44" s="27"/>
      <c r="L44" s="27"/>
      <c r="M44" s="28"/>
      <c r="N44" s="27"/>
      <c r="O44" s="27"/>
    </row>
    <row r="45" customFormat="false" ht="30" hidden="false" customHeight="true" outlineLevel="0" collapsed="false">
      <c r="A45" s="29"/>
      <c r="B45" s="30"/>
      <c r="C45" s="30"/>
      <c r="D45" s="31"/>
      <c r="E45" s="31"/>
      <c r="F45" s="25"/>
      <c r="G45" s="18" t="s">
        <v>629</v>
      </c>
      <c r="H45" s="18" t="s">
        <v>630</v>
      </c>
      <c r="I45" s="26" t="s">
        <v>631</v>
      </c>
      <c r="J45" s="27"/>
      <c r="K45" s="27"/>
      <c r="L45" s="27"/>
      <c r="M45" s="28"/>
      <c r="N45" s="27"/>
      <c r="O45" s="27"/>
    </row>
    <row r="46" customFormat="false" ht="30" hidden="false" customHeight="true" outlineLevel="0" collapsed="false">
      <c r="A46" s="5"/>
      <c r="D46" s="25"/>
      <c r="E46" s="25"/>
      <c r="F46" s="25"/>
      <c r="G46" s="18" t="s">
        <v>632</v>
      </c>
      <c r="H46" s="18" t="s">
        <v>633</v>
      </c>
      <c r="I46" s="26" t="s">
        <v>634</v>
      </c>
      <c r="J46" s="27"/>
      <c r="K46" s="27"/>
      <c r="L46" s="27"/>
      <c r="M46" s="28"/>
      <c r="N46" s="27"/>
      <c r="O46" s="27"/>
    </row>
    <row r="47" customFormat="false" ht="30" hidden="false" customHeight="true" outlineLevel="0" collapsed="false">
      <c r="A47" s="29"/>
      <c r="B47" s="30"/>
      <c r="C47" s="30"/>
      <c r="D47" s="31"/>
      <c r="E47" s="31"/>
      <c r="F47" s="25"/>
      <c r="G47" s="18" t="s">
        <v>635</v>
      </c>
      <c r="H47" s="18" t="s">
        <v>636</v>
      </c>
      <c r="I47" s="26" t="s">
        <v>637</v>
      </c>
      <c r="J47" s="27"/>
      <c r="K47" s="27"/>
      <c r="L47" s="27"/>
      <c r="M47" s="28"/>
      <c r="N47" s="27"/>
      <c r="O47" s="27"/>
    </row>
    <row r="48" customFormat="false" ht="30" hidden="false" customHeight="true" outlineLevel="0" collapsed="false">
      <c r="A48" s="5"/>
      <c r="D48" s="25"/>
      <c r="E48" s="25"/>
      <c r="F48" s="25"/>
      <c r="G48" s="18" t="s">
        <v>638</v>
      </c>
      <c r="H48" s="18" t="s">
        <v>639</v>
      </c>
      <c r="I48" s="26" t="s">
        <v>640</v>
      </c>
      <c r="J48" s="27"/>
      <c r="K48" s="27"/>
      <c r="L48" s="27"/>
      <c r="M48" s="28"/>
      <c r="N48" s="27"/>
      <c r="O48" s="27"/>
    </row>
    <row r="49" customFormat="false" ht="30" hidden="false" customHeight="true" outlineLevel="0" collapsed="false">
      <c r="A49" s="29"/>
      <c r="B49" s="30"/>
      <c r="C49" s="30"/>
      <c r="D49" s="31"/>
      <c r="E49" s="31"/>
      <c r="F49" s="25"/>
      <c r="G49" s="18" t="s">
        <v>641</v>
      </c>
      <c r="H49" s="18" t="s">
        <v>642</v>
      </c>
      <c r="I49" s="26" t="s">
        <v>643</v>
      </c>
      <c r="J49" s="27"/>
      <c r="K49" s="27"/>
      <c r="L49" s="27"/>
      <c r="M49" s="28"/>
      <c r="N49" s="27"/>
      <c r="O49" s="27"/>
    </row>
    <row r="50" customFormat="false" ht="30" hidden="false" customHeight="true" outlineLevel="0" collapsed="false">
      <c r="A50" s="5"/>
      <c r="D50" s="25"/>
      <c r="E50" s="25"/>
      <c r="F50" s="25"/>
      <c r="G50" s="18" t="s">
        <v>644</v>
      </c>
      <c r="H50" s="18" t="s">
        <v>645</v>
      </c>
      <c r="I50" s="26" t="s">
        <v>646</v>
      </c>
      <c r="J50" s="27"/>
      <c r="K50" s="27"/>
      <c r="L50" s="27"/>
      <c r="M50" s="28"/>
      <c r="N50" s="27"/>
      <c r="O50" s="27"/>
    </row>
    <row r="51" customFormat="false" ht="30" hidden="false" customHeight="true" outlineLevel="0" collapsed="false">
      <c r="A51" s="29"/>
      <c r="B51" s="30"/>
      <c r="C51" s="30"/>
      <c r="D51" s="31"/>
      <c r="E51" s="31"/>
      <c r="F51" s="25"/>
      <c r="G51" s="18" t="s">
        <v>647</v>
      </c>
      <c r="H51" s="18" t="s">
        <v>32</v>
      </c>
      <c r="I51" s="26" t="s">
        <v>648</v>
      </c>
      <c r="J51" s="27"/>
      <c r="K51" s="27"/>
      <c r="L51" s="27"/>
      <c r="M51" s="28"/>
      <c r="N51" s="27"/>
      <c r="O51" s="27"/>
    </row>
    <row r="52" customFormat="false" ht="30" hidden="false" customHeight="true" outlineLevel="0" collapsed="false">
      <c r="A52" s="5"/>
      <c r="D52" s="25"/>
      <c r="E52" s="25"/>
      <c r="F52" s="25"/>
      <c r="G52" s="18" t="s">
        <v>649</v>
      </c>
      <c r="H52" s="18" t="s">
        <v>650</v>
      </c>
      <c r="I52" s="26" t="s">
        <v>651</v>
      </c>
      <c r="J52" s="27"/>
      <c r="K52" s="27"/>
      <c r="L52" s="27"/>
      <c r="M52" s="28"/>
      <c r="N52" s="27"/>
      <c r="O52" s="27"/>
    </row>
    <row r="53" customFormat="false" ht="30" hidden="false" customHeight="true" outlineLevel="0" collapsed="false">
      <c r="A53" s="29"/>
      <c r="B53" s="30"/>
      <c r="C53" s="30"/>
      <c r="D53" s="31"/>
      <c r="E53" s="31"/>
      <c r="F53" s="25"/>
      <c r="G53" s="18" t="s">
        <v>652</v>
      </c>
      <c r="H53" s="18" t="s">
        <v>653</v>
      </c>
      <c r="I53" s="26" t="s">
        <v>654</v>
      </c>
      <c r="J53" s="27"/>
      <c r="K53" s="27"/>
      <c r="L53" s="27"/>
      <c r="M53" s="28"/>
      <c r="N53" s="27"/>
      <c r="O53" s="27"/>
    </row>
    <row r="54" customFormat="false" ht="30" hidden="false" customHeight="true" outlineLevel="0" collapsed="false">
      <c r="A54" s="5"/>
      <c r="D54" s="25"/>
      <c r="E54" s="25"/>
      <c r="F54" s="25"/>
      <c r="G54" s="18" t="s">
        <v>655</v>
      </c>
      <c r="H54" s="18" t="s">
        <v>656</v>
      </c>
      <c r="I54" s="26" t="s">
        <v>657</v>
      </c>
      <c r="J54" s="27"/>
      <c r="K54" s="27"/>
      <c r="L54" s="27"/>
      <c r="M54" s="28"/>
      <c r="N54" s="27"/>
      <c r="O54" s="27"/>
    </row>
    <row r="55" customFormat="false" ht="30" hidden="false" customHeight="true" outlineLevel="0" collapsed="false">
      <c r="A55" s="29"/>
      <c r="B55" s="30"/>
      <c r="C55" s="30"/>
      <c r="D55" s="31"/>
      <c r="E55" s="31"/>
      <c r="F55" s="25"/>
      <c r="G55" s="18" t="s">
        <v>658</v>
      </c>
      <c r="H55" s="18" t="s">
        <v>659</v>
      </c>
      <c r="I55" s="26" t="s">
        <v>660</v>
      </c>
      <c r="J55" s="27"/>
      <c r="K55" s="27"/>
      <c r="L55" s="27"/>
      <c r="M55" s="28"/>
      <c r="N55" s="27"/>
      <c r="O55" s="27"/>
    </row>
    <row r="56" customFormat="false" ht="30" hidden="false" customHeight="true" outlineLevel="0" collapsed="false">
      <c r="A56" s="5"/>
      <c r="D56" s="25"/>
      <c r="E56" s="25"/>
      <c r="F56" s="25"/>
      <c r="G56" s="18" t="s">
        <v>661</v>
      </c>
      <c r="H56" s="18" t="s">
        <v>662</v>
      </c>
      <c r="I56" s="26" t="s">
        <v>663</v>
      </c>
      <c r="J56" s="27"/>
      <c r="K56" s="27"/>
      <c r="L56" s="27"/>
      <c r="M56" s="28"/>
      <c r="N56" s="27"/>
      <c r="O56" s="27"/>
    </row>
    <row r="57" customFormat="false" ht="30" hidden="false" customHeight="true" outlineLevel="0" collapsed="false">
      <c r="A57" s="29"/>
      <c r="B57" s="30"/>
      <c r="C57" s="30"/>
      <c r="D57" s="31"/>
      <c r="E57" s="31"/>
      <c r="F57" s="25"/>
      <c r="G57" s="18" t="s">
        <v>664</v>
      </c>
      <c r="H57" s="18" t="s">
        <v>665</v>
      </c>
      <c r="I57" s="26" t="s">
        <v>666</v>
      </c>
      <c r="J57" s="27"/>
      <c r="K57" s="27"/>
      <c r="L57" s="27"/>
      <c r="M57" s="28"/>
      <c r="N57" s="27"/>
      <c r="O57" s="27"/>
    </row>
    <row r="58" customFormat="false" ht="30" hidden="false" customHeight="true" outlineLevel="0" collapsed="false">
      <c r="A58" s="5"/>
      <c r="D58" s="25"/>
      <c r="E58" s="25"/>
      <c r="F58" s="25"/>
      <c r="G58" s="18" t="s">
        <v>667</v>
      </c>
      <c r="H58" s="18" t="s">
        <v>668</v>
      </c>
      <c r="I58" s="26" t="s">
        <v>669</v>
      </c>
      <c r="J58" s="27"/>
      <c r="K58" s="27"/>
      <c r="L58" s="27"/>
      <c r="M58" s="28"/>
      <c r="N58" s="27"/>
      <c r="O58" s="27"/>
    </row>
    <row r="59" customFormat="false" ht="30" hidden="false" customHeight="true" outlineLevel="0" collapsed="false">
      <c r="A59" s="29"/>
      <c r="B59" s="30"/>
      <c r="C59" s="30"/>
      <c r="D59" s="31"/>
      <c r="E59" s="31"/>
      <c r="F59" s="25"/>
      <c r="G59" s="18" t="s">
        <v>670</v>
      </c>
      <c r="H59" s="18" t="s">
        <v>671</v>
      </c>
      <c r="I59" s="26" t="s">
        <v>613</v>
      </c>
      <c r="J59" s="27"/>
      <c r="K59" s="27"/>
      <c r="L59" s="27"/>
      <c r="M59" s="28"/>
      <c r="N59" s="27"/>
      <c r="O59" s="27"/>
    </row>
    <row r="60" customFormat="false" ht="30" hidden="false" customHeight="true" outlineLevel="0" collapsed="false">
      <c r="A60" s="5"/>
      <c r="D60" s="25"/>
      <c r="E60" s="25"/>
      <c r="F60" s="25"/>
      <c r="H60" s="18" t="s">
        <v>672</v>
      </c>
      <c r="I60" s="26" t="s">
        <v>673</v>
      </c>
      <c r="J60" s="27"/>
      <c r="K60" s="27"/>
      <c r="L60" s="27"/>
      <c r="M60" s="28"/>
      <c r="N60" s="27"/>
      <c r="O60" s="27"/>
    </row>
    <row r="61" customFormat="false" ht="30" hidden="false" customHeight="true" outlineLevel="0" collapsed="false">
      <c r="A61" s="29"/>
      <c r="B61" s="30"/>
      <c r="C61" s="30"/>
      <c r="D61" s="31"/>
      <c r="E61" s="31"/>
      <c r="F61" s="25"/>
      <c r="H61" s="18" t="s">
        <v>674</v>
      </c>
      <c r="I61" s="26" t="s">
        <v>675</v>
      </c>
      <c r="J61" s="27"/>
      <c r="K61" s="27"/>
      <c r="L61" s="27"/>
      <c r="M61" s="28"/>
      <c r="N61" s="27"/>
      <c r="O61" s="27"/>
    </row>
    <row r="62" customFormat="false" ht="30" hidden="false" customHeight="true" outlineLevel="0" collapsed="false">
      <c r="A62" s="5"/>
      <c r="D62" s="25"/>
      <c r="E62" s="25"/>
      <c r="F62" s="25"/>
      <c r="H62" s="18" t="s">
        <v>676</v>
      </c>
      <c r="I62" s="26" t="s">
        <v>677</v>
      </c>
      <c r="J62" s="27"/>
      <c r="K62" s="27"/>
      <c r="L62" s="27"/>
      <c r="M62" s="28"/>
      <c r="N62" s="27"/>
      <c r="O62" s="27"/>
    </row>
    <row r="63" customFormat="false" ht="30" hidden="false" customHeight="true" outlineLevel="0" collapsed="false">
      <c r="A63" s="29"/>
      <c r="B63" s="30"/>
      <c r="C63" s="30"/>
      <c r="D63" s="31"/>
      <c r="E63" s="31"/>
      <c r="F63" s="25"/>
      <c r="H63" s="18" t="s">
        <v>678</v>
      </c>
      <c r="I63" s="26" t="s">
        <v>679</v>
      </c>
      <c r="J63" s="27"/>
      <c r="K63" s="27"/>
      <c r="L63" s="27"/>
      <c r="M63" s="28"/>
      <c r="N63" s="27"/>
      <c r="O63" s="27"/>
    </row>
    <row r="64" customFormat="false" ht="30" hidden="false" customHeight="true" outlineLevel="0" collapsed="false">
      <c r="A64" s="5"/>
      <c r="D64" s="25"/>
      <c r="E64" s="25"/>
      <c r="F64" s="25"/>
      <c r="H64" s="18" t="s">
        <v>680</v>
      </c>
      <c r="I64" s="26" t="s">
        <v>681</v>
      </c>
      <c r="J64" s="27"/>
      <c r="K64" s="27"/>
      <c r="L64" s="27"/>
      <c r="M64" s="28"/>
      <c r="N64" s="27"/>
      <c r="O64" s="27"/>
    </row>
    <row r="65" customFormat="false" ht="30" hidden="false" customHeight="true" outlineLevel="0" collapsed="false">
      <c r="A65" s="29"/>
      <c r="B65" s="30"/>
      <c r="C65" s="30"/>
      <c r="D65" s="31"/>
      <c r="E65" s="31"/>
      <c r="F65" s="25"/>
      <c r="H65" s="18" t="s">
        <v>682</v>
      </c>
      <c r="J65" s="27"/>
      <c r="K65" s="27"/>
      <c r="L65" s="27"/>
      <c r="M65" s="28"/>
      <c r="N65" s="27"/>
      <c r="O65" s="27"/>
    </row>
    <row r="66" customFormat="false" ht="30" hidden="false" customHeight="true" outlineLevel="0" collapsed="false">
      <c r="A66" s="5"/>
      <c r="D66" s="25"/>
      <c r="E66" s="25"/>
      <c r="F66" s="25"/>
      <c r="H66" s="18" t="s">
        <v>683</v>
      </c>
      <c r="J66" s="27"/>
      <c r="K66" s="27"/>
      <c r="L66" s="27"/>
      <c r="M66" s="28"/>
      <c r="N66" s="27"/>
      <c r="O66" s="27"/>
    </row>
    <row r="67" customFormat="false" ht="30" hidden="false" customHeight="true" outlineLevel="0" collapsed="false">
      <c r="A67" s="29"/>
      <c r="B67" s="30"/>
      <c r="C67" s="30"/>
      <c r="D67" s="31"/>
      <c r="E67" s="31"/>
      <c r="F67" s="25"/>
      <c r="H67" s="18" t="s">
        <v>684</v>
      </c>
      <c r="J67" s="27"/>
      <c r="K67" s="27"/>
      <c r="L67" s="27"/>
      <c r="M67" s="28"/>
      <c r="N67" s="27"/>
      <c r="O67" s="27"/>
    </row>
    <row r="68" customFormat="false" ht="30" hidden="false" customHeight="true" outlineLevel="0" collapsed="false">
      <c r="A68" s="5"/>
      <c r="D68" s="25"/>
      <c r="E68" s="25"/>
      <c r="F68" s="25"/>
      <c r="H68" s="18" t="s">
        <v>685</v>
      </c>
      <c r="J68" s="33"/>
      <c r="K68" s="33"/>
      <c r="L68" s="33"/>
      <c r="M68" s="34"/>
      <c r="N68" s="33"/>
      <c r="O68" s="33"/>
    </row>
    <row r="69" customFormat="false" ht="30" hidden="false" customHeight="true" outlineLevel="0" collapsed="false">
      <c r="A69" s="29"/>
      <c r="B69" s="30"/>
      <c r="C69" s="30"/>
      <c r="D69" s="31"/>
      <c r="E69" s="31"/>
      <c r="F69" s="25"/>
      <c r="J69" s="27"/>
      <c r="K69" s="27"/>
      <c r="L69" s="27"/>
      <c r="M69" s="28"/>
      <c r="N69" s="27"/>
      <c r="O69" s="27"/>
    </row>
    <row r="70" customFormat="false" ht="30" hidden="false" customHeight="true" outlineLevel="0" collapsed="false">
      <c r="A70" s="5"/>
      <c r="D70" s="25"/>
      <c r="E70" s="25"/>
      <c r="F70" s="25"/>
      <c r="J70" s="27"/>
      <c r="K70" s="27"/>
      <c r="L70" s="27"/>
      <c r="M70" s="28"/>
      <c r="N70" s="27"/>
      <c r="O70" s="27"/>
    </row>
    <row r="71" customFormat="false" ht="30" hidden="false" customHeight="true" outlineLevel="0" collapsed="false">
      <c r="A71" s="29"/>
      <c r="B71" s="30"/>
      <c r="C71" s="30"/>
      <c r="D71" s="31"/>
      <c r="E71" s="31"/>
      <c r="F71" s="25"/>
      <c r="J71" s="27"/>
      <c r="K71" s="27"/>
      <c r="L71" s="27"/>
      <c r="M71" s="28"/>
      <c r="N71" s="27"/>
      <c r="O71" s="27"/>
    </row>
    <row r="72" customFormat="false" ht="30" hidden="false" customHeight="true" outlineLevel="0" collapsed="false">
      <c r="A72" s="5"/>
      <c r="D72" s="25"/>
      <c r="E72" s="25"/>
      <c r="F72" s="25"/>
      <c r="J72" s="27"/>
      <c r="K72" s="27"/>
      <c r="L72" s="27"/>
      <c r="M72" s="28"/>
      <c r="N72" s="27"/>
      <c r="O72" s="27"/>
    </row>
    <row r="73" customFormat="false" ht="30" hidden="false" customHeight="true" outlineLevel="0" collapsed="false">
      <c r="A73" s="29"/>
      <c r="B73" s="30"/>
      <c r="C73" s="30"/>
      <c r="D73" s="31"/>
      <c r="E73" s="31"/>
      <c r="F73" s="25"/>
      <c r="J73" s="27"/>
      <c r="K73" s="27"/>
      <c r="L73" s="27"/>
      <c r="M73" s="28"/>
      <c r="N73" s="27"/>
      <c r="O73" s="27"/>
    </row>
    <row r="74" customFormat="false" ht="30" hidden="false" customHeight="true" outlineLevel="0" collapsed="false">
      <c r="A74" s="5"/>
      <c r="D74" s="25"/>
      <c r="E74" s="25"/>
      <c r="F74" s="25"/>
      <c r="J74" s="27"/>
      <c r="K74" s="27"/>
      <c r="L74" s="27"/>
      <c r="M74" s="28"/>
      <c r="N74" s="27"/>
      <c r="O74" s="27"/>
    </row>
    <row r="75" customFormat="false" ht="30" hidden="false" customHeight="true" outlineLevel="0" collapsed="false">
      <c r="A75" s="29"/>
      <c r="B75" s="30"/>
      <c r="C75" s="30"/>
      <c r="D75" s="31"/>
      <c r="E75" s="31"/>
      <c r="F75" s="25"/>
      <c r="J75" s="27"/>
      <c r="K75" s="27"/>
      <c r="L75" s="27"/>
      <c r="M75" s="28"/>
      <c r="N75" s="27"/>
      <c r="O75" s="27"/>
    </row>
    <row r="76" customFormat="false" ht="30" hidden="false" customHeight="true" outlineLevel="0" collapsed="false">
      <c r="A76" s="5"/>
      <c r="D76" s="25"/>
      <c r="E76" s="25"/>
      <c r="F76" s="25"/>
      <c r="J76" s="27"/>
      <c r="K76" s="27"/>
      <c r="L76" s="27"/>
      <c r="M76" s="28"/>
      <c r="N76" s="27"/>
      <c r="O76" s="27"/>
    </row>
    <row r="77" customFormat="false" ht="30" hidden="false" customHeight="true" outlineLevel="0" collapsed="false">
      <c r="A77" s="29"/>
      <c r="B77" s="30"/>
      <c r="C77" s="30"/>
      <c r="D77" s="31"/>
      <c r="E77" s="31"/>
      <c r="F77" s="25"/>
      <c r="J77" s="27"/>
      <c r="K77" s="27"/>
      <c r="L77" s="27"/>
      <c r="M77" s="28"/>
      <c r="N77" s="27"/>
      <c r="O77" s="27"/>
    </row>
    <row r="78" customFormat="false" ht="30" hidden="false" customHeight="true" outlineLevel="0" collapsed="false">
      <c r="A78" s="5"/>
      <c r="D78" s="25"/>
      <c r="E78" s="25"/>
      <c r="F78" s="25"/>
      <c r="J78" s="27"/>
      <c r="K78" s="27"/>
      <c r="L78" s="27"/>
      <c r="M78" s="28"/>
      <c r="N78" s="27"/>
      <c r="O78" s="27"/>
    </row>
    <row r="79" customFormat="false" ht="30" hidden="false" customHeight="true" outlineLevel="0" collapsed="false">
      <c r="A79" s="29"/>
      <c r="B79" s="30"/>
      <c r="C79" s="30"/>
      <c r="D79" s="31"/>
      <c r="E79" s="31"/>
      <c r="F79" s="25"/>
      <c r="J79" s="27"/>
      <c r="K79" s="27"/>
      <c r="L79" s="27"/>
      <c r="M79" s="28"/>
      <c r="N79" s="27"/>
      <c r="O79" s="27"/>
    </row>
    <row r="80" customFormat="false" ht="30" hidden="false" customHeight="true" outlineLevel="0" collapsed="false">
      <c r="A80" s="5"/>
      <c r="D80" s="25"/>
      <c r="E80" s="25"/>
      <c r="F80" s="25"/>
      <c r="J80" s="27"/>
      <c r="K80" s="27"/>
      <c r="L80" s="27"/>
      <c r="M80" s="28"/>
      <c r="N80" s="27"/>
      <c r="O80" s="27"/>
    </row>
    <row r="81" customFormat="false" ht="30" hidden="false" customHeight="true" outlineLevel="0" collapsed="false">
      <c r="A81" s="29"/>
      <c r="B81" s="30"/>
      <c r="C81" s="30"/>
      <c r="D81" s="31"/>
      <c r="E81" s="31"/>
      <c r="F81" s="25"/>
      <c r="J81" s="27"/>
      <c r="K81" s="27"/>
      <c r="L81" s="27"/>
      <c r="M81" s="28"/>
      <c r="N81" s="27"/>
      <c r="O81" s="27"/>
    </row>
    <row r="82" customFormat="false" ht="30" hidden="false" customHeight="true" outlineLevel="0" collapsed="false">
      <c r="A82" s="5"/>
      <c r="D82" s="25"/>
      <c r="E82" s="25"/>
      <c r="F82" s="25"/>
      <c r="J82" s="27"/>
      <c r="K82" s="27"/>
      <c r="L82" s="27"/>
      <c r="M82" s="28"/>
      <c r="N82" s="27"/>
      <c r="O82" s="27"/>
    </row>
    <row r="83" customFormat="false" ht="30" hidden="false" customHeight="true" outlineLevel="0" collapsed="false">
      <c r="A83" s="29"/>
      <c r="B83" s="30"/>
      <c r="C83" s="30"/>
      <c r="D83" s="31"/>
      <c r="E83" s="31"/>
      <c r="F83" s="25"/>
      <c r="J83" s="27"/>
      <c r="K83" s="27"/>
      <c r="L83" s="27"/>
      <c r="M83" s="28"/>
      <c r="N83" s="27"/>
      <c r="O83" s="27"/>
    </row>
    <row r="84" customFormat="false" ht="30" hidden="false" customHeight="true" outlineLevel="0" collapsed="false">
      <c r="A84" s="5"/>
      <c r="D84" s="25"/>
      <c r="E84" s="25"/>
      <c r="F84" s="25"/>
      <c r="J84" s="27"/>
      <c r="K84" s="27"/>
      <c r="L84" s="27"/>
      <c r="M84" s="28"/>
      <c r="N84" s="27"/>
      <c r="O84" s="27"/>
    </row>
    <row r="85" customFormat="false" ht="30" hidden="false" customHeight="true" outlineLevel="0" collapsed="false">
      <c r="A85" s="29"/>
      <c r="B85" s="30"/>
      <c r="C85" s="30"/>
      <c r="D85" s="31"/>
      <c r="E85" s="31"/>
      <c r="F85" s="25"/>
      <c r="J85" s="27"/>
      <c r="K85" s="27"/>
      <c r="L85" s="27"/>
      <c r="M85" s="28"/>
      <c r="N85" s="27"/>
      <c r="O85" s="27"/>
    </row>
    <row r="86" customFormat="false" ht="30" hidden="false" customHeight="true" outlineLevel="0" collapsed="false">
      <c r="A86" s="5"/>
      <c r="D86" s="25"/>
      <c r="E86" s="25"/>
      <c r="F86" s="25"/>
      <c r="J86" s="27"/>
      <c r="K86" s="27"/>
      <c r="L86" s="27"/>
      <c r="M86" s="28"/>
      <c r="N86" s="27"/>
      <c r="O86" s="27"/>
    </row>
    <row r="87" customFormat="false" ht="30" hidden="false" customHeight="true" outlineLevel="0" collapsed="false">
      <c r="A87" s="29"/>
      <c r="B87" s="30"/>
      <c r="C87" s="30"/>
      <c r="D87" s="31"/>
      <c r="E87" s="31"/>
      <c r="F87" s="25"/>
      <c r="J87" s="27"/>
      <c r="K87" s="27"/>
      <c r="L87" s="27"/>
      <c r="M87" s="28"/>
      <c r="N87" s="27"/>
      <c r="O87" s="27"/>
    </row>
    <row r="88" customFormat="false" ht="30" hidden="false" customHeight="true" outlineLevel="0" collapsed="false">
      <c r="A88" s="5"/>
      <c r="D88" s="25"/>
      <c r="E88" s="25"/>
      <c r="F88" s="25"/>
      <c r="J88" s="27"/>
      <c r="K88" s="27"/>
      <c r="L88" s="27"/>
      <c r="M88" s="28"/>
      <c r="N88" s="27"/>
      <c r="O88" s="27"/>
    </row>
    <row r="89" customFormat="false" ht="30" hidden="false" customHeight="true" outlineLevel="0" collapsed="false">
      <c r="A89" s="29"/>
      <c r="B89" s="30"/>
      <c r="C89" s="30"/>
      <c r="D89" s="31"/>
      <c r="E89" s="31"/>
      <c r="F89" s="25"/>
      <c r="J89" s="27"/>
      <c r="K89" s="27"/>
      <c r="L89" s="27"/>
      <c r="M89" s="28"/>
      <c r="N89" s="27"/>
      <c r="O89" s="27"/>
    </row>
    <row r="90" customFormat="false" ht="30" hidden="false" customHeight="true" outlineLevel="0" collapsed="false">
      <c r="A90" s="5"/>
      <c r="D90" s="25"/>
      <c r="E90" s="25"/>
      <c r="F90" s="25"/>
      <c r="J90" s="27"/>
      <c r="K90" s="27"/>
      <c r="L90" s="27"/>
      <c r="M90" s="28"/>
      <c r="N90" s="27"/>
      <c r="O90" s="27"/>
    </row>
    <row r="91" customFormat="false" ht="30" hidden="false" customHeight="true" outlineLevel="0" collapsed="false">
      <c r="A91" s="29"/>
      <c r="B91" s="30"/>
      <c r="C91" s="30"/>
      <c r="D91" s="31"/>
      <c r="E91" s="31"/>
      <c r="F91" s="25"/>
      <c r="J91" s="27"/>
      <c r="K91" s="27"/>
      <c r="L91" s="27"/>
      <c r="M91" s="28"/>
      <c r="N91" s="27"/>
      <c r="O91" s="27"/>
    </row>
    <row r="92" customFormat="false" ht="30" hidden="false" customHeight="true" outlineLevel="0" collapsed="false">
      <c r="A92" s="5"/>
      <c r="D92" s="25"/>
      <c r="E92" s="25"/>
      <c r="F92" s="25"/>
      <c r="J92" s="27"/>
      <c r="K92" s="27"/>
      <c r="L92" s="27"/>
      <c r="M92" s="28"/>
      <c r="N92" s="27"/>
      <c r="O92" s="27"/>
    </row>
    <row r="93" customFormat="false" ht="30" hidden="false" customHeight="true" outlineLevel="0" collapsed="false">
      <c r="A93" s="29"/>
      <c r="B93" s="30"/>
      <c r="C93" s="30"/>
      <c r="D93" s="31"/>
      <c r="E93" s="31"/>
      <c r="F93" s="25"/>
      <c r="J93" s="27"/>
      <c r="K93" s="27"/>
      <c r="L93" s="27"/>
      <c r="M93" s="28"/>
      <c r="N93" s="27"/>
      <c r="O93" s="27"/>
    </row>
    <row r="94" customFormat="false" ht="30" hidden="false" customHeight="true" outlineLevel="0" collapsed="false">
      <c r="A94" s="5"/>
      <c r="D94" s="25"/>
      <c r="E94" s="25"/>
      <c r="F94" s="25"/>
      <c r="J94" s="27"/>
      <c r="K94" s="27"/>
      <c r="L94" s="27"/>
      <c r="M94" s="28"/>
      <c r="N94" s="27"/>
      <c r="O94" s="27"/>
    </row>
    <row r="95" customFormat="false" ht="30" hidden="false" customHeight="true" outlineLevel="0" collapsed="false">
      <c r="A95" s="29"/>
      <c r="B95" s="30"/>
      <c r="C95" s="30"/>
      <c r="D95" s="31"/>
      <c r="E95" s="31"/>
      <c r="F95" s="25"/>
      <c r="J95" s="27"/>
      <c r="K95" s="27"/>
      <c r="L95" s="27"/>
      <c r="M95" s="28"/>
      <c r="N95" s="27"/>
      <c r="O95" s="27"/>
    </row>
    <row r="96" customFormat="false" ht="30" hidden="false" customHeight="true" outlineLevel="0" collapsed="false">
      <c r="A96" s="5"/>
      <c r="D96" s="25"/>
      <c r="E96" s="25"/>
      <c r="F96" s="25"/>
      <c r="J96" s="27"/>
      <c r="K96" s="27"/>
      <c r="L96" s="27"/>
      <c r="M96" s="28"/>
      <c r="N96" s="27"/>
      <c r="O96" s="27"/>
    </row>
    <row r="97" customFormat="false" ht="30" hidden="false" customHeight="true" outlineLevel="0" collapsed="false">
      <c r="A97" s="29"/>
      <c r="B97" s="30"/>
      <c r="C97" s="30"/>
      <c r="D97" s="31"/>
      <c r="E97" s="31"/>
      <c r="F97" s="25"/>
      <c r="J97" s="27"/>
      <c r="K97" s="27"/>
      <c r="L97" s="27"/>
      <c r="M97" s="28"/>
      <c r="N97" s="27"/>
      <c r="O97" s="27"/>
    </row>
    <row r="98" customFormat="false" ht="30" hidden="false" customHeight="true" outlineLevel="0" collapsed="false">
      <c r="A98" s="5"/>
      <c r="D98" s="25"/>
      <c r="E98" s="25"/>
      <c r="F98" s="25"/>
      <c r="J98" s="27"/>
      <c r="K98" s="27"/>
      <c r="L98" s="27"/>
      <c r="M98" s="28"/>
      <c r="N98" s="27"/>
      <c r="O98" s="27"/>
    </row>
    <row r="99" customFormat="false" ht="30" hidden="false" customHeight="true" outlineLevel="0" collapsed="false">
      <c r="A99" s="29"/>
      <c r="B99" s="30"/>
      <c r="C99" s="30"/>
      <c r="D99" s="31"/>
      <c r="E99" s="31"/>
      <c r="F99" s="25"/>
      <c r="J99" s="27"/>
      <c r="K99" s="27"/>
      <c r="L99" s="27"/>
      <c r="M99" s="28"/>
      <c r="N99" s="27"/>
      <c r="O99" s="27"/>
    </row>
    <row r="100" customFormat="false" ht="30" hidden="false" customHeight="true" outlineLevel="0" collapsed="false">
      <c r="A100" s="5"/>
      <c r="D100" s="25"/>
      <c r="E100" s="25"/>
      <c r="F100" s="25"/>
      <c r="J100" s="27"/>
      <c r="K100" s="27"/>
      <c r="L100" s="27"/>
      <c r="M100" s="28"/>
      <c r="N100" s="27"/>
      <c r="O100" s="27"/>
    </row>
    <row r="101" customFormat="false" ht="30" hidden="false" customHeight="true" outlineLevel="0" collapsed="false">
      <c r="A101" s="29"/>
      <c r="B101" s="30"/>
      <c r="C101" s="30"/>
      <c r="D101" s="31"/>
      <c r="E101" s="31"/>
      <c r="F101" s="25"/>
      <c r="J101" s="27"/>
      <c r="K101" s="27"/>
      <c r="L101" s="27"/>
      <c r="M101" s="28"/>
      <c r="N101" s="27"/>
      <c r="O101" s="27"/>
    </row>
    <row r="102" customFormat="false" ht="30" hidden="false" customHeight="true" outlineLevel="0" collapsed="false">
      <c r="A102" s="5"/>
      <c r="D102" s="25"/>
      <c r="E102" s="25"/>
      <c r="F102" s="25"/>
      <c r="J102" s="27"/>
      <c r="K102" s="27"/>
      <c r="L102" s="27"/>
      <c r="M102" s="28"/>
      <c r="N102" s="27"/>
      <c r="O102" s="27"/>
    </row>
    <row r="103" customFormat="false" ht="30" hidden="false" customHeight="true" outlineLevel="0" collapsed="false">
      <c r="A103" s="29"/>
      <c r="B103" s="30"/>
      <c r="C103" s="30"/>
      <c r="D103" s="31"/>
      <c r="E103" s="31"/>
      <c r="F103" s="25"/>
      <c r="J103" s="27"/>
      <c r="K103" s="27"/>
      <c r="L103" s="27"/>
      <c r="M103" s="28"/>
      <c r="N103" s="27"/>
      <c r="O103" s="27"/>
    </row>
    <row r="104" customFormat="false" ht="30" hidden="false" customHeight="true" outlineLevel="0" collapsed="false">
      <c r="A104" s="5"/>
      <c r="D104" s="25"/>
      <c r="E104" s="25"/>
      <c r="F104" s="25"/>
      <c r="J104" s="27"/>
      <c r="K104" s="27"/>
      <c r="L104" s="27"/>
      <c r="M104" s="28"/>
      <c r="N104" s="27"/>
      <c r="O104" s="27"/>
    </row>
    <row r="105" customFormat="false" ht="30" hidden="false" customHeight="true" outlineLevel="0" collapsed="false">
      <c r="A105" s="29"/>
      <c r="B105" s="30"/>
      <c r="C105" s="30"/>
      <c r="D105" s="31"/>
      <c r="E105" s="31"/>
      <c r="F105" s="25"/>
      <c r="J105" s="27"/>
      <c r="K105" s="27"/>
      <c r="L105" s="27"/>
      <c r="M105" s="28"/>
      <c r="N105" s="27"/>
      <c r="O105" s="27"/>
    </row>
    <row r="106" customFormat="false" ht="30" hidden="false" customHeight="true" outlineLevel="0" collapsed="false">
      <c r="A106" s="5"/>
      <c r="D106" s="25"/>
      <c r="E106" s="25"/>
      <c r="F106" s="25"/>
      <c r="J106" s="27"/>
      <c r="K106" s="27"/>
      <c r="L106" s="27"/>
      <c r="M106" s="28"/>
      <c r="N106" s="27"/>
      <c r="O106" s="27"/>
    </row>
    <row r="107" customFormat="false" ht="30" hidden="false" customHeight="true" outlineLevel="0" collapsed="false">
      <c r="A107" s="29"/>
      <c r="B107" s="30"/>
      <c r="C107" s="30"/>
      <c r="D107" s="31"/>
      <c r="E107" s="31"/>
      <c r="F107" s="25"/>
      <c r="J107" s="27"/>
      <c r="K107" s="27"/>
      <c r="L107" s="27"/>
      <c r="M107" s="28"/>
      <c r="N107" s="27"/>
      <c r="O107" s="27"/>
    </row>
    <row r="108" customFormat="false" ht="30" hidden="false" customHeight="true" outlineLevel="0" collapsed="false">
      <c r="A108" s="5"/>
      <c r="D108" s="25"/>
      <c r="E108" s="25"/>
      <c r="F108" s="25"/>
      <c r="J108" s="33"/>
      <c r="K108" s="33"/>
      <c r="L108" s="33"/>
      <c r="M108" s="34"/>
      <c r="N108" s="33"/>
      <c r="O108" s="33"/>
    </row>
    <row r="109" customFormat="false" ht="30" hidden="false" customHeight="true" outlineLevel="0" collapsed="false">
      <c r="A109" s="29"/>
      <c r="B109" s="30"/>
      <c r="C109" s="30"/>
      <c r="D109" s="31"/>
      <c r="E109" s="31"/>
      <c r="F109" s="25"/>
      <c r="J109" s="27"/>
      <c r="K109" s="27"/>
      <c r="L109" s="27"/>
      <c r="M109" s="28"/>
      <c r="N109" s="27"/>
      <c r="O109" s="27"/>
    </row>
    <row r="110" customFormat="false" ht="30" hidden="false" customHeight="true" outlineLevel="0" collapsed="false">
      <c r="A110" s="5"/>
      <c r="D110" s="25"/>
      <c r="E110" s="25"/>
      <c r="F110" s="25"/>
      <c r="J110" s="27"/>
      <c r="K110" s="27"/>
      <c r="L110" s="27"/>
      <c r="M110" s="28"/>
      <c r="N110" s="27"/>
      <c r="O110" s="27"/>
    </row>
    <row r="111" customFormat="false" ht="30" hidden="false" customHeight="true" outlineLevel="0" collapsed="false">
      <c r="A111" s="29"/>
      <c r="B111" s="30"/>
      <c r="C111" s="30"/>
      <c r="D111" s="31"/>
      <c r="E111" s="31"/>
      <c r="F111" s="25"/>
      <c r="J111" s="27"/>
      <c r="K111" s="27"/>
      <c r="L111" s="27"/>
      <c r="M111" s="28"/>
      <c r="N111" s="27"/>
      <c r="O111" s="27"/>
    </row>
    <row r="112" customFormat="false" ht="30" hidden="false" customHeight="true" outlineLevel="0" collapsed="false">
      <c r="A112" s="5"/>
      <c r="D112" s="25"/>
      <c r="E112" s="25"/>
      <c r="F112" s="25"/>
      <c r="J112" s="27"/>
      <c r="K112" s="27"/>
      <c r="L112" s="27"/>
      <c r="M112" s="28"/>
      <c r="N112" s="27"/>
      <c r="O112" s="27"/>
    </row>
    <row r="113" customFormat="false" ht="30" hidden="false" customHeight="true" outlineLevel="0" collapsed="false">
      <c r="A113" s="29"/>
      <c r="B113" s="30"/>
      <c r="C113" s="30"/>
      <c r="D113" s="31"/>
      <c r="E113" s="31"/>
      <c r="F113" s="25"/>
      <c r="J113" s="27"/>
      <c r="K113" s="27"/>
      <c r="L113" s="27"/>
      <c r="M113" s="28"/>
      <c r="N113" s="27"/>
      <c r="O113" s="27"/>
    </row>
    <row r="114" customFormat="false" ht="30" hidden="false" customHeight="true" outlineLevel="0" collapsed="false">
      <c r="A114" s="5"/>
      <c r="D114" s="25"/>
      <c r="E114" s="25"/>
      <c r="F114" s="25"/>
      <c r="J114" s="27"/>
      <c r="K114" s="27"/>
      <c r="L114" s="27"/>
      <c r="M114" s="28"/>
      <c r="N114" s="27"/>
      <c r="O114" s="27"/>
    </row>
    <row r="115" customFormat="false" ht="30" hidden="false" customHeight="true" outlineLevel="0" collapsed="false">
      <c r="A115" s="29"/>
      <c r="B115" s="30"/>
      <c r="C115" s="30"/>
      <c r="D115" s="31"/>
      <c r="E115" s="31"/>
      <c r="F115" s="25"/>
      <c r="J115" s="27"/>
      <c r="K115" s="27"/>
      <c r="L115" s="27"/>
      <c r="M115" s="28"/>
      <c r="N115" s="27"/>
      <c r="O115" s="27"/>
    </row>
    <row r="116" customFormat="false" ht="30" hidden="false" customHeight="true" outlineLevel="0" collapsed="false">
      <c r="A116" s="5"/>
      <c r="D116" s="25"/>
      <c r="E116" s="25"/>
      <c r="F116" s="25"/>
      <c r="J116" s="27"/>
      <c r="K116" s="27"/>
      <c r="L116" s="27"/>
      <c r="M116" s="28"/>
      <c r="N116" s="27"/>
      <c r="O116" s="27"/>
    </row>
    <row r="117" customFormat="false" ht="30" hidden="false" customHeight="true" outlineLevel="0" collapsed="false">
      <c r="A117" s="29"/>
      <c r="B117" s="30"/>
      <c r="C117" s="30"/>
      <c r="D117" s="31"/>
      <c r="E117" s="31"/>
      <c r="F117" s="25"/>
      <c r="J117" s="27"/>
      <c r="K117" s="27"/>
      <c r="L117" s="27"/>
      <c r="M117" s="28"/>
      <c r="N117" s="27"/>
      <c r="O117" s="27"/>
    </row>
    <row r="118" customFormat="false" ht="30" hidden="false" customHeight="true" outlineLevel="0" collapsed="false">
      <c r="A118" s="5"/>
      <c r="D118" s="25"/>
      <c r="E118" s="25"/>
      <c r="F118" s="25"/>
      <c r="J118" s="27"/>
      <c r="K118" s="27"/>
      <c r="L118" s="27"/>
      <c r="M118" s="28"/>
      <c r="N118" s="27"/>
      <c r="O118" s="27"/>
    </row>
    <row r="119" customFormat="false" ht="30" hidden="false" customHeight="true" outlineLevel="0" collapsed="false">
      <c r="A119" s="29"/>
      <c r="B119" s="30"/>
      <c r="C119" s="30"/>
      <c r="D119" s="31"/>
      <c r="E119" s="31"/>
      <c r="F119" s="25"/>
      <c r="J119" s="27"/>
      <c r="K119" s="27"/>
      <c r="L119" s="27"/>
      <c r="M119" s="28"/>
      <c r="N119" s="27"/>
      <c r="O119" s="27"/>
    </row>
    <row r="120" customFormat="false" ht="30" hidden="false" customHeight="true" outlineLevel="0" collapsed="false">
      <c r="A120" s="5"/>
      <c r="D120" s="25"/>
      <c r="E120" s="25"/>
      <c r="F120" s="25"/>
      <c r="J120" s="27"/>
      <c r="K120" s="27"/>
      <c r="L120" s="27"/>
      <c r="M120" s="28"/>
      <c r="N120" s="27"/>
      <c r="O120" s="27"/>
    </row>
    <row r="121" customFormat="false" ht="30" hidden="false" customHeight="true" outlineLevel="0" collapsed="false">
      <c r="A121" s="29"/>
      <c r="B121" s="30"/>
      <c r="C121" s="30"/>
      <c r="D121" s="31"/>
      <c r="E121" s="31"/>
      <c r="F121" s="25"/>
      <c r="J121" s="27"/>
      <c r="K121" s="27"/>
      <c r="L121" s="27"/>
      <c r="M121" s="28"/>
      <c r="N121" s="27"/>
      <c r="O121" s="27"/>
    </row>
    <row r="122" customFormat="false" ht="30" hidden="false" customHeight="true" outlineLevel="0" collapsed="false">
      <c r="A122" s="5"/>
      <c r="D122" s="25"/>
      <c r="E122" s="25"/>
      <c r="F122" s="25"/>
      <c r="J122" s="27"/>
      <c r="K122" s="27"/>
      <c r="L122" s="27"/>
      <c r="M122" s="28"/>
      <c r="N122" s="27"/>
      <c r="O122" s="27"/>
    </row>
    <row r="123" customFormat="false" ht="30" hidden="false" customHeight="true" outlineLevel="0" collapsed="false">
      <c r="A123" s="29"/>
      <c r="B123" s="30"/>
      <c r="C123" s="30"/>
      <c r="D123" s="31"/>
      <c r="E123" s="31"/>
      <c r="F123" s="25"/>
      <c r="J123" s="27"/>
      <c r="K123" s="27"/>
      <c r="L123" s="27"/>
      <c r="M123" s="28"/>
      <c r="N123" s="27"/>
      <c r="O123" s="27"/>
    </row>
    <row r="124" customFormat="false" ht="30" hidden="false" customHeight="true" outlineLevel="0" collapsed="false">
      <c r="A124" s="5"/>
      <c r="D124" s="25"/>
      <c r="E124" s="25"/>
      <c r="F124" s="25"/>
      <c r="J124" s="27"/>
      <c r="K124" s="27"/>
      <c r="L124" s="27"/>
      <c r="M124" s="28"/>
      <c r="N124" s="27"/>
      <c r="O124" s="27"/>
    </row>
    <row r="125" customFormat="false" ht="30" hidden="false" customHeight="true" outlineLevel="0" collapsed="false">
      <c r="A125" s="29"/>
      <c r="B125" s="30"/>
      <c r="C125" s="30"/>
      <c r="D125" s="31"/>
      <c r="E125" s="31"/>
      <c r="F125" s="25"/>
      <c r="J125" s="27"/>
      <c r="K125" s="27"/>
      <c r="L125" s="27"/>
      <c r="M125" s="28"/>
      <c r="N125" s="27"/>
      <c r="O125" s="27"/>
    </row>
    <row r="126" customFormat="false" ht="30" hidden="false" customHeight="true" outlineLevel="0" collapsed="false">
      <c r="A126" s="5"/>
      <c r="D126" s="25"/>
      <c r="E126" s="25"/>
      <c r="F126" s="25"/>
      <c r="J126" s="27"/>
      <c r="K126" s="27"/>
      <c r="L126" s="27"/>
      <c r="M126" s="28"/>
      <c r="N126" s="27"/>
      <c r="O126" s="27"/>
    </row>
    <row r="127" customFormat="false" ht="30" hidden="false" customHeight="true" outlineLevel="0" collapsed="false">
      <c r="A127" s="29"/>
      <c r="B127" s="30"/>
      <c r="C127" s="30"/>
      <c r="D127" s="31"/>
      <c r="E127" s="31"/>
      <c r="F127" s="25"/>
      <c r="J127" s="27"/>
      <c r="K127" s="27"/>
      <c r="L127" s="27"/>
      <c r="M127" s="28"/>
      <c r="N127" s="27"/>
      <c r="O127" s="27"/>
    </row>
    <row r="128" customFormat="false" ht="30" hidden="false" customHeight="true" outlineLevel="0" collapsed="false">
      <c r="A128" s="5"/>
      <c r="D128" s="25"/>
      <c r="E128" s="25"/>
      <c r="F128" s="25"/>
      <c r="J128" s="27"/>
      <c r="K128" s="27"/>
      <c r="L128" s="27"/>
      <c r="M128" s="28"/>
      <c r="N128" s="27"/>
      <c r="O128" s="27"/>
    </row>
    <row r="129" customFormat="false" ht="30" hidden="false" customHeight="true" outlineLevel="0" collapsed="false">
      <c r="A129" s="29"/>
      <c r="B129" s="30"/>
      <c r="C129" s="30"/>
      <c r="D129" s="31"/>
      <c r="E129" s="31"/>
      <c r="F129" s="25"/>
      <c r="J129" s="27"/>
      <c r="K129" s="27"/>
      <c r="L129" s="27"/>
      <c r="M129" s="28"/>
      <c r="N129" s="27"/>
      <c r="O129" s="27"/>
    </row>
    <row r="130" customFormat="false" ht="30" hidden="false" customHeight="true" outlineLevel="0" collapsed="false">
      <c r="A130" s="5"/>
      <c r="D130" s="25"/>
      <c r="E130" s="25"/>
      <c r="F130" s="25"/>
      <c r="J130" s="27"/>
      <c r="K130" s="27"/>
      <c r="L130" s="27"/>
      <c r="M130" s="28"/>
      <c r="N130" s="27"/>
      <c r="O130" s="27"/>
    </row>
    <row r="131" customFormat="false" ht="30" hidden="false" customHeight="true" outlineLevel="0" collapsed="false">
      <c r="A131" s="29"/>
      <c r="B131" s="30"/>
      <c r="C131" s="30"/>
      <c r="D131" s="31"/>
      <c r="E131" s="31"/>
      <c r="F131" s="25"/>
      <c r="J131" s="27"/>
      <c r="K131" s="27"/>
      <c r="L131" s="27"/>
      <c r="M131" s="28"/>
      <c r="N131" s="27"/>
      <c r="O131" s="27"/>
    </row>
    <row r="132" customFormat="false" ht="30" hidden="false" customHeight="true" outlineLevel="0" collapsed="false">
      <c r="A132" s="5"/>
      <c r="D132" s="25"/>
      <c r="E132" s="25"/>
      <c r="F132" s="25"/>
      <c r="J132" s="27"/>
      <c r="K132" s="27"/>
      <c r="L132" s="27"/>
      <c r="M132" s="28"/>
      <c r="N132" s="27"/>
      <c r="O132" s="27"/>
    </row>
    <row r="133" customFormat="false" ht="30" hidden="false" customHeight="true" outlineLevel="0" collapsed="false">
      <c r="A133" s="29"/>
      <c r="B133" s="30"/>
      <c r="C133" s="30"/>
      <c r="D133" s="31"/>
      <c r="E133" s="31"/>
      <c r="F133" s="25"/>
      <c r="J133" s="27"/>
      <c r="K133" s="27"/>
      <c r="L133" s="27"/>
      <c r="M133" s="28"/>
      <c r="N133" s="27"/>
      <c r="O133" s="27"/>
    </row>
    <row r="134" customFormat="false" ht="30" hidden="false" customHeight="true" outlineLevel="0" collapsed="false">
      <c r="A134" s="5"/>
      <c r="D134" s="25"/>
      <c r="E134" s="25"/>
      <c r="F134" s="25"/>
      <c r="J134" s="27"/>
      <c r="K134" s="27"/>
      <c r="L134" s="27"/>
      <c r="M134" s="28"/>
      <c r="N134" s="27"/>
      <c r="O134" s="27"/>
    </row>
    <row r="135" customFormat="false" ht="30" hidden="false" customHeight="true" outlineLevel="0" collapsed="false">
      <c r="A135" s="29"/>
      <c r="B135" s="30"/>
      <c r="C135" s="30"/>
      <c r="D135" s="31"/>
      <c r="E135" s="31"/>
      <c r="F135" s="25"/>
      <c r="J135" s="27"/>
      <c r="K135" s="27"/>
      <c r="L135" s="27"/>
      <c r="M135" s="28"/>
      <c r="N135" s="27"/>
      <c r="O135" s="27"/>
    </row>
    <row r="136" customFormat="false" ht="30" hidden="false" customHeight="true" outlineLevel="0" collapsed="false">
      <c r="A136" s="5"/>
      <c r="D136" s="25"/>
      <c r="E136" s="25"/>
      <c r="F136" s="25"/>
      <c r="J136" s="27"/>
      <c r="K136" s="27"/>
      <c r="L136" s="27"/>
      <c r="M136" s="28"/>
      <c r="N136" s="27"/>
      <c r="O136" s="27"/>
    </row>
    <row r="137" customFormat="false" ht="30" hidden="false" customHeight="true" outlineLevel="0" collapsed="false">
      <c r="A137" s="29"/>
      <c r="B137" s="30"/>
      <c r="C137" s="30"/>
      <c r="D137" s="31"/>
      <c r="E137" s="31"/>
      <c r="F137" s="25"/>
      <c r="J137" s="27"/>
      <c r="K137" s="27"/>
      <c r="L137" s="27"/>
      <c r="M137" s="28"/>
      <c r="N137" s="27"/>
      <c r="O137" s="27"/>
    </row>
    <row r="138" customFormat="false" ht="30" hidden="false" customHeight="true" outlineLevel="0" collapsed="false">
      <c r="A138" s="5"/>
      <c r="D138" s="25"/>
      <c r="E138" s="25"/>
      <c r="F138" s="25"/>
      <c r="J138" s="27"/>
      <c r="K138" s="27"/>
      <c r="L138" s="27"/>
      <c r="M138" s="28"/>
      <c r="N138" s="27"/>
      <c r="O138" s="27"/>
    </row>
    <row r="139" customFormat="false" ht="30" hidden="false" customHeight="true" outlineLevel="0" collapsed="false">
      <c r="A139" s="29"/>
      <c r="B139" s="30"/>
      <c r="C139" s="30"/>
      <c r="D139" s="31"/>
      <c r="E139" s="31"/>
      <c r="F139" s="25"/>
      <c r="J139" s="27"/>
      <c r="K139" s="27"/>
      <c r="L139" s="27"/>
      <c r="M139" s="28"/>
      <c r="N139" s="27"/>
      <c r="O139" s="27"/>
    </row>
    <row r="140" customFormat="false" ht="30" hidden="false" customHeight="true" outlineLevel="0" collapsed="false">
      <c r="A140" s="5"/>
      <c r="D140" s="25"/>
      <c r="E140" s="25"/>
      <c r="F140" s="25"/>
      <c r="J140" s="27"/>
      <c r="K140" s="27"/>
      <c r="L140" s="27"/>
      <c r="M140" s="28"/>
      <c r="N140" s="27"/>
      <c r="O140" s="27"/>
    </row>
    <row r="141" customFormat="false" ht="30" hidden="false" customHeight="true" outlineLevel="0" collapsed="false">
      <c r="A141" s="29"/>
      <c r="B141" s="30"/>
      <c r="C141" s="30"/>
      <c r="D141" s="31"/>
      <c r="E141" s="31"/>
      <c r="F141" s="25"/>
      <c r="J141" s="27"/>
      <c r="K141" s="27"/>
      <c r="L141" s="27"/>
      <c r="M141" s="28"/>
      <c r="N141" s="27"/>
      <c r="O141" s="27"/>
    </row>
    <row r="142" customFormat="false" ht="30" hidden="false" customHeight="true" outlineLevel="0" collapsed="false">
      <c r="A142" s="5"/>
      <c r="D142" s="25"/>
      <c r="E142" s="25"/>
      <c r="F142" s="25"/>
      <c r="J142" s="27"/>
      <c r="K142" s="27"/>
      <c r="L142" s="27"/>
      <c r="M142" s="28"/>
      <c r="N142" s="27"/>
      <c r="O142" s="27"/>
    </row>
    <row r="143" customFormat="false" ht="30" hidden="false" customHeight="true" outlineLevel="0" collapsed="false">
      <c r="A143" s="29"/>
      <c r="B143" s="30"/>
      <c r="C143" s="30"/>
      <c r="D143" s="31"/>
      <c r="E143" s="31"/>
      <c r="F143" s="25"/>
      <c r="J143" s="27"/>
      <c r="K143" s="27"/>
      <c r="L143" s="27"/>
      <c r="M143" s="28"/>
      <c r="N143" s="27"/>
      <c r="O143" s="27"/>
    </row>
    <row r="144" customFormat="false" ht="30" hidden="false" customHeight="true" outlineLevel="0" collapsed="false">
      <c r="A144" s="5"/>
      <c r="D144" s="25"/>
      <c r="E144" s="25"/>
      <c r="F144" s="25"/>
      <c r="J144" s="27"/>
      <c r="K144" s="27"/>
      <c r="L144" s="27"/>
      <c r="M144" s="28"/>
      <c r="N144" s="27"/>
      <c r="O144" s="27"/>
    </row>
    <row r="145" customFormat="false" ht="30" hidden="false" customHeight="true" outlineLevel="0" collapsed="false">
      <c r="A145" s="29"/>
      <c r="B145" s="30"/>
      <c r="C145" s="30"/>
      <c r="D145" s="31"/>
      <c r="E145" s="31"/>
      <c r="F145" s="25"/>
      <c r="J145" s="27"/>
      <c r="K145" s="27"/>
      <c r="L145" s="27"/>
      <c r="M145" s="28"/>
      <c r="N145" s="27"/>
      <c r="O145" s="27"/>
    </row>
    <row r="146" customFormat="false" ht="30" hidden="false" customHeight="true" outlineLevel="0" collapsed="false">
      <c r="A146" s="5"/>
      <c r="D146" s="25"/>
      <c r="E146" s="25"/>
      <c r="F146" s="25"/>
      <c r="J146" s="27"/>
      <c r="K146" s="27"/>
      <c r="L146" s="27"/>
      <c r="M146" s="28"/>
      <c r="N146" s="27"/>
      <c r="O146" s="27"/>
    </row>
    <row r="147" customFormat="false" ht="30" hidden="false" customHeight="true" outlineLevel="0" collapsed="false">
      <c r="A147" s="29"/>
      <c r="B147" s="30"/>
      <c r="C147" s="30"/>
      <c r="D147" s="31"/>
      <c r="E147" s="31"/>
      <c r="F147" s="25"/>
      <c r="J147" s="27"/>
      <c r="K147" s="27"/>
      <c r="L147" s="27"/>
      <c r="M147" s="28"/>
      <c r="N147" s="27"/>
      <c r="O147" s="27"/>
    </row>
    <row r="148" customFormat="false" ht="30" hidden="false" customHeight="true" outlineLevel="0" collapsed="false">
      <c r="A148" s="5"/>
      <c r="D148" s="25"/>
      <c r="E148" s="25"/>
      <c r="F148" s="25"/>
      <c r="J148" s="27"/>
      <c r="K148" s="27"/>
      <c r="L148" s="27"/>
      <c r="M148" s="28"/>
      <c r="N148" s="27"/>
      <c r="O148" s="27"/>
    </row>
    <row r="149" customFormat="false" ht="30" hidden="false" customHeight="true" outlineLevel="0" collapsed="false">
      <c r="A149" s="29"/>
      <c r="B149" s="30"/>
      <c r="C149" s="30"/>
      <c r="D149" s="31"/>
      <c r="E149" s="31"/>
      <c r="F149" s="25"/>
      <c r="J149" s="27"/>
      <c r="K149" s="27"/>
      <c r="L149" s="27"/>
      <c r="M149" s="28"/>
      <c r="N149" s="27"/>
      <c r="O149" s="27"/>
    </row>
    <row r="150" customFormat="false" ht="30" hidden="false" customHeight="true" outlineLevel="0" collapsed="false">
      <c r="A150" s="5"/>
      <c r="D150" s="25"/>
      <c r="E150" s="25"/>
      <c r="F150" s="25"/>
      <c r="J150" s="27"/>
      <c r="K150" s="27"/>
      <c r="L150" s="27"/>
      <c r="M150" s="28"/>
      <c r="N150" s="27"/>
      <c r="O150" s="27"/>
    </row>
    <row r="151" customFormat="false" ht="30" hidden="false" customHeight="true" outlineLevel="0" collapsed="false">
      <c r="A151" s="29"/>
      <c r="B151" s="30"/>
      <c r="C151" s="30"/>
      <c r="D151" s="31"/>
      <c r="E151" s="31"/>
      <c r="F151" s="25"/>
      <c r="J151" s="27"/>
      <c r="K151" s="27"/>
      <c r="L151" s="27"/>
      <c r="M151" s="28"/>
      <c r="N151" s="27"/>
      <c r="O151" s="27"/>
    </row>
    <row r="152" customFormat="false" ht="30" hidden="false" customHeight="true" outlineLevel="0" collapsed="false">
      <c r="A152" s="5"/>
      <c r="D152" s="25"/>
      <c r="E152" s="25"/>
      <c r="F152" s="25"/>
      <c r="J152" s="27"/>
      <c r="K152" s="27"/>
      <c r="L152" s="27"/>
      <c r="M152" s="28"/>
      <c r="N152" s="27"/>
      <c r="O152" s="27"/>
    </row>
    <row r="153" customFormat="false" ht="30" hidden="false" customHeight="true" outlineLevel="0" collapsed="false">
      <c r="A153" s="29"/>
      <c r="B153" s="30"/>
      <c r="C153" s="30"/>
      <c r="D153" s="31"/>
      <c r="E153" s="31"/>
      <c r="F153" s="25"/>
      <c r="J153" s="27"/>
      <c r="K153" s="27"/>
      <c r="L153" s="27"/>
      <c r="M153" s="28"/>
      <c r="N153" s="27"/>
      <c r="O153" s="27"/>
    </row>
    <row r="154" customFormat="false" ht="30" hidden="false" customHeight="true" outlineLevel="0" collapsed="false">
      <c r="A154" s="5"/>
      <c r="D154" s="25"/>
      <c r="E154" s="25"/>
      <c r="F154" s="25"/>
      <c r="J154" s="27"/>
      <c r="K154" s="27"/>
      <c r="L154" s="27"/>
      <c r="M154" s="28"/>
      <c r="N154" s="27"/>
      <c r="O154" s="27"/>
    </row>
    <row r="155" customFormat="false" ht="30" hidden="false" customHeight="true" outlineLevel="0" collapsed="false">
      <c r="A155" s="29"/>
      <c r="B155" s="30"/>
      <c r="C155" s="30"/>
      <c r="D155" s="31"/>
      <c r="E155" s="31"/>
      <c r="F155" s="25"/>
      <c r="J155" s="27"/>
      <c r="K155" s="27"/>
      <c r="L155" s="27"/>
      <c r="M155" s="28"/>
      <c r="N155" s="27"/>
      <c r="O155" s="27"/>
    </row>
    <row r="156" customFormat="false" ht="30" hidden="false" customHeight="true" outlineLevel="0" collapsed="false">
      <c r="A156" s="5"/>
      <c r="D156" s="25"/>
      <c r="E156" s="25"/>
      <c r="F156" s="25"/>
      <c r="J156" s="27"/>
      <c r="K156" s="27"/>
      <c r="L156" s="27"/>
      <c r="M156" s="28"/>
      <c r="N156" s="27"/>
      <c r="O156" s="27"/>
    </row>
    <row r="157" customFormat="false" ht="30" hidden="false" customHeight="true" outlineLevel="0" collapsed="false">
      <c r="A157" s="29"/>
      <c r="B157" s="30"/>
      <c r="C157" s="30"/>
      <c r="D157" s="31"/>
      <c r="E157" s="31"/>
      <c r="F157" s="25"/>
      <c r="J157" s="27"/>
      <c r="K157" s="27"/>
      <c r="L157" s="27"/>
      <c r="M157" s="28"/>
      <c r="N157" s="27"/>
      <c r="O157" s="27"/>
    </row>
    <row r="158" customFormat="false" ht="30" hidden="false" customHeight="true" outlineLevel="0" collapsed="false">
      <c r="A158" s="5"/>
      <c r="D158" s="25"/>
      <c r="E158" s="25"/>
      <c r="F158" s="25"/>
      <c r="J158" s="27"/>
      <c r="K158" s="27"/>
      <c r="L158" s="27"/>
      <c r="M158" s="28"/>
      <c r="N158" s="27"/>
      <c r="O158" s="27"/>
    </row>
    <row r="159" customFormat="false" ht="30" hidden="false" customHeight="true" outlineLevel="0" collapsed="false">
      <c r="A159" s="29"/>
      <c r="B159" s="30"/>
      <c r="C159" s="30"/>
      <c r="D159" s="31"/>
      <c r="E159" s="31"/>
      <c r="F159" s="25"/>
      <c r="J159" s="27"/>
      <c r="K159" s="27"/>
      <c r="L159" s="27"/>
      <c r="M159" s="28"/>
      <c r="N159" s="27"/>
      <c r="O159" s="27"/>
    </row>
    <row r="160" customFormat="false" ht="30" hidden="false" customHeight="true" outlineLevel="0" collapsed="false">
      <c r="A160" s="5"/>
      <c r="D160" s="25"/>
      <c r="E160" s="25"/>
      <c r="F160" s="25"/>
      <c r="J160" s="27"/>
      <c r="K160" s="27"/>
      <c r="L160" s="27"/>
      <c r="M160" s="28"/>
      <c r="N160" s="27"/>
      <c r="O160" s="27"/>
    </row>
    <row r="161" customFormat="false" ht="30" hidden="false" customHeight="true" outlineLevel="0" collapsed="false">
      <c r="A161" s="29"/>
      <c r="B161" s="30"/>
      <c r="C161" s="30"/>
      <c r="D161" s="31"/>
      <c r="E161" s="31"/>
      <c r="F161" s="25"/>
      <c r="J161" s="27"/>
      <c r="K161" s="27"/>
      <c r="L161" s="27"/>
      <c r="M161" s="28"/>
      <c r="N161" s="27"/>
      <c r="O161" s="27"/>
    </row>
    <row r="162" customFormat="false" ht="30" hidden="false" customHeight="true" outlineLevel="0" collapsed="false">
      <c r="A162" s="5"/>
      <c r="D162" s="25"/>
      <c r="E162" s="25"/>
      <c r="F162" s="25"/>
      <c r="J162" s="27"/>
      <c r="K162" s="27"/>
      <c r="L162" s="27"/>
      <c r="M162" s="28"/>
      <c r="N162" s="27"/>
      <c r="O162" s="27"/>
    </row>
    <row r="163" customFormat="false" ht="30" hidden="false" customHeight="true" outlineLevel="0" collapsed="false">
      <c r="A163" s="29"/>
      <c r="B163" s="30"/>
      <c r="C163" s="30"/>
      <c r="D163" s="31"/>
      <c r="E163" s="31"/>
      <c r="F163" s="25"/>
      <c r="J163" s="27"/>
      <c r="K163" s="27"/>
      <c r="L163" s="27"/>
      <c r="M163" s="28"/>
      <c r="N163" s="27"/>
      <c r="O163" s="27"/>
    </row>
    <row r="164" customFormat="false" ht="30" hidden="false" customHeight="true" outlineLevel="0" collapsed="false">
      <c r="A164" s="5"/>
      <c r="D164" s="25"/>
      <c r="E164" s="25"/>
      <c r="F164" s="25"/>
    </row>
    <row r="165" customFormat="false" ht="30" hidden="false" customHeight="true" outlineLevel="0" collapsed="false">
      <c r="A165" s="29"/>
      <c r="B165" s="30"/>
      <c r="C165" s="30"/>
      <c r="D165" s="31"/>
      <c r="E165" s="31"/>
      <c r="F165" s="25"/>
    </row>
    <row r="166" customFormat="false" ht="30" hidden="false" customHeight="true" outlineLevel="0" collapsed="false">
      <c r="A166" s="5"/>
      <c r="D166" s="25"/>
      <c r="E166" s="25"/>
      <c r="F166" s="25"/>
    </row>
    <row r="167" customFormat="false" ht="30" hidden="false" customHeight="true" outlineLevel="0" collapsed="false">
      <c r="A167" s="29"/>
      <c r="B167" s="30"/>
      <c r="C167" s="30"/>
      <c r="D167" s="31"/>
      <c r="E167" s="31"/>
      <c r="F167" s="25"/>
    </row>
    <row r="168" customFormat="false" ht="30" hidden="false" customHeight="true" outlineLevel="0" collapsed="false">
      <c r="A168" s="5"/>
      <c r="D168" s="25"/>
      <c r="E168" s="25"/>
      <c r="F168" s="25"/>
    </row>
    <row r="169" customFormat="false" ht="30" hidden="false" customHeight="true" outlineLevel="0" collapsed="false">
      <c r="A169" s="29"/>
      <c r="B169" s="30"/>
      <c r="C169" s="30"/>
      <c r="D169" s="31"/>
      <c r="E169" s="31"/>
      <c r="F169" s="25"/>
    </row>
    <row r="170" customFormat="false" ht="30" hidden="false" customHeight="true" outlineLevel="0" collapsed="false">
      <c r="A170" s="5"/>
      <c r="D170" s="25"/>
      <c r="E170" s="25"/>
      <c r="F170" s="25"/>
    </row>
    <row r="171" customFormat="false" ht="30" hidden="false" customHeight="true" outlineLevel="0" collapsed="false">
      <c r="A171" s="29"/>
      <c r="B171" s="30"/>
      <c r="C171" s="30"/>
      <c r="D171" s="31"/>
      <c r="E171" s="31"/>
      <c r="F171" s="25"/>
    </row>
    <row r="172" customFormat="false" ht="30" hidden="false" customHeight="true" outlineLevel="0" collapsed="false">
      <c r="A172" s="5"/>
      <c r="D172" s="25"/>
      <c r="E172" s="25"/>
      <c r="F172" s="25"/>
    </row>
    <row r="173" customFormat="false" ht="30" hidden="false" customHeight="true" outlineLevel="0" collapsed="false">
      <c r="A173" s="29"/>
      <c r="B173" s="30"/>
      <c r="C173" s="30"/>
      <c r="D173" s="31"/>
      <c r="E173" s="31"/>
      <c r="F173" s="25"/>
    </row>
    <row r="174" customFormat="false" ht="30" hidden="false" customHeight="true" outlineLevel="0" collapsed="false">
      <c r="A174" s="5"/>
      <c r="D174" s="25"/>
      <c r="E174" s="25"/>
      <c r="F174" s="25"/>
    </row>
    <row r="175" customFormat="false" ht="30" hidden="false" customHeight="true" outlineLevel="0" collapsed="false">
      <c r="A175" s="29"/>
      <c r="B175" s="30"/>
      <c r="C175" s="30"/>
      <c r="D175" s="31"/>
      <c r="E175" s="31"/>
      <c r="F175" s="25"/>
    </row>
    <row r="176" customFormat="false" ht="30" hidden="false" customHeight="true" outlineLevel="0" collapsed="false">
      <c r="A176" s="5"/>
      <c r="D176" s="25"/>
      <c r="E176" s="25"/>
      <c r="F176" s="25"/>
    </row>
    <row r="177" customFormat="false" ht="30" hidden="false" customHeight="true" outlineLevel="0" collapsed="false">
      <c r="A177" s="29"/>
      <c r="B177" s="30"/>
      <c r="C177" s="30"/>
      <c r="D177" s="31"/>
      <c r="E177" s="31"/>
      <c r="F177" s="25"/>
    </row>
    <row r="178" customFormat="false" ht="30" hidden="false" customHeight="true" outlineLevel="0" collapsed="false">
      <c r="A178" s="5"/>
      <c r="D178" s="25"/>
      <c r="E178" s="25"/>
      <c r="F178" s="25"/>
    </row>
    <row r="179" customFormat="false" ht="30" hidden="false" customHeight="true" outlineLevel="0" collapsed="false">
      <c r="A179" s="29"/>
      <c r="B179" s="30"/>
      <c r="C179" s="30"/>
      <c r="D179" s="31"/>
      <c r="E179" s="31"/>
      <c r="F179" s="25"/>
    </row>
    <row r="180" customFormat="false" ht="30" hidden="false" customHeight="true" outlineLevel="0" collapsed="false">
      <c r="A180" s="5"/>
      <c r="D180" s="25"/>
      <c r="E180" s="25"/>
      <c r="F180" s="25"/>
    </row>
    <row r="181" customFormat="false" ht="30" hidden="false" customHeight="true" outlineLevel="0" collapsed="false">
      <c r="A181" s="29"/>
      <c r="B181" s="30"/>
      <c r="C181" s="30"/>
      <c r="D181" s="31"/>
      <c r="E181" s="31"/>
      <c r="F181" s="25"/>
    </row>
    <row r="182" customFormat="false" ht="30" hidden="false" customHeight="true" outlineLevel="0" collapsed="false">
      <c r="A182" s="5"/>
      <c r="D182" s="25"/>
      <c r="E182" s="25"/>
      <c r="F182" s="25"/>
    </row>
    <row r="183" customFormat="false" ht="30" hidden="false" customHeight="true" outlineLevel="0" collapsed="false">
      <c r="A183" s="29"/>
      <c r="B183" s="30"/>
      <c r="C183" s="30"/>
      <c r="D183" s="31"/>
      <c r="E183" s="31"/>
      <c r="F183" s="25"/>
    </row>
    <row r="184" customFormat="false" ht="30" hidden="false" customHeight="true" outlineLevel="0" collapsed="false">
      <c r="A184" s="5"/>
      <c r="D184" s="25"/>
      <c r="E184" s="25"/>
      <c r="F184" s="25"/>
    </row>
    <row r="185" customFormat="false" ht="30" hidden="false" customHeight="true" outlineLevel="0" collapsed="false">
      <c r="A185" s="29"/>
      <c r="B185" s="30"/>
      <c r="C185" s="30"/>
      <c r="D185" s="31"/>
      <c r="E185" s="31"/>
      <c r="F185" s="25"/>
    </row>
    <row r="186" customFormat="false" ht="30" hidden="false" customHeight="true" outlineLevel="0" collapsed="false">
      <c r="A186" s="5"/>
      <c r="D186" s="25"/>
      <c r="E186" s="25"/>
      <c r="F186" s="25"/>
    </row>
    <row r="187" customFormat="false" ht="30" hidden="false" customHeight="true" outlineLevel="0" collapsed="false">
      <c r="A187" s="29"/>
      <c r="B187" s="30"/>
      <c r="C187" s="30"/>
      <c r="D187" s="31"/>
      <c r="E187" s="31"/>
      <c r="F187" s="25"/>
    </row>
    <row r="188" customFormat="false" ht="30" hidden="false" customHeight="true" outlineLevel="0" collapsed="false">
      <c r="A188" s="5"/>
      <c r="D188" s="25"/>
      <c r="E188" s="25"/>
      <c r="F188" s="25"/>
    </row>
    <row r="189" customFormat="false" ht="30" hidden="false" customHeight="true" outlineLevel="0" collapsed="false">
      <c r="A189" s="29"/>
      <c r="B189" s="30"/>
      <c r="C189" s="30"/>
      <c r="D189" s="31"/>
      <c r="E189" s="31"/>
      <c r="F189" s="25"/>
    </row>
    <row r="190" customFormat="false" ht="30" hidden="false" customHeight="true" outlineLevel="0" collapsed="false">
      <c r="A190" s="5"/>
      <c r="D190" s="25"/>
      <c r="E190" s="25"/>
      <c r="F190" s="25"/>
    </row>
    <row r="191" customFormat="false" ht="30" hidden="false" customHeight="true" outlineLevel="0" collapsed="false">
      <c r="A191" s="29"/>
      <c r="B191" s="30"/>
      <c r="C191" s="30"/>
      <c r="D191" s="31"/>
      <c r="E191" s="31"/>
      <c r="F191" s="25"/>
    </row>
    <row r="192" customFormat="false" ht="30" hidden="false" customHeight="true" outlineLevel="0" collapsed="false">
      <c r="A192" s="5"/>
      <c r="D192" s="25"/>
      <c r="E192" s="25"/>
      <c r="F192" s="25"/>
    </row>
    <row r="193" customFormat="false" ht="30" hidden="false" customHeight="true" outlineLevel="0" collapsed="false">
      <c r="A193" s="29"/>
      <c r="B193" s="30"/>
      <c r="C193" s="30"/>
      <c r="D193" s="31"/>
      <c r="E193" s="31"/>
      <c r="F193" s="25"/>
    </row>
    <row r="194" customFormat="false" ht="30" hidden="false" customHeight="true" outlineLevel="0" collapsed="false">
      <c r="A194" s="5"/>
      <c r="D194" s="25"/>
      <c r="E194" s="25"/>
      <c r="F194" s="25"/>
    </row>
    <row r="195" customFormat="false" ht="30" hidden="false" customHeight="true" outlineLevel="0" collapsed="false">
      <c r="A195" s="29"/>
      <c r="B195" s="30"/>
      <c r="C195" s="30"/>
      <c r="D195" s="31"/>
      <c r="E195" s="31"/>
      <c r="F195" s="25"/>
    </row>
    <row r="196" customFormat="false" ht="30" hidden="false" customHeight="true" outlineLevel="0" collapsed="false">
      <c r="A196" s="5"/>
      <c r="D196" s="25"/>
      <c r="E196" s="25"/>
      <c r="F196" s="25"/>
    </row>
    <row r="197" customFormat="false" ht="30" hidden="false" customHeight="true" outlineLevel="0" collapsed="false">
      <c r="A197" s="29"/>
      <c r="B197" s="30"/>
      <c r="C197" s="30"/>
      <c r="D197" s="31"/>
      <c r="E197" s="31"/>
      <c r="F197" s="25"/>
    </row>
    <row r="198" customFormat="false" ht="30" hidden="false" customHeight="true" outlineLevel="0" collapsed="false">
      <c r="A198" s="5"/>
      <c r="D198" s="25"/>
      <c r="E198" s="25"/>
      <c r="F198" s="25"/>
    </row>
    <row r="199" customFormat="false" ht="30" hidden="false" customHeight="true" outlineLevel="0" collapsed="false">
      <c r="A199" s="29"/>
      <c r="B199" s="30"/>
      <c r="C199" s="30"/>
      <c r="D199" s="31"/>
      <c r="E199" s="31"/>
      <c r="F199" s="25"/>
    </row>
    <row r="200" customFormat="false" ht="30" hidden="false" customHeight="true" outlineLevel="0" collapsed="false">
      <c r="A200" s="5"/>
      <c r="D200" s="25"/>
      <c r="E200" s="25"/>
      <c r="F200" s="25"/>
    </row>
    <row r="201" customFormat="false" ht="30" hidden="false" customHeight="true" outlineLevel="0" collapsed="false">
      <c r="A201" s="29"/>
      <c r="B201" s="30"/>
      <c r="C201" s="30"/>
      <c r="D201" s="31"/>
      <c r="E201" s="31"/>
      <c r="F201" s="25"/>
    </row>
    <row r="202" customFormat="false" ht="30" hidden="false" customHeight="true" outlineLevel="0" collapsed="false">
      <c r="A202" s="5"/>
      <c r="D202" s="25"/>
      <c r="E202" s="25"/>
      <c r="F202" s="25"/>
    </row>
    <row r="203" customFormat="false" ht="30" hidden="false" customHeight="true" outlineLevel="0" collapsed="false">
      <c r="A203" s="29"/>
      <c r="B203" s="30"/>
      <c r="C203" s="30"/>
      <c r="D203" s="31"/>
      <c r="E203" s="31"/>
      <c r="F203" s="25"/>
    </row>
    <row r="204" customFormat="false" ht="30" hidden="false" customHeight="true" outlineLevel="0" collapsed="false">
      <c r="A204" s="5"/>
      <c r="D204" s="25"/>
      <c r="E204" s="25"/>
      <c r="F204" s="25"/>
    </row>
    <row r="205" customFormat="false" ht="30" hidden="false" customHeight="true" outlineLevel="0" collapsed="false">
      <c r="A205" s="29"/>
      <c r="B205" s="30"/>
      <c r="C205" s="30"/>
      <c r="D205" s="31"/>
      <c r="E205" s="31"/>
      <c r="F205" s="25"/>
    </row>
    <row r="206" customFormat="false" ht="30" hidden="false" customHeight="true" outlineLevel="0" collapsed="false">
      <c r="A206" s="5"/>
      <c r="D206" s="25"/>
      <c r="E206" s="25"/>
      <c r="F206" s="25"/>
    </row>
    <row r="207" customFormat="false" ht="30" hidden="false" customHeight="true" outlineLevel="0" collapsed="false">
      <c r="A207" s="29"/>
      <c r="B207" s="30"/>
      <c r="C207" s="30"/>
      <c r="D207" s="31"/>
      <c r="E207" s="31"/>
      <c r="F207" s="25"/>
    </row>
    <row r="208" customFormat="false" ht="30" hidden="false" customHeight="true" outlineLevel="0" collapsed="false">
      <c r="A208" s="5"/>
      <c r="D208" s="25"/>
      <c r="E208" s="25"/>
      <c r="F208" s="25"/>
    </row>
    <row r="209" customFormat="false" ht="30" hidden="false" customHeight="true" outlineLevel="0" collapsed="false">
      <c r="A209" s="29"/>
      <c r="B209" s="30"/>
      <c r="C209" s="30"/>
      <c r="D209" s="31"/>
      <c r="E209" s="31"/>
      <c r="F209" s="25"/>
    </row>
    <row r="210" customFormat="false" ht="30" hidden="false" customHeight="true" outlineLevel="0" collapsed="false">
      <c r="A210" s="5"/>
      <c r="D210" s="25"/>
      <c r="E210" s="25"/>
      <c r="F210" s="25"/>
    </row>
    <row r="211" customFormat="false" ht="30" hidden="false" customHeight="true" outlineLevel="0" collapsed="false">
      <c r="A211" s="29"/>
      <c r="B211" s="30"/>
      <c r="C211" s="30"/>
      <c r="D211" s="31"/>
      <c r="E211" s="31"/>
      <c r="F211" s="25"/>
    </row>
    <row r="212" customFormat="false" ht="30" hidden="false" customHeight="true" outlineLevel="0" collapsed="false">
      <c r="A212" s="5"/>
      <c r="D212" s="25"/>
      <c r="E212" s="25"/>
      <c r="F212" s="25"/>
    </row>
    <row r="213" customFormat="false" ht="30" hidden="false" customHeight="true" outlineLevel="0" collapsed="false">
      <c r="A213" s="29"/>
      <c r="B213" s="30"/>
      <c r="C213" s="30"/>
      <c r="D213" s="31"/>
      <c r="E213" s="31"/>
      <c r="F213" s="25"/>
    </row>
    <row r="214" customFormat="false" ht="30" hidden="false" customHeight="true" outlineLevel="0" collapsed="false">
      <c r="A214" s="5"/>
      <c r="D214" s="25"/>
      <c r="E214" s="25"/>
      <c r="F214" s="25"/>
    </row>
    <row r="215" customFormat="false" ht="30" hidden="false" customHeight="true" outlineLevel="0" collapsed="false">
      <c r="A215" s="29"/>
      <c r="B215" s="30"/>
      <c r="C215" s="30"/>
      <c r="D215" s="31"/>
      <c r="E215" s="31"/>
      <c r="F215" s="25"/>
    </row>
    <row r="216" customFormat="false" ht="30" hidden="false" customHeight="true" outlineLevel="0" collapsed="false">
      <c r="A216" s="5"/>
      <c r="D216" s="25"/>
      <c r="E216" s="25"/>
      <c r="F216" s="25"/>
    </row>
    <row r="217" customFormat="false" ht="30" hidden="false" customHeight="true" outlineLevel="0" collapsed="false">
      <c r="A217" s="29"/>
      <c r="B217" s="30"/>
      <c r="C217" s="30"/>
      <c r="D217" s="31"/>
      <c r="E217" s="31"/>
      <c r="F217" s="25"/>
    </row>
    <row r="218" customFormat="false" ht="30" hidden="false" customHeight="true" outlineLevel="0" collapsed="false">
      <c r="A218" s="5"/>
      <c r="D218" s="25"/>
      <c r="E218" s="25"/>
      <c r="F218" s="25"/>
    </row>
    <row r="219" customFormat="false" ht="30" hidden="false" customHeight="true" outlineLevel="0" collapsed="false">
      <c r="A219" s="29"/>
      <c r="B219" s="30"/>
      <c r="C219" s="30"/>
      <c r="D219" s="31"/>
      <c r="E219" s="31"/>
      <c r="F219" s="25"/>
    </row>
    <row r="220" customFormat="false" ht="30" hidden="false" customHeight="true" outlineLevel="0" collapsed="false">
      <c r="A220" s="5"/>
      <c r="D220" s="25"/>
      <c r="E220" s="25"/>
      <c r="F220" s="25"/>
    </row>
    <row r="221" customFormat="false" ht="30" hidden="false" customHeight="true" outlineLevel="0" collapsed="false">
      <c r="A221" s="29"/>
      <c r="B221" s="30"/>
      <c r="C221" s="30"/>
      <c r="D221" s="31"/>
      <c r="E221" s="31"/>
      <c r="F221" s="25"/>
    </row>
    <row r="222" customFormat="false" ht="30" hidden="false" customHeight="true" outlineLevel="0" collapsed="false">
      <c r="A222" s="5"/>
      <c r="D222" s="25"/>
      <c r="E222" s="25"/>
      <c r="F222" s="25"/>
    </row>
    <row r="223" customFormat="false" ht="30" hidden="false" customHeight="true" outlineLevel="0" collapsed="false">
      <c r="A223" s="29"/>
      <c r="B223" s="30"/>
      <c r="C223" s="30"/>
      <c r="D223" s="31"/>
      <c r="E223" s="31"/>
      <c r="F223" s="25"/>
    </row>
    <row r="224" customFormat="false" ht="30" hidden="false" customHeight="true" outlineLevel="0" collapsed="false">
      <c r="A224" s="5"/>
      <c r="D224" s="25"/>
      <c r="E224" s="25"/>
      <c r="F224" s="25"/>
    </row>
    <row r="225" customFormat="false" ht="30" hidden="false" customHeight="true" outlineLevel="0" collapsed="false">
      <c r="A225" s="29"/>
      <c r="B225" s="30"/>
      <c r="C225" s="30"/>
      <c r="D225" s="31"/>
      <c r="E225" s="31"/>
      <c r="F225" s="25"/>
    </row>
    <row r="226" customFormat="false" ht="30" hidden="false" customHeight="true" outlineLevel="0" collapsed="false">
      <c r="A226" s="5"/>
      <c r="D226" s="25"/>
      <c r="E226" s="25"/>
      <c r="F226" s="25"/>
    </row>
    <row r="227" customFormat="false" ht="30" hidden="false" customHeight="true" outlineLevel="0" collapsed="false">
      <c r="A227" s="29"/>
      <c r="B227" s="30"/>
      <c r="C227" s="30"/>
      <c r="D227" s="31"/>
      <c r="E227" s="31"/>
      <c r="F227" s="25"/>
    </row>
    <row r="228" customFormat="false" ht="30" hidden="false" customHeight="true" outlineLevel="0" collapsed="false">
      <c r="A228" s="5"/>
      <c r="D228" s="25"/>
      <c r="E228" s="25"/>
      <c r="F228" s="25"/>
    </row>
    <row r="229" customFormat="false" ht="30" hidden="false" customHeight="true" outlineLevel="0" collapsed="false">
      <c r="A229" s="29"/>
      <c r="B229" s="30"/>
      <c r="C229" s="30"/>
      <c r="D229" s="31"/>
      <c r="E229" s="31"/>
      <c r="F229" s="25"/>
    </row>
    <row r="230" customFormat="false" ht="30" hidden="false" customHeight="true" outlineLevel="0" collapsed="false">
      <c r="A230" s="5"/>
      <c r="D230" s="25"/>
      <c r="E230" s="25"/>
      <c r="F230" s="25"/>
    </row>
    <row r="231" customFormat="false" ht="30" hidden="false" customHeight="true" outlineLevel="0" collapsed="false">
      <c r="A231" s="29"/>
      <c r="B231" s="30"/>
      <c r="C231" s="30"/>
      <c r="D231" s="31"/>
      <c r="E231" s="31"/>
      <c r="F231" s="25"/>
    </row>
    <row r="232" customFormat="false" ht="30" hidden="false" customHeight="true" outlineLevel="0" collapsed="false">
      <c r="A232" s="5"/>
      <c r="D232" s="25"/>
      <c r="E232" s="25"/>
      <c r="F232" s="25"/>
    </row>
    <row r="233" customFormat="false" ht="30" hidden="false" customHeight="true" outlineLevel="0" collapsed="false">
      <c r="A233" s="29"/>
      <c r="B233" s="30"/>
      <c r="C233" s="30"/>
      <c r="D233" s="31"/>
      <c r="E233" s="31"/>
      <c r="F233" s="25"/>
    </row>
    <row r="234" customFormat="false" ht="30" hidden="false" customHeight="true" outlineLevel="0" collapsed="false">
      <c r="A234" s="5"/>
      <c r="D234" s="25"/>
      <c r="E234" s="25"/>
      <c r="F234" s="25"/>
    </row>
    <row r="235" customFormat="false" ht="30" hidden="false" customHeight="true" outlineLevel="0" collapsed="false">
      <c r="A235" s="29"/>
      <c r="B235" s="30"/>
      <c r="C235" s="30"/>
      <c r="D235" s="31"/>
      <c r="E235" s="31"/>
      <c r="F235" s="25"/>
    </row>
    <row r="236" customFormat="false" ht="30" hidden="false" customHeight="true" outlineLevel="0" collapsed="false">
      <c r="A236" s="5"/>
      <c r="D236" s="25"/>
      <c r="E236" s="25"/>
      <c r="F236" s="25"/>
    </row>
    <row r="237" customFormat="false" ht="30" hidden="false" customHeight="true" outlineLevel="0" collapsed="false">
      <c r="A237" s="29"/>
      <c r="B237" s="30"/>
      <c r="C237" s="30"/>
      <c r="D237" s="31"/>
      <c r="E237" s="31"/>
      <c r="F237" s="25"/>
    </row>
    <row r="238" customFormat="false" ht="30" hidden="false" customHeight="true" outlineLevel="0" collapsed="false">
      <c r="A238" s="5"/>
      <c r="D238" s="25"/>
      <c r="E238" s="25"/>
      <c r="F238" s="25"/>
    </row>
    <row r="239" customFormat="false" ht="30" hidden="false" customHeight="true" outlineLevel="0" collapsed="false">
      <c r="A239" s="29"/>
      <c r="B239" s="30"/>
      <c r="C239" s="30"/>
      <c r="D239" s="31"/>
      <c r="E239" s="31"/>
      <c r="F239" s="25"/>
    </row>
    <row r="240" customFormat="false" ht="30" hidden="false" customHeight="true" outlineLevel="0" collapsed="false">
      <c r="A240" s="5"/>
      <c r="D240" s="25"/>
      <c r="E240" s="25"/>
      <c r="F240" s="25"/>
    </row>
    <row r="241" customFormat="false" ht="30" hidden="false" customHeight="true" outlineLevel="0" collapsed="false">
      <c r="A241" s="29"/>
      <c r="B241" s="30"/>
      <c r="C241" s="30"/>
      <c r="D241" s="31"/>
      <c r="E241" s="31"/>
      <c r="F241" s="25"/>
    </row>
    <row r="242" customFormat="false" ht="30" hidden="false" customHeight="true" outlineLevel="0" collapsed="false">
      <c r="A242" s="5"/>
      <c r="D242" s="25"/>
      <c r="E242" s="25"/>
      <c r="F242" s="25"/>
    </row>
    <row r="243" customFormat="false" ht="30" hidden="false" customHeight="true" outlineLevel="0" collapsed="false">
      <c r="A243" s="29"/>
      <c r="B243" s="30"/>
      <c r="C243" s="30"/>
      <c r="D243" s="31"/>
      <c r="E243" s="31"/>
      <c r="F243" s="25"/>
    </row>
    <row r="244" customFormat="false" ht="30" hidden="false" customHeight="true" outlineLevel="0" collapsed="false">
      <c r="A244" s="5"/>
      <c r="D244" s="25"/>
      <c r="E244" s="25"/>
      <c r="F244" s="25"/>
    </row>
    <row r="245" customFormat="false" ht="30" hidden="false" customHeight="true" outlineLevel="0" collapsed="false">
      <c r="A245" s="29"/>
      <c r="B245" s="30"/>
      <c r="C245" s="30"/>
      <c r="D245" s="31"/>
      <c r="E245" s="31"/>
      <c r="F245" s="25"/>
    </row>
    <row r="246" customFormat="false" ht="30" hidden="false" customHeight="true" outlineLevel="0" collapsed="false">
      <c r="A246" s="5"/>
      <c r="D246" s="25"/>
      <c r="E246" s="25"/>
      <c r="F246" s="25"/>
    </row>
    <row r="247" customFormat="false" ht="30" hidden="false" customHeight="true" outlineLevel="0" collapsed="false">
      <c r="A247" s="29"/>
      <c r="B247" s="30"/>
      <c r="C247" s="30"/>
      <c r="D247" s="31"/>
      <c r="E247" s="31"/>
      <c r="F247" s="25"/>
    </row>
    <row r="248" customFormat="false" ht="30" hidden="false" customHeight="true" outlineLevel="0" collapsed="false">
      <c r="A248" s="5"/>
      <c r="D248" s="25"/>
      <c r="E248" s="25"/>
      <c r="F248" s="25"/>
    </row>
    <row r="249" customFormat="false" ht="30" hidden="false" customHeight="true" outlineLevel="0" collapsed="false">
      <c r="A249" s="29"/>
      <c r="B249" s="30"/>
      <c r="C249" s="30"/>
      <c r="D249" s="31"/>
      <c r="E249" s="31"/>
      <c r="F249" s="25"/>
    </row>
    <row r="250" customFormat="false" ht="30" hidden="false" customHeight="true" outlineLevel="0" collapsed="false">
      <c r="A250" s="5"/>
      <c r="D250" s="25"/>
      <c r="E250" s="25"/>
      <c r="F250" s="25"/>
    </row>
    <row r="251" customFormat="false" ht="30" hidden="false" customHeight="true" outlineLevel="0" collapsed="false">
      <c r="A251" s="29"/>
      <c r="B251" s="30"/>
      <c r="C251" s="30"/>
      <c r="D251" s="31"/>
      <c r="E251" s="31"/>
      <c r="F251" s="25"/>
    </row>
    <row r="252" customFormat="false" ht="30" hidden="false" customHeight="true" outlineLevel="0" collapsed="false">
      <c r="A252" s="5"/>
      <c r="D252" s="25"/>
      <c r="E252" s="25"/>
      <c r="F252" s="25"/>
    </row>
    <row r="253" customFormat="false" ht="30" hidden="false" customHeight="true" outlineLevel="0" collapsed="false">
      <c r="A253" s="29"/>
      <c r="B253" s="30"/>
      <c r="C253" s="30"/>
      <c r="D253" s="31"/>
      <c r="E253" s="31"/>
      <c r="F253" s="25"/>
    </row>
    <row r="254" customFormat="false" ht="30" hidden="false" customHeight="true" outlineLevel="0" collapsed="false">
      <c r="A254" s="5"/>
      <c r="D254" s="25"/>
      <c r="E254" s="25"/>
      <c r="F254" s="25"/>
    </row>
    <row r="255" customFormat="false" ht="30" hidden="false" customHeight="true" outlineLevel="0" collapsed="false">
      <c r="A255" s="29"/>
      <c r="B255" s="30"/>
      <c r="C255" s="30"/>
      <c r="D255" s="31"/>
      <c r="E255" s="31"/>
      <c r="F255" s="25"/>
    </row>
    <row r="256" customFormat="false" ht="30" hidden="false" customHeight="true" outlineLevel="0" collapsed="false">
      <c r="A256" s="5"/>
      <c r="D256" s="25"/>
      <c r="E256" s="25"/>
      <c r="F256" s="25"/>
    </row>
    <row r="257" customFormat="false" ht="30" hidden="false" customHeight="true" outlineLevel="0" collapsed="false">
      <c r="A257" s="29"/>
      <c r="B257" s="30"/>
      <c r="C257" s="30"/>
      <c r="D257" s="31"/>
      <c r="E257" s="31"/>
      <c r="F257" s="25"/>
    </row>
    <row r="258" customFormat="false" ht="30" hidden="false" customHeight="true" outlineLevel="0" collapsed="false">
      <c r="A258" s="5"/>
      <c r="D258" s="25"/>
      <c r="E258" s="25"/>
      <c r="F258" s="25"/>
    </row>
    <row r="259" customFormat="false" ht="30" hidden="false" customHeight="true" outlineLevel="0" collapsed="false">
      <c r="A259" s="29"/>
      <c r="B259" s="30"/>
      <c r="C259" s="30"/>
      <c r="D259" s="31"/>
      <c r="E259" s="31"/>
      <c r="F259" s="25"/>
    </row>
    <row r="260" customFormat="false" ht="30" hidden="false" customHeight="true" outlineLevel="0" collapsed="false">
      <c r="A260" s="5"/>
      <c r="D260" s="25"/>
      <c r="E260" s="25"/>
      <c r="F260" s="25"/>
    </row>
    <row r="261" customFormat="false" ht="30" hidden="false" customHeight="true" outlineLevel="0" collapsed="false">
      <c r="A261" s="29"/>
      <c r="B261" s="30"/>
      <c r="C261" s="30"/>
      <c r="D261" s="31"/>
      <c r="E261" s="31"/>
      <c r="F261" s="25"/>
    </row>
    <row r="262" customFormat="false" ht="30" hidden="false" customHeight="true" outlineLevel="0" collapsed="false">
      <c r="A262" s="5"/>
      <c r="D262" s="25"/>
      <c r="E262" s="25"/>
      <c r="F262" s="25"/>
    </row>
    <row r="263" customFormat="false" ht="30" hidden="false" customHeight="true" outlineLevel="0" collapsed="false">
      <c r="A263" s="29"/>
      <c r="B263" s="30"/>
      <c r="C263" s="30"/>
      <c r="D263" s="31"/>
      <c r="E263" s="31"/>
      <c r="F263" s="25"/>
    </row>
    <row r="264" customFormat="false" ht="30" hidden="false" customHeight="true" outlineLevel="0" collapsed="false">
      <c r="A264" s="5"/>
      <c r="D264" s="25"/>
      <c r="E264" s="25"/>
      <c r="F264" s="25"/>
    </row>
    <row r="265" customFormat="false" ht="30" hidden="false" customHeight="true" outlineLevel="0" collapsed="false">
      <c r="A265" s="29"/>
      <c r="B265" s="30"/>
      <c r="C265" s="30"/>
      <c r="D265" s="31"/>
      <c r="E265" s="31"/>
      <c r="F265" s="25"/>
    </row>
    <row r="266" customFormat="false" ht="30" hidden="false" customHeight="true" outlineLevel="0" collapsed="false">
      <c r="A266" s="5"/>
      <c r="D266" s="25"/>
      <c r="E266" s="25"/>
      <c r="F266" s="25"/>
    </row>
    <row r="267" customFormat="false" ht="30" hidden="false" customHeight="true" outlineLevel="0" collapsed="false">
      <c r="A267" s="29"/>
      <c r="B267" s="30"/>
      <c r="C267" s="30"/>
      <c r="D267" s="31"/>
      <c r="E267" s="31"/>
      <c r="F267" s="25"/>
    </row>
    <row r="268" customFormat="false" ht="30" hidden="false" customHeight="true" outlineLevel="0" collapsed="false">
      <c r="A268" s="5"/>
      <c r="D268" s="25"/>
      <c r="E268" s="25"/>
      <c r="F268" s="25"/>
    </row>
    <row r="269" customFormat="false" ht="30" hidden="false" customHeight="true" outlineLevel="0" collapsed="false">
      <c r="A269" s="29"/>
      <c r="B269" s="30"/>
      <c r="C269" s="30"/>
      <c r="D269" s="31"/>
      <c r="E269" s="31"/>
      <c r="F269" s="25"/>
    </row>
    <row r="270" customFormat="false" ht="30" hidden="false" customHeight="true" outlineLevel="0" collapsed="false">
      <c r="A270" s="5"/>
      <c r="D270" s="25"/>
      <c r="E270" s="25"/>
      <c r="F270" s="25"/>
    </row>
    <row r="271" customFormat="false" ht="30" hidden="false" customHeight="true" outlineLevel="0" collapsed="false">
      <c r="A271" s="29"/>
      <c r="B271" s="30"/>
      <c r="C271" s="30"/>
      <c r="D271" s="31"/>
      <c r="E271" s="31"/>
      <c r="F271" s="25"/>
    </row>
    <row r="272" customFormat="false" ht="30" hidden="false" customHeight="true" outlineLevel="0" collapsed="false">
      <c r="A272" s="5"/>
      <c r="D272" s="25"/>
      <c r="E272" s="25"/>
      <c r="F272" s="25"/>
    </row>
    <row r="273" customFormat="false" ht="30" hidden="false" customHeight="true" outlineLevel="0" collapsed="false">
      <c r="A273" s="29"/>
      <c r="B273" s="30"/>
      <c r="C273" s="30"/>
      <c r="D273" s="31"/>
      <c r="E273" s="31"/>
      <c r="F273" s="25"/>
    </row>
    <row r="274" customFormat="false" ht="30" hidden="false" customHeight="true" outlineLevel="0" collapsed="false">
      <c r="A274" s="5"/>
      <c r="D274" s="25"/>
      <c r="E274" s="25"/>
      <c r="F274" s="25"/>
    </row>
    <row r="275" customFormat="false" ht="30" hidden="false" customHeight="true" outlineLevel="0" collapsed="false">
      <c r="A275" s="29"/>
      <c r="B275" s="30"/>
      <c r="C275" s="30"/>
      <c r="D275" s="31"/>
      <c r="E275" s="31"/>
      <c r="F275" s="25"/>
    </row>
    <row r="276" customFormat="false" ht="30" hidden="false" customHeight="true" outlineLevel="0" collapsed="false">
      <c r="A276" s="5"/>
      <c r="D276" s="25"/>
      <c r="E276" s="25"/>
      <c r="F276" s="25"/>
    </row>
    <row r="277" customFormat="false" ht="30" hidden="false" customHeight="true" outlineLevel="0" collapsed="false">
      <c r="A277" s="29"/>
      <c r="B277" s="30"/>
      <c r="C277" s="30"/>
      <c r="D277" s="31"/>
      <c r="E277" s="31"/>
      <c r="F277" s="25"/>
    </row>
    <row r="278" customFormat="false" ht="30" hidden="false" customHeight="true" outlineLevel="0" collapsed="false">
      <c r="A278" s="5"/>
      <c r="D278" s="25"/>
      <c r="E278" s="25"/>
      <c r="F278" s="25"/>
    </row>
    <row r="279" customFormat="false" ht="30" hidden="false" customHeight="true" outlineLevel="0" collapsed="false">
      <c r="A279" s="29"/>
      <c r="B279" s="30"/>
      <c r="C279" s="30"/>
      <c r="D279" s="31"/>
      <c r="E279" s="31"/>
      <c r="F279" s="25"/>
    </row>
    <row r="280" customFormat="false" ht="30" hidden="false" customHeight="true" outlineLevel="0" collapsed="false">
      <c r="A280" s="5"/>
      <c r="D280" s="25"/>
      <c r="E280" s="25"/>
      <c r="F280" s="25"/>
    </row>
    <row r="281" customFormat="false" ht="30" hidden="false" customHeight="true" outlineLevel="0" collapsed="false">
      <c r="A281" s="29"/>
      <c r="B281" s="30"/>
      <c r="C281" s="30"/>
      <c r="D281" s="31"/>
      <c r="E281" s="31"/>
      <c r="F281" s="25"/>
    </row>
    <row r="282" customFormat="false" ht="30" hidden="false" customHeight="true" outlineLevel="0" collapsed="false">
      <c r="A282" s="5"/>
      <c r="D282" s="25"/>
      <c r="E282" s="25"/>
      <c r="F282" s="25"/>
    </row>
    <row r="283" customFormat="false" ht="30" hidden="false" customHeight="true" outlineLevel="0" collapsed="false">
      <c r="A283" s="29"/>
      <c r="B283" s="30"/>
      <c r="C283" s="30"/>
      <c r="D283" s="31"/>
      <c r="E283" s="31"/>
      <c r="F283" s="25"/>
    </row>
    <row r="284" customFormat="false" ht="30" hidden="false" customHeight="true" outlineLevel="0" collapsed="false">
      <c r="A284" s="5"/>
      <c r="D284" s="25"/>
      <c r="E284" s="25"/>
      <c r="F284" s="25"/>
    </row>
    <row r="285" customFormat="false" ht="30" hidden="false" customHeight="true" outlineLevel="0" collapsed="false">
      <c r="A285" s="29"/>
      <c r="B285" s="30"/>
      <c r="C285" s="30"/>
      <c r="D285" s="31"/>
      <c r="E285" s="31"/>
      <c r="F285" s="2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3" name="Button 1">
              <controlPr defaultSize="0" print="false" autoFill="0" autoPict="0" macro="vocabulary.vocabulary_v1">
                <anchor moveWithCells="true" sizeWithCells="false">
                  <from>
                    <xdr:col>1</xdr:col>
                    <xdr:colOff>152280</xdr:colOff>
                    <xdr:row>3</xdr:row>
                    <xdr:rowOff>60840</xdr:rowOff>
                  </from>
                  <to>
                    <xdr:col>3</xdr:col>
                    <xdr:colOff>182880</xdr:colOff>
                    <xdr:row>4</xdr:row>
                    <xdr:rowOff>121680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8:B24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8" topLeftCell="A19" activePane="bottomLeft" state="frozen"/>
      <selection pane="topLeft" activeCell="A1" activeCellId="0" sqref="A1"/>
      <selection pane="bottomLeft" activeCell="B24" activeCellId="0" sqref="B24"/>
    </sheetView>
  </sheetViews>
  <sheetFormatPr defaultColWidth="20.66796875" defaultRowHeight="18" zeroHeight="false" outlineLevelRow="0" outlineLevelCol="0"/>
  <cols>
    <col collapsed="false" customWidth="true" hidden="false" outlineLevel="0" max="1" min="1" style="1" width="15.66"/>
    <col collapsed="false" customWidth="true" hidden="false" outlineLevel="0" max="2" min="2" style="1" width="7.67"/>
    <col collapsed="false" customWidth="false" hidden="false" outlineLevel="0" max="6" min="3" style="1" width="20.66"/>
    <col collapsed="false" customWidth="true" hidden="false" outlineLevel="0" max="7" min="7" style="1" width="8.67"/>
    <col collapsed="false" customWidth="true" hidden="false" outlineLevel="0" max="9" min="8" style="1" width="15.66"/>
    <col collapsed="false" customWidth="false" hidden="false" outlineLevel="0" max="16384" min="10" style="1" width="20.66"/>
  </cols>
  <sheetData>
    <row r="18" customFormat="false" ht="18" hidden="false" customHeight="true" outlineLevel="0" collapsed="false">
      <c r="A18" s="3" t="s">
        <v>686</v>
      </c>
      <c r="B18" s="3" t="s">
        <v>687</v>
      </c>
    </row>
    <row r="19" customFormat="false" ht="18" hidden="false" customHeight="true" outlineLevel="0" collapsed="false">
      <c r="A19" s="1" t="n">
        <v>1</v>
      </c>
      <c r="B19" s="35" t="n">
        <f aca="false">AVERAGE(Tableau3[Corrections])</f>
        <v>0.333333333333333</v>
      </c>
    </row>
    <row r="20" customFormat="false" ht="18" hidden="false" customHeight="true" outlineLevel="0" collapsed="false">
      <c r="A20" s="1" t="n">
        <v>0</v>
      </c>
      <c r="B20" s="35" t="n">
        <f aca="false">AVERAGE(Tableau3[Corrections])</f>
        <v>0.333333333333333</v>
      </c>
    </row>
    <row r="21" customFormat="false" ht="18" hidden="false" customHeight="true" outlineLevel="0" collapsed="false">
      <c r="A21" s="1" t="n">
        <v>0</v>
      </c>
      <c r="B21" s="35" t="n">
        <f aca="false">AVERAGE(Tableau3[Corrections])</f>
        <v>0.333333333333333</v>
      </c>
    </row>
    <row r="22" customFormat="false" ht="18" hidden="false" customHeight="true" outlineLevel="0" collapsed="false">
      <c r="A22" s="1" t="n">
        <v>1</v>
      </c>
      <c r="B22" s="35" t="n">
        <f aca="false">AVERAGE(Tableau3[Corrections])</f>
        <v>0.333333333333333</v>
      </c>
    </row>
    <row r="23" customFormat="false" ht="18" hidden="false" customHeight="true" outlineLevel="0" collapsed="false">
      <c r="A23" s="1" t="n">
        <v>0</v>
      </c>
      <c r="B23" s="35" t="n">
        <f aca="false">AVERAGE(Tableau3[Corrections])</f>
        <v>0.333333333333333</v>
      </c>
    </row>
    <row r="24" customFormat="false" ht="18" hidden="false" customHeight="true" outlineLevel="0" collapsed="false">
      <c r="A24" s="1" t="n">
        <v>0</v>
      </c>
      <c r="B24" s="35" t="n">
        <f aca="false">AVERAGE(Tableau3[Corrections])</f>
        <v>0.333333333333333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3:O92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I11" activeCellId="0" sqref="I11"/>
    </sheetView>
  </sheetViews>
  <sheetFormatPr defaultColWidth="10.54296875" defaultRowHeight="14.25" zeroHeight="false" outlineLevelRow="0" outlineLevelCol="0"/>
  <cols>
    <col collapsed="false" customWidth="true" hidden="false" outlineLevel="0" max="1" min="1" style="36" width="20.56"/>
    <col collapsed="false" customWidth="true" hidden="false" outlineLevel="0" max="2" min="2" style="36" width="19.56"/>
    <col collapsed="false" customWidth="true" hidden="false" outlineLevel="0" max="9" min="9" style="0" width="25.67"/>
  </cols>
  <sheetData>
    <row r="3" customFormat="false" ht="15" hidden="false" customHeight="false" outlineLevel="0" collapsed="false">
      <c r="A3" s="37" t="s">
        <v>3</v>
      </c>
      <c r="B3" s="38" t="s">
        <v>688</v>
      </c>
      <c r="I3" s="3" t="s">
        <v>689</v>
      </c>
      <c r="O3" s="39" t="s">
        <v>690</v>
      </c>
    </row>
    <row r="4" customFormat="false" ht="15" hidden="false" customHeight="false" outlineLevel="0" collapsed="false">
      <c r="A4" s="40" t="n">
        <v>0</v>
      </c>
      <c r="B4" s="41" t="n">
        <v>91</v>
      </c>
      <c r="I4" s="42" t="n">
        <v>0.1221</v>
      </c>
      <c r="O4" s="43" t="n">
        <f aca="false">voc_macro!C3</f>
        <v>8</v>
      </c>
    </row>
    <row r="5" customFormat="false" ht="15" hidden="false" customHeight="false" outlineLevel="0" collapsed="false">
      <c r="A5" s="44" t="n">
        <v>1</v>
      </c>
      <c r="B5" s="45" t="n">
        <v>36</v>
      </c>
      <c r="I5" s="46" t="n">
        <v>0.194</v>
      </c>
      <c r="O5" s="1"/>
    </row>
    <row r="6" customFormat="false" ht="15" hidden="false" customHeight="false" outlineLevel="0" collapsed="false">
      <c r="A6" s="44" t="n">
        <v>2</v>
      </c>
      <c r="B6" s="45" t="n">
        <v>16</v>
      </c>
      <c r="I6" s="46"/>
      <c r="O6" s="39" t="s">
        <v>691</v>
      </c>
    </row>
    <row r="7" customFormat="false" ht="15" hidden="false" customHeight="false" outlineLevel="0" collapsed="false">
      <c r="A7" s="44" t="n">
        <v>3</v>
      </c>
      <c r="B7" s="45" t="n">
        <v>15</v>
      </c>
      <c r="I7" s="46"/>
      <c r="O7" s="47" t="n">
        <f aca="false">GETPIVOTDATA("Brasileiro",$A$3,"Nb",0)/GETPIVOTDATA("Brasileiro",$A$3)</f>
        <v>0.327338129496403</v>
      </c>
    </row>
    <row r="8" customFormat="false" ht="15" hidden="false" customHeight="false" outlineLevel="0" collapsed="false">
      <c r="A8" s="44" t="n">
        <v>4</v>
      </c>
      <c r="B8" s="45" t="n">
        <v>14</v>
      </c>
      <c r="I8" s="46"/>
    </row>
    <row r="9" customFormat="false" ht="15" hidden="false" customHeight="false" outlineLevel="0" collapsed="false">
      <c r="A9" s="44" t="n">
        <v>5</v>
      </c>
      <c r="B9" s="45" t="n">
        <v>25</v>
      </c>
      <c r="I9" s="46"/>
    </row>
    <row r="10" customFormat="false" ht="15" hidden="false" customHeight="false" outlineLevel="0" collapsed="false">
      <c r="A10" s="44" t="n">
        <v>6</v>
      </c>
      <c r="B10" s="45" t="n">
        <v>28</v>
      </c>
      <c r="I10" s="46"/>
    </row>
    <row r="11" customFormat="false" ht="15" hidden="false" customHeight="false" outlineLevel="0" collapsed="false">
      <c r="A11" s="44" t="n">
        <v>7</v>
      </c>
      <c r="B11" s="45" t="n">
        <v>22</v>
      </c>
      <c r="I11" s="46"/>
    </row>
    <row r="12" customFormat="false" ht="15" hidden="false" customHeight="false" outlineLevel="0" collapsed="false">
      <c r="A12" s="44" t="n">
        <v>8</v>
      </c>
      <c r="B12" s="45" t="n">
        <v>13</v>
      </c>
      <c r="I12" s="46"/>
    </row>
    <row r="13" customFormat="false" ht="15" hidden="false" customHeight="false" outlineLevel="0" collapsed="false">
      <c r="A13" s="44" t="n">
        <v>9</v>
      </c>
      <c r="B13" s="45" t="n">
        <v>10</v>
      </c>
      <c r="I13" s="46"/>
    </row>
    <row r="14" customFormat="false" ht="15" hidden="false" customHeight="false" outlineLevel="0" collapsed="false">
      <c r="A14" s="44" t="n">
        <v>10</v>
      </c>
      <c r="B14" s="45" t="n">
        <v>3</v>
      </c>
      <c r="I14" s="46"/>
    </row>
    <row r="15" customFormat="false" ht="15" hidden="false" customHeight="false" outlineLevel="0" collapsed="false">
      <c r="A15" s="44" t="n">
        <v>11</v>
      </c>
      <c r="B15" s="45" t="n">
        <v>3</v>
      </c>
      <c r="I15" s="46"/>
    </row>
    <row r="16" customFormat="false" ht="15" hidden="false" customHeight="false" outlineLevel="0" collapsed="false">
      <c r="A16" s="44" t="n">
        <v>12</v>
      </c>
      <c r="B16" s="45" t="n">
        <v>1</v>
      </c>
      <c r="I16" s="46"/>
    </row>
    <row r="17" customFormat="false" ht="15" hidden="false" customHeight="false" outlineLevel="0" collapsed="false">
      <c r="A17" s="44" t="n">
        <v>15</v>
      </c>
      <c r="B17" s="48" t="n">
        <v>1</v>
      </c>
      <c r="I17" s="46"/>
    </row>
    <row r="18" customFormat="false" ht="15" hidden="false" customHeight="false" outlineLevel="0" collapsed="false">
      <c r="A18" s="49" t="s">
        <v>692</v>
      </c>
      <c r="B18" s="50" t="n">
        <v>278</v>
      </c>
      <c r="I18" s="46"/>
    </row>
    <row r="19" customFormat="false" ht="15" hidden="false" customHeight="false" outlineLevel="0" collapsed="false">
      <c r="A19" s="0"/>
      <c r="B19" s="0"/>
      <c r="I19" s="46"/>
    </row>
    <row r="20" customFormat="false" ht="15" hidden="false" customHeight="false" outlineLevel="0" collapsed="false">
      <c r="I20" s="46"/>
    </row>
    <row r="21" customFormat="false" ht="15" hidden="false" customHeight="false" outlineLevel="0" collapsed="false">
      <c r="I21" s="46"/>
    </row>
    <row r="22" customFormat="false" ht="15" hidden="false" customHeight="false" outlineLevel="0" collapsed="false">
      <c r="I22" s="46"/>
    </row>
    <row r="23" customFormat="false" ht="15" hidden="false" customHeight="false" outlineLevel="0" collapsed="false">
      <c r="I23" s="46"/>
    </row>
    <row r="24" customFormat="false" ht="15" hidden="false" customHeight="false" outlineLevel="0" collapsed="false">
      <c r="I24" s="46"/>
    </row>
    <row r="25" customFormat="false" ht="15" hidden="false" customHeight="false" outlineLevel="0" collapsed="false">
      <c r="I25" s="46"/>
    </row>
    <row r="26" customFormat="false" ht="15" hidden="false" customHeight="false" outlineLevel="0" collapsed="false">
      <c r="I26" s="46"/>
    </row>
    <row r="27" customFormat="false" ht="15" hidden="false" customHeight="false" outlineLevel="0" collapsed="false">
      <c r="I27" s="46"/>
    </row>
    <row r="28" customFormat="false" ht="15" hidden="false" customHeight="false" outlineLevel="0" collapsed="false">
      <c r="I28" s="46"/>
    </row>
    <row r="29" customFormat="false" ht="15" hidden="false" customHeight="false" outlineLevel="0" collapsed="false">
      <c r="I29" s="46"/>
    </row>
    <row r="30" customFormat="false" ht="15" hidden="false" customHeight="false" outlineLevel="0" collapsed="false">
      <c r="I30" s="46"/>
    </row>
    <row r="31" customFormat="false" ht="15" hidden="false" customHeight="false" outlineLevel="0" collapsed="false">
      <c r="I31" s="46"/>
    </row>
    <row r="32" customFormat="false" ht="15" hidden="false" customHeight="false" outlineLevel="0" collapsed="false">
      <c r="I32" s="46"/>
    </row>
    <row r="33" customFormat="false" ht="15" hidden="false" customHeight="false" outlineLevel="0" collapsed="false">
      <c r="I33" s="46"/>
    </row>
    <row r="34" customFormat="false" ht="15" hidden="false" customHeight="false" outlineLevel="0" collapsed="false">
      <c r="I34" s="46"/>
    </row>
    <row r="35" customFormat="false" ht="15" hidden="false" customHeight="false" outlineLevel="0" collapsed="false">
      <c r="I35" s="46"/>
    </row>
    <row r="36" customFormat="false" ht="15" hidden="false" customHeight="false" outlineLevel="0" collapsed="false">
      <c r="I36" s="46"/>
    </row>
    <row r="37" customFormat="false" ht="15" hidden="false" customHeight="false" outlineLevel="0" collapsed="false">
      <c r="I37" s="46"/>
    </row>
    <row r="38" customFormat="false" ht="15" hidden="false" customHeight="false" outlineLevel="0" collapsed="false">
      <c r="I38" s="46"/>
    </row>
    <row r="39" customFormat="false" ht="15" hidden="false" customHeight="false" outlineLevel="0" collapsed="false">
      <c r="I39" s="46"/>
    </row>
    <row r="40" customFormat="false" ht="15" hidden="false" customHeight="false" outlineLevel="0" collapsed="false">
      <c r="I40" s="46"/>
    </row>
    <row r="41" customFormat="false" ht="15" hidden="false" customHeight="false" outlineLevel="0" collapsed="false">
      <c r="I41" s="46"/>
    </row>
    <row r="42" customFormat="false" ht="15" hidden="false" customHeight="false" outlineLevel="0" collapsed="false">
      <c r="I42" s="46"/>
    </row>
    <row r="43" customFormat="false" ht="15" hidden="false" customHeight="false" outlineLevel="0" collapsed="false">
      <c r="I43" s="46"/>
    </row>
    <row r="44" customFormat="false" ht="15" hidden="false" customHeight="false" outlineLevel="0" collapsed="false">
      <c r="I44" s="46"/>
    </row>
    <row r="45" customFormat="false" ht="15" hidden="false" customHeight="false" outlineLevel="0" collapsed="false">
      <c r="I45" s="46"/>
    </row>
    <row r="46" customFormat="false" ht="15" hidden="false" customHeight="false" outlineLevel="0" collapsed="false">
      <c r="I46" s="46"/>
    </row>
    <row r="47" customFormat="false" ht="15" hidden="false" customHeight="false" outlineLevel="0" collapsed="false">
      <c r="I47" s="46"/>
    </row>
    <row r="48" customFormat="false" ht="15" hidden="false" customHeight="false" outlineLevel="0" collapsed="false">
      <c r="I48" s="46"/>
    </row>
    <row r="49" customFormat="false" ht="15" hidden="false" customHeight="false" outlineLevel="0" collapsed="false">
      <c r="I49" s="46"/>
    </row>
    <row r="50" customFormat="false" ht="15" hidden="false" customHeight="false" outlineLevel="0" collapsed="false">
      <c r="I50" s="46"/>
    </row>
    <row r="51" customFormat="false" ht="15" hidden="false" customHeight="false" outlineLevel="0" collapsed="false">
      <c r="I51" s="46"/>
    </row>
    <row r="52" customFormat="false" ht="15" hidden="false" customHeight="false" outlineLevel="0" collapsed="false">
      <c r="I52" s="46"/>
    </row>
    <row r="53" customFormat="false" ht="15" hidden="false" customHeight="false" outlineLevel="0" collapsed="false">
      <c r="I53" s="46"/>
    </row>
    <row r="54" customFormat="false" ht="15" hidden="false" customHeight="false" outlineLevel="0" collapsed="false">
      <c r="I54" s="46"/>
    </row>
    <row r="55" customFormat="false" ht="15" hidden="false" customHeight="false" outlineLevel="0" collapsed="false">
      <c r="I55" s="46"/>
    </row>
    <row r="56" customFormat="false" ht="15" hidden="false" customHeight="false" outlineLevel="0" collapsed="false">
      <c r="I56" s="46"/>
    </row>
    <row r="57" customFormat="false" ht="15" hidden="false" customHeight="false" outlineLevel="0" collapsed="false">
      <c r="I57" s="46"/>
    </row>
    <row r="58" customFormat="false" ht="15" hidden="false" customHeight="false" outlineLevel="0" collapsed="false">
      <c r="I58" s="46"/>
    </row>
    <row r="59" customFormat="false" ht="15" hidden="false" customHeight="false" outlineLevel="0" collapsed="false">
      <c r="I59" s="46"/>
    </row>
    <row r="60" customFormat="false" ht="15" hidden="false" customHeight="false" outlineLevel="0" collapsed="false">
      <c r="I60" s="46"/>
    </row>
    <row r="61" customFormat="false" ht="15" hidden="false" customHeight="false" outlineLevel="0" collapsed="false">
      <c r="I61" s="46"/>
    </row>
    <row r="62" customFormat="false" ht="15" hidden="false" customHeight="false" outlineLevel="0" collapsed="false">
      <c r="I62" s="46"/>
    </row>
    <row r="63" customFormat="false" ht="15" hidden="false" customHeight="false" outlineLevel="0" collapsed="false">
      <c r="I63" s="46"/>
    </row>
    <row r="64" customFormat="false" ht="15" hidden="false" customHeight="false" outlineLevel="0" collapsed="false">
      <c r="I64" s="46"/>
    </row>
    <row r="65" customFormat="false" ht="15" hidden="false" customHeight="false" outlineLevel="0" collapsed="false">
      <c r="I65" s="46"/>
    </row>
    <row r="66" customFormat="false" ht="15" hidden="false" customHeight="false" outlineLevel="0" collapsed="false">
      <c r="I66" s="46"/>
    </row>
    <row r="67" customFormat="false" ht="15" hidden="false" customHeight="false" outlineLevel="0" collapsed="false">
      <c r="I67" s="46"/>
    </row>
    <row r="68" customFormat="false" ht="15" hidden="false" customHeight="false" outlineLevel="0" collapsed="false">
      <c r="I68" s="46"/>
    </row>
    <row r="69" customFormat="false" ht="15" hidden="false" customHeight="false" outlineLevel="0" collapsed="false">
      <c r="I69" s="46"/>
    </row>
    <row r="70" customFormat="false" ht="15" hidden="false" customHeight="false" outlineLevel="0" collapsed="false">
      <c r="I70" s="46"/>
    </row>
    <row r="71" customFormat="false" ht="15" hidden="false" customHeight="false" outlineLevel="0" collapsed="false">
      <c r="I71" s="46"/>
    </row>
    <row r="72" customFormat="false" ht="15" hidden="false" customHeight="false" outlineLevel="0" collapsed="false">
      <c r="I72" s="46"/>
    </row>
    <row r="73" customFormat="false" ht="15" hidden="false" customHeight="false" outlineLevel="0" collapsed="false">
      <c r="I73" s="46"/>
    </row>
    <row r="74" customFormat="false" ht="15" hidden="false" customHeight="false" outlineLevel="0" collapsed="false">
      <c r="I74" s="46"/>
    </row>
    <row r="75" customFormat="false" ht="15" hidden="false" customHeight="false" outlineLevel="0" collapsed="false">
      <c r="I75" s="46"/>
    </row>
    <row r="76" customFormat="false" ht="15" hidden="false" customHeight="false" outlineLevel="0" collapsed="false">
      <c r="I76" s="46"/>
    </row>
    <row r="77" customFormat="false" ht="15" hidden="false" customHeight="false" outlineLevel="0" collapsed="false">
      <c r="I77" s="46"/>
    </row>
    <row r="78" customFormat="false" ht="15" hidden="false" customHeight="false" outlineLevel="0" collapsed="false">
      <c r="I78" s="46"/>
    </row>
    <row r="79" customFormat="false" ht="15" hidden="false" customHeight="false" outlineLevel="0" collapsed="false">
      <c r="I79" s="46"/>
    </row>
    <row r="80" customFormat="false" ht="15" hidden="false" customHeight="false" outlineLevel="0" collapsed="false">
      <c r="I80" s="46"/>
    </row>
    <row r="81" customFormat="false" ht="15" hidden="false" customHeight="false" outlineLevel="0" collapsed="false">
      <c r="I81" s="42"/>
    </row>
    <row r="82" customFormat="false" ht="15" hidden="false" customHeight="false" outlineLevel="0" collapsed="false">
      <c r="I82" s="42"/>
    </row>
    <row r="83" customFormat="false" ht="15" hidden="false" customHeight="false" outlineLevel="0" collapsed="false">
      <c r="I83" s="42"/>
    </row>
    <row r="84" customFormat="false" ht="15" hidden="false" customHeight="false" outlineLevel="0" collapsed="false">
      <c r="I84" s="42"/>
    </row>
    <row r="85" customFormat="false" ht="15" hidden="false" customHeight="false" outlineLevel="0" collapsed="false">
      <c r="I85" s="42"/>
    </row>
    <row r="86" customFormat="false" ht="15" hidden="false" customHeight="false" outlineLevel="0" collapsed="false">
      <c r="I86" s="42"/>
    </row>
    <row r="87" customFormat="false" ht="15" hidden="false" customHeight="false" outlineLevel="0" collapsed="false">
      <c r="I87" s="42"/>
    </row>
    <row r="88" customFormat="false" ht="15" hidden="false" customHeight="false" outlineLevel="0" collapsed="false">
      <c r="I88" s="42"/>
    </row>
    <row r="89" customFormat="false" ht="15" hidden="false" customHeight="false" outlineLevel="0" collapsed="false">
      <c r="I89" s="42"/>
    </row>
    <row r="90" customFormat="false" ht="15" hidden="false" customHeight="false" outlineLevel="0" collapsed="false">
      <c r="I90" s="42"/>
    </row>
    <row r="91" customFormat="false" ht="15" hidden="false" customHeight="false" outlineLevel="0" collapsed="false">
      <c r="I91" s="42"/>
    </row>
    <row r="92" customFormat="false" ht="15" hidden="false" customHeight="false" outlineLevel="0" collapsed="false">
      <c r="I92" s="42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0000"/>
    <pageSetUpPr fitToPage="false"/>
  </sheetPr>
  <dimension ref="A1:G8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9" activeCellId="0" sqref="E9"/>
    </sheetView>
  </sheetViews>
  <sheetFormatPr defaultColWidth="11.4453125" defaultRowHeight="45" zeroHeight="false" outlineLevelRow="0" outlineLevelCol="0"/>
  <cols>
    <col collapsed="false" customWidth="true" hidden="false" outlineLevel="0" max="1" min="1" style="2" width="5.66"/>
    <col collapsed="false" customWidth="true" hidden="false" outlineLevel="0" max="2" min="2" style="2" width="54.56"/>
    <col collapsed="false" customWidth="true" hidden="false" outlineLevel="0" max="3" min="3" style="2" width="12.67"/>
    <col collapsed="false" customWidth="true" hidden="false" outlineLevel="0" max="4" min="4" style="2" width="56"/>
    <col collapsed="false" customWidth="true" hidden="false" outlineLevel="0" max="5" min="5" style="2" width="2.88"/>
    <col collapsed="false" customWidth="true" hidden="false" outlineLevel="0" max="6" min="6" style="2" width="5"/>
    <col collapsed="false" customWidth="true" hidden="false" outlineLevel="0" max="7" min="7" style="2" width="35.11"/>
    <col collapsed="false" customWidth="false" hidden="false" outlineLevel="0" max="16384" min="8" style="2" width="11.44"/>
  </cols>
  <sheetData>
    <row r="1" customFormat="false" ht="30" hidden="false" customHeight="true" outlineLevel="0" collapsed="false">
      <c r="A1" s="51" t="s">
        <v>693</v>
      </c>
      <c r="B1" s="51" t="s">
        <v>694</v>
      </c>
      <c r="C1" s="51" t="s">
        <v>559</v>
      </c>
      <c r="D1" s="51" t="s">
        <v>695</v>
      </c>
      <c r="F1" s="52" t="s">
        <v>696</v>
      </c>
      <c r="G1" s="52"/>
    </row>
    <row r="2" customFormat="false" ht="45" hidden="false" customHeight="true" outlineLevel="0" collapsed="false">
      <c r="A2" s="2" t="n">
        <v>0</v>
      </c>
      <c r="B2" s="51" t="s">
        <v>697</v>
      </c>
      <c r="C2" s="5" t="n">
        <v>42869</v>
      </c>
      <c r="D2" s="51" t="s">
        <v>698</v>
      </c>
      <c r="F2" s="53" t="s">
        <v>699</v>
      </c>
      <c r="G2" s="54" t="s">
        <v>700</v>
      </c>
    </row>
    <row r="3" customFormat="false" ht="45" hidden="false" customHeight="true" outlineLevel="0" collapsed="false">
      <c r="A3" s="2" t="n">
        <v>1</v>
      </c>
      <c r="B3" s="51" t="s">
        <v>701</v>
      </c>
      <c r="C3" s="5" t="n">
        <v>42875</v>
      </c>
      <c r="D3" s="51" t="s">
        <v>702</v>
      </c>
      <c r="F3" s="53" t="s">
        <v>703</v>
      </c>
      <c r="G3" s="54" t="s">
        <v>704</v>
      </c>
    </row>
    <row r="4" customFormat="false" ht="45" hidden="false" customHeight="true" outlineLevel="0" collapsed="false">
      <c r="A4" s="2" t="n">
        <v>2</v>
      </c>
      <c r="B4" s="51" t="s">
        <v>705</v>
      </c>
      <c r="C4" s="5" t="n">
        <v>43276</v>
      </c>
      <c r="D4" s="51" t="s">
        <v>706</v>
      </c>
      <c r="F4" s="53" t="s">
        <v>707</v>
      </c>
      <c r="G4" s="54" t="s">
        <v>708</v>
      </c>
    </row>
    <row r="5" customFormat="false" ht="45" hidden="false" customHeight="true" outlineLevel="0" collapsed="false">
      <c r="A5" s="2" t="n">
        <v>3</v>
      </c>
      <c r="B5" s="51" t="s">
        <v>709</v>
      </c>
      <c r="C5" s="5" t="n">
        <v>43353</v>
      </c>
      <c r="F5" s="53" t="s">
        <v>710</v>
      </c>
      <c r="G5" s="54" t="s">
        <v>711</v>
      </c>
    </row>
    <row r="6" customFormat="false" ht="45" hidden="false" customHeight="true" outlineLevel="0" collapsed="false">
      <c r="F6" s="53" t="s">
        <v>710</v>
      </c>
      <c r="G6" s="54" t="s">
        <v>712</v>
      </c>
    </row>
    <row r="7" customFormat="false" ht="45" hidden="false" customHeight="true" outlineLevel="0" collapsed="false">
      <c r="F7" s="53" t="s">
        <v>710</v>
      </c>
      <c r="G7" s="54" t="s">
        <v>713</v>
      </c>
    </row>
    <row r="8" customFormat="false" ht="45" hidden="false" customHeight="true" outlineLevel="0" collapsed="false">
      <c r="F8" s="53" t="s">
        <v>714</v>
      </c>
      <c r="G8" s="54" t="s">
        <v>715</v>
      </c>
    </row>
  </sheetData>
  <mergeCells count="1">
    <mergeCell ref="F1:G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LibreOffice/24.2.1.2$Linux_X86_64 LibreOffice_project/db4def46b0453cc22e2d0305797cf981b68ef5ac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2017-05-14T18:01:11Z</dcterms:created>
  <dc:creator>Benoit Delorme</dc:creator>
  <dc:description/>
  <dc:language>en-US</dc:language>
  <cp:lastModifiedBy/>
  <cp:lastPrinted>2021-03-07T15:32:56Z</cp:lastPrinted>
  <dcterms:modified xsi:type="dcterms:W3CDTF">2024-04-08T23:34:50Z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