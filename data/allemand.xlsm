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_rels/workbook.xml.rels" ContentType="application/vnd.openxmlformats-package.relationships+xml"/>
  <Override PartName="/xl/media/image1.jpeg" ContentType="image/jpeg"/>
  <Override PartName="/xl/media/image6.png" ContentType="image/png"/>
  <Override PartName="/xl/media/image2.png" ContentType="image/png"/>
  <Override PartName="/xl/media/image3.png" ContentType="image/png"/>
  <Override PartName="/xl/media/image4.gif" ContentType="image/gif"/>
  <Override PartName="/xl/media/image5.png" ContentType="image/png"/>
  <Override PartName="/xl/media/image7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voc" sheetId="1" state="visible" r:id="rId4"/>
    <sheet name="voc_macro" sheetId="2" state="visible" r:id="rId5"/>
    <sheet name="corrections" sheetId="3" state="visible" r:id="rId6"/>
    <sheet name="version_graph" sheetId="4" state="visible" r:id="rId7"/>
    <sheet name="version_wörter" sheetId="5" state="visible" r:id="rId8"/>
    <sheet name="theme_macro" sheetId="6" state="visible" r:id="rId9"/>
    <sheet name="theme" sheetId="7" state="visible" r:id="rId10"/>
    <sheet name="theme_wörter" sheetId="8" state="visible" r:id="rId11"/>
  </sheets>
  <definedNames>
    <definedName function="false" hidden="false" localSheetId="0" name="Acces" vbProcedure="false">voc!#ref!</definedName>
    <definedName function="false" hidden="false" localSheetId="0" name="Desinstalleur" vbProcedure="false">theme!$B$7</definedName>
    <definedName function="false" hidden="false" localSheetId="0" name="Kennwörter" vbProcedure="false">voc!$A$2153</definedName>
    <definedName function="false" hidden="false" localSheetId="0" name="Treiber" vbProcedure="false">voc!#ref!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<sst xmlns="http://schemas.openxmlformats.org/spreadsheetml/2006/main" count="4936" uniqueCount="4762">
  <si>
    <t xml:space="preserve">deutsch</t>
  </si>
  <si>
    <t xml:space="preserve">français</t>
  </si>
  <si>
    <t xml:space="preserve">Date</t>
  </si>
  <si>
    <t xml:space="preserve">Nb</t>
  </si>
  <si>
    <t xml:space="preserve">Score</t>
  </si>
  <si>
    <t xml:space="preserve">Taux</t>
  </si>
  <si>
    <t xml:space="preserve">streichen</t>
  </si>
  <si>
    <t xml:space="preserve">frapper</t>
  </si>
  <si>
    <t xml:space="preserve">Urnengang (-änge), der</t>
  </si>
  <si>
    <t xml:space="preserve">le vote, le passage aux urnes</t>
  </si>
  <si>
    <t xml:space="preserve">beinahe ausschließlich</t>
  </si>
  <si>
    <t xml:space="preserve">presque exclusivement</t>
  </si>
  <si>
    <t xml:space="preserve">vage</t>
  </si>
  <si>
    <t xml:space="preserve">vague, confusément, flou</t>
  </si>
  <si>
    <t xml:space="preserve">glänzen</t>
  </si>
  <si>
    <t xml:space="preserve">briller</t>
  </si>
  <si>
    <t xml:space="preserve">hinterherhinken</t>
  </si>
  <si>
    <t xml:space="preserve">être à la traîne</t>
  </si>
  <si>
    <t xml:space="preserve">Vorwand (-ände), der</t>
  </si>
  <si>
    <t xml:space="preserve">le prétexte</t>
  </si>
  <si>
    <t xml:space="preserve">dreist</t>
  </si>
  <si>
    <t xml:space="preserve">osé</t>
  </si>
  <si>
    <t xml:space="preserve">geizlich (Adj.)</t>
  </si>
  <si>
    <t xml:space="preserve">radin</t>
  </si>
  <si>
    <t xml:space="preserve">gleichmäßig (Adv.)</t>
  </si>
  <si>
    <t xml:space="preserve">régulièrement</t>
  </si>
  <si>
    <t xml:space="preserve">Gerüst (-e), das</t>
  </si>
  <si>
    <t xml:space="preserve">l'échafaudage</t>
  </si>
  <si>
    <t xml:space="preserve">Ganze (Ø), das</t>
  </si>
  <si>
    <t xml:space="preserve">le nombre entier</t>
  </si>
  <si>
    <t xml:space="preserve">Kundgebung (-en), die</t>
  </si>
  <si>
    <t xml:space="preserve">la manifestation</t>
  </si>
  <si>
    <t xml:space="preserve">pfleglich</t>
  </si>
  <si>
    <t xml:space="preserve">prudent</t>
  </si>
  <si>
    <t xml:space="preserve">rücksichtsvoll</t>
  </si>
  <si>
    <t xml:space="preserve">indulgent</t>
  </si>
  <si>
    <t xml:space="preserve">Fimmel (-), der</t>
  </si>
  <si>
    <t xml:space="preserve">le tic, la manie</t>
  </si>
  <si>
    <t xml:space="preserve">jenseits von</t>
  </si>
  <si>
    <t xml:space="preserve">de l'autre côté de</t>
  </si>
  <si>
    <t xml:space="preserve">merkwürdig</t>
  </si>
  <si>
    <t xml:space="preserve">bizarre</t>
  </si>
  <si>
    <t xml:space="preserve">Auskunft (-ünfte), die</t>
  </si>
  <si>
    <t xml:space="preserve">le renseignement</t>
  </si>
  <si>
    <t xml:space="preserve">Verunsicherung (-en), die</t>
  </si>
  <si>
    <t xml:space="preserve">le malaise</t>
  </si>
  <si>
    <t xml:space="preserve">Quadrat (-en), das</t>
  </si>
  <si>
    <t xml:space="preserve">le carré</t>
  </si>
  <si>
    <t xml:space="preserve">freilich (Adv.)</t>
  </si>
  <si>
    <t xml:space="preserve">certes, cependant</t>
  </si>
  <si>
    <t xml:space="preserve">Aussage (-n), die</t>
  </si>
  <si>
    <t xml:space="preserve">l'affirmation</t>
  </si>
  <si>
    <t xml:space="preserve">Ausstoß (-öße), der</t>
  </si>
  <si>
    <t xml:space="preserve">l'émission (de gaz, …)</t>
  </si>
  <si>
    <t xml:space="preserve">grausam</t>
  </si>
  <si>
    <t xml:space="preserve">cruel</t>
  </si>
  <si>
    <t xml:space="preserve">Rücksicht (-en), die</t>
  </si>
  <si>
    <t xml:space="preserve">la considération, la prévenance</t>
  </si>
  <si>
    <t xml:space="preserve">anderswo</t>
  </si>
  <si>
    <t xml:space="preserve">ailleurs</t>
  </si>
  <si>
    <t xml:space="preserve">Demut (Ø), die</t>
  </si>
  <si>
    <t xml:space="preserve">l'humilité / l'écoute</t>
  </si>
  <si>
    <t xml:space="preserve">langlebig</t>
  </si>
  <si>
    <t xml:space="preserve">durable</t>
  </si>
  <si>
    <t xml:space="preserve">Lösegeld (-er), das</t>
  </si>
  <si>
    <t xml:space="preserve">la rançon</t>
  </si>
  <si>
    <t xml:space="preserve">durchlässig</t>
  </si>
  <si>
    <t xml:space="preserve">perméable</t>
  </si>
  <si>
    <t xml:space="preserve">Ausweg (-e), das</t>
  </si>
  <si>
    <t xml:space="preserve">l'issue, la solution</t>
  </si>
  <si>
    <t xml:space="preserve">Vorkommen (-), die</t>
  </si>
  <si>
    <t xml:space="preserve">les ressources</t>
  </si>
  <si>
    <t xml:space="preserve">vergeblich (Adv.)</t>
  </si>
  <si>
    <t xml:space="preserve">en vain</t>
  </si>
  <si>
    <t xml:space="preserve">unerschöpflich</t>
  </si>
  <si>
    <t xml:space="preserve">inépuisable</t>
  </si>
  <si>
    <t xml:space="preserve">Wortführer (-), der</t>
  </si>
  <si>
    <t xml:space="preserve">le porte-parole</t>
  </si>
  <si>
    <t xml:space="preserve">jeweilig</t>
  </si>
  <si>
    <t xml:space="preserve">respectif</t>
  </si>
  <si>
    <t xml:space="preserve">sowohl … als auch …</t>
  </si>
  <si>
    <t xml:space="preserve">aussi bien … que</t>
  </si>
  <si>
    <t xml:space="preserve">mutmaßlich</t>
  </si>
  <si>
    <t xml:space="preserve">présumé</t>
  </si>
  <si>
    <t xml:space="preserve">bedürftig</t>
  </si>
  <si>
    <t xml:space="preserve">dans le besoin</t>
  </si>
  <si>
    <t xml:space="preserve">Sprengstoff (-e), der</t>
  </si>
  <si>
    <t xml:space="preserve">l'explosif</t>
  </si>
  <si>
    <t xml:space="preserve">Entführung (-en), die</t>
  </si>
  <si>
    <t xml:space="preserve">le détournement</t>
  </si>
  <si>
    <t xml:space="preserve">meinetwegen</t>
  </si>
  <si>
    <t xml:space="preserve">quant à moi, pour moi</t>
  </si>
  <si>
    <t xml:space="preserve">Scheibe (-n), die</t>
  </si>
  <si>
    <t xml:space="preserve">la vitre</t>
  </si>
  <si>
    <t xml:space="preserve">sowieso</t>
  </si>
  <si>
    <t xml:space="preserve">en tout cas</t>
  </si>
  <si>
    <t xml:space="preserve">Jahrestag (-e), der</t>
  </si>
  <si>
    <t xml:space="preserve">l'anniversaire, la commémoration</t>
  </si>
  <si>
    <t xml:space="preserve">Turnschuh (-e), der</t>
  </si>
  <si>
    <t xml:space="preserve">une basket</t>
  </si>
  <si>
    <t xml:space="preserve">nürgens</t>
  </si>
  <si>
    <t xml:space="preserve">nulle part</t>
  </si>
  <si>
    <t xml:space="preserve">Aussöhnung (-en), die</t>
  </si>
  <si>
    <t xml:space="preserve">la réconciliation</t>
  </si>
  <si>
    <t xml:space="preserve">Ungeziefer (Ø), das</t>
  </si>
  <si>
    <t xml:space="preserve">la vermine (zool.)</t>
  </si>
  <si>
    <t xml:space="preserve">Rückgrat (-e), das</t>
  </si>
  <si>
    <t xml:space="preserve">la colonne vertébrale</t>
  </si>
  <si>
    <t xml:space="preserve">18 divisé par 2 égal 9</t>
  </si>
  <si>
    <t xml:space="preserve">18 durch 2 ist 9</t>
  </si>
  <si>
    <t xml:space="preserve">Zirkel (-), der</t>
  </si>
  <si>
    <t xml:space="preserve">le compas</t>
  </si>
  <si>
    <t xml:space="preserve">Erdteil (-e), der</t>
  </si>
  <si>
    <t xml:space="preserve">le continent</t>
  </si>
  <si>
    <t xml:space="preserve">Stoppuhr (-en), die</t>
  </si>
  <si>
    <t xml:space="preserve">le chronomètre</t>
  </si>
  <si>
    <t xml:space="preserve">vor kurzem</t>
  </si>
  <si>
    <t xml:space="preserve">récemment</t>
  </si>
  <si>
    <t xml:space="preserve">Preisleistungsverhältnis (-se), das</t>
  </si>
  <si>
    <t xml:space="preserve">le rapport qualité / prix</t>
  </si>
  <si>
    <t xml:space="preserve">10 puissance 3</t>
  </si>
  <si>
    <t xml:space="preserve">10 hoch 3</t>
  </si>
  <si>
    <t xml:space="preserve">racine carrée de 36</t>
  </si>
  <si>
    <t xml:space="preserve">Wurzel aus 36</t>
  </si>
  <si>
    <t xml:space="preserve">im Ganzen</t>
  </si>
  <si>
    <t xml:space="preserve">dans l'ensemble, de manière générale</t>
  </si>
  <si>
    <t xml:space="preserve">Tatsache (-n), die</t>
  </si>
  <si>
    <t xml:space="preserve">le fait</t>
  </si>
  <si>
    <t xml:space="preserve">Schlange stehen</t>
  </si>
  <si>
    <t xml:space="preserve">être dans la file d'attente</t>
  </si>
  <si>
    <t xml:space="preserve">Stammfunktion (-en), die</t>
  </si>
  <si>
    <t xml:space="preserve">la fonction primitive</t>
  </si>
  <si>
    <t xml:space="preserve">waagrecht</t>
  </si>
  <si>
    <t xml:space="preserve">horizontal</t>
  </si>
  <si>
    <t xml:space="preserve">etw. hernehmen</t>
  </si>
  <si>
    <t xml:space="preserve">se procurer qc</t>
  </si>
  <si>
    <t xml:space="preserve">verträglich</t>
  </si>
  <si>
    <t xml:space="preserve">conciliant, accommodant</t>
  </si>
  <si>
    <t xml:space="preserve">hinausführen</t>
  </si>
  <si>
    <t xml:space="preserve">conduire dehors</t>
  </si>
  <si>
    <t xml:space="preserve">sich etw. antun</t>
  </si>
  <si>
    <t xml:space="preserve">s’infliger qc</t>
  </si>
  <si>
    <t xml:space="preserve">Freischneider (-), der</t>
  </si>
  <si>
    <t xml:space="preserve">la débroussailleuse</t>
  </si>
  <si>
    <t xml:space="preserve">überstehen</t>
  </si>
  <si>
    <t xml:space="preserve">surmonter, dépasser</t>
  </si>
  <si>
    <t xml:space="preserve">namhafter</t>
  </si>
  <si>
    <t xml:space="preserve">notable</t>
  </si>
  <si>
    <t xml:space="preserve">Verzögerung (-en), die</t>
  </si>
  <si>
    <t xml:space="preserve">le retardement, le ralentissement</t>
  </si>
  <si>
    <t xml:space="preserve">fortschreitend</t>
  </si>
  <si>
    <t xml:space="preserve">croissant / progressif</t>
  </si>
  <si>
    <t xml:space="preserve">einbeziehen</t>
  </si>
  <si>
    <t xml:space="preserve">inclure, incorporer</t>
  </si>
  <si>
    <t xml:space="preserve">Zeug (Ø), das</t>
  </si>
  <si>
    <t xml:space="preserve">le témoin / le truc</t>
  </si>
  <si>
    <t xml:space="preserve">Trägheit (-en), die</t>
  </si>
  <si>
    <t xml:space="preserve">l'inertie, la lourdeur</t>
  </si>
  <si>
    <t xml:space="preserve">Befindlichkeit (-en), die</t>
  </si>
  <si>
    <t xml:space="preserve">l'état d’âme</t>
  </si>
  <si>
    <t xml:space="preserve">Ausrichtung (-en), die</t>
  </si>
  <si>
    <t xml:space="preserve">la mise au point / la transmission</t>
  </si>
  <si>
    <t xml:space="preserve">sich ergeben</t>
  </si>
  <si>
    <t xml:space="preserve">arriver, se révéler</t>
  </si>
  <si>
    <t xml:space="preserve">einhüllen</t>
  </si>
  <si>
    <t xml:space="preserve">couvrir, enrober / ensevelir</t>
  </si>
  <si>
    <t xml:space="preserve">ausüben</t>
  </si>
  <si>
    <t xml:space="preserve">exercer, pratiquer</t>
  </si>
  <si>
    <t xml:space="preserve">Messfühler (-), der</t>
  </si>
  <si>
    <t xml:space="preserve">le capteur, le détecteur</t>
  </si>
  <si>
    <t xml:space="preserve">schweben</t>
  </si>
  <si>
    <t xml:space="preserve">planer, flotter</t>
  </si>
  <si>
    <t xml:space="preserve">Honoratior (-en), der</t>
  </si>
  <si>
    <t xml:space="preserve">le notable</t>
  </si>
  <si>
    <t xml:space="preserve">Kegel (-), der</t>
  </si>
  <si>
    <t xml:space="preserve">le cône, la quille</t>
  </si>
  <si>
    <t xml:space="preserve">aufweisen</t>
  </si>
  <si>
    <t xml:space="preserve">comporter qc, présenter qc</t>
  </si>
  <si>
    <t xml:space="preserve">unterwerfen</t>
  </si>
  <si>
    <t xml:space="preserve">soumettre, asservir</t>
  </si>
  <si>
    <t xml:space="preserve">Sauerstoff (Ø), der</t>
  </si>
  <si>
    <t xml:space="preserve">l'oxygène</t>
  </si>
  <si>
    <t xml:space="preserve">Balance (-n), die</t>
  </si>
  <si>
    <t xml:space="preserve">l'équilibre</t>
  </si>
  <si>
    <t xml:space="preserve">jmdm etw. übergeben</t>
  </si>
  <si>
    <t xml:space="preserve">rendre, remettre qc à qn</t>
  </si>
  <si>
    <t xml:space="preserve">behäbig</t>
  </si>
  <si>
    <t xml:space="preserve">pesant / flegmatique</t>
  </si>
  <si>
    <t xml:space="preserve">Übereinstimmung (-en), die</t>
  </si>
  <si>
    <t xml:space="preserve">la conformité, la correspondance, l'accord</t>
  </si>
  <si>
    <t xml:space="preserve">Zeugnis (-se), das</t>
  </si>
  <si>
    <t xml:space="preserve">la preuve, le brevet, le certificat</t>
  </si>
  <si>
    <t xml:space="preserve">Beanspruchung (-en), die</t>
  </si>
  <si>
    <t xml:space="preserve">la contrainte, la sollicitation</t>
  </si>
  <si>
    <t xml:space="preserve">ansaugen</t>
  </si>
  <si>
    <t xml:space="preserve">aspirer, admettre (techn.)</t>
  </si>
  <si>
    <t xml:space="preserve">grundsätzlich (Adj.)</t>
  </si>
  <si>
    <t xml:space="preserve">fondamental / principal</t>
  </si>
  <si>
    <t xml:space="preserve">schräg</t>
  </si>
  <si>
    <t xml:space="preserve">biais, oblique</t>
  </si>
  <si>
    <t xml:space="preserve">sich unterhalten</t>
  </si>
  <si>
    <t xml:space="preserve">converser / se divertir</t>
  </si>
  <si>
    <t xml:space="preserve">ausgewogen</t>
  </si>
  <si>
    <t xml:space="preserve">équilibré</t>
  </si>
  <si>
    <t xml:space="preserve">vermeiden</t>
  </si>
  <si>
    <t xml:space="preserve">éviter, esquiver</t>
  </si>
  <si>
    <t xml:space="preserve">Einspritzen (Ø), das</t>
  </si>
  <si>
    <t xml:space="preserve">l'injection</t>
  </si>
  <si>
    <t xml:space="preserve">Verdichter (-), der</t>
  </si>
  <si>
    <t xml:space="preserve">le compresseur, le condensateur</t>
  </si>
  <si>
    <t xml:space="preserve">angrenzend</t>
  </si>
  <si>
    <t xml:space="preserve">adjacent, voisin</t>
  </si>
  <si>
    <t xml:space="preserve">Begegnung (-en), die</t>
  </si>
  <si>
    <t xml:space="preserve">l'entrevue, la rencontre</t>
  </si>
  <si>
    <t xml:space="preserve">etw. entfalten</t>
  </si>
  <si>
    <t xml:space="preserve">accomplir, développer</t>
  </si>
  <si>
    <t xml:space="preserve">Empfehlung (-en), die</t>
  </si>
  <si>
    <t xml:space="preserve">la recommandation, suggestion</t>
  </si>
  <si>
    <t xml:space="preserve">schief</t>
  </si>
  <si>
    <t xml:space="preserve">oblique, penché</t>
  </si>
  <si>
    <t xml:space="preserve">Bewertung (-en), die</t>
  </si>
  <si>
    <t xml:space="preserve">l'estimation, l'évaluation</t>
  </si>
  <si>
    <t xml:space="preserve">Ersatzteil (-e), das</t>
  </si>
  <si>
    <t xml:space="preserve">la pièce de rechange, la pièce détachée</t>
  </si>
  <si>
    <t xml:space="preserve">etw. vereinbaren</t>
  </si>
  <si>
    <t xml:space="preserve">concilier, convenir de qc</t>
  </si>
  <si>
    <t xml:space="preserve">Stipendium (-dien), das</t>
  </si>
  <si>
    <t xml:space="preserve">la bourse d’étude</t>
  </si>
  <si>
    <t xml:space="preserve">Zufuhr (-en), die</t>
  </si>
  <si>
    <t xml:space="preserve">l'arrivée, l'alimentation</t>
  </si>
  <si>
    <t xml:space="preserve">beinhalten</t>
  </si>
  <si>
    <t xml:space="preserve">comporter, contenir</t>
  </si>
  <si>
    <t xml:space="preserve">Dampfturbine (-n), die</t>
  </si>
  <si>
    <t xml:space="preserve">la turbine à vapeur</t>
  </si>
  <si>
    <t xml:space="preserve">Pfad (-e), der</t>
  </si>
  <si>
    <t xml:space="preserve">le sentier, le chemin (techn.)</t>
  </si>
  <si>
    <t xml:space="preserve">annehmen</t>
  </si>
  <si>
    <t xml:space="preserve">revêtir, assumer / accepter</t>
  </si>
  <si>
    <t xml:space="preserve">Schiene (-n), die</t>
  </si>
  <si>
    <t xml:space="preserve">le rail, la barre / l'attelle</t>
  </si>
  <si>
    <t xml:space="preserve">es jmdm. angetan haben</t>
  </si>
  <si>
    <t xml:space="preserve">avoir enchanté qn</t>
  </si>
  <si>
    <t xml:space="preserve">Eckpfeiler (-), der</t>
  </si>
  <si>
    <t xml:space="preserve">la pierre angulaire</t>
  </si>
  <si>
    <t xml:space="preserve">Gitter (-), das</t>
  </si>
  <si>
    <t xml:space="preserve">le réseau, la grille</t>
  </si>
  <si>
    <t xml:space="preserve">Bedrängnis (-isse), die</t>
  </si>
  <si>
    <t xml:space="preserve">l'embarras / la perdition</t>
  </si>
  <si>
    <t xml:space="preserve">Satzung (-en), die</t>
  </si>
  <si>
    <t xml:space="preserve">la charte, le statut</t>
  </si>
  <si>
    <t xml:space="preserve">Bewährung (-en), die</t>
  </si>
  <si>
    <t xml:space="preserve">la mise à l’épreuve / le sursis</t>
  </si>
  <si>
    <t xml:space="preserve">Aufzeichnung (-en), die</t>
  </si>
  <si>
    <t xml:space="preserve">le dessin / l'enregistrement</t>
  </si>
  <si>
    <t xml:space="preserve">Würde (-n), die</t>
  </si>
  <si>
    <t xml:space="preserve">la dignité</t>
  </si>
  <si>
    <t xml:space="preserve">Scholle (-n), die</t>
  </si>
  <si>
    <t xml:space="preserve">la motte, la colline</t>
  </si>
  <si>
    <t xml:space="preserve">feig (Adj.)</t>
  </si>
  <si>
    <t xml:space="preserve">lâche, poltron</t>
  </si>
  <si>
    <t xml:space="preserve">Heuchler (-), der</t>
  </si>
  <si>
    <t xml:space="preserve">l'hypocrite, le dissimulateur</t>
  </si>
  <si>
    <t xml:space="preserve">Flur (-e), die</t>
  </si>
  <si>
    <t xml:space="preserve">la campagne / le couloir</t>
  </si>
  <si>
    <t xml:space="preserve">gehäuft</t>
  </si>
  <si>
    <t xml:space="preserve">multiple</t>
  </si>
  <si>
    <t xml:space="preserve">Strauch (-äuche), der</t>
  </si>
  <si>
    <t xml:space="preserve">le buisson</t>
  </si>
  <si>
    <t xml:space="preserve">verstummen</t>
  </si>
  <si>
    <t xml:space="preserve">se taire</t>
  </si>
  <si>
    <t xml:space="preserve">Grube (-n), die</t>
  </si>
  <si>
    <t xml:space="preserve">le puits, la fosse, la mine</t>
  </si>
  <si>
    <t xml:space="preserve">auf jmdn./etw. stieren</t>
  </si>
  <si>
    <t xml:space="preserve">fixer qn du regard</t>
  </si>
  <si>
    <t xml:space="preserve">gewalttätig</t>
  </si>
  <si>
    <t xml:space="preserve">violent, cruel</t>
  </si>
  <si>
    <t xml:space="preserve">droben (Süddt, Österr.)</t>
  </si>
  <si>
    <t xml:space="preserve">là-haut</t>
  </si>
  <si>
    <t xml:space="preserve">Traube (-n), die</t>
  </si>
  <si>
    <t xml:space="preserve">la grappe, le raisin</t>
  </si>
  <si>
    <t xml:space="preserve">Stier (-e), der</t>
  </si>
  <si>
    <t xml:space="preserve">le taureau</t>
  </si>
  <si>
    <t xml:space="preserve">einrichten</t>
  </si>
  <si>
    <t xml:space="preserve">aménager, mettre en place</t>
  </si>
  <si>
    <t xml:space="preserve">Säugling (-e), der</t>
  </si>
  <si>
    <t xml:space="preserve">le bébé, le nourrisson</t>
  </si>
  <si>
    <t xml:space="preserve">rühmen</t>
  </si>
  <si>
    <t xml:space="preserve">louer, glorifier / vanter</t>
  </si>
  <si>
    <t xml:space="preserve">jegliche</t>
  </si>
  <si>
    <t xml:space="preserve">tout, toute</t>
  </si>
  <si>
    <t xml:space="preserve">gewaltig</t>
  </si>
  <si>
    <t xml:space="preserve">énorme, immense</t>
  </si>
  <si>
    <t xml:space="preserve">Berichterstattung (-en), die</t>
  </si>
  <si>
    <t xml:space="preserve">la diffusion, la couverture</t>
  </si>
  <si>
    <t xml:space="preserve">aufrechterhalten</t>
  </si>
  <si>
    <t xml:space="preserve">maintenir</t>
  </si>
  <si>
    <t xml:space="preserve">Widersacher (-), der</t>
  </si>
  <si>
    <t xml:space="preserve">l'adversaire</t>
  </si>
  <si>
    <t xml:space="preserve">Rinder, die (pl.)</t>
  </si>
  <si>
    <t xml:space="preserve">le bétail, les bovins</t>
  </si>
  <si>
    <t xml:space="preserve">Dorn (-e), der</t>
  </si>
  <si>
    <t xml:space="preserve">l'épine</t>
  </si>
  <si>
    <t xml:space="preserve">Distel (-n), die</t>
  </si>
  <si>
    <t xml:space="preserve">le chardon</t>
  </si>
  <si>
    <t xml:space="preserve">Splitter (-), der</t>
  </si>
  <si>
    <t xml:space="preserve">l'éclat (de bois, de verre)</t>
  </si>
  <si>
    <t xml:space="preserve">Rind (-er), das</t>
  </si>
  <si>
    <t xml:space="preserve">le bœuf</t>
  </si>
  <si>
    <t xml:space="preserve">Umfang (-änge), der</t>
  </si>
  <si>
    <t xml:space="preserve">l'étendue, l'importance</t>
  </si>
  <si>
    <t xml:space="preserve">Eingabe (-n), die</t>
  </si>
  <si>
    <t xml:space="preserve">la donnée, l'entrée / la requête</t>
  </si>
  <si>
    <t xml:space="preserve">Feige (-n), die</t>
  </si>
  <si>
    <t xml:space="preserve">la figue</t>
  </si>
  <si>
    <t xml:space="preserve">abmessen</t>
  </si>
  <si>
    <t xml:space="preserve">jauger, mesurer</t>
  </si>
  <si>
    <t xml:space="preserve">übertreten</t>
  </si>
  <si>
    <t xml:space="preserve">déborder, transgresser</t>
  </si>
  <si>
    <t xml:space="preserve">Festland (-änder), das</t>
  </si>
  <si>
    <t xml:space="preserve">la terre ferme</t>
  </si>
  <si>
    <t xml:space="preserve">jmdn mit etw. versehen</t>
  </si>
  <si>
    <t xml:space="preserve">munir qn de qc</t>
  </si>
  <si>
    <t xml:space="preserve">Saite (-n), die</t>
  </si>
  <si>
    <t xml:space="preserve">la corde, le maillon (élec.)</t>
  </si>
  <si>
    <t xml:space="preserve">Ausführung (-en), die</t>
  </si>
  <si>
    <t xml:space="preserve">la réalisation, la mise en œuvre</t>
  </si>
  <si>
    <t xml:space="preserve">gestatten</t>
  </si>
  <si>
    <t xml:space="preserve">permettre, autoriser</t>
  </si>
  <si>
    <t xml:space="preserve">Füllstoff (-e), der</t>
  </si>
  <si>
    <t xml:space="preserve">le matériau de remplissage</t>
  </si>
  <si>
    <t xml:space="preserve">Übereinkunft (-ünfte), die</t>
  </si>
  <si>
    <t xml:space="preserve">l'entente, le contrat</t>
  </si>
  <si>
    <t xml:space="preserve">zugehörig</t>
  </si>
  <si>
    <t xml:space="preserve">adéquat, correspondant</t>
  </si>
  <si>
    <t xml:space="preserve">Rechengröße (-n), die</t>
  </si>
  <si>
    <t xml:space="preserve">l'opérande</t>
  </si>
  <si>
    <t xml:space="preserve">Inzucht (-en), die</t>
  </si>
  <si>
    <t xml:space="preserve">la consanguinité</t>
  </si>
  <si>
    <t xml:space="preserve">Versehen (-), das</t>
  </si>
  <si>
    <t xml:space="preserve">l'erreur, la gaffe</t>
  </si>
  <si>
    <t xml:space="preserve">Auslegung (-en), die</t>
  </si>
  <si>
    <t xml:space="preserve">l'interprétation / le dimensionnement</t>
  </si>
  <si>
    <t xml:space="preserve">lagern</t>
  </si>
  <si>
    <t xml:space="preserve">bivouaquer / consigner</t>
  </si>
  <si>
    <t xml:space="preserve">gleichständig</t>
  </si>
  <si>
    <t xml:space="preserve">équidistant</t>
  </si>
  <si>
    <t xml:space="preserve">Vorgang (-änge), der</t>
  </si>
  <si>
    <t xml:space="preserve">le processus, l'activité</t>
  </si>
  <si>
    <t xml:space="preserve">Pfahl (-ähle), der</t>
  </si>
  <si>
    <t xml:space="preserve">le pieu, le repère</t>
  </si>
  <si>
    <t xml:space="preserve">rauhe</t>
  </si>
  <si>
    <t xml:space="preserve">rêche</t>
  </si>
  <si>
    <t xml:space="preserve">Auftrag (-äge), der</t>
  </si>
  <si>
    <t xml:space="preserve">la commande / la mission</t>
  </si>
  <si>
    <t xml:space="preserve">stets (Adv.)</t>
  </si>
  <si>
    <t xml:space="preserve">constamment, toujours</t>
  </si>
  <si>
    <t xml:space="preserve">Vorsprung (-en), der</t>
  </si>
  <si>
    <t xml:space="preserve">l'avancée / l'avantage</t>
  </si>
  <si>
    <t xml:space="preserve">Leidenschaft (-en), die</t>
  </si>
  <si>
    <t xml:space="preserve">la frénésie / la passion / l'acharnement</t>
  </si>
  <si>
    <t xml:space="preserve">Ruß (-e), der</t>
  </si>
  <si>
    <t xml:space="preserve">la suie</t>
  </si>
  <si>
    <t xml:space="preserve">Steife (-n), die</t>
  </si>
  <si>
    <t xml:space="preserve">le raidissement</t>
  </si>
  <si>
    <t xml:space="preserve">Erstausrüster (-n), der</t>
  </si>
  <si>
    <t xml:space="preserve">the Original Equipment Manufacturer</t>
  </si>
  <si>
    <t xml:space="preserve">sich für etw. eignen</t>
  </si>
  <si>
    <t xml:space="preserve">être qualifié à qc</t>
  </si>
  <si>
    <t xml:space="preserve">Maßeinheit (-en), die</t>
  </si>
  <si>
    <t xml:space="preserve">l'unité de mesure</t>
  </si>
  <si>
    <t xml:space="preserve">vollkommen (Adj. / Adv.)</t>
  </si>
  <si>
    <t xml:space="preserve">accompli / tout à fait</t>
  </si>
  <si>
    <t xml:space="preserve">Sand (-e), der</t>
  </si>
  <si>
    <t xml:space="preserve">le sable</t>
  </si>
  <si>
    <t xml:space="preserve">abgesehen davon …</t>
  </si>
  <si>
    <t xml:space="preserve">en dehors de cela …</t>
  </si>
  <si>
    <t xml:space="preserve">bezüglich …</t>
  </si>
  <si>
    <t xml:space="preserve">concernant …, en matière de …</t>
  </si>
  <si>
    <t xml:space="preserve">zweifach</t>
  </si>
  <si>
    <t xml:space="preserve">doublement</t>
  </si>
  <si>
    <t xml:space="preserve">üblicherweise</t>
  </si>
  <si>
    <t xml:space="preserve">habituellement</t>
  </si>
  <si>
    <t xml:space="preserve">Keimung (-en), die</t>
  </si>
  <si>
    <t xml:space="preserve">la germination</t>
  </si>
  <si>
    <t xml:space="preserve">Kieme (-n), die</t>
  </si>
  <si>
    <t xml:space="preserve">les branchies</t>
  </si>
  <si>
    <t xml:space="preserve">Übertrager (-), der</t>
  </si>
  <si>
    <t xml:space="preserve">le transformateur (élec.) / la personne contagieuse</t>
  </si>
  <si>
    <t xml:space="preserve">durchführbar</t>
  </si>
  <si>
    <t xml:space="preserve">exécutable, réalisable</t>
  </si>
  <si>
    <t xml:space="preserve">Vereinbarung (-en), die</t>
  </si>
  <si>
    <t xml:space="preserve">l'accord, la convention</t>
  </si>
  <si>
    <t xml:space="preserve">anfällig</t>
  </si>
  <si>
    <t xml:space="preserve">délicat, fragile</t>
  </si>
  <si>
    <t xml:space="preserve">gelangen</t>
  </si>
  <si>
    <t xml:space="preserve">accéder, parvenir</t>
  </si>
  <si>
    <t xml:space="preserve">(nicht) zurückführbar</t>
  </si>
  <si>
    <t xml:space="preserve">attribuable (irréductible)</t>
  </si>
  <si>
    <t xml:space="preserve">Ermittlung (-en), die</t>
  </si>
  <si>
    <t xml:space="preserve">l'évaluation</t>
  </si>
  <si>
    <t xml:space="preserve">Schlitz (-e), der</t>
  </si>
  <si>
    <t xml:space="preserve">la fissure, la fente</t>
  </si>
  <si>
    <t xml:space="preserve">garen</t>
  </si>
  <si>
    <t xml:space="preserve">cuire à point</t>
  </si>
  <si>
    <t xml:space="preserve">Zaum (-äume), der</t>
  </si>
  <si>
    <t xml:space="preserve">la bride</t>
  </si>
  <si>
    <t xml:space="preserve">aufblähen</t>
  </si>
  <si>
    <t xml:space="preserve">gonfler</t>
  </si>
  <si>
    <t xml:space="preserve">Rösche (-n), die (techn.)</t>
  </si>
  <si>
    <t xml:space="preserve">le fossé (techn.)</t>
  </si>
  <si>
    <t xml:space="preserve">heftig</t>
  </si>
  <si>
    <t xml:space="preserve">vigoureux, fougueux</t>
  </si>
  <si>
    <t xml:space="preserve">Beutel (-), der</t>
  </si>
  <si>
    <t xml:space="preserve">le sac, le sachet</t>
  </si>
  <si>
    <t xml:space="preserve">zerren</t>
  </si>
  <si>
    <t xml:space="preserve">tirer / froisser</t>
  </si>
  <si>
    <t xml:space="preserve">kappen</t>
  </si>
  <si>
    <t xml:space="preserve">accoupler / décapiter</t>
  </si>
  <si>
    <t xml:space="preserve">Verschiebung (-en), die</t>
  </si>
  <si>
    <t xml:space="preserve">le report, l'ajournement</t>
  </si>
  <si>
    <t xml:space="preserve">Dose (-n), die</t>
  </si>
  <si>
    <t xml:space="preserve">la canette</t>
  </si>
  <si>
    <t xml:space="preserve">entfallen</t>
  </si>
  <si>
    <t xml:space="preserve">être supprimé / échapper à</t>
  </si>
  <si>
    <t xml:space="preserve">überlagern</t>
  </si>
  <si>
    <t xml:space="preserve">superposer</t>
  </si>
  <si>
    <t xml:space="preserve">Einschub (-übe), der</t>
  </si>
  <si>
    <t xml:space="preserve">le tiroir / le châssis / la parenthèse</t>
  </si>
  <si>
    <t xml:space="preserve">umschalten</t>
  </si>
  <si>
    <t xml:space="preserve">changer, passer à qc</t>
  </si>
  <si>
    <t xml:space="preserve">Abzug (-üge), der</t>
  </si>
  <si>
    <t xml:space="preserve">la déduction (fin.)</t>
  </si>
  <si>
    <t xml:space="preserve">übertragen</t>
  </si>
  <si>
    <t xml:space="preserve">charger, confier, retransmettre</t>
  </si>
  <si>
    <t xml:space="preserve">Warenhaus (-üser), das</t>
  </si>
  <si>
    <t xml:space="preserve">le grand magasin</t>
  </si>
  <si>
    <t xml:space="preserve">schieben</t>
  </si>
  <si>
    <t xml:space="preserve">glisser, décaler</t>
  </si>
  <si>
    <t xml:space="preserve">zwangsläufig</t>
  </si>
  <si>
    <t xml:space="preserve">forcément, fatalement</t>
  </si>
  <si>
    <t xml:space="preserve">Vorgehen (Ø), das</t>
  </si>
  <si>
    <t xml:space="preserve">le procédé, la formule, l'approche</t>
  </si>
  <si>
    <t xml:space="preserve">Bahre (-n), die</t>
  </si>
  <si>
    <t xml:space="preserve">la civière</t>
  </si>
  <si>
    <t xml:space="preserve">Nabe (-n), die</t>
  </si>
  <si>
    <t xml:space="preserve">le moyeu</t>
  </si>
  <si>
    <t xml:space="preserve">beanspruchen</t>
  </si>
  <si>
    <t xml:space="preserve">réclamer / fatiguer (qn)</t>
  </si>
  <si>
    <t xml:space="preserve">Überführung (-en), die</t>
  </si>
  <si>
    <t xml:space="preserve">le convoyage</t>
  </si>
  <si>
    <t xml:space="preserve">für jmdn. sorgen</t>
  </si>
  <si>
    <t xml:space="preserve">prendre soin de qn</t>
  </si>
  <si>
    <t xml:space="preserve">Selbstbedienung (-en), die</t>
  </si>
  <si>
    <t xml:space="preserve">le libre-service</t>
  </si>
  <si>
    <t xml:space="preserve">Versuchung (-en), die</t>
  </si>
  <si>
    <t xml:space="preserve">la sollicitation / la tentation</t>
  </si>
  <si>
    <t xml:space="preserve">von etw.+D ausgehen</t>
  </si>
  <si>
    <t xml:space="preserve">partir du principe que</t>
  </si>
  <si>
    <t xml:space="preserve">im Hinblick auf</t>
  </si>
  <si>
    <t xml:space="preserve">au vu de</t>
  </si>
  <si>
    <t xml:space="preserve">betreffen</t>
  </si>
  <si>
    <t xml:space="preserve">concerner, toucher qc/qn</t>
  </si>
  <si>
    <t xml:space="preserve">sinngemäß</t>
  </si>
  <si>
    <t xml:space="preserve">fidèle au contenu</t>
  </si>
  <si>
    <t xml:space="preserve">stetig</t>
  </si>
  <si>
    <t xml:space="preserve">continu</t>
  </si>
  <si>
    <t xml:space="preserve">einprägen</t>
  </si>
  <si>
    <t xml:space="preserve">graver, mémoriser</t>
  </si>
  <si>
    <t xml:space="preserve">anfassen</t>
  </si>
  <si>
    <t xml:space="preserve">toucher, effleurer</t>
  </si>
  <si>
    <t xml:space="preserve">Verdreifachung (-en), die</t>
  </si>
  <si>
    <t xml:space="preserve">le triplement</t>
  </si>
  <si>
    <t xml:space="preserve">stückweise</t>
  </si>
  <si>
    <t xml:space="preserve">au détail, à l’unité</t>
  </si>
  <si>
    <t xml:space="preserve">Bohne (-n), die</t>
  </si>
  <si>
    <t xml:space="preserve">le haricot</t>
  </si>
  <si>
    <t xml:space="preserve">ausgezeichnet</t>
  </si>
  <si>
    <t xml:space="preserve">excellent</t>
  </si>
  <si>
    <t xml:space="preserve">Abbruch (-üche), der</t>
  </si>
  <si>
    <t xml:space="preserve">l'interruption, l'abandon</t>
  </si>
  <si>
    <t xml:space="preserve">sich um etw. Sorgen machen</t>
  </si>
  <si>
    <t xml:space="preserve">s’inquiéter pour qc</t>
  </si>
  <si>
    <t xml:space="preserve">Unterlage (-n), die</t>
  </si>
  <si>
    <t xml:space="preserve">le document, le support</t>
  </si>
  <si>
    <t xml:space="preserve">über jmdn/etw. verfügen</t>
  </si>
  <si>
    <t xml:space="preserve">disposer de qn/qc</t>
  </si>
  <si>
    <t xml:space="preserve">in Bezug auf …</t>
  </si>
  <si>
    <t xml:space="preserve">en ce qui concerne …</t>
  </si>
  <si>
    <t xml:space="preserve">Merkmal (-e), das</t>
  </si>
  <si>
    <t xml:space="preserve">le caractère, le critère</t>
  </si>
  <si>
    <t xml:space="preserve">sich zuversichtlich geben</t>
  </si>
  <si>
    <t xml:space="preserve">se vouloir rassurant</t>
  </si>
  <si>
    <t xml:space="preserve">Gestalt (-en), die</t>
  </si>
  <si>
    <t xml:space="preserve">la figure (personnalité) / la forme</t>
  </si>
  <si>
    <t xml:space="preserve">bisher</t>
  </si>
  <si>
    <t xml:space="preserve">jusqu’à présent</t>
  </si>
  <si>
    <t xml:space="preserve">verwechseln</t>
  </si>
  <si>
    <t xml:space="preserve">confondre</t>
  </si>
  <si>
    <t xml:space="preserve">Vereinfachung (-en), die</t>
  </si>
  <si>
    <t xml:space="preserve">la simplification</t>
  </si>
  <si>
    <t xml:space="preserve">sinken</t>
  </si>
  <si>
    <t xml:space="preserve">couler, sombrer</t>
  </si>
  <si>
    <t xml:space="preserve">Lagerhaus (-äuser), das</t>
  </si>
  <si>
    <t xml:space="preserve">l'entrepôt</t>
  </si>
  <si>
    <t xml:space="preserve">weinen</t>
  </si>
  <si>
    <t xml:space="preserve">pleurer</t>
  </si>
  <si>
    <t xml:space="preserve">zuversichtlich</t>
  </si>
  <si>
    <t xml:space="preserve">confiant</t>
  </si>
  <si>
    <t xml:space="preserve">Wellen (Ø), das</t>
  </si>
  <si>
    <t xml:space="preserve">l'ondulation</t>
  </si>
  <si>
    <t xml:space="preserve">einschließend</t>
  </si>
  <si>
    <t xml:space="preserve">inclusif</t>
  </si>
  <si>
    <t xml:space="preserve">Lächeln (Ø), das</t>
  </si>
  <si>
    <t xml:space="preserve">le sourire</t>
  </si>
  <si>
    <t xml:space="preserve">zweckmäßig</t>
  </si>
  <si>
    <t xml:space="preserve">approprié / conforme</t>
  </si>
  <si>
    <t xml:space="preserve">stöhnen</t>
  </si>
  <si>
    <t xml:space="preserve">geindre, gémir</t>
  </si>
  <si>
    <t xml:space="preserve">vortrefflich</t>
  </si>
  <si>
    <t xml:space="preserve">excellent, insurpassable</t>
  </si>
  <si>
    <t xml:space="preserve">bisherig</t>
  </si>
  <si>
    <t xml:space="preserve">ancien</t>
  </si>
  <si>
    <t xml:space="preserve">Schmach (Ø), die</t>
  </si>
  <si>
    <t xml:space="preserve">l'infamie, l'abjection (Bible)</t>
  </si>
  <si>
    <t xml:space="preserve">ablaufen</t>
  </si>
  <si>
    <t xml:space="preserve">arriver à échéance</t>
  </si>
  <si>
    <t xml:space="preserve">gewissermaßen</t>
  </si>
  <si>
    <t xml:space="preserve">en quelque sorte</t>
  </si>
  <si>
    <t xml:space="preserve">Schuster (-), der</t>
  </si>
  <si>
    <t xml:space="preserve">le cordonnier</t>
  </si>
  <si>
    <t xml:space="preserve">fromm</t>
  </si>
  <si>
    <t xml:space="preserve">pieux, religieux</t>
  </si>
  <si>
    <t xml:space="preserve">ungestüm</t>
  </si>
  <si>
    <t xml:space="preserve">fougueux, impétueux (Bible)</t>
  </si>
  <si>
    <t xml:space="preserve">Zügel (-), der</t>
  </si>
  <si>
    <t xml:space="preserve">la bride, le rêne</t>
  </si>
  <si>
    <t xml:space="preserve">nachvollziehbar</t>
  </si>
  <si>
    <t xml:space="preserve">compréhensible</t>
  </si>
  <si>
    <t xml:space="preserve">matt</t>
  </si>
  <si>
    <t xml:space="preserve">abattu, épuisé, mat (échec)</t>
  </si>
  <si>
    <t xml:space="preserve">Einschnürung (-en), die</t>
  </si>
  <si>
    <t xml:space="preserve">la contraction / la gorge / la striction</t>
  </si>
  <si>
    <t xml:space="preserve">Geltung (-en), die</t>
  </si>
  <si>
    <t xml:space="preserve">la valeur</t>
  </si>
  <si>
    <t xml:space="preserve">Ausschluss (-üsse), der</t>
  </si>
  <si>
    <t xml:space="preserve">l'expulsion, l'ostracisation</t>
  </si>
  <si>
    <t xml:space="preserve">gering</t>
  </si>
  <si>
    <t xml:space="preserve">insignifiant, faible</t>
  </si>
  <si>
    <t xml:space="preserve">empfindlich</t>
  </si>
  <si>
    <t xml:space="preserve">fragile, délicat / susceptible</t>
  </si>
  <si>
    <t xml:space="preserve">Glut (-üte), die</t>
  </si>
  <si>
    <t xml:space="preserve">la fournaise, l'ardeur</t>
  </si>
  <si>
    <t xml:space="preserve">von etw. herrühren</t>
  </si>
  <si>
    <t xml:space="preserve">découler de, provenir de</t>
  </si>
  <si>
    <t xml:space="preserve">Bindeglied (-er), das</t>
  </si>
  <si>
    <t xml:space="preserve">le lien, la passerelle (fig.)</t>
  </si>
  <si>
    <t xml:space="preserve">Verlauf (-äufe), der</t>
  </si>
  <si>
    <t xml:space="preserve">le déroulement, le parcours</t>
  </si>
  <si>
    <t xml:space="preserve">Huld (Ø), die</t>
  </si>
  <si>
    <t xml:space="preserve">la faveur (Bible)</t>
  </si>
  <si>
    <t xml:space="preserve">Netzgewebe (-), das</t>
  </si>
  <si>
    <t xml:space="preserve">le tissu</t>
  </si>
  <si>
    <t xml:space="preserve">vorteilhaft</t>
  </si>
  <si>
    <t xml:space="preserve">avantageux, favorable</t>
  </si>
  <si>
    <t xml:space="preserve">schrumpfen</t>
  </si>
  <si>
    <t xml:space="preserve">se rétrécir, s’amoindrir</t>
  </si>
  <si>
    <t xml:space="preserve">Anhang (-änge), der</t>
  </si>
  <si>
    <t xml:space="preserve">l'annexe, la pièce jointe (inform.)</t>
  </si>
  <si>
    <t xml:space="preserve">vorzeichenbehaftet</t>
  </si>
  <si>
    <t xml:space="preserve">avec des signes précurseurs</t>
  </si>
  <si>
    <t xml:space="preserve">Richtwert (-e), der</t>
  </si>
  <si>
    <t xml:space="preserve">la directive, la référence</t>
  </si>
  <si>
    <t xml:space="preserve">Wohl (Ø), das</t>
  </si>
  <si>
    <t xml:space="preserve">le bien-être, le bonheur</t>
  </si>
  <si>
    <t xml:space="preserve">Forstwirtschaft (-en), die</t>
  </si>
  <si>
    <t xml:space="preserve">l'exploitation forestière</t>
  </si>
  <si>
    <t xml:space="preserve">bekanntlich (expr.)</t>
  </si>
  <si>
    <t xml:space="preserve">comme chacun sait</t>
  </si>
  <si>
    <t xml:space="preserve">Geruch (-üche), der</t>
  </si>
  <si>
    <t xml:space="preserve">l'odeur</t>
  </si>
  <si>
    <t xml:space="preserve">Heerschar (-en), die</t>
  </si>
  <si>
    <t xml:space="preserve">l'armée (Bible)</t>
  </si>
  <si>
    <t xml:space="preserve">einleuchtend</t>
  </si>
  <si>
    <t xml:space="preserve">clair, lumineux</t>
  </si>
  <si>
    <t xml:space="preserve">Bruch (-üche), der</t>
  </si>
  <si>
    <t xml:space="preserve">la rupture, la cassure / le divorce (fig.)</t>
  </si>
  <si>
    <t xml:space="preserve">Frevel (-), der / Vergehen (-), das</t>
  </si>
  <si>
    <t xml:space="preserve">le délit</t>
  </si>
  <si>
    <t xml:space="preserve">Vorhandensein (Ø), das</t>
  </si>
  <si>
    <t xml:space="preserve">l'existence, la présence</t>
  </si>
  <si>
    <t xml:space="preserve">Faser (-n), die</t>
  </si>
  <si>
    <t xml:space="preserve">la fibre, le filament</t>
  </si>
  <si>
    <t xml:space="preserve">verdorren</t>
  </si>
  <si>
    <t xml:space="preserve">dessécher, flétrir</t>
  </si>
  <si>
    <t xml:space="preserve">Maultier (-e), das</t>
  </si>
  <si>
    <t xml:space="preserve">le mulet</t>
  </si>
  <si>
    <t xml:space="preserve">skizzieren</t>
  </si>
  <si>
    <t xml:space="preserve">esquisser, ébaucher</t>
  </si>
  <si>
    <t xml:space="preserve">wünschenswert</t>
  </si>
  <si>
    <t xml:space="preserve">souhaitable, désirable</t>
  </si>
  <si>
    <t xml:space="preserve">zu etw. passen</t>
  </si>
  <si>
    <t xml:space="preserve">convenir à qc</t>
  </si>
  <si>
    <t xml:space="preserve">schweißen</t>
  </si>
  <si>
    <t xml:space="preserve">souder</t>
  </si>
  <si>
    <t xml:space="preserve">enthüllen</t>
  </si>
  <si>
    <t xml:space="preserve">révéler, dévoiler</t>
  </si>
  <si>
    <t xml:space="preserve">aufkleben</t>
  </si>
  <si>
    <t xml:space="preserve">coller</t>
  </si>
  <si>
    <t xml:space="preserve">Ross (-e), das</t>
  </si>
  <si>
    <t xml:space="preserve">le cheval (zool.)</t>
  </si>
  <si>
    <t xml:space="preserve">Los (-e), das</t>
  </si>
  <si>
    <t xml:space="preserve">la destinée, le sort / le billet de loterie</t>
  </si>
  <si>
    <t xml:space="preserve">Muster (-), das</t>
  </si>
  <si>
    <t xml:space="preserve">le modèle, l'exemple</t>
  </si>
  <si>
    <t xml:space="preserve">Geräusch (-e), das</t>
  </si>
  <si>
    <t xml:space="preserve">le bruit</t>
  </si>
  <si>
    <t xml:space="preserve">„Kindermund tut Wahrheit kund“</t>
  </si>
  <si>
    <t xml:space="preserve">« La vérité sort de la bouche des enfants »</t>
  </si>
  <si>
    <t xml:space="preserve">jmdn beauftragen</t>
  </si>
  <si>
    <t xml:space="preserve">charger, mandater qn</t>
  </si>
  <si>
    <t xml:space="preserve">entreißen</t>
  </si>
  <si>
    <t xml:space="preserve">arracher, enlever de force</t>
  </si>
  <si>
    <t xml:space="preserve">genehmigen</t>
  </si>
  <si>
    <t xml:space="preserve">autoriser, approuver</t>
  </si>
  <si>
    <t xml:space="preserve">Fertigung (-en), die</t>
  </si>
  <si>
    <t xml:space="preserve">la fabrication, la production</t>
  </si>
  <si>
    <t xml:space="preserve">Schande (Ø), die</t>
  </si>
  <si>
    <t xml:space="preserve">la honte, l'opprobre</t>
  </si>
  <si>
    <t xml:space="preserve">verstecken</t>
  </si>
  <si>
    <t xml:space="preserve">cacher</t>
  </si>
  <si>
    <t xml:space="preserve">Behinderung (-en), die</t>
  </si>
  <si>
    <t xml:space="preserve">l'empêchement / le handicap</t>
  </si>
  <si>
    <t xml:space="preserve">Rätsel (-), das</t>
  </si>
  <si>
    <t xml:space="preserve">l'énigme, la devinette</t>
  </si>
  <si>
    <t xml:space="preserve">Ausfluss (-üsse), der</t>
  </si>
  <si>
    <t xml:space="preserve">l'écoulement, le rejet</t>
  </si>
  <si>
    <t xml:space="preserve">Auflager (-), das</t>
  </si>
  <si>
    <t xml:space="preserve">le support, l'appui</t>
  </si>
  <si>
    <t xml:space="preserve">Tau (Ø), das</t>
  </si>
  <si>
    <t xml:space="preserve">le câble, le cordage (navig.)</t>
  </si>
  <si>
    <t xml:space="preserve">Riemen (-), der</t>
  </si>
  <si>
    <t xml:space="preserve">l'attache, la courroie</t>
  </si>
  <si>
    <t xml:space="preserve">rechtfertigen</t>
  </si>
  <si>
    <t xml:space="preserve">justifier, expliquer</t>
  </si>
  <si>
    <t xml:space="preserve">begehen</t>
  </si>
  <si>
    <t xml:space="preserve">célébrer / accomplir / marcher sur</t>
  </si>
  <si>
    <t xml:space="preserve">maßstäblich</t>
  </si>
  <si>
    <t xml:space="preserve">conforme à la mesure</t>
  </si>
  <si>
    <t xml:space="preserve">bummeln (ugs.)</t>
  </si>
  <si>
    <t xml:space="preserve">traînasser, lambiner</t>
  </si>
  <si>
    <t xml:space="preserve">Einarbeitung (-en), die</t>
  </si>
  <si>
    <t xml:space="preserve">l'entraînement</t>
  </si>
  <si>
    <t xml:space="preserve">basteln</t>
  </si>
  <si>
    <t xml:space="preserve">bricoler</t>
  </si>
  <si>
    <t xml:space="preserve">aufrecht</t>
  </si>
  <si>
    <t xml:space="preserve">debout / droit</t>
  </si>
  <si>
    <t xml:space="preserve">Sparte (-n), die</t>
  </si>
  <si>
    <t xml:space="preserve">le domaine, le secteur</t>
  </si>
  <si>
    <t xml:space="preserve">Absatz (-ätze), der</t>
  </si>
  <si>
    <t xml:space="preserve">la distribution / le débit / le paragraphe</t>
  </si>
  <si>
    <t xml:space="preserve">Erdpech (-e), das</t>
  </si>
  <si>
    <t xml:space="preserve">le bitume</t>
  </si>
  <si>
    <t xml:space="preserve">aufwenden</t>
  </si>
  <si>
    <t xml:space="preserve">mettre en œuvre</t>
  </si>
  <si>
    <t xml:space="preserve">von jmdm. abfallen</t>
  </si>
  <si>
    <t xml:space="preserve">renier qn</t>
  </si>
  <si>
    <t xml:space="preserve">Gehöft (-e), das</t>
  </si>
  <si>
    <t xml:space="preserve">la ferme</t>
  </si>
  <si>
    <t xml:space="preserve">abklingen</t>
  </si>
  <si>
    <t xml:space="preserve">décroître / s’assoupir</t>
  </si>
  <si>
    <t xml:space="preserve">Herausgabe (-n), die</t>
  </si>
  <si>
    <t xml:space="preserve">la publication, la restitution</t>
  </si>
  <si>
    <t xml:space="preserve">Schenke (-n), die</t>
  </si>
  <si>
    <t xml:space="preserve">le débit de boisson</t>
  </si>
  <si>
    <t xml:space="preserve">Bestimmung (-en), die</t>
  </si>
  <si>
    <t xml:space="preserve">la détermination / la destinée / la convention</t>
  </si>
  <si>
    <t xml:space="preserve">beleidigen</t>
  </si>
  <si>
    <t xml:space="preserve">insulter, blesser</t>
  </si>
  <si>
    <t xml:space="preserve">Vorrat (-äte), der</t>
  </si>
  <si>
    <t xml:space="preserve">la provision, le stock</t>
  </si>
  <si>
    <t xml:space="preserve">zerschmettern</t>
  </si>
  <si>
    <t xml:space="preserve">briser, se fracasser</t>
  </si>
  <si>
    <t xml:space="preserve">scheiden</t>
  </si>
  <si>
    <t xml:space="preserve">s’opposer / séparer</t>
  </si>
  <si>
    <t xml:space="preserve">Streifen (-), der</t>
  </si>
  <si>
    <t xml:space="preserve">la bande / la rayure</t>
  </si>
  <si>
    <t xml:space="preserve">Unterkunft (-ünfte), die</t>
  </si>
  <si>
    <t xml:space="preserve">le logement, l'hébergement</t>
  </si>
  <si>
    <t xml:space="preserve">sich +A mit etw. +D befassen</t>
  </si>
  <si>
    <t xml:space="preserve">s’occuper, traiter de </t>
  </si>
  <si>
    <t xml:space="preserve">erheben</t>
  </si>
  <si>
    <t xml:space="preserve">élever, ériger</t>
  </si>
  <si>
    <t xml:space="preserve">vertreiben</t>
  </si>
  <si>
    <t xml:space="preserve">chasser, déloger / commercialiser</t>
  </si>
  <si>
    <t xml:space="preserve">Herleitung (-en), die</t>
  </si>
  <si>
    <t xml:space="preserve">la dérivation</t>
  </si>
  <si>
    <t xml:space="preserve">Schmuck (-e), der</t>
  </si>
  <si>
    <t xml:space="preserve">les bijoux / la décoration</t>
  </si>
  <si>
    <t xml:space="preserve">trüben</t>
  </si>
  <si>
    <t xml:space="preserve">troubler, ternir</t>
  </si>
  <si>
    <t xml:space="preserve">Stundung (-en), die</t>
  </si>
  <si>
    <t xml:space="preserve">le report de paiement</t>
  </si>
  <si>
    <t xml:space="preserve">Erregung (-en), die</t>
  </si>
  <si>
    <t xml:space="preserve">l'émotion / l'excitation</t>
  </si>
  <si>
    <t xml:space="preserve">zuzüglich</t>
  </si>
  <si>
    <t xml:space="preserve">augmenté de</t>
  </si>
  <si>
    <t xml:space="preserve">verwüsten</t>
  </si>
  <si>
    <t xml:space="preserve">ravager, dévaster</t>
  </si>
  <si>
    <t xml:space="preserve">Elektronische Datenverarbeitung</t>
  </si>
  <si>
    <t xml:space="preserve">EDV</t>
  </si>
  <si>
    <t xml:space="preserve">irgendwie</t>
  </si>
  <si>
    <t xml:space="preserve">d’une manière ou d’une autre</t>
  </si>
  <si>
    <t xml:space="preserve">Schulung (-en), die</t>
  </si>
  <si>
    <t xml:space="preserve">la formation, l'apprentissage</t>
  </si>
  <si>
    <t xml:space="preserve">Anstoß (-össe), der</t>
  </si>
  <si>
    <t xml:space="preserve">l'impulsion / le scandale</t>
  </si>
  <si>
    <t xml:space="preserve">Bundesgenosse (-n), der</t>
  </si>
  <si>
    <t xml:space="preserve">le confédéré, l'allié</t>
  </si>
  <si>
    <t xml:space="preserve">Zorn (Ø), der</t>
  </si>
  <si>
    <t xml:space="preserve">le courroux</t>
  </si>
  <si>
    <t xml:space="preserve">Genosse (-n), der</t>
  </si>
  <si>
    <t xml:space="preserve">le camarade, le membre (polit.)</t>
  </si>
  <si>
    <t xml:space="preserve">zerlegen</t>
  </si>
  <si>
    <t xml:space="preserve">démonter, analyser</t>
  </si>
  <si>
    <t xml:space="preserve">einschätzen</t>
  </si>
  <si>
    <t xml:space="preserve">estimer, évaluer</t>
  </si>
  <si>
    <t xml:space="preserve">Steifigkeit (-en), die</t>
  </si>
  <si>
    <t xml:space="preserve">la rigidité</t>
  </si>
  <si>
    <t xml:space="preserve">sich häufen</t>
  </si>
  <si>
    <t xml:space="preserve">s’agréger / se multiplier</t>
  </si>
  <si>
    <t xml:space="preserve">genügen</t>
  </si>
  <si>
    <t xml:space="preserve">suffire, satisfaire</t>
  </si>
  <si>
    <t xml:space="preserve">knechten</t>
  </si>
  <si>
    <t xml:space="preserve">opprimer, tenir en esclavage</t>
  </si>
  <si>
    <t xml:space="preserve">Neffe (-n), der</t>
  </si>
  <si>
    <t xml:space="preserve">le neveu</t>
  </si>
  <si>
    <t xml:space="preserve">Fachzeitschrift (-en), die</t>
  </si>
  <si>
    <t xml:space="preserve">la revue spécialisée</t>
  </si>
  <si>
    <t xml:space="preserve">Zweig (-e), der</t>
  </si>
  <si>
    <t xml:space="preserve">la branche, la filière</t>
  </si>
  <si>
    <t xml:space="preserve">Filz (-e), der</t>
  </si>
  <si>
    <t xml:space="preserve">le feutre</t>
  </si>
  <si>
    <t xml:space="preserve">Artgenosse (-n), der</t>
  </si>
  <si>
    <t xml:space="preserve">le congénère (zool.)</t>
  </si>
  <si>
    <t xml:space="preserve">feststellbar</t>
  </si>
  <si>
    <t xml:space="preserve">blocable / détectable</t>
  </si>
  <si>
    <t xml:space="preserve">auffällig</t>
  </si>
  <si>
    <t xml:space="preserve">frappant / suspect</t>
  </si>
  <si>
    <t xml:space="preserve">Vermengung (-en), die</t>
  </si>
  <si>
    <t xml:space="preserve">l'incorporation</t>
  </si>
  <si>
    <t xml:space="preserve">durchgreifen</t>
  </si>
  <si>
    <t xml:space="preserve">sévir, intervenir énergiquement</t>
  </si>
  <si>
    <t xml:space="preserve">Aufschluss (-üsse), der</t>
  </si>
  <si>
    <t xml:space="preserve">l'explication / la désintégration (papier) / la fusion</t>
  </si>
  <si>
    <t xml:space="preserve">weitestgehend</t>
  </si>
  <si>
    <t xml:space="preserve">très largement</t>
  </si>
  <si>
    <t xml:space="preserve">ergehen</t>
  </si>
  <si>
    <t xml:space="preserve">déclamer, édicter</t>
  </si>
  <si>
    <t xml:space="preserve">Gespür (Ø), das</t>
  </si>
  <si>
    <t xml:space="preserve">le flair, l'intuition</t>
  </si>
  <si>
    <t xml:space="preserve">anlehnen</t>
  </si>
  <si>
    <t xml:space="preserve">entr'ouvrir</t>
  </si>
  <si>
    <t xml:space="preserve">Abtastrate (-n), die</t>
  </si>
  <si>
    <t xml:space="preserve">la fréquence d’échantillonnage</t>
  </si>
  <si>
    <t xml:space="preserve">verrichten</t>
  </si>
  <si>
    <t xml:space="preserve">accomplir</t>
  </si>
  <si>
    <t xml:space="preserve">sich betragen</t>
  </si>
  <si>
    <t xml:space="preserve">se comporter, se conduire</t>
  </si>
  <si>
    <t xml:space="preserve">Aufwand (-ände), der</t>
  </si>
  <si>
    <t xml:space="preserve">l'effort / l'investissement</t>
  </si>
  <si>
    <t xml:space="preserve">Aufbringung (-en), die</t>
  </si>
  <si>
    <t xml:space="preserve">la capture</t>
  </si>
  <si>
    <t xml:space="preserve">Verschluss (-üsse), der</t>
  </si>
  <si>
    <t xml:space="preserve">le bouchon, la culasse / la serrure</t>
  </si>
  <si>
    <t xml:space="preserve">abrufbar</t>
  </si>
  <si>
    <t xml:space="preserve">disponible</t>
  </si>
  <si>
    <t xml:space="preserve">Redlichkeit (-en), die</t>
  </si>
  <si>
    <t xml:space="preserve">la bonne foi, la honnêteté</t>
  </si>
  <si>
    <t xml:space="preserve">Untertreibung (-en), die</t>
  </si>
  <si>
    <t xml:space="preserve">la minimisation</t>
  </si>
  <si>
    <t xml:space="preserve">Beschriftung (-en), die</t>
  </si>
  <si>
    <t xml:space="preserve">l'inscription, le marquage</t>
  </si>
  <si>
    <t xml:space="preserve">erheblich</t>
  </si>
  <si>
    <t xml:space="preserve">considérable, important</t>
  </si>
  <si>
    <t xml:space="preserve">maßgeblich (Adj.)</t>
  </si>
  <si>
    <t xml:space="preserve">crucial, prépondérant</t>
  </si>
  <si>
    <t xml:space="preserve">Bündelung (-en), die</t>
  </si>
  <si>
    <t xml:space="preserve">la focalisation</t>
  </si>
  <si>
    <t xml:space="preserve">vorwiegend</t>
  </si>
  <si>
    <t xml:space="preserve">prépondérant</t>
  </si>
  <si>
    <t xml:space="preserve">sofern …</t>
  </si>
  <si>
    <t xml:space="preserve">dans la mesure où …</t>
  </si>
  <si>
    <t xml:space="preserve">sachgemäß</t>
  </si>
  <si>
    <t xml:space="preserve">approprié, adéquat</t>
  </si>
  <si>
    <t xml:space="preserve">Handhabung (-en), die</t>
  </si>
  <si>
    <t xml:space="preserve">la manipulation</t>
  </si>
  <si>
    <t xml:space="preserve">Ermahnung (-en), die</t>
  </si>
  <si>
    <t xml:space="preserve">l'exhortation</t>
  </si>
  <si>
    <t xml:space="preserve">immer mehr</t>
  </si>
  <si>
    <t xml:space="preserve">de plus en plus</t>
  </si>
  <si>
    <t xml:space="preserve">beseitigen</t>
  </si>
  <si>
    <t xml:space="preserve">déblayer, supprimer</t>
  </si>
  <si>
    <t xml:space="preserve">abkleben</t>
  </si>
  <si>
    <t xml:space="preserve">coller (une affiche)</t>
  </si>
  <si>
    <t xml:space="preserve">aussagekräftig</t>
  </si>
  <si>
    <t xml:space="preserve">pertinent, probant</t>
  </si>
  <si>
    <t xml:space="preserve">vorbeugen</t>
  </si>
  <si>
    <t xml:space="preserve">prévenir, parer</t>
  </si>
  <si>
    <t xml:space="preserve">Ausgeglichenheit (-en), die</t>
  </si>
  <si>
    <t xml:space="preserve">l'équilibre, la sérénité</t>
  </si>
  <si>
    <t xml:space="preserve">gangbar</t>
  </si>
  <si>
    <t xml:space="preserve">praticable</t>
  </si>
  <si>
    <t xml:space="preserve">Übel (-), das</t>
  </si>
  <si>
    <t xml:space="preserve">le mal, le malheur</t>
  </si>
  <si>
    <t xml:space="preserve">Notdurft Ø), die</t>
  </si>
  <si>
    <t xml:space="preserve">les besoins naturels</t>
  </si>
  <si>
    <t xml:space="preserve">mehr oder weniger</t>
  </si>
  <si>
    <t xml:space="preserve">plus ou moins</t>
  </si>
  <si>
    <t xml:space="preserve">Verplombung (-en), die</t>
  </si>
  <si>
    <t xml:space="preserve">le plombage</t>
  </si>
  <si>
    <t xml:space="preserve">somit</t>
  </si>
  <si>
    <t xml:space="preserve">par conséquent</t>
  </si>
  <si>
    <t xml:space="preserve">Justierung (-en), die</t>
  </si>
  <si>
    <t xml:space="preserve">l'ajustement</t>
  </si>
  <si>
    <t xml:space="preserve">Beschaffung (-en), die</t>
  </si>
  <si>
    <t xml:space="preserve">l'achat, l'approvisionnement</t>
  </si>
  <si>
    <t xml:space="preserve">Verschrottung (-en), die</t>
  </si>
  <si>
    <t xml:space="preserve">la mise à la ferraille</t>
  </si>
  <si>
    <t xml:space="preserve">Fliehkraft (-äfte), die</t>
  </si>
  <si>
    <t xml:space="preserve">la force centrifuge</t>
  </si>
  <si>
    <t xml:space="preserve">jmdn versetzen</t>
  </si>
  <si>
    <t xml:space="preserve">muter qn</t>
  </si>
  <si>
    <t xml:space="preserve">Umformung (-en), die</t>
  </si>
  <si>
    <t xml:space="preserve">la transformation / l'emboutissage</t>
  </si>
  <si>
    <t xml:space="preserve">Rate (-n), die Quote (-n), die</t>
  </si>
  <si>
    <t xml:space="preserve">le taux</t>
  </si>
  <si>
    <t xml:space="preserve">hierfür passend</t>
  </si>
  <si>
    <t xml:space="preserve">ad hoc</t>
  </si>
  <si>
    <t xml:space="preserve">Ausschuss (-üsse), der</t>
  </si>
  <si>
    <t xml:space="preserve">le rejet, le rebut</t>
  </si>
  <si>
    <t xml:space="preserve">Rückspiegel (-), der</t>
  </si>
  <si>
    <t xml:space="preserve">le rétroviseur</t>
  </si>
  <si>
    <t xml:space="preserve">Ufer (-), das</t>
  </si>
  <si>
    <t xml:space="preserve">la rive, la berge</t>
  </si>
  <si>
    <t xml:space="preserve">Ernsthaftigkeit (-en), die</t>
  </si>
  <si>
    <t xml:space="preserve">le caractère sérieux</t>
  </si>
  <si>
    <t xml:space="preserve">überwältigen</t>
  </si>
  <si>
    <t xml:space="preserve">accabler / envahir</t>
  </si>
  <si>
    <t xml:space="preserve">Versagen (Ø), das</t>
  </si>
  <si>
    <t xml:space="preserve">l'échec, la défaillance</t>
  </si>
  <si>
    <t xml:space="preserve">verweisen</t>
  </si>
  <si>
    <t xml:space="preserve">s’adresser à / exclure</t>
  </si>
  <si>
    <t xml:space="preserve">Hang (-änge), der</t>
  </si>
  <si>
    <t xml:space="preserve">la pente, le versant</t>
  </si>
  <si>
    <t xml:space="preserve">Gestrüpp (-e), das</t>
  </si>
  <si>
    <t xml:space="preserve">les broussailles, le fourré</t>
  </si>
  <si>
    <t xml:space="preserve">versiegen</t>
  </si>
  <si>
    <t xml:space="preserve">s’épuiser, se tarir</t>
  </si>
  <si>
    <t xml:space="preserve">grämen</t>
  </si>
  <si>
    <t xml:space="preserve">s’affliger, chagriner</t>
  </si>
  <si>
    <t xml:space="preserve">Verheißung (-en), die</t>
  </si>
  <si>
    <t xml:space="preserve">la promesse</t>
  </si>
  <si>
    <t xml:space="preserve">Klatsch (-e), der</t>
  </si>
  <si>
    <t xml:space="preserve">le commérage</t>
  </si>
  <si>
    <t xml:space="preserve">flehen</t>
  </si>
  <si>
    <t xml:space="preserve">implorer, invoquer</t>
  </si>
  <si>
    <t xml:space="preserve">Schoß (-öße), der</t>
  </si>
  <si>
    <t xml:space="preserve">le sein maternel, le giron</t>
  </si>
  <si>
    <t xml:space="preserve">Aufreißen (Ø), das</t>
  </si>
  <si>
    <t xml:space="preserve">la déchirure</t>
  </si>
  <si>
    <t xml:space="preserve">Eifer (Ø), der</t>
  </si>
  <si>
    <t xml:space="preserve">le zèle, l'empressement</t>
  </si>
  <si>
    <t xml:space="preserve">Lehm (-e), der</t>
  </si>
  <si>
    <t xml:space="preserve">la glaise, l'argile, le limon</t>
  </si>
  <si>
    <t xml:space="preserve">Rüstigkeit (-en), die</t>
  </si>
  <si>
    <t xml:space="preserve">la verdeur, la vigueur</t>
  </si>
  <si>
    <t xml:space="preserve">tatkräftig</t>
  </si>
  <si>
    <t xml:space="preserve">dynamique, énergique</t>
  </si>
  <si>
    <t xml:space="preserve">Staub (-e), der</t>
  </si>
  <si>
    <t xml:space="preserve">la poussière</t>
  </si>
  <si>
    <t xml:space="preserve">abnagen</t>
  </si>
  <si>
    <t xml:space="preserve">ronger, miner</t>
  </si>
  <si>
    <t xml:space="preserve">Schar (-en), die</t>
  </si>
  <si>
    <t xml:space="preserve">la kyrielle, la ribambelle</t>
  </si>
  <si>
    <t xml:space="preserve">Dachboden (-öden), der</t>
  </si>
  <si>
    <t xml:space="preserve">le grenier, les combles</t>
  </si>
  <si>
    <t xml:space="preserve">sogleich</t>
  </si>
  <si>
    <t xml:space="preserve">aussitôt, peu après</t>
  </si>
  <si>
    <t xml:space="preserve">Gesindel (Ø), das</t>
  </si>
  <si>
    <t xml:space="preserve">la racaille, la vermine</t>
  </si>
  <si>
    <t xml:space="preserve">Gespinst (-e), das</t>
  </si>
  <si>
    <t xml:space="preserve">le cocon / le tissu</t>
  </si>
  <si>
    <t xml:space="preserve">Sprosse (-n), die</t>
  </si>
  <si>
    <t xml:space="preserve">la pousse (bot.)</t>
  </si>
  <si>
    <t xml:space="preserve">Elend (Ø), das</t>
  </si>
  <si>
    <t xml:space="preserve">la misère</t>
  </si>
  <si>
    <t xml:space="preserve">horten</t>
  </si>
  <si>
    <t xml:space="preserve">stocker, entasser</t>
  </si>
  <si>
    <t xml:space="preserve">verwehren</t>
  </si>
  <si>
    <t xml:space="preserve">empêcher, interdire</t>
  </si>
  <si>
    <t xml:space="preserve">Verblendung (-en), die</t>
  </si>
  <si>
    <t xml:space="preserve">l'aveuglement / le recouvrement</t>
  </si>
  <si>
    <t xml:space="preserve">vorrätig</t>
  </si>
  <si>
    <t xml:space="preserve">disponible, en stock</t>
  </si>
  <si>
    <t xml:space="preserve">Knabe (-n), der</t>
  </si>
  <si>
    <t xml:space="preserve">le petit garçon</t>
  </si>
  <si>
    <t xml:space="preserve">bisweilen, hin und da</t>
  </si>
  <si>
    <t xml:space="preserve">de temps à autre</t>
  </si>
  <si>
    <t xml:space="preserve">Herde (-n), die</t>
  </si>
  <si>
    <t xml:space="preserve">le troupeau, les ouailles</t>
  </si>
  <si>
    <t xml:space="preserve">zerfließen</t>
  </si>
  <si>
    <t xml:space="preserve">fondre</t>
  </si>
  <si>
    <t xml:space="preserve">einstürzen</t>
  </si>
  <si>
    <t xml:space="preserve">s’écrouler, s’effondrer</t>
  </si>
  <si>
    <t xml:space="preserve">Strauß (-äuße), der</t>
  </si>
  <si>
    <t xml:space="preserve">le bouquet</t>
  </si>
  <si>
    <t xml:space="preserve">Höhle (-n), die</t>
  </si>
  <si>
    <t xml:space="preserve">la grotte, la caverne</t>
  </si>
  <si>
    <t xml:space="preserve">Sturmgewehr (-e), das</t>
  </si>
  <si>
    <t xml:space="preserve">le fusil d’assaut</t>
  </si>
  <si>
    <t xml:space="preserve">Leib (-er), der</t>
  </si>
  <si>
    <t xml:space="preserve">le corps / le ventre (maternel)</t>
  </si>
  <si>
    <t xml:space="preserve">Ziege (-n), die</t>
  </si>
  <si>
    <t xml:space="preserve">la chèvre</t>
  </si>
  <si>
    <t xml:space="preserve">Aufenthalt (-e), der</t>
  </si>
  <si>
    <t xml:space="preserve">le séjour, l'arrêt, la station</t>
  </si>
  <si>
    <t xml:space="preserve">Rast (-en), die</t>
  </si>
  <si>
    <t xml:space="preserve">la halte, la pause</t>
  </si>
  <si>
    <t xml:space="preserve">dürr</t>
  </si>
  <si>
    <t xml:space="preserve">efflanqué / mort (bois)</t>
  </si>
  <si>
    <t xml:space="preserve">Knochen (-), der</t>
  </si>
  <si>
    <t xml:space="preserve">l'os (anat.)</t>
  </si>
  <si>
    <t xml:space="preserve">wehen</t>
  </si>
  <si>
    <t xml:space="preserve">souffler / flotter</t>
  </si>
  <si>
    <t xml:space="preserve">Vieh (Ø), das</t>
  </si>
  <si>
    <t xml:space="preserve">le bétail</t>
  </si>
  <si>
    <t xml:space="preserve">Ginster (-), der</t>
  </si>
  <si>
    <t xml:space="preserve">le genêt</t>
  </si>
  <si>
    <t xml:space="preserve">heidnisch</t>
  </si>
  <si>
    <t xml:space="preserve">païen</t>
  </si>
  <si>
    <t xml:space="preserve">anstacheln, auspeitschen</t>
  </si>
  <si>
    <t xml:space="preserve">fouetter</t>
  </si>
  <si>
    <t xml:space="preserve">wandeln</t>
  </si>
  <si>
    <t xml:space="preserve">cheminer, évoluer</t>
  </si>
  <si>
    <t xml:space="preserve">sich aufmachen nach …</t>
  </si>
  <si>
    <t xml:space="preserve">prendre le chemin de …</t>
  </si>
  <si>
    <t xml:space="preserve">vollbringen</t>
  </si>
  <si>
    <t xml:space="preserve">réaliser, accomplir</t>
  </si>
  <si>
    <t xml:space="preserve">Gliederung (-en), die</t>
  </si>
  <si>
    <t xml:space="preserve">le plan / la division (ouvrage)</t>
  </si>
  <si>
    <t xml:space="preserve">verabscheuen</t>
  </si>
  <si>
    <t xml:space="preserve">avoir horreur de</t>
  </si>
  <si>
    <t xml:space="preserve">Trumm (-ümmer), das</t>
  </si>
  <si>
    <t xml:space="preserve">le bout</t>
  </si>
  <si>
    <t xml:space="preserve">Brett (-er), das</t>
  </si>
  <si>
    <t xml:space="preserve">la planche</t>
  </si>
  <si>
    <t xml:space="preserve">Bock (-öcke), der</t>
  </si>
  <si>
    <t xml:space="preserve">le tabouret / le bouc</t>
  </si>
  <si>
    <t xml:space="preserve">durchbohren</t>
  </si>
  <si>
    <t xml:space="preserve">transpercer</t>
  </si>
  <si>
    <t xml:space="preserve">Kummer (Ø), der</t>
  </si>
  <si>
    <t xml:space="preserve">le chagrin, la peine (Bible)</t>
  </si>
  <si>
    <t xml:space="preserve">Zuflucht (-en), die</t>
  </si>
  <si>
    <t xml:space="preserve">le refuge (Bible)</t>
  </si>
  <si>
    <t xml:space="preserve">hervorrufen</t>
  </si>
  <si>
    <t xml:space="preserve">produire, générer</t>
  </si>
  <si>
    <t xml:space="preserve">Vortrag (-äge), der</t>
  </si>
  <si>
    <t xml:space="preserve">l'exposé, le discours</t>
  </si>
  <si>
    <t xml:space="preserve">niederreißen</t>
  </si>
  <si>
    <t xml:space="preserve">détruire, démolir</t>
  </si>
  <si>
    <t xml:space="preserve">Verlockung (-en), die</t>
  </si>
  <si>
    <t xml:space="preserve">l'attrait / la sollicitation</t>
  </si>
  <si>
    <t xml:space="preserve">Seufzen (Ø), das</t>
  </si>
  <si>
    <t xml:space="preserve">les gémissements</t>
  </si>
  <si>
    <t xml:space="preserve">überstreichen</t>
  </si>
  <si>
    <t xml:space="preserve">repeindre, revernir</t>
  </si>
  <si>
    <t xml:space="preserve">Nutzen (-), der</t>
  </si>
  <si>
    <t xml:space="preserve">l'avantage, le bénéfice</t>
  </si>
  <si>
    <t xml:space="preserve">Gefälle (-), das</t>
  </si>
  <si>
    <t xml:space="preserve">la pente</t>
  </si>
  <si>
    <t xml:space="preserve">ausbeuten</t>
  </si>
  <si>
    <t xml:space="preserve">exploiter qc ou qn</t>
  </si>
  <si>
    <t xml:space="preserve">durchaus</t>
  </si>
  <si>
    <t xml:space="preserve">absolument</t>
  </si>
  <si>
    <t xml:space="preserve">Gram (Ø), der</t>
  </si>
  <si>
    <t xml:space="preserve">le chagrin / la rancune (Bible)</t>
  </si>
  <si>
    <t xml:space="preserve">durchsetzen</t>
  </si>
  <si>
    <t xml:space="preserve">faire aboutir, faire prévaloir</t>
  </si>
  <si>
    <t xml:space="preserve">Scheitern (Ø), das</t>
  </si>
  <si>
    <t xml:space="preserve">l'échec, la faillite</t>
  </si>
  <si>
    <t xml:space="preserve">aufputschen</t>
  </si>
  <si>
    <t xml:space="preserve">doper / exciter</t>
  </si>
  <si>
    <t xml:space="preserve">lästern</t>
  </si>
  <si>
    <t xml:space="preserve">dénigrer, médire de qn</t>
  </si>
  <si>
    <t xml:space="preserve">Bude (-n), die</t>
  </si>
  <si>
    <t xml:space="preserve">la boutique</t>
  </si>
  <si>
    <t xml:space="preserve">ausreißen</t>
  </si>
  <si>
    <t xml:space="preserve">arracher / fuguer</t>
  </si>
  <si>
    <t xml:space="preserve">klappern</t>
  </si>
  <si>
    <t xml:space="preserve">claquer, cliqueter</t>
  </si>
  <si>
    <t xml:space="preserve">unverrückbar</t>
  </si>
  <si>
    <t xml:space="preserve">immuable</t>
  </si>
  <si>
    <t xml:space="preserve">veranlassen</t>
  </si>
  <si>
    <t xml:space="preserve">engager (qn), faire faire</t>
  </si>
  <si>
    <t xml:space="preserve">Einstufung (-en), die</t>
  </si>
  <si>
    <t xml:space="preserve">le classement</t>
  </si>
  <si>
    <t xml:space="preserve">mitbestimmen</t>
  </si>
  <si>
    <t xml:space="preserve">avoir voix au chapitre</t>
  </si>
  <si>
    <t xml:space="preserve">Spitzenreiter (-), der</t>
  </si>
  <si>
    <t xml:space="preserve">le leader</t>
  </si>
  <si>
    <t xml:space="preserve">etliche …</t>
  </si>
  <si>
    <t xml:space="preserve">un bon nombre de …</t>
  </si>
  <si>
    <t xml:space="preserve">überragen</t>
  </si>
  <si>
    <t xml:space="preserve">dominer, dépasser</t>
  </si>
  <si>
    <t xml:space="preserve">Eignung (-en), die</t>
  </si>
  <si>
    <t xml:space="preserve">l'aptitude, la qualification</t>
  </si>
  <si>
    <t xml:space="preserve">Ast (Äste), der</t>
  </si>
  <si>
    <t xml:space="preserve">la branche (bot.)</t>
  </si>
  <si>
    <t xml:space="preserve">ermatten</t>
  </si>
  <si>
    <t xml:space="preserve">affaiblir, exténuer</t>
  </si>
  <si>
    <t xml:space="preserve">Brösel (Ø), der</t>
  </si>
  <si>
    <t xml:space="preserve">la miette</t>
  </si>
  <si>
    <t xml:space="preserve">ausschlaggebend</t>
  </si>
  <si>
    <t xml:space="preserve">crucial</t>
  </si>
  <si>
    <t xml:space="preserve">Götze (-n), der</t>
  </si>
  <si>
    <t xml:space="preserve">l'idole</t>
  </si>
  <si>
    <t xml:space="preserve">verspeisen</t>
  </si>
  <si>
    <t xml:space="preserve">consommer, manger</t>
  </si>
  <si>
    <t xml:space="preserve">Erzielung (-en), die</t>
  </si>
  <si>
    <t xml:space="preserve">l'obtention</t>
  </si>
  <si>
    <t xml:space="preserve">Runde (-n), die</t>
  </si>
  <si>
    <t xml:space="preserve">l'assemblée, la ronde</t>
  </si>
  <si>
    <t xml:space="preserve">Dozent (-en), der</t>
  </si>
  <si>
    <t xml:space="preserve">le professeur agrégé</t>
  </si>
  <si>
    <t xml:space="preserve">letztendlich</t>
  </si>
  <si>
    <t xml:space="preserve">en définitive, à terme</t>
  </si>
  <si>
    <t xml:space="preserve">salben</t>
  </si>
  <si>
    <t xml:space="preserve">sacrer, oindre</t>
  </si>
  <si>
    <t xml:space="preserve">verteidigen</t>
  </si>
  <si>
    <t xml:space="preserve">défendre, justifier</t>
  </si>
  <si>
    <t xml:space="preserve">etw. gestalten</t>
  </si>
  <si>
    <t xml:space="preserve">former qc</t>
  </si>
  <si>
    <t xml:space="preserve">Betonung (-en), die</t>
  </si>
  <si>
    <t xml:space="preserve">l'accentuation</t>
  </si>
  <si>
    <t xml:space="preserve">Nachbereitung (-en), die</t>
  </si>
  <si>
    <t xml:space="preserve">l'approfondissement</t>
  </si>
  <si>
    <t xml:space="preserve">wohlriechend</t>
  </si>
  <si>
    <t xml:space="preserve">odorant, aromatique</t>
  </si>
  <si>
    <t xml:space="preserve">Reihe (-n), die</t>
  </si>
  <si>
    <t xml:space="preserve">la série</t>
  </si>
  <si>
    <t xml:space="preserve">sodass …</t>
  </si>
  <si>
    <t xml:space="preserve">si bien que …</t>
  </si>
  <si>
    <t xml:space="preserve">Insasse (-n), der</t>
  </si>
  <si>
    <t xml:space="preserve">le passager</t>
  </si>
  <si>
    <t xml:space="preserve">ansteckend</t>
  </si>
  <si>
    <t xml:space="preserve">contagieux, communicatif</t>
  </si>
  <si>
    <t xml:space="preserve">willkürlich</t>
  </si>
  <si>
    <t xml:space="preserve">arbitraire, injustifié</t>
  </si>
  <si>
    <t xml:space="preserve">Aufspaltung (-en), die</t>
  </si>
  <si>
    <t xml:space="preserve">la division</t>
  </si>
  <si>
    <t xml:space="preserve">Ausprägung (-en), die</t>
  </si>
  <si>
    <t xml:space="preserve">le monnayage / la modalité</t>
  </si>
  <si>
    <t xml:space="preserve">Angelegenheit (-en), die</t>
  </si>
  <si>
    <t xml:space="preserve">l'affaire, le service (public, …)</t>
  </si>
  <si>
    <t xml:space="preserve">vertretbar</t>
  </si>
  <si>
    <t xml:space="preserve">justifiable, plaidable</t>
  </si>
  <si>
    <t xml:space="preserve">kippen</t>
  </si>
  <si>
    <t xml:space="preserve">basculer</t>
  </si>
  <si>
    <t xml:space="preserve">schlagartig (Adj.)</t>
  </si>
  <si>
    <t xml:space="preserve">soudain</t>
  </si>
  <si>
    <t xml:space="preserve">gewissenhaft</t>
  </si>
  <si>
    <t xml:space="preserve">consciencieusement, soigneusement</t>
  </si>
  <si>
    <t xml:space="preserve">Rippe (-n), die</t>
  </si>
  <si>
    <t xml:space="preserve">la nervure, la membrure</t>
  </si>
  <si>
    <t xml:space="preserve">kenntlich (Adj.)</t>
  </si>
  <si>
    <t xml:space="preserve">reconnaissable</t>
  </si>
  <si>
    <t xml:space="preserve">auflösen</t>
  </si>
  <si>
    <t xml:space="preserve">annuler / désorganiser / diluer</t>
  </si>
  <si>
    <t xml:space="preserve">anlösen</t>
  </si>
  <si>
    <t xml:space="preserve">corroder</t>
  </si>
  <si>
    <t xml:space="preserve">umgehend</t>
  </si>
  <si>
    <t xml:space="preserve">immédiatement, très rapidement</t>
  </si>
  <si>
    <t xml:space="preserve">Auslastung (-en), die</t>
  </si>
  <si>
    <t xml:space="preserve">la charge, le remplissage / l'utilisation</t>
  </si>
  <si>
    <t xml:space="preserve">zuschreiben</t>
  </si>
  <si>
    <t xml:space="preserve">attribuer, imputer</t>
  </si>
  <si>
    <t xml:space="preserve">jmdm etw. zutrauen</t>
  </si>
  <si>
    <t xml:space="preserve">croire qn capable de qc</t>
  </si>
  <si>
    <t xml:space="preserve">Umstand (-ände), der</t>
  </si>
  <si>
    <t xml:space="preserve">la circonstance</t>
  </si>
  <si>
    <t xml:space="preserve">Umwandlung (-en), die</t>
  </si>
  <si>
    <t xml:space="preserve">la conversion, la transformation</t>
  </si>
  <si>
    <t xml:space="preserve">vorzeitig</t>
  </si>
  <si>
    <t xml:space="preserve">anticipé / prématuré</t>
  </si>
  <si>
    <t xml:space="preserve">abstreifen</t>
  </si>
  <si>
    <t xml:space="preserve">racler, enlever</t>
  </si>
  <si>
    <t xml:space="preserve">Anschrift (-en), die</t>
  </si>
  <si>
    <t xml:space="preserve">l'adresse</t>
  </si>
  <si>
    <t xml:space="preserve">übergehen</t>
  </si>
  <si>
    <t xml:space="preserve">ignorer, passer outre</t>
  </si>
  <si>
    <t xml:space="preserve">erzwingen</t>
  </si>
  <si>
    <t xml:space="preserve">obtenir de force</t>
  </si>
  <si>
    <t xml:space="preserve">versetzen</t>
  </si>
  <si>
    <t xml:space="preserve">déplacer, muter qn</t>
  </si>
  <si>
    <t xml:space="preserve">anspringen</t>
  </si>
  <si>
    <t xml:space="preserve">démarrer</t>
  </si>
  <si>
    <t xml:space="preserve">Verhütung (-en), die</t>
  </si>
  <si>
    <t xml:space="preserve">la prévention</t>
  </si>
  <si>
    <t xml:space="preserve">unterbrechen</t>
  </si>
  <si>
    <t xml:space="preserve">interrompre</t>
  </si>
  <si>
    <t xml:space="preserve">Gegebenheit (-en), die</t>
  </si>
  <si>
    <t xml:space="preserve">la donnée, la réalité</t>
  </si>
  <si>
    <t xml:space="preserve">prall</t>
  </si>
  <si>
    <t xml:space="preserve">rebondi, (un sac) bourré</t>
  </si>
  <si>
    <t xml:space="preserve">Erbkrankheit (-en), die</t>
  </si>
  <si>
    <t xml:space="preserve">la maladie héréditaire</t>
  </si>
  <si>
    <t xml:space="preserve">Kündigung (-en), die</t>
  </si>
  <si>
    <t xml:space="preserve">le licenciement / la résiliation</t>
  </si>
  <si>
    <t xml:space="preserve">abbrechen</t>
  </si>
  <si>
    <t xml:space="preserve">avorter</t>
  </si>
  <si>
    <t xml:space="preserve">brauchbar</t>
  </si>
  <si>
    <t xml:space="preserve">utile, utilisable / décent</t>
  </si>
  <si>
    <t xml:space="preserve">Belegung (-en), die</t>
  </si>
  <si>
    <t xml:space="preserve">le remplissage, le revêtement</t>
  </si>
  <si>
    <t xml:space="preserve">Ausrüsten (Ø), das</t>
  </si>
  <si>
    <t xml:space="preserve">l'équipement</t>
  </si>
  <si>
    <t xml:space="preserve">Einschätzung (-en), die</t>
  </si>
  <si>
    <t xml:space="preserve">l'estimation, le ressenti</t>
  </si>
  <si>
    <t xml:space="preserve">sich zügeln</t>
  </si>
  <si>
    <t xml:space="preserve">se contrôler, se dominer</t>
  </si>
  <si>
    <t xml:space="preserve">Buchse (-n), die</t>
  </si>
  <si>
    <t xml:space="preserve">la prise femelle / la douille / la boîte de conserve</t>
  </si>
  <si>
    <t xml:space="preserve">sorgfältig</t>
  </si>
  <si>
    <t xml:space="preserve">approfondi, soigné</t>
  </si>
  <si>
    <t xml:space="preserve">auf jmdn/etw. Bezug nehmen</t>
  </si>
  <si>
    <t xml:space="preserve">faire référence à qn/qc</t>
  </si>
  <si>
    <t xml:space="preserve">sich in etw. verstricken</t>
  </si>
  <si>
    <t xml:space="preserve">s’empêtrer dans qc</t>
  </si>
  <si>
    <t xml:space="preserve">unverzüglich (Adj.)</t>
  </si>
  <si>
    <t xml:space="preserve">immédiat</t>
  </si>
  <si>
    <t xml:space="preserve">Hemmnis (-isse), das</t>
  </si>
  <si>
    <t xml:space="preserve">l'entrave, l'obstacle</t>
  </si>
  <si>
    <t xml:space="preserve">augenfällig, eindeutig, ersichtlich</t>
  </si>
  <si>
    <t xml:space="preserve">évident</t>
  </si>
  <si>
    <t xml:space="preserve">Skizze (-n), die</t>
  </si>
  <si>
    <t xml:space="preserve">le croquis</t>
  </si>
  <si>
    <t xml:space="preserve">neuerdings</t>
  </si>
  <si>
    <t xml:space="preserve">depuis peu</t>
  </si>
  <si>
    <t xml:space="preserve">Benehmen (Ø), das</t>
  </si>
  <si>
    <t xml:space="preserve">le comportement, la tenue</t>
  </si>
  <si>
    <t xml:space="preserve">Bestätigung (-en), die</t>
  </si>
  <si>
    <t xml:space="preserve">la confirmation, la validation</t>
  </si>
  <si>
    <t xml:space="preserve">Behälter (-), der</t>
  </si>
  <si>
    <t xml:space="preserve">le récipient, le contenant</t>
  </si>
  <si>
    <t xml:space="preserve">ansonsten</t>
  </si>
  <si>
    <t xml:space="preserve">autrement, pour le reste</t>
  </si>
  <si>
    <t xml:space="preserve">insoweit, als</t>
  </si>
  <si>
    <t xml:space="preserve">dans la mesure où</t>
  </si>
  <si>
    <t xml:space="preserve">Walzen (Ø), das</t>
  </si>
  <si>
    <t xml:space="preserve">le laminage</t>
  </si>
  <si>
    <t xml:space="preserve">fristgerecht</t>
  </si>
  <si>
    <t xml:space="preserve">dans les délais</t>
  </si>
  <si>
    <t xml:space="preserve">zurücklegen</t>
  </si>
  <si>
    <t xml:space="preserve">économiser, mettre en réserve</t>
  </si>
  <si>
    <t xml:space="preserve">entweichen</t>
  </si>
  <si>
    <t xml:space="preserve">s’échapper, s’enfuir</t>
  </si>
  <si>
    <t xml:space="preserve">beimessen</t>
  </si>
  <si>
    <t xml:space="preserve">attribuer, attacher</t>
  </si>
  <si>
    <t xml:space="preserve">verstoßen</t>
  </si>
  <si>
    <t xml:space="preserve">chasser, repousser</t>
  </si>
  <si>
    <t xml:space="preserve">abgegolten</t>
  </si>
  <si>
    <t xml:space="preserve">acquitté / indemnisé</t>
  </si>
  <si>
    <t xml:space="preserve">Antrag (-äge), der (IT)</t>
  </si>
  <si>
    <t xml:space="preserve">la demande, la requête</t>
  </si>
  <si>
    <t xml:space="preserve">Schnitzer (ugs.), der</t>
  </si>
  <si>
    <t xml:space="preserve">la gaffe, la bourde</t>
  </si>
  <si>
    <t xml:space="preserve">Bündnis (-se), das</t>
  </si>
  <si>
    <t xml:space="preserve">l'alliance, l'entente</t>
  </si>
  <si>
    <t xml:space="preserve">etw. erteilen</t>
  </si>
  <si>
    <t xml:space="preserve">intimer qc / conférer qc</t>
  </si>
  <si>
    <t xml:space="preserve">Aufdeckung (-en), die</t>
  </si>
  <si>
    <t xml:space="preserve">la découverte</t>
  </si>
  <si>
    <t xml:space="preserve">ansässig</t>
  </si>
  <si>
    <t xml:space="preserve">domicilié, établi</t>
  </si>
  <si>
    <t xml:space="preserve">sich vorbeugen</t>
  </si>
  <si>
    <t xml:space="preserve">se pencher en avant</t>
  </si>
  <si>
    <t xml:space="preserve">Einerlei (Ø), das</t>
  </si>
  <si>
    <t xml:space="preserve">la monotonie</t>
  </si>
  <si>
    <t xml:space="preserve">sonstig</t>
  </si>
  <si>
    <t xml:space="preserve">autre</t>
  </si>
  <si>
    <t xml:space="preserve">Abmachung (-en), die</t>
  </si>
  <si>
    <t xml:space="preserve">l'accord, l'arrangement</t>
  </si>
  <si>
    <t xml:space="preserve">Befestigung (-en), die</t>
  </si>
  <si>
    <t xml:space="preserve">l'attache, la fixation</t>
  </si>
  <si>
    <t xml:space="preserve">Grundlage (-n), die</t>
  </si>
  <si>
    <t xml:space="preserve">la base, le fondement</t>
  </si>
  <si>
    <t xml:space="preserve">Bügel (-), der</t>
  </si>
  <si>
    <t xml:space="preserve">le cintre / le porte-manteau / l'étrier</t>
  </si>
  <si>
    <t xml:space="preserve">zustehen +D.</t>
  </si>
  <si>
    <t xml:space="preserve">appartenir à</t>
  </si>
  <si>
    <t xml:space="preserve">SAP</t>
  </si>
  <si>
    <t xml:space="preserve">Systems Applications and Products in data processing</t>
  </si>
  <si>
    <t xml:space="preserve">verweigern</t>
  </si>
  <si>
    <t xml:space="preserve">refuser, désobéir</t>
  </si>
  <si>
    <t xml:space="preserve">Niet (-e), der</t>
  </si>
  <si>
    <t xml:space="preserve">le rivet</t>
  </si>
  <si>
    <t xml:space="preserve">Bekenntnis (-se), das</t>
  </si>
  <si>
    <t xml:space="preserve">l'aveu / la confession</t>
  </si>
  <si>
    <t xml:space="preserve">tageweise</t>
  </si>
  <si>
    <t xml:space="preserve">à la journée</t>
  </si>
  <si>
    <t xml:space="preserve">Vorkehrung (-en), die</t>
  </si>
  <si>
    <t xml:space="preserve">la mesure préventive, la précaution</t>
  </si>
  <si>
    <t xml:space="preserve">Vorschrift (-en), die</t>
  </si>
  <si>
    <t xml:space="preserve">la consigne, l'instruction</t>
  </si>
  <si>
    <t xml:space="preserve">Nagel (-ägel), der</t>
  </si>
  <si>
    <t xml:space="preserve">l'ongle / le clou</t>
  </si>
  <si>
    <t xml:space="preserve">ehrenamtliche</t>
  </si>
  <si>
    <t xml:space="preserve">bénévole</t>
  </si>
  <si>
    <t xml:space="preserve">Laufrolle (-n), die</t>
  </si>
  <si>
    <t xml:space="preserve">le galet, la roulette, la poulie</t>
  </si>
  <si>
    <t xml:space="preserve">Tüte (-n), die</t>
  </si>
  <si>
    <t xml:space="preserve">le sac</t>
  </si>
  <si>
    <t xml:space="preserve">Ablage (-n), die</t>
  </si>
  <si>
    <t xml:space="preserve">le rangement, le dépôt</t>
  </si>
  <si>
    <t xml:space="preserve">Grundpfeiler (-), der</t>
  </si>
  <si>
    <t xml:space="preserve">le pilier de fondation</t>
  </si>
  <si>
    <t xml:space="preserve">Rüstzeit (-en), die</t>
  </si>
  <si>
    <t xml:space="preserve">le temps de préparation</t>
  </si>
  <si>
    <t xml:space="preserve">Stift (-e), der</t>
  </si>
  <si>
    <t xml:space="preserve">le crayon / la broche, la cheville (techn.)</t>
  </si>
  <si>
    <t xml:space="preserve">Hebel (-), der</t>
  </si>
  <si>
    <t xml:space="preserve">le levier</t>
  </si>
  <si>
    <t xml:space="preserve">zugelassen</t>
  </si>
  <si>
    <t xml:space="preserve">admis, toléré</t>
  </si>
  <si>
    <t xml:space="preserve">Entschädigung (-en), die</t>
  </si>
  <si>
    <t xml:space="preserve">l'indemnisation</t>
  </si>
  <si>
    <t xml:space="preserve">Schrott (-e), der</t>
  </si>
  <si>
    <t xml:space="preserve">la ferraille</t>
  </si>
  <si>
    <t xml:space="preserve">unzulässig</t>
  </si>
  <si>
    <t xml:space="preserve">inadmissible</t>
  </si>
  <si>
    <t xml:space="preserve">Reiter (-), der</t>
  </si>
  <si>
    <t xml:space="preserve">le cavalier / l'onglet (inform.)</t>
  </si>
  <si>
    <t xml:space="preserve">Vertretung (-en), die</t>
  </si>
  <si>
    <t xml:space="preserve">le remplacement, la délégation</t>
  </si>
  <si>
    <t xml:space="preserve">Fertigungsstraße (-n), die</t>
  </si>
  <si>
    <t xml:space="preserve">la chaîne de fabrication</t>
  </si>
  <si>
    <t xml:space="preserve">Rädchen (-), die</t>
  </si>
  <si>
    <t xml:space="preserve">la roulette</t>
  </si>
  <si>
    <t xml:space="preserve">etw.+A beabsichtigen</t>
  </si>
  <si>
    <t xml:space="preserve">avoir l’intention de faire qc</t>
  </si>
  <si>
    <t xml:space="preserve">(wieder)aufplatzen</t>
  </si>
  <si>
    <t xml:space="preserve">crever, se rouvrir</t>
  </si>
  <si>
    <t xml:space="preserve">gewährleisten</t>
  </si>
  <si>
    <t xml:space="preserve">assurer, garantir</t>
  </si>
  <si>
    <t xml:space="preserve">anhaftend</t>
  </si>
  <si>
    <t xml:space="preserve">inhérent</t>
  </si>
  <si>
    <t xml:space="preserve">Gremium (-ien), das</t>
  </si>
  <si>
    <t xml:space="preserve">la commission, le comité</t>
  </si>
  <si>
    <t xml:space="preserve">Vollkommenheit (-en), die</t>
  </si>
  <si>
    <t xml:space="preserve">la perfection</t>
  </si>
  <si>
    <t xml:space="preserve">belegen</t>
  </si>
  <si>
    <t xml:space="preserve">prouver, authentifier</t>
  </si>
  <si>
    <t xml:space="preserve">Überfall (-älle), der</t>
  </si>
  <si>
    <t xml:space="preserve">l'envahissement, le raid</t>
  </si>
  <si>
    <t xml:space="preserve">Brüstung (-en), die</t>
  </si>
  <si>
    <t xml:space="preserve">l'appui, le garde-fou</t>
  </si>
  <si>
    <t xml:space="preserve">seinerzeit (Adv.)</t>
  </si>
  <si>
    <t xml:space="preserve">à l’époque</t>
  </si>
  <si>
    <t xml:space="preserve">Verbindlichkeit (-en), die</t>
  </si>
  <si>
    <t xml:space="preserve">la complaisance / l'obligation / la dette</t>
  </si>
  <si>
    <t xml:space="preserve">Bagger (-), der</t>
  </si>
  <si>
    <t xml:space="preserve">la pelleteuse, l'excavateur</t>
  </si>
  <si>
    <t xml:space="preserve">verschleppen</t>
  </si>
  <si>
    <t xml:space="preserve">transmettre / déplacer, déporter</t>
  </si>
  <si>
    <t xml:space="preserve">Nachrüstung (-en), die</t>
  </si>
  <si>
    <t xml:space="preserve">le rattrapage (techn.)</t>
  </si>
  <si>
    <t xml:space="preserve">überwiegend (Adv.)</t>
  </si>
  <si>
    <t xml:space="preserve">en majorité, la plupart du temps</t>
  </si>
  <si>
    <t xml:space="preserve">Kelter (-n), die</t>
  </si>
  <si>
    <t xml:space="preserve">le pressoir</t>
  </si>
  <si>
    <t xml:space="preserve">Wiedergabe (-n), die</t>
  </si>
  <si>
    <t xml:space="preserve">le rendu, la reproduction</t>
  </si>
  <si>
    <t xml:space="preserve">Inbegriff (-e), der</t>
  </si>
  <si>
    <t xml:space="preserve">l'incarnation</t>
  </si>
  <si>
    <t xml:space="preserve">Klopfen (Ø), das</t>
  </si>
  <si>
    <t xml:space="preserve">le battement</t>
  </si>
  <si>
    <t xml:space="preserve">Pegel (-), der</t>
  </si>
  <si>
    <t xml:space="preserve">l'échelle fluviale</t>
  </si>
  <si>
    <t xml:space="preserve">aushängen</t>
  </si>
  <si>
    <t xml:space="preserve">afficher, publier</t>
  </si>
  <si>
    <t xml:space="preserve">Aufpreis (-e), der</t>
  </si>
  <si>
    <t xml:space="preserve">la plus-value</t>
  </si>
  <si>
    <t xml:space="preserve">verleihen</t>
  </si>
  <si>
    <t xml:space="preserve">conférer, investir</t>
  </si>
  <si>
    <t xml:space="preserve">Gemarkung (-en), die</t>
  </si>
  <si>
    <t xml:space="preserve">la borne, le territoire communal</t>
  </si>
  <si>
    <t xml:space="preserve">Kessel (-), der</t>
  </si>
  <si>
    <t xml:space="preserve">le chaudron, la marmite</t>
  </si>
  <si>
    <t xml:space="preserve">Zier (Ø), die</t>
  </si>
  <si>
    <t xml:space="preserve">la décoration, l'ornement</t>
  </si>
  <si>
    <t xml:space="preserve">Sterbelager (-), das</t>
  </si>
  <si>
    <t xml:space="preserve">le lit de mort</t>
  </si>
  <si>
    <t xml:space="preserve">Verwertung (-en), die</t>
  </si>
  <si>
    <t xml:space="preserve">l'utilisation</t>
  </si>
  <si>
    <t xml:space="preserve">Vorbehalt (-e), der</t>
  </si>
  <si>
    <t xml:space="preserve">la réserve, la réticence</t>
  </si>
  <si>
    <t xml:space="preserve">Zoll (-), der</t>
  </si>
  <si>
    <t xml:space="preserve">la douane / le pouce (unité de mesure)</t>
  </si>
  <si>
    <t xml:space="preserve">Libelle (-n), die</t>
  </si>
  <si>
    <t xml:space="preserve">la libellule</t>
  </si>
  <si>
    <t xml:space="preserve">tarnen</t>
  </si>
  <si>
    <t xml:space="preserve">camoufler</t>
  </si>
  <si>
    <t xml:space="preserve">Ablagefach (-ächer), das</t>
  </si>
  <si>
    <t xml:space="preserve">le casier</t>
  </si>
  <si>
    <t xml:space="preserve">Vorrüstung (-en), die</t>
  </si>
  <si>
    <t xml:space="preserve">les réglages préliminaires</t>
  </si>
  <si>
    <t xml:space="preserve">aus etw.+D hervorgehen</t>
  </si>
  <si>
    <t xml:space="preserve">résulter de, être issu de</t>
  </si>
  <si>
    <t xml:space="preserve">Bug (-e), der</t>
  </si>
  <si>
    <t xml:space="preserve">l'avant d’un véhicule</t>
  </si>
  <si>
    <t xml:space="preserve">Ausgleich (-e), der</t>
  </si>
  <si>
    <t xml:space="preserve">la compensation, la conciliation</t>
  </si>
  <si>
    <t xml:space="preserve">Schaltung (-en), die</t>
  </si>
  <si>
    <t xml:space="preserve">le circuit, la connexion, le couplage</t>
  </si>
  <si>
    <t xml:space="preserve">Vorliebe (-n), die</t>
  </si>
  <si>
    <t xml:space="preserve">le goût, la préférence</t>
  </si>
  <si>
    <t xml:space="preserve">Heckscheibe (-n), die</t>
  </si>
  <si>
    <t xml:space="preserve">la vitre arrière</t>
  </si>
  <si>
    <t xml:space="preserve">blenden</t>
  </si>
  <si>
    <t xml:space="preserve">aveugler, éblouir</t>
  </si>
  <si>
    <t xml:space="preserve">Fußmatte (-n), die</t>
  </si>
  <si>
    <t xml:space="preserve">le paillasson</t>
  </si>
  <si>
    <t xml:space="preserve">Blinker (-), der</t>
  </si>
  <si>
    <t xml:space="preserve">le clignotant</t>
  </si>
  <si>
    <t xml:space="preserve">Fahrwerk (-), das</t>
  </si>
  <si>
    <t xml:space="preserve">le châssis / le train d'atterrissage</t>
  </si>
  <si>
    <t xml:space="preserve">Zifferblatt (-ätter), das</t>
  </si>
  <si>
    <t xml:space="preserve">le cadran</t>
  </si>
  <si>
    <t xml:space="preserve">Leichtmetall (-e), das</t>
  </si>
  <si>
    <t xml:space="preserve">l'alliage léger</t>
  </si>
  <si>
    <t xml:space="preserve">betätigen</t>
  </si>
  <si>
    <t xml:space="preserve">actionner, manier</t>
  </si>
  <si>
    <t xml:space="preserve">nachweislich</t>
  </si>
  <si>
    <t xml:space="preserve">avéré, manifeste</t>
  </si>
  <si>
    <t xml:space="preserve">Furt (-en), die</t>
  </si>
  <si>
    <t xml:space="preserve">le gué</t>
  </si>
  <si>
    <t xml:space="preserve">Vorbeugung (-en), die</t>
  </si>
  <si>
    <t xml:space="preserve">la lutte préventive, la prévention</t>
  </si>
  <si>
    <t xml:space="preserve">Lenkrad (-äder), das</t>
  </si>
  <si>
    <t xml:space="preserve">le volant</t>
  </si>
  <si>
    <t xml:space="preserve">Kot (-), der</t>
  </si>
  <si>
    <t xml:space="preserve">l'excrément, la fiente</t>
  </si>
  <si>
    <t xml:space="preserve">gezielt</t>
  </si>
  <si>
    <t xml:space="preserve">ciblé, visé</t>
  </si>
  <si>
    <t xml:space="preserve">Aufprall (-e), der</t>
  </si>
  <si>
    <t xml:space="preserve">le choc, le heurt</t>
  </si>
  <si>
    <t xml:space="preserve">Abmessung (-en), die</t>
  </si>
  <si>
    <t xml:space="preserve">la dimension</t>
  </si>
  <si>
    <t xml:space="preserve">Naht (-ähte), die</t>
  </si>
  <si>
    <t xml:space="preserve">la couture, le joint</t>
  </si>
  <si>
    <t xml:space="preserve">Frondienst (-e), der</t>
  </si>
  <si>
    <t xml:space="preserve">la corvée</t>
  </si>
  <si>
    <t xml:space="preserve">Mahagoni (Ø), das</t>
  </si>
  <si>
    <t xml:space="preserve">l'acajou</t>
  </si>
  <si>
    <t xml:space="preserve">Abholung (-en), die</t>
  </si>
  <si>
    <t xml:space="preserve">le retrait, l'enlèvement</t>
  </si>
  <si>
    <t xml:space="preserve">umklappbar</t>
  </si>
  <si>
    <t xml:space="preserve">rabattable</t>
  </si>
  <si>
    <t xml:space="preserve">wahlweise</t>
  </si>
  <si>
    <t xml:space="preserve">au choix</t>
  </si>
  <si>
    <t xml:space="preserve">Stahlseil (-e), das</t>
  </si>
  <si>
    <t xml:space="preserve">le câble d’acier</t>
  </si>
  <si>
    <t xml:space="preserve">Kotflügel (-), der</t>
  </si>
  <si>
    <t xml:space="preserve">le garde-boue</t>
  </si>
  <si>
    <t xml:space="preserve">Aufkäufer (-), der</t>
  </si>
  <si>
    <t xml:space="preserve">le repreneur, l'acheteur</t>
  </si>
  <si>
    <t xml:space="preserve">überrollen</t>
  </si>
  <si>
    <t xml:space="preserve">déferler, renverser</t>
  </si>
  <si>
    <t xml:space="preserve">Radnabe (-n), die</t>
  </si>
  <si>
    <t xml:space="preserve">le moyeu de roue</t>
  </si>
  <si>
    <t xml:space="preserve">Nockenwelle (-n), die</t>
  </si>
  <si>
    <t xml:space="preserve">l'arbre à came</t>
  </si>
  <si>
    <t xml:space="preserve">Verriegelung (-en), die</t>
  </si>
  <si>
    <t xml:space="preserve">le verrouillage</t>
  </si>
  <si>
    <t xml:space="preserve">Verdichtungsverhältnis (-se), das</t>
  </si>
  <si>
    <t xml:space="preserve">le taux de compression</t>
  </si>
  <si>
    <t xml:space="preserve">abgleichen</t>
  </si>
  <si>
    <t xml:space="preserve">équilibrer, accorder</t>
  </si>
  <si>
    <t xml:space="preserve">Schaltgetriebe (-), das</t>
  </si>
  <si>
    <t xml:space="preserve">la boîte de vitesse</t>
  </si>
  <si>
    <t xml:space="preserve">Haube (-n), die</t>
  </si>
  <si>
    <t xml:space="preserve">le capot / la coiffe</t>
  </si>
  <si>
    <t xml:space="preserve">Drehzahlmesser (-), der</t>
  </si>
  <si>
    <t xml:space="preserve">le tachymètre</t>
  </si>
  <si>
    <t xml:space="preserve">Hubraum (-äume), der</t>
  </si>
  <si>
    <t xml:space="preserve">la cylindrée</t>
  </si>
  <si>
    <t xml:space="preserve">Lenksäule (-n), die</t>
  </si>
  <si>
    <t xml:space="preserve">la colonne de direction</t>
  </si>
  <si>
    <t xml:space="preserve">Gehäuse (-), das</t>
  </si>
  <si>
    <t xml:space="preserve">la boîte, la carapace</t>
  </si>
  <si>
    <t xml:space="preserve">Schalthebel (-), der</t>
  </si>
  <si>
    <t xml:space="preserve">le levier de vitesse</t>
  </si>
  <si>
    <t xml:space="preserve">Taste (-n), die</t>
  </si>
  <si>
    <t xml:space="preserve">la touche</t>
  </si>
  <si>
    <t xml:space="preserve">Feuerlöscher (-), das</t>
  </si>
  <si>
    <t xml:space="preserve">l'extincteur</t>
  </si>
  <si>
    <t xml:space="preserve">Spule (-n), die</t>
  </si>
  <si>
    <t xml:space="preserve">la bobine / la canette</t>
  </si>
  <si>
    <t xml:space="preserve">Lehrring (-e), der</t>
  </si>
  <si>
    <t xml:space="preserve">la bague de contrôle</t>
  </si>
  <si>
    <t xml:space="preserve">Kopfstütze (-n), die</t>
  </si>
  <si>
    <t xml:space="preserve">l'appuie-tête</t>
  </si>
  <si>
    <t xml:space="preserve">Ausstattung (-en), die</t>
  </si>
  <si>
    <t xml:space="preserve">l'équipement / la garniture</t>
  </si>
  <si>
    <t xml:space="preserve">Hülle (-n), die</t>
  </si>
  <si>
    <t xml:space="preserve">la gaine, le revêtement / l'ampoule électrique</t>
  </si>
  <si>
    <t xml:space="preserve">Schnur (-üre), die</t>
  </si>
  <si>
    <t xml:space="preserve">le fil, la ganse</t>
  </si>
  <si>
    <t xml:space="preserve">Gang (-änge), der</t>
  </si>
  <si>
    <t xml:space="preserve">la vitesse (autom.)</t>
  </si>
  <si>
    <t xml:space="preserve">Differentialgetriebe (-), das</t>
  </si>
  <si>
    <t xml:space="preserve">l'engrenage différentiel</t>
  </si>
  <si>
    <t xml:space="preserve">Abzweigung (-en), die</t>
  </si>
  <si>
    <t xml:space="preserve">l'embranchement</t>
  </si>
  <si>
    <t xml:space="preserve">empfehlen</t>
  </si>
  <si>
    <t xml:space="preserve">conseiller, recommander</t>
  </si>
  <si>
    <t xml:space="preserve">Schalttafel (-n), die</t>
  </si>
  <si>
    <t xml:space="preserve">le tableau de commande</t>
  </si>
  <si>
    <t xml:space="preserve">entstehen</t>
  </si>
  <si>
    <t xml:space="preserve">se produire, se former</t>
  </si>
  <si>
    <t xml:space="preserve">Fernbedienung (-en), die</t>
  </si>
  <si>
    <t xml:space="preserve">la télécommande</t>
  </si>
  <si>
    <t xml:space="preserve">Leuchtenband (-änder), das</t>
  </si>
  <si>
    <t xml:space="preserve">la rampe d’éclairage</t>
  </si>
  <si>
    <t xml:space="preserve">Anteilnahme (-n), die</t>
  </si>
  <si>
    <t xml:space="preserve">la compassion, l'empathie</t>
  </si>
  <si>
    <t xml:space="preserve">Laster (-), das</t>
  </si>
  <si>
    <t xml:space="preserve">le vice</t>
  </si>
  <si>
    <t xml:space="preserve">von etw. abbringen</t>
  </si>
  <si>
    <t xml:space="preserve">faire abandonner</t>
  </si>
  <si>
    <t xml:space="preserve">vornehm tun</t>
  </si>
  <si>
    <t xml:space="preserve">se donner des allures</t>
  </si>
  <si>
    <t xml:space="preserve">ahnen</t>
  </si>
  <si>
    <t xml:space="preserve">pressentir, se douter</t>
  </si>
  <si>
    <t xml:space="preserve">Widerwillen (Ø), der</t>
  </si>
  <si>
    <t xml:space="preserve">l'aversion, le dégoût, la répugnance</t>
  </si>
  <si>
    <t xml:space="preserve">verwirrt</t>
  </si>
  <si>
    <t xml:space="preserve">confus</t>
  </si>
  <si>
    <t xml:space="preserve">geistig beweglich</t>
  </si>
  <si>
    <t xml:space="preserve">flexible, ouvert / vif</t>
  </si>
  <si>
    <t xml:space="preserve">Landsmann (-änner), der</t>
  </si>
  <si>
    <t xml:space="preserve">le compatriote</t>
  </si>
  <si>
    <t xml:space="preserve">auf einmal</t>
  </si>
  <si>
    <t xml:space="preserve">tout d’un coup</t>
  </si>
  <si>
    <t xml:space="preserve">verfehlen</t>
  </si>
  <si>
    <t xml:space="preserve">rater, manquer</t>
  </si>
  <si>
    <t xml:space="preserve">abwischen</t>
  </si>
  <si>
    <t xml:space="preserve">effacer</t>
  </si>
  <si>
    <t xml:space="preserve">schnappen</t>
  </si>
  <si>
    <t xml:space="preserve">attraper, coincer, pincer</t>
  </si>
  <si>
    <t xml:space="preserve">an der Zeit sein</t>
  </si>
  <si>
    <t xml:space="preserve">être le moment de</t>
  </si>
  <si>
    <t xml:space="preserve">brüllen</t>
  </si>
  <si>
    <t xml:space="preserve">hurler, vociférer, gueuler</t>
  </si>
  <si>
    <t xml:space="preserve">Verfehlung (-en), die</t>
  </si>
  <si>
    <t xml:space="preserve">la faute / le délit</t>
  </si>
  <si>
    <t xml:space="preserve">plaudern</t>
  </si>
  <si>
    <t xml:space="preserve">bavarder, causer</t>
  </si>
  <si>
    <t xml:space="preserve">auftauchen</t>
  </si>
  <si>
    <t xml:space="preserve">surgir, émerger</t>
  </si>
  <si>
    <t xml:space="preserve">Ladenhüter (-), der</t>
  </si>
  <si>
    <t xml:space="preserve">l'invendu / l'invendable</t>
  </si>
  <si>
    <t xml:space="preserve">Rechtsprechung (-en), die</t>
  </si>
  <si>
    <t xml:space="preserve">la jurisprudence</t>
  </si>
  <si>
    <t xml:space="preserve">hüten</t>
  </si>
  <si>
    <t xml:space="preserve">garder, surveiller</t>
  </si>
  <si>
    <t xml:space="preserve">zum besten geben</t>
  </si>
  <si>
    <t xml:space="preserve">raconter, présenter, faire état de</t>
  </si>
  <si>
    <t xml:space="preserve">Reiz (-e), der</t>
  </si>
  <si>
    <t xml:space="preserve">l'attrait, le charme</t>
  </si>
  <si>
    <t xml:space="preserve">verärgern</t>
  </si>
  <si>
    <t xml:space="preserve">vexer</t>
  </si>
  <si>
    <t xml:space="preserve">ins Augen fassen</t>
  </si>
  <si>
    <t xml:space="preserve">envisager</t>
  </si>
  <si>
    <t xml:space="preserve">neuwertig</t>
  </si>
  <si>
    <t xml:space="preserve">comme neuf</t>
  </si>
  <si>
    <t xml:space="preserve">genießbar</t>
  </si>
  <si>
    <t xml:space="preserve">comestible</t>
  </si>
  <si>
    <t xml:space="preserve">geistlich</t>
  </si>
  <si>
    <t xml:space="preserve">ecclésial, clérical</t>
  </si>
  <si>
    <t xml:space="preserve">Zweigstelle (-n), die</t>
  </si>
  <si>
    <t xml:space="preserve">la succursale, la filiale</t>
  </si>
  <si>
    <t xml:space="preserve">erraten</t>
  </si>
  <si>
    <t xml:space="preserve">deviner</t>
  </si>
  <si>
    <t xml:space="preserve">Anstand (-ände), der</t>
  </si>
  <si>
    <t xml:space="preserve">la bienséance, les bonnes manières</t>
  </si>
  <si>
    <t xml:space="preserve">unanständig</t>
  </si>
  <si>
    <t xml:space="preserve">indécent, grossier</t>
  </si>
  <si>
    <t xml:space="preserve">geschäftstüchtig</t>
  </si>
  <si>
    <t xml:space="preserve">habile en affaire</t>
  </si>
  <si>
    <t xml:space="preserve">platzen</t>
  </si>
  <si>
    <t xml:space="preserve">éclater, crever</t>
  </si>
  <si>
    <t xml:space="preserve">Vernunft (Ø), die</t>
  </si>
  <si>
    <t xml:space="preserve">la raison, le bon sens</t>
  </si>
  <si>
    <t xml:space="preserve">eifersüchtig</t>
  </si>
  <si>
    <t xml:space="preserve">jaloux</t>
  </si>
  <si>
    <t xml:space="preserve">zeitgemäß (Adj.)</t>
  </si>
  <si>
    <t xml:space="preserve">actuel, moderne</t>
  </si>
  <si>
    <t xml:space="preserve">sich etw. anschaffen</t>
  </si>
  <si>
    <t xml:space="preserve">acquérir, acheter, se procurer</t>
  </si>
  <si>
    <t xml:space="preserve">sich verirren</t>
  </si>
  <si>
    <t xml:space="preserve">se perdre</t>
  </si>
  <si>
    <t xml:space="preserve">Irrtum (-ümer), der</t>
  </si>
  <si>
    <t xml:space="preserve">l'erreur</t>
  </si>
  <si>
    <t xml:space="preserve">Auszug (-üge), der</t>
  </si>
  <si>
    <t xml:space="preserve">l'extrait</t>
  </si>
  <si>
    <t xml:space="preserve">wagen</t>
  </si>
  <si>
    <t xml:space="preserve">oser, avoir l’audace</t>
  </si>
  <si>
    <t xml:space="preserve">Schäfer (-), der</t>
  </si>
  <si>
    <t xml:space="preserve">le berger</t>
  </si>
  <si>
    <t xml:space="preserve">Jugendliche (-n), der</t>
  </si>
  <si>
    <t xml:space="preserve">le jeune, l'adolescent</t>
  </si>
  <si>
    <t xml:space="preserve">Tugend (-en), die</t>
  </si>
  <si>
    <t xml:space="preserve">la vertu</t>
  </si>
  <si>
    <t xml:space="preserve">Gelegenheit (-en), die</t>
  </si>
  <si>
    <t xml:space="preserve">l'opportunité</t>
  </si>
  <si>
    <t xml:space="preserve">ob … oder …</t>
  </si>
  <si>
    <t xml:space="preserve">que ce soit … ou …</t>
  </si>
  <si>
    <t xml:space="preserve">einen Arzt aufsuchen</t>
  </si>
  <si>
    <t xml:space="preserve">consulter un médecin</t>
  </si>
  <si>
    <t xml:space="preserve">Landmann (-änner) / Bauer (-n), der</t>
  </si>
  <si>
    <t xml:space="preserve">le paysan</t>
  </si>
  <si>
    <t xml:space="preserve">Irrenhaus (-äuser), das</t>
  </si>
  <si>
    <t xml:space="preserve">l'asile, la maison de santé</t>
  </si>
  <si>
    <t xml:space="preserve">erwischen</t>
  </si>
  <si>
    <t xml:space="preserve">attraper (qq un, une maladie)</t>
  </si>
  <si>
    <t xml:space="preserve">Schmiede (-n), die</t>
  </si>
  <si>
    <t xml:space="preserve">la forge</t>
  </si>
  <si>
    <t xml:space="preserve">ans Tageslicht befördern</t>
  </si>
  <si>
    <t xml:space="preserve">mettre à jour, découvrir</t>
  </si>
  <si>
    <t xml:space="preserve">enträtseln</t>
  </si>
  <si>
    <t xml:space="preserve">découvrir, dévoiler</t>
  </si>
  <si>
    <t xml:space="preserve">Vereinsleben (-), das</t>
  </si>
  <si>
    <t xml:space="preserve">la vie associative</t>
  </si>
  <si>
    <t xml:space="preserve">einen Preisnachschlaß einräumen</t>
  </si>
  <si>
    <t xml:space="preserve">concéder une réduction</t>
  </si>
  <si>
    <t xml:space="preserve">Heide (-n), die</t>
  </si>
  <si>
    <t xml:space="preserve">la lande, la bruyère</t>
  </si>
  <si>
    <t xml:space="preserve">Niederlage (-n), die</t>
  </si>
  <si>
    <t xml:space="preserve">la défaite</t>
  </si>
  <si>
    <t xml:space="preserve">gierig</t>
  </si>
  <si>
    <t xml:space="preserve">avide</t>
  </si>
  <si>
    <t xml:space="preserve">klirren</t>
  </si>
  <si>
    <t xml:space="preserve">résonner, tinter</t>
  </si>
  <si>
    <t xml:space="preserve">Bewaffnung (-en), die</t>
  </si>
  <si>
    <t xml:space="preserve">l'armement</t>
  </si>
  <si>
    <t xml:space="preserve">schlau, gescheit</t>
  </si>
  <si>
    <t xml:space="preserve">malin, lucide</t>
  </si>
  <si>
    <t xml:space="preserve">begleiten</t>
  </si>
  <si>
    <t xml:space="preserve">accompagner</t>
  </si>
  <si>
    <t xml:space="preserve">scherzen</t>
  </si>
  <si>
    <t xml:space="preserve">plaisanter, rigoler</t>
  </si>
  <si>
    <t xml:space="preserve">zurückerstatten</t>
  </si>
  <si>
    <t xml:space="preserve">rembourser</t>
  </si>
  <si>
    <t xml:space="preserve">waghalsig</t>
  </si>
  <si>
    <t xml:space="preserve">téméraire, courageux</t>
  </si>
  <si>
    <t xml:space="preserve">sich verstehen auf …</t>
  </si>
  <si>
    <t xml:space="preserve">être compétent pour, connaître</t>
  </si>
  <si>
    <t xml:space="preserve">Nicht etwa …</t>
  </si>
  <si>
    <t xml:space="preserve">Non pas que …</t>
  </si>
  <si>
    <t xml:space="preserve">aufgelegt sein zu …</t>
  </si>
  <si>
    <t xml:space="preserve">être d’humeur à …</t>
  </si>
  <si>
    <t xml:space="preserve">ratlos</t>
  </si>
  <si>
    <t xml:space="preserve">désemparé, perdu</t>
  </si>
  <si>
    <t xml:space="preserve">vornehm</t>
  </si>
  <si>
    <t xml:space="preserve">distingué, noble</t>
  </si>
  <si>
    <t xml:space="preserve">Abmaß (-e), das</t>
  </si>
  <si>
    <t xml:space="preserve">la gradation</t>
  </si>
  <si>
    <t xml:space="preserve">etw.+A einschränken</t>
  </si>
  <si>
    <t xml:space="preserve">cadrer qc.</t>
  </si>
  <si>
    <t xml:space="preserve">umständlich</t>
  </si>
  <si>
    <t xml:space="preserve">gauche, incommode</t>
  </si>
  <si>
    <t xml:space="preserve">Balligkeit (-en), die</t>
  </si>
  <si>
    <t xml:space="preserve">la reprise / la résilience</t>
  </si>
  <si>
    <t xml:space="preserve">Eingriff (-e), der</t>
  </si>
  <si>
    <t xml:space="preserve">l'empiètement / l'engrènement</t>
  </si>
  <si>
    <t xml:space="preserve">Rücknahme (-n), die</t>
  </si>
  <si>
    <t xml:space="preserve">la reprise / le désistement</t>
  </si>
  <si>
    <t xml:space="preserve">obliegen jmdm etw.+A zu tun</t>
  </si>
  <si>
    <t xml:space="preserve">incomber à qn. de faire qqc.</t>
  </si>
  <si>
    <t xml:space="preserve">Stufung (-en), die</t>
  </si>
  <si>
    <t xml:space="preserve">Zahnstange (-n), die</t>
  </si>
  <si>
    <t xml:space="preserve">l'arbre d’un système d’engrenage</t>
  </si>
  <si>
    <t xml:space="preserve">Welligkeit (-en), die</t>
  </si>
  <si>
    <t xml:space="preserve">Sprung (-ünge), der</t>
  </si>
  <si>
    <t xml:space="preserve">le bond / la fente / l'écart / la discontinuité</t>
  </si>
  <si>
    <t xml:space="preserve">Rundheit (-en), die</t>
  </si>
  <si>
    <t xml:space="preserve">la circularité</t>
  </si>
  <si>
    <t xml:space="preserve">Parallelität (-en), die</t>
  </si>
  <si>
    <t xml:space="preserve">le parallélisme</t>
  </si>
  <si>
    <t xml:space="preserve">Flächenprofil (-e), das</t>
  </si>
  <si>
    <t xml:space="preserve">la forme d’une surface quelconque</t>
  </si>
  <si>
    <t xml:space="preserve">Ebenheit (-en), die</t>
  </si>
  <si>
    <t xml:space="preserve">la planéité</t>
  </si>
  <si>
    <t xml:space="preserve">Rechtwinkligkeit (-en), die</t>
  </si>
  <si>
    <t xml:space="preserve">la perpendicularité</t>
  </si>
  <si>
    <t xml:space="preserve">zylinderform</t>
  </si>
  <si>
    <t xml:space="preserve">cylindrique</t>
  </si>
  <si>
    <t xml:space="preserve">Rundlauf u. Planlauf (-äufe)</t>
  </si>
  <si>
    <t xml:space="preserve">le battement simple</t>
  </si>
  <si>
    <t xml:space="preserve">Nachweis (-e), der</t>
  </si>
  <si>
    <t xml:space="preserve">la preuve</t>
  </si>
  <si>
    <t xml:space="preserve">Linienprofil (-e), das</t>
  </si>
  <si>
    <t xml:space="preserve">la forme d’une ligne quelconque</t>
  </si>
  <si>
    <t xml:space="preserve">anfasen</t>
  </si>
  <si>
    <t xml:space="preserve">rogner</t>
  </si>
  <si>
    <t xml:space="preserve">etw.+A herbeiführen</t>
  </si>
  <si>
    <t xml:space="preserve">entraîner qc, provoquer qc</t>
  </si>
  <si>
    <t xml:space="preserve">Empfindlichkeit (-en), die</t>
  </si>
  <si>
    <t xml:space="preserve">l'impressionnabilité / le facteur d'échelle</t>
  </si>
  <si>
    <t xml:space="preserve">le châssis / le cadre</t>
  </si>
  <si>
    <t xml:space="preserve">Abschrift (-en), die</t>
  </si>
  <si>
    <t xml:space="preserve">le duplicata</t>
  </si>
  <si>
    <t xml:space="preserve">bekömmlich</t>
  </si>
  <si>
    <t xml:space="preserve">sain, digeste</t>
  </si>
  <si>
    <t xml:space="preserve">Rüge (-n), die</t>
  </si>
  <si>
    <t xml:space="preserve">le blâme, la réprimande</t>
  </si>
  <si>
    <t xml:space="preserve">beantragen</t>
  </si>
  <si>
    <t xml:space="preserve">solliciter</t>
  </si>
  <si>
    <t xml:space="preserve">befunden (Verb)</t>
  </si>
  <si>
    <t xml:space="preserve">évaluer (méd.)</t>
  </si>
  <si>
    <t xml:space="preserve">beständig</t>
  </si>
  <si>
    <t xml:space="preserve">nachstehend</t>
  </si>
  <si>
    <t xml:space="preserve">ci-après, suivant, ci-dessous</t>
  </si>
  <si>
    <t xml:space="preserve">aufkündigen</t>
  </si>
  <si>
    <t xml:space="preserve">résilier</t>
  </si>
  <si>
    <t xml:space="preserve">absehbar</t>
  </si>
  <si>
    <t xml:space="preserve">prévisible</t>
  </si>
  <si>
    <t xml:space="preserve">Stollen (-), der</t>
  </si>
  <si>
    <t xml:space="preserve">le casier / la galerie / le crampon</t>
  </si>
  <si>
    <t xml:space="preserve">Rückstand (-ände), der</t>
  </si>
  <si>
    <t xml:space="preserve">le retard, l'arriéré / le résidu</t>
  </si>
  <si>
    <t xml:space="preserve">anpeilen</t>
  </si>
  <si>
    <t xml:space="preserve">viser</t>
  </si>
  <si>
    <t xml:space="preserve">aufwärts</t>
  </si>
  <si>
    <t xml:space="preserve">en amont</t>
  </si>
  <si>
    <t xml:space="preserve">anstoßen</t>
  </si>
  <si>
    <t xml:space="preserve">heurter</t>
  </si>
  <si>
    <t xml:space="preserve">jmdn.+A ahnden</t>
  </si>
  <si>
    <t xml:space="preserve">punir qn, sanctionner qn</t>
  </si>
  <si>
    <t xml:space="preserve">Staffelung (-en), die</t>
  </si>
  <si>
    <t xml:space="preserve">l'échelonnement</t>
  </si>
  <si>
    <t xml:space="preserve">Einbuße (-n), die</t>
  </si>
  <si>
    <t xml:space="preserve">la perte</t>
  </si>
  <si>
    <t xml:space="preserve">verzehren</t>
  </si>
  <si>
    <t xml:space="preserve">consommer / consumer</t>
  </si>
  <si>
    <t xml:space="preserve">sittlich</t>
  </si>
  <si>
    <t xml:space="preserve">moral</t>
  </si>
  <si>
    <t xml:space="preserve">hinken</t>
  </si>
  <si>
    <t xml:space="preserve">boîter</t>
  </si>
  <si>
    <t xml:space="preserve">berüchtigt</t>
  </si>
  <si>
    <t xml:space="preserve">mal famé</t>
  </si>
  <si>
    <t xml:space="preserve">mitsamt</t>
  </si>
  <si>
    <t xml:space="preserve">y compris</t>
  </si>
  <si>
    <t xml:space="preserve">arg</t>
  </si>
  <si>
    <t xml:space="preserve">grave / mauvais</t>
  </si>
  <si>
    <t xml:space="preserve">unterbreiten</t>
  </si>
  <si>
    <t xml:space="preserve">proposer</t>
  </si>
  <si>
    <t xml:space="preserve">beizen</t>
  </si>
  <si>
    <t xml:space="preserve">décaper</t>
  </si>
  <si>
    <t xml:space="preserve">Steg (-e), der</t>
  </si>
  <si>
    <t xml:space="preserve">la passerelle / l'âme (techn.) / le chevalet (mus.)</t>
  </si>
  <si>
    <t xml:space="preserve">Anhäufung (-en), die</t>
  </si>
  <si>
    <t xml:space="preserve">l'accumulation, l'entassement</t>
  </si>
  <si>
    <t xml:space="preserve">angebracht</t>
  </si>
  <si>
    <t xml:space="preserve">opportun, approprié</t>
  </si>
  <si>
    <t xml:space="preserve">etw.+A vorschalten</t>
  </si>
  <si>
    <t xml:space="preserve">monter qc. en série</t>
  </si>
  <si>
    <t xml:space="preserve">jmdm etw.+A zugestehen</t>
  </si>
  <si>
    <t xml:space="preserve">concéder qc à qn</t>
  </si>
  <si>
    <t xml:space="preserve">erwähnen</t>
  </si>
  <si>
    <t xml:space="preserve">mentionner</t>
  </si>
  <si>
    <t xml:space="preserve">ausarten</t>
  </si>
  <si>
    <t xml:space="preserve">tourner au vinaigre</t>
  </si>
  <si>
    <t xml:space="preserve">etw.+A mit Speichen versehen</t>
  </si>
  <si>
    <t xml:space="preserve">enrayer qqc.</t>
  </si>
  <si>
    <t xml:space="preserve">verschlangen</t>
  </si>
  <si>
    <t xml:space="preserve">engloutir</t>
  </si>
  <si>
    <t xml:space="preserve">bellen</t>
  </si>
  <si>
    <t xml:space="preserve">aboyer</t>
  </si>
  <si>
    <t xml:space="preserve">in Anlehnung an</t>
  </si>
  <si>
    <t xml:space="preserve">sur le modèle de</t>
  </si>
  <si>
    <t xml:space="preserve">ausschöpfen</t>
  </si>
  <si>
    <t xml:space="preserve">épuiser, exploiter</t>
  </si>
  <si>
    <t xml:space="preserve">ausführlich</t>
  </si>
  <si>
    <t xml:space="preserve">détaillé, poussé</t>
  </si>
  <si>
    <t xml:space="preserve">schleichen</t>
  </si>
  <si>
    <t xml:space="preserve">ramper</t>
  </si>
  <si>
    <t xml:space="preserve">im Übrigen</t>
  </si>
  <si>
    <t xml:space="preserve">du reste</t>
  </si>
  <si>
    <t xml:space="preserve">Glaubwürdigkeit (-en), die</t>
  </si>
  <si>
    <t xml:space="preserve">la crédibilité</t>
  </si>
  <si>
    <t xml:space="preserve">fallweise</t>
  </si>
  <si>
    <t xml:space="preserve">au cas par cas</t>
  </si>
  <si>
    <t xml:space="preserve">gemeinhin</t>
  </si>
  <si>
    <t xml:space="preserve">communément</t>
  </si>
  <si>
    <t xml:space="preserve">Speiche (-n), die</t>
  </si>
  <si>
    <t xml:space="preserve">le rayon</t>
  </si>
  <si>
    <t xml:space="preserve">streicheln</t>
  </si>
  <si>
    <t xml:space="preserve">caresser</t>
  </si>
  <si>
    <t xml:space="preserve">einvernehmlich</t>
  </si>
  <si>
    <t xml:space="preserve">amiable, consensuel</t>
  </si>
  <si>
    <t xml:space="preserve">Schallplatte (-n), die</t>
  </si>
  <si>
    <t xml:space="preserve">le disque</t>
  </si>
  <si>
    <t xml:space="preserve">Sonntagsrede (-n), die</t>
  </si>
  <si>
    <t xml:space="preserve">de belles paroles</t>
  </si>
  <si>
    <t xml:space="preserve">als etw. fungieren</t>
  </si>
  <si>
    <t xml:space="preserve">faire office de</t>
  </si>
  <si>
    <t xml:space="preserve">wanken</t>
  </si>
  <si>
    <t xml:space="preserve">chanceler, vaciller</t>
  </si>
  <si>
    <t xml:space="preserve">abdingbar</t>
  </si>
  <si>
    <t xml:space="preserve">non impératif</t>
  </si>
  <si>
    <t xml:space="preserve">Beitrag (-äge), der</t>
  </si>
  <si>
    <t xml:space="preserve">la contribution, la cotisation</t>
  </si>
  <si>
    <t xml:space="preserve">(zwischen) etw. +D abwägen</t>
  </si>
  <si>
    <t xml:space="preserve">considérer, soupeser, (faire la part entre qc et qc)</t>
  </si>
  <si>
    <t xml:space="preserve">le licenciement, la résiliation</t>
  </si>
  <si>
    <t xml:space="preserve">Stabsabteilung (-en), die</t>
  </si>
  <si>
    <t xml:space="preserve">la direction administrative</t>
  </si>
  <si>
    <t xml:space="preserve">allzu</t>
  </si>
  <si>
    <t xml:space="preserve">par trop</t>
  </si>
  <si>
    <t xml:space="preserve">Tauglichkeit (-en), die</t>
  </si>
  <si>
    <t xml:space="preserve">le caractère approprié, l'aptitude</t>
  </si>
  <si>
    <t xml:space="preserve">Dämmerung (-en), die</t>
  </si>
  <si>
    <t xml:space="preserve">le crépuscule</t>
  </si>
  <si>
    <t xml:space="preserve">brüchig</t>
  </si>
  <si>
    <t xml:space="preserve">fragile</t>
  </si>
  <si>
    <t xml:space="preserve">Abwanderung (-en), die</t>
  </si>
  <si>
    <t xml:space="preserve">la migration</t>
  </si>
  <si>
    <t xml:space="preserve">Inaugenscheinnahme (-n), die</t>
  </si>
  <si>
    <t xml:space="preserve">l'inspection</t>
  </si>
  <si>
    <t xml:space="preserve">Aus Liebe ist Hass geworden.</t>
  </si>
  <si>
    <t xml:space="preserve">L'amour s'est transformé en haine.</t>
  </si>
  <si>
    <t xml:space="preserve">Um diese Zeit wird er zu Hause sein.</t>
  </si>
  <si>
    <t xml:space="preserve">A cette heure, il est sans doute à la maison.</t>
  </si>
  <si>
    <t xml:space="preserve">der Form halber</t>
  </si>
  <si>
    <t xml:space="preserve">pour la forme</t>
  </si>
  <si>
    <t xml:space="preserve">strapazieren</t>
  </si>
  <si>
    <t xml:space="preserve">abîmer, fatiguer</t>
  </si>
  <si>
    <t xml:space="preserve">Schlagaustausch (-e), der</t>
  </si>
  <si>
    <t xml:space="preserve">la joute oratoire / l'échange de coups</t>
  </si>
  <si>
    <t xml:space="preserve">So, das wäre geschafft!</t>
  </si>
  <si>
    <t xml:space="preserve">Une bonne chose de faite !</t>
  </si>
  <si>
    <t xml:space="preserve">Das wird bei dir zur fixen Idee.</t>
  </si>
  <si>
    <t xml:space="preserve">Ça devient une idée fixe chez toi !</t>
  </si>
  <si>
    <t xml:space="preserve">Begleitung (-en), die</t>
  </si>
  <si>
    <t xml:space="preserve">la compagnie, l'accompagnement</t>
  </si>
  <si>
    <t xml:space="preserve">der Ansicht sein, dass …</t>
  </si>
  <si>
    <t xml:space="preserve">estimer que …</t>
  </si>
  <si>
    <t xml:space="preserve">Flansch (-e), der</t>
  </si>
  <si>
    <t xml:space="preserve">le flanc / la semelle / la bride</t>
  </si>
  <si>
    <t xml:space="preserve">Sturz (-ürze), der</t>
  </si>
  <si>
    <t xml:space="preserve">la baisse, la chute</t>
  </si>
  <si>
    <t xml:space="preserve">brisant</t>
  </si>
  <si>
    <t xml:space="preserve">très actuel</t>
  </si>
  <si>
    <t xml:space="preserve">Sie wird es über Ralf erfahren haben.</t>
  </si>
  <si>
    <t xml:space="preserve">Elle l'aura appris par l'intermédiaire de Ralf.</t>
  </si>
  <si>
    <t xml:space="preserve">wickeln</t>
  </si>
  <si>
    <t xml:space="preserve">enrouler, embobiner (envelopper)</t>
  </si>
  <si>
    <t xml:space="preserve">Nicht dass ich wüsste.</t>
  </si>
  <si>
    <t xml:space="preserve">Pas que je sache.</t>
  </si>
  <si>
    <t xml:space="preserve">Felge (-n), die</t>
  </si>
  <si>
    <t xml:space="preserve">la jante</t>
  </si>
  <si>
    <t xml:space="preserve">Wirtschaftlichkeit (-en), die</t>
  </si>
  <si>
    <t xml:space="preserve">la rentabilité</t>
  </si>
  <si>
    <t xml:space="preserve">Sie dürfen ihm nicht böse sein, er hat es nicht absichtlich getan.</t>
  </si>
  <si>
    <t xml:space="preserve">Ne lui en veuillez pas, il ne l'a pas fait exprès.</t>
  </si>
  <si>
    <t xml:space="preserve">anstelle + G.</t>
  </si>
  <si>
    <t xml:space="preserve">au lieu de, en guise de </t>
  </si>
  <si>
    <t xml:space="preserve">Das Wasser wird zu Eis geworden.</t>
  </si>
  <si>
    <t xml:space="preserve">L'eau s'est transformée en glace.</t>
  </si>
  <si>
    <t xml:space="preserve">Stossfänger (-), der</t>
  </si>
  <si>
    <t xml:space="preserve">le pare-chocs</t>
  </si>
  <si>
    <t xml:space="preserve">Warze (-n), die</t>
  </si>
  <si>
    <t xml:space="preserve">la pustule, la verrue</t>
  </si>
  <si>
    <t xml:space="preserve">Er gibt vor, keine Zeit zu haben.</t>
  </si>
  <si>
    <t xml:space="preserve">Il prétexte n'avoir pas de temps</t>
  </si>
  <si>
    <t xml:space="preserve">Wenn er mehr lernen würde, hätte er ein besseres Zeugnis.</t>
  </si>
  <si>
    <t xml:space="preserve">S'il travaillait plus, il aurait un meilleur bulletin scolaire.</t>
  </si>
  <si>
    <t xml:space="preserve">im Einklang mit ... .</t>
  </si>
  <si>
    <t xml:space="preserve">en phase avec ...</t>
  </si>
  <si>
    <t xml:space="preserve">Kleeblatt (-ätter), das</t>
  </si>
  <si>
    <t xml:space="preserve">la feuille de trèfle</t>
  </si>
  <si>
    <t xml:space="preserve">wissbegierig</t>
  </si>
  <si>
    <t xml:space="preserve">avide de savoir</t>
  </si>
  <si>
    <t xml:space="preserve">Wulst (-ülste), der</t>
  </si>
  <si>
    <t xml:space="preserve">le bourrelet, le tore</t>
  </si>
  <si>
    <t xml:space="preserve">tauglich</t>
  </si>
  <si>
    <t xml:space="preserve">apte</t>
  </si>
  <si>
    <t xml:space="preserve">im Zuge + G</t>
  </si>
  <si>
    <t xml:space="preserve">au cours de</t>
  </si>
  <si>
    <t xml:space="preserve">Ich bin ihm gestern begegnet.</t>
  </si>
  <si>
    <t xml:space="preserve">Je l'ai rencontré hier</t>
  </si>
  <si>
    <t xml:space="preserve">nachhaken</t>
  </si>
  <si>
    <t xml:space="preserve">revenir à la charge</t>
  </si>
  <si>
    <t xml:space="preserve">zunächst</t>
  </si>
  <si>
    <t xml:space="preserve">tout d'abord</t>
  </si>
  <si>
    <t xml:space="preserve">Mulde (-n), die</t>
  </si>
  <si>
    <t xml:space="preserve">le creux / l'auge</t>
  </si>
  <si>
    <t xml:space="preserve">überschreiben</t>
  </si>
  <si>
    <t xml:space="preserve">intituler / écraser un fichier (inform.)</t>
  </si>
  <si>
    <t xml:space="preserve">umbenennen</t>
  </si>
  <si>
    <t xml:space="preserve">rebaptiser, renommer un fichier</t>
  </si>
  <si>
    <t xml:space="preserve">Umriss (-e), der</t>
  </si>
  <si>
    <t xml:space="preserve">le périmètre, la silhouette, le contour</t>
  </si>
  <si>
    <t xml:space="preserve">versehentlich</t>
  </si>
  <si>
    <t xml:space="preserve">par mégarde, par erreur</t>
  </si>
  <si>
    <t xml:space="preserve">Einwand (-ände), der</t>
  </si>
  <si>
    <t xml:space="preserve">l'objection</t>
  </si>
  <si>
    <t xml:space="preserve">Stegreif (Ø), der</t>
  </si>
  <si>
    <t xml:space="preserve">l'improvisation</t>
  </si>
  <si>
    <t xml:space="preserve">vorwegnehmen</t>
  </si>
  <si>
    <t xml:space="preserve">anticiper sur</t>
  </si>
  <si>
    <t xml:space="preserve">Brut (-en), die</t>
  </si>
  <si>
    <t xml:space="preserve">la couvée</t>
  </si>
  <si>
    <t xml:space="preserve">Natter (-n), die</t>
  </si>
  <si>
    <t xml:space="preserve">la couleuvre / la langue de vipère</t>
  </si>
  <si>
    <t xml:space="preserve">veranschaulichen</t>
  </si>
  <si>
    <t xml:space="preserve">concrétiser / illustrer</t>
  </si>
  <si>
    <t xml:space="preserve">folgendermaßen</t>
  </si>
  <si>
    <t xml:space="preserve">comme suit, de la manière suivante</t>
  </si>
  <si>
    <t xml:space="preserve">Rohling (-e), der</t>
  </si>
  <si>
    <t xml:space="preserve">le brut, l'ébauche / le disque vierge</t>
  </si>
  <si>
    <t xml:space="preserve">aufbrauchen</t>
  </si>
  <si>
    <t xml:space="preserve">dépenser, épuiser</t>
  </si>
  <si>
    <t xml:space="preserve">bevorraten (etw.)</t>
  </si>
  <si>
    <t xml:space="preserve">constituer des stocks de qc</t>
  </si>
  <si>
    <t xml:space="preserve">la ficelle, l'attache</t>
  </si>
  <si>
    <t xml:space="preserve">Schütte (-n), die</t>
  </si>
  <si>
    <t xml:space="preserve">le baquet</t>
  </si>
  <si>
    <t xml:space="preserve">Topf (-öpfe), der</t>
  </si>
  <si>
    <t xml:space="preserve">la casserole, le pot</t>
  </si>
  <si>
    <t xml:space="preserve">Vorarbeiter (-), der</t>
  </si>
  <si>
    <t xml:space="preserve">le chef d'équipe, l'encadrant</t>
  </si>
  <si>
    <t xml:space="preserve">kopfüber</t>
  </si>
  <si>
    <t xml:space="preserve">la tête la première</t>
  </si>
  <si>
    <t xml:space="preserve">Zulänglichkeit (-en), die</t>
  </si>
  <si>
    <t xml:space="preserve">l'adéquation</t>
  </si>
  <si>
    <t xml:space="preserve">mit etw. einergehen</t>
  </si>
  <si>
    <t xml:space="preserve">aller de pair avec</t>
  </si>
  <si>
    <t xml:space="preserve">tückisch</t>
  </si>
  <si>
    <t xml:space="preserve">malicieux / traître</t>
  </si>
  <si>
    <t xml:space="preserve">la charge, le volume de travail</t>
  </si>
  <si>
    <t xml:space="preserve">Bleistift (-e), der</t>
  </si>
  <si>
    <t xml:space="preserve">le crayon à papier</t>
  </si>
  <si>
    <t xml:space="preserve">Gewichtung (-en), die</t>
  </si>
  <si>
    <t xml:space="preserve">la priorité / la pondération</t>
  </si>
  <si>
    <t xml:space="preserve">Puffer (-), der</t>
  </si>
  <si>
    <t xml:space="preserve">le tampon</t>
  </si>
  <si>
    <t xml:space="preserve">vorhanden (Adj.)</t>
  </si>
  <si>
    <t xml:space="preserve">en place, disponible, existant</t>
  </si>
  <si>
    <t xml:space="preserve">Aufsatz (-ätze), der</t>
  </si>
  <si>
    <t xml:space="preserve">le chapiteau / la rédaction</t>
  </si>
  <si>
    <t xml:space="preserve">Andrang (Ø), der</t>
  </si>
  <si>
    <t xml:space="preserve">l'affluence</t>
  </si>
  <si>
    <t xml:space="preserve">Kehle (-n), die</t>
  </si>
  <si>
    <t xml:space="preserve">la gorge</t>
  </si>
  <si>
    <t xml:space="preserve">Geisel (-n), die</t>
  </si>
  <si>
    <t xml:space="preserve">l'otage</t>
  </si>
  <si>
    <t xml:space="preserve">aus dem Schneider</t>
  </si>
  <si>
    <t xml:space="preserve">sorti d'affaire</t>
  </si>
  <si>
    <t xml:space="preserve">reissen</t>
  </si>
  <si>
    <t xml:space="preserve">se rompre, se déchirer, céder, craquer</t>
  </si>
  <si>
    <t xml:space="preserve">Trommel (-n), die</t>
  </si>
  <si>
    <t xml:space="preserve">le barillet, le tambour</t>
  </si>
  <si>
    <t xml:space="preserve">verkraften</t>
  </si>
  <si>
    <t xml:space="preserve">faire face à, supporter </t>
  </si>
  <si>
    <t xml:space="preserve">zukunftsträchtig</t>
  </si>
  <si>
    <t xml:space="preserve">porteur d'espoir</t>
  </si>
  <si>
    <t xml:space="preserve">Probenarbeit (-en), die</t>
  </si>
  <si>
    <t xml:space="preserve">la répétition</t>
  </si>
  <si>
    <t xml:space="preserve">ledig</t>
  </si>
  <si>
    <t xml:space="preserve">célibataire</t>
  </si>
  <si>
    <t xml:space="preserve">Zeitalter (-), das</t>
  </si>
  <si>
    <t xml:space="preserve">l'époque, le siècle</t>
  </si>
  <si>
    <t xml:space="preserve">Geier (Ø), der</t>
  </si>
  <si>
    <t xml:space="preserve">le vautour</t>
  </si>
  <si>
    <t xml:space="preserve">des öfteren</t>
  </si>
  <si>
    <t xml:space="preserve">assez souvent</t>
  </si>
  <si>
    <t xml:space="preserve">Aas (-e), das</t>
  </si>
  <si>
    <t xml:space="preserve">la charogne</t>
  </si>
  <si>
    <t xml:space="preserve">lösbar</t>
  </si>
  <si>
    <t xml:space="preserve">soluble</t>
  </si>
  <si>
    <t xml:space="preserve">umsonst (Adv.)</t>
  </si>
  <si>
    <t xml:space="preserve">en vain / gratuit, gracieusement</t>
  </si>
  <si>
    <t xml:space="preserve">soeben</t>
  </si>
  <si>
    <t xml:space="preserve">tout à l'heure, il y a peu de temps</t>
  </si>
  <si>
    <t xml:space="preserve">soeben noch</t>
  </si>
  <si>
    <t xml:space="preserve">de justesse</t>
  </si>
  <si>
    <t xml:space="preserve">Gereiztheit (-en), die</t>
  </si>
  <si>
    <t xml:space="preserve">l'agacement, l'irritation</t>
  </si>
  <si>
    <t xml:space="preserve">Plausch (-äusche), der</t>
  </si>
  <si>
    <t xml:space="preserve">le papotage</t>
  </si>
  <si>
    <t xml:space="preserve">Beifall (Ø), der</t>
  </si>
  <si>
    <t xml:space="preserve">les applaudissements / le suffrage</t>
  </si>
  <si>
    <t xml:space="preserve">Abstrich (-e), der</t>
  </si>
  <si>
    <t xml:space="preserve">la concession, la réduction</t>
  </si>
  <si>
    <t xml:space="preserve">verkrampfen</t>
  </si>
  <si>
    <t xml:space="preserve">crisper</t>
  </si>
  <si>
    <t xml:space="preserve">klatschen</t>
  </si>
  <si>
    <t xml:space="preserve">applaudir</t>
  </si>
  <si>
    <t xml:space="preserve">Kauen (Ø), das</t>
  </si>
  <si>
    <t xml:space="preserve">le mâchonnement, la mastication</t>
  </si>
  <si>
    <t xml:space="preserve">Fürsorge (Ø), die</t>
  </si>
  <si>
    <t xml:space="preserve">l'assistance, la sollicitude</t>
  </si>
  <si>
    <t xml:space="preserve">Frust (Ø), der</t>
  </si>
  <si>
    <t xml:space="preserve">la frustration</t>
  </si>
  <si>
    <t xml:space="preserve">Spagat (-e), der</t>
  </si>
  <si>
    <t xml:space="preserve">le grand écart</t>
  </si>
  <si>
    <t xml:space="preserve">Fazit (-e / -s), das</t>
  </si>
  <si>
    <t xml:space="preserve">le bilan</t>
  </si>
  <si>
    <t xml:space="preserve">Wegweiser (-), der</t>
  </si>
  <si>
    <t xml:space="preserve">le panneau indicateur</t>
  </si>
  <si>
    <t xml:space="preserve">Wink (-e), der</t>
  </si>
  <si>
    <t xml:space="preserve">l'indication, l'invite</t>
  </si>
  <si>
    <t xml:space="preserve">schmeicheln</t>
  </si>
  <si>
    <t xml:space="preserve">flatter</t>
  </si>
  <si>
    <t xml:space="preserve">vermeintlich</t>
  </si>
  <si>
    <t xml:space="preserve">prétendu, supposé</t>
  </si>
  <si>
    <t xml:space="preserve">Schafleder (-), das</t>
  </si>
  <si>
    <t xml:space="preserve">la peau de mouton</t>
  </si>
  <si>
    <t xml:space="preserve">Abschluss (-üsse), der</t>
  </si>
  <si>
    <t xml:space="preserve">le bilan / le diplôme</t>
  </si>
  <si>
    <t xml:space="preserve">Durchsetzung (-en), die</t>
  </si>
  <si>
    <t xml:space="preserve">l'imposition, l'action d'imposer qc</t>
  </si>
  <si>
    <t xml:space="preserve">jmdm etw.+A bescheren</t>
  </si>
  <si>
    <t xml:space="preserve">accorder qc à qn</t>
  </si>
  <si>
    <t xml:space="preserve">unangebracht</t>
  </si>
  <si>
    <t xml:space="preserve">déplacé / intempestif</t>
  </si>
  <si>
    <t xml:space="preserve">Zupfen (Ø), das</t>
  </si>
  <si>
    <t xml:space="preserve">le pincement / l'épilation</t>
  </si>
  <si>
    <t xml:space="preserve">durchsuchen, absuchen</t>
  </si>
  <si>
    <t xml:space="preserve">fouiller</t>
  </si>
  <si>
    <t xml:space="preserve">Trumpf (-ümpfe), der</t>
  </si>
  <si>
    <t xml:space="preserve">l'atout</t>
  </si>
  <si>
    <t xml:space="preserve">Bewerbunsgmappe (-n), die</t>
  </si>
  <si>
    <t xml:space="preserve">le dossier de candidature</t>
  </si>
  <si>
    <t xml:space="preserve">zügig</t>
  </si>
  <si>
    <t xml:space="preserve">rapide</t>
  </si>
  <si>
    <t xml:space="preserve">Benehmen (-), das</t>
  </si>
  <si>
    <t xml:space="preserve">le comportement, le savoir-vivre</t>
  </si>
  <si>
    <t xml:space="preserve">Bestellung (-en), die</t>
  </si>
  <si>
    <t xml:space="preserve">la commande</t>
  </si>
  <si>
    <t xml:space="preserve">hellhörig</t>
  </si>
  <si>
    <t xml:space="preserve">sonore</t>
  </si>
  <si>
    <t xml:space="preserve">einwandfrei</t>
  </si>
  <si>
    <t xml:space="preserve">irréprochable</t>
  </si>
  <si>
    <t xml:space="preserve">hervorstechen</t>
  </si>
  <si>
    <t xml:space="preserve">sortir du lot</t>
  </si>
  <si>
    <t xml:space="preserve">Posaune (-n), die</t>
  </si>
  <si>
    <t xml:space="preserve">le trombone</t>
  </si>
  <si>
    <t xml:space="preserve">Inserat (-e), das</t>
  </si>
  <si>
    <t xml:space="preserve">l'annonce</t>
  </si>
  <si>
    <t xml:space="preserve">ausgewiesen</t>
  </si>
  <si>
    <t xml:space="preserve">indiqué</t>
  </si>
  <si>
    <t xml:space="preserve">federführend</t>
  </si>
  <si>
    <t xml:space="preserve">compétent</t>
  </si>
  <si>
    <t xml:space="preserve">anhaltend</t>
  </si>
  <si>
    <t xml:space="preserve">continu, persistant</t>
  </si>
  <si>
    <t xml:space="preserve">übertreffen</t>
  </si>
  <si>
    <t xml:space="preserve">dépasser, surpasser</t>
  </si>
  <si>
    <t xml:space="preserve">herausragend</t>
  </si>
  <si>
    <t xml:space="preserve">excellent, émérite</t>
  </si>
  <si>
    <t xml:space="preserve">Treiber (-), der</t>
  </si>
  <si>
    <t xml:space="preserve">le rabatteur (chasse) / le pilote (IT)</t>
  </si>
  <si>
    <t xml:space="preserve">Assessor (-en), der</t>
  </si>
  <si>
    <t xml:space="preserve">le professeur débutant / le magistrat débutant</t>
  </si>
  <si>
    <t xml:space="preserve">in Lizenz</t>
  </si>
  <si>
    <t xml:space="preserve">sous licence</t>
  </si>
  <si>
    <t xml:space="preserve">wechselseitig</t>
  </si>
  <si>
    <t xml:space="preserve">mutuel, réciproque</t>
  </si>
  <si>
    <t xml:space="preserve">hinterfragen</t>
  </si>
  <si>
    <t xml:space="preserve">remettre en question</t>
  </si>
  <si>
    <t xml:space="preserve">auf etw. hinzielen</t>
  </si>
  <si>
    <t xml:space="preserve">viser à qc</t>
  </si>
  <si>
    <t xml:space="preserve">Buchhaltung (-en), die</t>
  </si>
  <si>
    <t xml:space="preserve">la comptabilité</t>
  </si>
  <si>
    <t xml:space="preserve">Darlehen (-), das</t>
  </si>
  <si>
    <t xml:space="preserve">l'emprunt, le prêt</t>
  </si>
  <si>
    <t xml:space="preserve">plump (Adj.)</t>
  </si>
  <si>
    <t xml:space="preserve">lourdaud</t>
  </si>
  <si>
    <t xml:space="preserve">la réserve</t>
  </si>
  <si>
    <t xml:space="preserve">Tilgung (-en), die</t>
  </si>
  <si>
    <t xml:space="preserve">l'effacement, la purge / l'amortissement</t>
  </si>
  <si>
    <t xml:space="preserve">Gleichgesinnte (-), der</t>
  </si>
  <si>
    <t xml:space="preserve">la personne partageant les mêmes idées</t>
  </si>
  <si>
    <t xml:space="preserve">Bürde (-n), die</t>
  </si>
  <si>
    <t xml:space="preserve">le fardeau, le poids</t>
  </si>
  <si>
    <t xml:space="preserve">Strudel (-), der</t>
  </si>
  <si>
    <t xml:space="preserve">le tourbillon</t>
  </si>
  <si>
    <t xml:space="preserve">einräumen</t>
  </si>
  <si>
    <t xml:space="preserve">ranger qc / concéder, octroyer</t>
  </si>
  <si>
    <t xml:space="preserve">untermauern</t>
  </si>
  <si>
    <t xml:space="preserve">consolider</t>
  </si>
  <si>
    <t xml:space="preserve">Missgunst (Ø), die</t>
  </si>
  <si>
    <t xml:space="preserve">l'envie, la jalousie</t>
  </si>
  <si>
    <t xml:space="preserve">schlicht</t>
  </si>
  <si>
    <t xml:space="preserve">humble, simple</t>
  </si>
  <si>
    <t xml:space="preserve">zerrütten</t>
  </si>
  <si>
    <t xml:space="preserve">désorganiser, détruire</t>
  </si>
  <si>
    <t xml:space="preserve">flunkern</t>
  </si>
  <si>
    <t xml:space="preserve">raconter des bobards</t>
  </si>
  <si>
    <t xml:space="preserve">Rufen Sie die Internetseite www.blablabla.de auf</t>
  </si>
  <si>
    <t xml:space="preserve">Allez à l'adresse internet suivante : www.blablabla.de</t>
  </si>
  <si>
    <t xml:space="preserve">Treibhauseffekt (-e), der</t>
  </si>
  <si>
    <t xml:space="preserve">l'effet de serre</t>
  </si>
  <si>
    <t xml:space="preserve">Ombudsmann (-änner), der</t>
  </si>
  <si>
    <t xml:space="preserve">le médiateur</t>
  </si>
  <si>
    <t xml:space="preserve">schnippisch</t>
  </si>
  <si>
    <t xml:space="preserve">pincé</t>
  </si>
  <si>
    <t xml:space="preserve">krängen</t>
  </si>
  <si>
    <t xml:space="preserve">gîter (navigation)</t>
  </si>
  <si>
    <t xml:space="preserve">einbetten</t>
  </si>
  <si>
    <t xml:space="preserve">encastrer, se nicher</t>
  </si>
  <si>
    <t xml:space="preserve">losgelöste</t>
  </si>
  <si>
    <t xml:space="preserve">détaché, délié</t>
  </si>
  <si>
    <t xml:space="preserve">Spanne (-n), die</t>
  </si>
  <si>
    <t xml:space="preserve">la marge, l'écart, la fourchette (fig.)</t>
  </si>
  <si>
    <t xml:space="preserve">anfechtbar</t>
  </si>
  <si>
    <t xml:space="preserve">constestable</t>
  </si>
  <si>
    <t xml:space="preserve">Einspruch (-üche), der</t>
  </si>
  <si>
    <t xml:space="preserve">l'opposition, le recours</t>
  </si>
  <si>
    <t xml:space="preserve">jmdn verständigen</t>
  </si>
  <si>
    <t xml:space="preserve">aviser qn, informer qn</t>
  </si>
  <si>
    <t xml:space="preserve">entrichten</t>
  </si>
  <si>
    <t xml:space="preserve">acquitter, verser une somme</t>
  </si>
  <si>
    <t xml:space="preserve">Vorkommnis (-isse), das</t>
  </si>
  <si>
    <t xml:space="preserve">l'évènement, l'incident</t>
  </si>
  <si>
    <t xml:space="preserve">Zuwiderhandlung (-en), die</t>
  </si>
  <si>
    <t xml:space="preserve">l'infraction</t>
  </si>
  <si>
    <t xml:space="preserve">Anspruch (-üche), der</t>
  </si>
  <si>
    <t xml:space="preserve">la revendication, la réclamation</t>
  </si>
  <si>
    <t xml:space="preserve">vertraulich</t>
  </si>
  <si>
    <t xml:space="preserve">confidentiel</t>
  </si>
  <si>
    <t xml:space="preserve">unter Verschluss</t>
  </si>
  <si>
    <t xml:space="preserve">sous clef, tenu secret</t>
  </si>
  <si>
    <t xml:space="preserve">aufsticken</t>
  </si>
  <si>
    <t xml:space="preserve">broder</t>
  </si>
  <si>
    <t xml:space="preserve">Anregung (-en), die</t>
  </si>
  <si>
    <t xml:space="preserve">l'instigation, la suggestion</t>
  </si>
  <si>
    <t xml:space="preserve">Floskel (-n), die</t>
  </si>
  <si>
    <t xml:space="preserve">la formule toute faite, l'expression fourre-tout</t>
  </si>
  <si>
    <t xml:space="preserve">Übertragbarkeit (-en), die</t>
  </si>
  <si>
    <t xml:space="preserve">la négociabilité, la cessibilité</t>
  </si>
  <si>
    <t xml:space="preserve">findig</t>
  </si>
  <si>
    <t xml:space="preserve">malin, futé</t>
  </si>
  <si>
    <t xml:space="preserve">bedenklich</t>
  </si>
  <si>
    <t xml:space="preserve">préoccupant, inquiétant</t>
  </si>
  <si>
    <t xml:space="preserve">passgenau</t>
  </si>
  <si>
    <t xml:space="preserve">sur mesure</t>
  </si>
  <si>
    <t xml:space="preserve">Augenmerk (Ø), das</t>
  </si>
  <si>
    <t xml:space="preserve">l'attention</t>
  </si>
  <si>
    <t xml:space="preserve">einlaufen (beim Waschen)</t>
  </si>
  <si>
    <t xml:space="preserve">rétrécir (au lavage)</t>
  </si>
  <si>
    <t xml:space="preserve">Umschlag (-äge), der</t>
  </si>
  <si>
    <t xml:space="preserve">la pochette, l'enveloppe / le protège-cahier</t>
  </si>
  <si>
    <t xml:space="preserve">nicht über den eigenen Tellerrand hinausschauen</t>
  </si>
  <si>
    <t xml:space="preserve">ne pas regarder plus loin que le bout de son nez</t>
  </si>
  <si>
    <t xml:space="preserve">Einfädeln (Ø), das</t>
  </si>
  <si>
    <t xml:space="preserve">l'enfilage</t>
  </si>
  <si>
    <t xml:space="preserve">frankiert</t>
  </si>
  <si>
    <t xml:space="preserve">timbré, affranchi</t>
  </si>
  <si>
    <t xml:space="preserve">unter die Lupe nehmen</t>
  </si>
  <si>
    <t xml:space="preserve">examiner qc à la loupe</t>
  </si>
  <si>
    <t xml:space="preserve">Niere (-n), die</t>
  </si>
  <si>
    <t xml:space="preserve">le rein</t>
  </si>
  <si>
    <t xml:space="preserve">beschnuppern</t>
  </si>
  <si>
    <t xml:space="preserve">flairer</t>
  </si>
  <si>
    <t xml:space="preserve">Mitbestimmung (-en), die</t>
  </si>
  <si>
    <t xml:space="preserve">le système de codécision</t>
  </si>
  <si>
    <t xml:space="preserve">stumpf</t>
  </si>
  <si>
    <t xml:space="preserve">émoussé / obtus</t>
  </si>
  <si>
    <t xml:space="preserve">lässig</t>
  </si>
  <si>
    <t xml:space="preserve">désinvolte, insouciant</t>
  </si>
  <si>
    <t xml:space="preserve">bequem</t>
  </si>
  <si>
    <t xml:space="preserve">confortable, commode</t>
  </si>
  <si>
    <t xml:space="preserve">Schlagfertigkeit (-en), die</t>
  </si>
  <si>
    <t xml:space="preserve">la répartie, la vivacité d'esprit</t>
  </si>
  <si>
    <t xml:space="preserve">Dreh- und Angelpunkt (-e), der</t>
  </si>
  <si>
    <t xml:space="preserve">le pivot, la cheville ouvrière</t>
  </si>
  <si>
    <t xml:space="preserve">Nachwuchs (Ø), der</t>
  </si>
  <si>
    <t xml:space="preserve">la jeune pousse, la relève</t>
  </si>
  <si>
    <t xml:space="preserve">Einmaleins (Ø), das</t>
  </si>
  <si>
    <t xml:space="preserve">la table de multiplication / le B-A-BA</t>
  </si>
  <si>
    <t xml:space="preserve">gelegentlich</t>
  </si>
  <si>
    <t xml:space="preserve">à l'occasion</t>
  </si>
  <si>
    <t xml:space="preserve">Das ist jetzt fehl am Platz.</t>
  </si>
  <si>
    <t xml:space="preserve">Ce n'est pas le moment.</t>
  </si>
  <si>
    <t xml:space="preserve">zweckentfremdet</t>
  </si>
  <si>
    <t xml:space="preserve">détourné de sa destination première</t>
  </si>
  <si>
    <t xml:space="preserve">skurril</t>
  </si>
  <si>
    <t xml:space="preserve">bizarre, grotesque</t>
  </si>
  <si>
    <t xml:space="preserve">Tücke (-n), die</t>
  </si>
  <si>
    <t xml:space="preserve">l'embûche / la perfidie</t>
  </si>
  <si>
    <t xml:space="preserve">Freibrief (-e), der</t>
  </si>
  <si>
    <t xml:space="preserve">la carte blanche</t>
  </si>
  <si>
    <t xml:space="preserve">Vergütung (-en), die</t>
  </si>
  <si>
    <t xml:space="preserve">la rémunération</t>
  </si>
  <si>
    <t xml:space="preserve">Richtschnur (-üre), die</t>
  </si>
  <si>
    <t xml:space="preserve">la ligne directrice, la ligne de conduite</t>
  </si>
  <si>
    <t xml:space="preserve">Korken (-), der</t>
  </si>
  <si>
    <t xml:space="preserve">le bouchon de liège (pour une bouteille de vin)</t>
  </si>
  <si>
    <t xml:space="preserve">Fingerspitzengefühl (-e), das</t>
  </si>
  <si>
    <t xml:space="preserve">le tact / le doigté, le savoir-faire</t>
  </si>
  <si>
    <t xml:space="preserve">Fussel (-n), der</t>
  </si>
  <si>
    <t xml:space="preserve">la peluche (sur un habit)</t>
  </si>
  <si>
    <t xml:space="preserve">Verkostung (-en), die</t>
  </si>
  <si>
    <t xml:space="preserve">la dégustation</t>
  </si>
  <si>
    <t xml:space="preserve">Brombeere (-n), die</t>
  </si>
  <si>
    <t xml:space="preserve">la mûre (le fruit)</t>
  </si>
  <si>
    <t xml:space="preserve">Hummer (-), der</t>
  </si>
  <si>
    <t xml:space="preserve">le homard</t>
  </si>
  <si>
    <t xml:space="preserve">Eichstrich (-), der</t>
  </si>
  <si>
    <t xml:space="preserve">le niveau d'un verre à bière</t>
  </si>
  <si>
    <t xml:space="preserve">buchstäblich</t>
  </si>
  <si>
    <t xml:space="preserve">au pied de la lettre, littéralement</t>
  </si>
  <si>
    <t xml:space="preserve">zugunsten +D …</t>
  </si>
  <si>
    <t xml:space="preserve">au profit de …</t>
  </si>
  <si>
    <t xml:space="preserve">ergänzend</t>
  </si>
  <si>
    <t xml:space="preserve">à titre complémentaire</t>
  </si>
  <si>
    <t xml:space="preserve">beneidenswert</t>
  </si>
  <si>
    <t xml:space="preserve">enviable</t>
  </si>
  <si>
    <t xml:space="preserve">häuslich</t>
  </si>
  <si>
    <t xml:space="preserve">domestique, de la maison / casanier</t>
  </si>
  <si>
    <t xml:space="preserve">wortkarg</t>
  </si>
  <si>
    <t xml:space="preserve">taciturne, taiseux</t>
  </si>
  <si>
    <t xml:space="preserve">Betroffen ist nur die 108.</t>
  </si>
  <si>
    <t xml:space="preserve">Die Verschwendungsarten zu kennen hilft, sie in den Prozessen zu erkennen, was eine Grundvoraussetzung für deren Eleminierung bzw. Reduzierung ist.</t>
  </si>
  <si>
    <t xml:space="preserve">Solange erreichen Sie mich telefonisch unter: ... .</t>
  </si>
  <si>
    <t xml:space="preserve">Die untersuchte Stelle befindet sich ca 3-4mm von der Ausklinkung entfernt.</t>
  </si>
  <si>
    <t xml:space="preserve">Da offenbar nie Probleme diesbezüglich gemeldet wurden, ist es wahrscheinlich, dass …</t>
  </si>
  <si>
    <t xml:space="preserve">In Deutschland sind die Kinderbetreuungskosten zwar steuerlich absetzbar, aber die Steuerersparnis sind deutlich kleiner, als die Betreuungszuschüsse in Frankreich.</t>
  </si>
  <si>
    <t xml:space="preserve">Ich bin im Moment dienstlich unterwegs und ab dem ... wieder im Büro.</t>
  </si>
  <si>
    <t xml:space="preserve">Grundsätzlich gilt, dass bei beruflich bedingten Essen weniger die Nahrungsaufnahme als das Gespräch im Vordergrund steht.</t>
  </si>
  <si>
    <t xml:space="preserve">Bitte prüfen Sie der Umwelt zuliebe, ob der Ausdruck dieser Nachricht erforderlich ist.</t>
  </si>
  <si>
    <t xml:space="preserve">nach wie vor</t>
  </si>
  <si>
    <t xml:space="preserve">encore et toujours</t>
  </si>
  <si>
    <t xml:space="preserve">Unsere Untersuchung ist jetzt abgeschlossen, wir sind dabei, den Bericht zusammenzustellen.</t>
  </si>
  <si>
    <t xml:space="preserve">Edelmarke (-n), die</t>
  </si>
  <si>
    <t xml:space="preserve">la marque de prestige</t>
  </si>
  <si>
    <t xml:space="preserve">Ballungsraum (-äume), der</t>
  </si>
  <si>
    <t xml:space="preserve">l'agglomération, la conurbation</t>
  </si>
  <si>
    <t xml:space="preserve">sich abfinden</t>
  </si>
  <si>
    <t xml:space="preserve">se résigner</t>
  </si>
  <si>
    <t xml:space="preserve">überholt</t>
  </si>
  <si>
    <t xml:space="preserve">caduque, dépassé</t>
  </si>
  <si>
    <t xml:space="preserve">Wucher (Ø), der</t>
  </si>
  <si>
    <t xml:space="preserve">l'usure / le prix exorbitant</t>
  </si>
  <si>
    <t xml:space="preserve">ergiebig</t>
  </si>
  <si>
    <t xml:space="preserve">abondant, fertile</t>
  </si>
  <si>
    <t xml:space="preserve">Flaute (-n), die</t>
  </si>
  <si>
    <t xml:space="preserve">le marasme / la morte-saison</t>
  </si>
  <si>
    <t xml:space="preserve">Zusammenschluss (-üsse), der</t>
  </si>
  <si>
    <t xml:space="preserve">la fusion, le regroupement</t>
  </si>
  <si>
    <t xml:space="preserve">Stiefel (-), der</t>
  </si>
  <si>
    <t xml:space="preserve">la botte</t>
  </si>
  <si>
    <t xml:space="preserve">jmdn abfinden</t>
  </si>
  <si>
    <t xml:space="preserve">indemniser qn</t>
  </si>
  <si>
    <t xml:space="preserve">erledigen</t>
  </si>
  <si>
    <t xml:space="preserve">finir, achever</t>
  </si>
  <si>
    <t xml:space="preserve">forsch (Adj.)</t>
  </si>
  <si>
    <t xml:space="preserve">énergique</t>
  </si>
  <si>
    <t xml:space="preserve">ausgeben</t>
  </si>
  <si>
    <t xml:space="preserve">dépenser, payer</t>
  </si>
  <si>
    <t xml:space="preserve">Gönner (-), der</t>
  </si>
  <si>
    <t xml:space="preserve">le protecteur</t>
  </si>
  <si>
    <t xml:space="preserve">Abstellen (Ø), das</t>
  </si>
  <si>
    <t xml:space="preserve">la fermeture / le rangement</t>
  </si>
  <si>
    <t xml:space="preserve">zuhauf</t>
  </si>
  <si>
    <t xml:space="preserve">en grand nombre</t>
  </si>
  <si>
    <t xml:space="preserve">Anbruch (-üche), der</t>
  </si>
  <si>
    <t xml:space="preserve">le commencement / le bois pourri</t>
  </si>
  <si>
    <t xml:space="preserve">Grundstück (-e), das</t>
  </si>
  <si>
    <t xml:space="preserve">le terrain, l'immeuble</t>
  </si>
  <si>
    <t xml:space="preserve">befürworten</t>
  </si>
  <si>
    <t xml:space="preserve">soutenir, approuver</t>
  </si>
  <si>
    <t xml:space="preserve">hinfällig</t>
  </si>
  <si>
    <t xml:space="preserve">annulé / caduque</t>
  </si>
  <si>
    <t xml:space="preserve">sich jmdm preisegeben</t>
  </si>
  <si>
    <t xml:space="preserve">se livrer à qn</t>
  </si>
  <si>
    <t xml:space="preserve">kenntlich</t>
  </si>
  <si>
    <t xml:space="preserve">jmdn überrumpeln</t>
  </si>
  <si>
    <t xml:space="preserve">prendre qn au dépourvu, par surprise</t>
  </si>
  <si>
    <t xml:space="preserve">Schau (-en), die</t>
  </si>
  <si>
    <t xml:space="preserve">l'exposition / la perception</t>
  </si>
  <si>
    <t xml:space="preserve">lauern</t>
  </si>
  <si>
    <t xml:space="preserve">guetter</t>
  </si>
  <si>
    <t xml:space="preserve">geschmeidig</t>
  </si>
  <si>
    <t xml:space="preserve">souple, flexible</t>
  </si>
  <si>
    <t xml:space="preserve">ansetzen</t>
  </si>
  <si>
    <t xml:space="preserve">appliquer, poser</t>
  </si>
  <si>
    <t xml:space="preserve">Erschliessung (-en), die</t>
  </si>
  <si>
    <t xml:space="preserve">le désenclavement, la mise en valeur</t>
  </si>
  <si>
    <t xml:space="preserve">Pacht (-en), die</t>
  </si>
  <si>
    <t xml:space="preserve">le fermage / le bail</t>
  </si>
  <si>
    <t xml:space="preserve">Hamsterkauf (-äufe), der</t>
  </si>
  <si>
    <t xml:space="preserve">l'achat de ravitaillement</t>
  </si>
  <si>
    <t xml:space="preserve">niederträchtig</t>
  </si>
  <si>
    <t xml:space="preserve">lâche, infâme</t>
  </si>
  <si>
    <t xml:space="preserve">Rinde (-n), die</t>
  </si>
  <si>
    <t xml:space="preserve">l'écorce</t>
  </si>
  <si>
    <t xml:space="preserve">Bebauung (-en), die</t>
  </si>
  <si>
    <t xml:space="preserve">l'urbanisation</t>
  </si>
  <si>
    <t xml:space="preserve">im Nachhinein</t>
  </si>
  <si>
    <t xml:space="preserve">a posteriori, avec le recul, après coup</t>
  </si>
  <si>
    <t xml:space="preserve">verschliessen</t>
  </si>
  <si>
    <t xml:space="preserve">fermer à clef</t>
  </si>
  <si>
    <t xml:space="preserve">sich auf etw. belaufen</t>
  </si>
  <si>
    <t xml:space="preserve">se monter à, s'élever à</t>
  </si>
  <si>
    <t xml:space="preserve">Fahrstuhl (-ühle), der</t>
  </si>
  <si>
    <t xml:space="preserve">l'ascenseur, la cabine d'ascenseur</t>
  </si>
  <si>
    <t xml:space="preserve">Absatzpolitik (-en), die</t>
  </si>
  <si>
    <t xml:space="preserve">la politique de vente</t>
  </si>
  <si>
    <t xml:space="preserve">Zuspruch (-üche), der</t>
  </si>
  <si>
    <t xml:space="preserve">la parole de réconfort</t>
  </si>
  <si>
    <t xml:space="preserve">Makler (-), der</t>
  </si>
  <si>
    <t xml:space="preserve">l'agent immobilier, le courtier</t>
  </si>
  <si>
    <t xml:space="preserve">niedlich</t>
  </si>
  <si>
    <t xml:space="preserve">gentil, mignon, coquet</t>
  </si>
  <si>
    <t xml:space="preserve">Inserent (-en), der</t>
  </si>
  <si>
    <t xml:space="preserve">l'annonceur</t>
  </si>
  <si>
    <t xml:space="preserve">entlegen (Adj.)</t>
  </si>
  <si>
    <t xml:space="preserve">reculé, excentré, perdu</t>
  </si>
  <si>
    <t xml:space="preserve">irrsinnig</t>
  </si>
  <si>
    <t xml:space="preserve">fou, dément</t>
  </si>
  <si>
    <t xml:space="preserve">kundig</t>
  </si>
  <si>
    <t xml:space="preserve">Tantiemen (plur.), die</t>
  </si>
  <si>
    <t xml:space="preserve">la quote-part, les parts sur les bénéfices</t>
  </si>
  <si>
    <t xml:space="preserve">Schale (-n), die</t>
  </si>
  <si>
    <t xml:space="preserve">l'écorce (pour les agrumes uniquement)</t>
  </si>
  <si>
    <t xml:space="preserve">Belegschaft (-en), die</t>
  </si>
  <si>
    <t xml:space="preserve">l'équipe, le personnel</t>
  </si>
  <si>
    <t xml:space="preserve">Vollmacht (-en), die</t>
  </si>
  <si>
    <t xml:space="preserve">la procuration / le pouvoir</t>
  </si>
  <si>
    <t xml:space="preserve">irrig</t>
  </si>
  <si>
    <t xml:space="preserve">érroné, aberrant</t>
  </si>
  <si>
    <t xml:space="preserve">Voranschlag (-äge), der</t>
  </si>
  <si>
    <t xml:space="preserve">le devis</t>
  </si>
  <si>
    <t xml:space="preserve">Ausgleichen (Ø), das</t>
  </si>
  <si>
    <t xml:space="preserve">la compensation / l'équilibrage</t>
  </si>
  <si>
    <t xml:space="preserve">kostspielig</t>
  </si>
  <si>
    <t xml:space="preserve">coûteux</t>
  </si>
  <si>
    <t xml:space="preserve">Wermutstropfen (-), der</t>
  </si>
  <si>
    <t xml:space="preserve">le bémol (fig.)</t>
  </si>
  <si>
    <t xml:space="preserve">Lichtbild (-er), das</t>
  </si>
  <si>
    <t xml:space="preserve">la photographie, la photo d'identité</t>
  </si>
  <si>
    <t xml:space="preserve">Einbruch (-üche), der</t>
  </si>
  <si>
    <t xml:space="preserve">le cambriolage / l'irruption</t>
  </si>
  <si>
    <t xml:space="preserve">Billiglohnland (-änder), das</t>
  </si>
  <si>
    <t xml:space="preserve">le pays à bas salaire</t>
  </si>
  <si>
    <t xml:space="preserve">begleichen</t>
  </si>
  <si>
    <t xml:space="preserve">régler, s'acquitter, solder</t>
  </si>
  <si>
    <t xml:space="preserve">Prospekt (-e), das</t>
  </si>
  <si>
    <t xml:space="preserve">la brochure, le prospectus</t>
  </si>
  <si>
    <t xml:space="preserve">steigen</t>
  </si>
  <si>
    <t xml:space="preserve">augmenter</t>
  </si>
  <si>
    <t xml:space="preserve">Durchsage (-n), die</t>
  </si>
  <si>
    <t xml:space="preserve">le message, l'annonce</t>
  </si>
  <si>
    <t xml:space="preserve">schütten</t>
  </si>
  <si>
    <t xml:space="preserve">verser</t>
  </si>
  <si>
    <t xml:space="preserve">Konkurs (-e), der</t>
  </si>
  <si>
    <t xml:space="preserve">la faillite</t>
  </si>
  <si>
    <t xml:space="preserve">Prokura (-en), die</t>
  </si>
  <si>
    <t xml:space="preserve">la procuration</t>
  </si>
  <si>
    <t xml:space="preserve">verlosen</t>
  </si>
  <si>
    <t xml:space="preserve">tirer au sort</t>
  </si>
  <si>
    <t xml:space="preserve">aufgeben</t>
  </si>
  <si>
    <t xml:space="preserve">abandonner, désespérer, abdiquer</t>
  </si>
  <si>
    <t xml:space="preserve">überschüssig</t>
  </si>
  <si>
    <t xml:space="preserve">en surplus, excédentaire</t>
  </si>
  <si>
    <t xml:space="preserve">Rechnungslegung (-en), die</t>
  </si>
  <si>
    <t xml:space="preserve">la comptabilité / la reddition des comptes</t>
  </si>
  <si>
    <t xml:space="preserve">jmdn /etw. anvisieren</t>
  </si>
  <si>
    <t xml:space="preserve">viser qc ou qn</t>
  </si>
  <si>
    <t xml:space="preserve">Wettkampf (-ämpfe), der</t>
  </si>
  <si>
    <t xml:space="preserve">la compétition, le concours</t>
  </si>
  <si>
    <t xml:space="preserve">Existenzgründer (-n), der</t>
  </si>
  <si>
    <t xml:space="preserve">le créateur d'entreprise</t>
  </si>
  <si>
    <t xml:space="preserve">Prämie (-n), die</t>
  </si>
  <si>
    <t xml:space="preserve">le prime, le bonus</t>
  </si>
  <si>
    <t xml:space="preserve">erwerbstätig</t>
  </si>
  <si>
    <t xml:space="preserve">actif</t>
  </si>
  <si>
    <t xml:space="preserve">Handelsbilanz (-en), die</t>
  </si>
  <si>
    <t xml:space="preserve">la balance commerciale</t>
  </si>
  <si>
    <t xml:space="preserve">im Großen</t>
  </si>
  <si>
    <t xml:space="preserve">en gros</t>
  </si>
  <si>
    <t xml:space="preserve">Haushalt (-e), der</t>
  </si>
  <si>
    <t xml:space="preserve">le ménage, le foyer / le budget</t>
  </si>
  <si>
    <t xml:space="preserve">regelrecht</t>
  </si>
  <si>
    <t xml:space="preserve">en règle, correct</t>
  </si>
  <si>
    <t xml:space="preserve">3-tägig</t>
  </si>
  <si>
    <t xml:space="preserve">de trois jours</t>
  </si>
  <si>
    <t xml:space="preserve">Girokonto (-en), das</t>
  </si>
  <si>
    <t xml:space="preserve">le compte courant</t>
  </si>
  <si>
    <t xml:space="preserve">Laie (-n), der</t>
  </si>
  <si>
    <t xml:space="preserve">le profane, le laïc</t>
  </si>
  <si>
    <t xml:space="preserve">Bruttosozialprodukt (-e), das</t>
  </si>
  <si>
    <t xml:space="preserve">le PNB</t>
  </si>
  <si>
    <t xml:space="preserve">im großen Stil</t>
  </si>
  <si>
    <t xml:space="preserve">en grande pompe</t>
  </si>
  <si>
    <t xml:space="preserve">arbeitsam</t>
  </si>
  <si>
    <t xml:space="preserve">laborieux, besogneux</t>
  </si>
  <si>
    <t xml:space="preserve">steigern</t>
  </si>
  <si>
    <t xml:space="preserve">accroître, démultiplier</t>
  </si>
  <si>
    <t xml:space="preserve">Kapitalgeber (-e), der</t>
  </si>
  <si>
    <t xml:space="preserve">l'investisseur, le prêteur</t>
  </si>
  <si>
    <t xml:space="preserve">freihändiger Verkauf</t>
  </si>
  <si>
    <t xml:space="preserve">vente à l'amiable, vente de gré à gré</t>
  </si>
  <si>
    <t xml:space="preserve">Zeitarbeit (-en), die</t>
  </si>
  <si>
    <t xml:space="preserve">le travail intérimaire, le travail temporaire</t>
  </si>
  <si>
    <t xml:space="preserve">Stammkundschaft (-en), die</t>
  </si>
  <si>
    <t xml:space="preserve">la clientèle habituelle</t>
  </si>
  <si>
    <t xml:space="preserve">erschliessen</t>
  </si>
  <si>
    <t xml:space="preserve">comprendre / exploiter, mettre en valeur</t>
  </si>
  <si>
    <t xml:space="preserve">leidlich</t>
  </si>
  <si>
    <t xml:space="preserve">passable, supportable</t>
  </si>
  <si>
    <t xml:space="preserve">Gebilde (-), das</t>
  </si>
  <si>
    <t xml:space="preserve">la formation</t>
  </si>
  <si>
    <t xml:space="preserve">ausstehend</t>
  </si>
  <si>
    <t xml:space="preserve">en cours, impayé, dû</t>
  </si>
  <si>
    <t xml:space="preserve">fällig</t>
  </si>
  <si>
    <t xml:space="preserve">échéant / exigible, dû</t>
  </si>
  <si>
    <t xml:space="preserve">Einkunft (?), die</t>
  </si>
  <si>
    <t xml:space="preserve">le revenu</t>
  </si>
  <si>
    <t xml:space="preserve">Zugeständnis (-se), das</t>
  </si>
  <si>
    <t xml:space="preserve">la concession</t>
  </si>
  <si>
    <t xml:space="preserve">le décompte / la gâchette d'une arme à feu</t>
  </si>
  <si>
    <t xml:space="preserve">Skonto (-i / -os), der</t>
  </si>
  <si>
    <t xml:space="preserve">l'escompte</t>
  </si>
  <si>
    <t xml:space="preserve">Zuschrift (-en), die</t>
  </si>
  <si>
    <t xml:space="preserve">la lettre de réponse</t>
  </si>
  <si>
    <t xml:space="preserve">Begehren (-), das</t>
  </si>
  <si>
    <t xml:space="preserve">le désir</t>
  </si>
  <si>
    <t xml:space="preserve">geringfügig</t>
  </si>
  <si>
    <t xml:space="preserve">insignifiant, bénin</t>
  </si>
  <si>
    <t xml:space="preserve">i.A.</t>
  </si>
  <si>
    <t xml:space="preserve">par ordre (im Auftrag)</t>
  </si>
  <si>
    <t xml:space="preserve">zusammentragen</t>
  </si>
  <si>
    <t xml:space="preserve">accumuler, amasser</t>
  </si>
  <si>
    <t xml:space="preserve">sich besinnen</t>
  </si>
  <si>
    <t xml:space="preserve">se souvenir / réfléchir</t>
  </si>
  <si>
    <t xml:space="preserve">jmdn hinhalten</t>
  </si>
  <si>
    <t xml:space="preserve">amuser qn / faire attendre qn</t>
  </si>
  <si>
    <t xml:space="preserve">Ersuchen (Ø), das</t>
  </si>
  <si>
    <t xml:space="preserve">la sollicitation, la requête</t>
  </si>
  <si>
    <t xml:space="preserve">Drehkreuz (-e), das</t>
  </si>
  <si>
    <t xml:space="preserve">le tourniquet / la plaque tournante</t>
  </si>
  <si>
    <t xml:space="preserve">hinlegen</t>
  </si>
  <si>
    <t xml:space="preserve">se coucher, s'allonger / placer</t>
  </si>
  <si>
    <t xml:space="preserve">tatenlos</t>
  </si>
  <si>
    <t xml:space="preserve">inactif, les bras ballants</t>
  </si>
  <si>
    <t xml:space="preserve">wiegen</t>
  </si>
  <si>
    <t xml:space="preserve">bercer / pondérer</t>
  </si>
  <si>
    <t xml:space="preserve">bezeigen</t>
  </si>
  <si>
    <t xml:space="preserve">manifester, témoigner</t>
  </si>
  <si>
    <t xml:space="preserve">verdächtig</t>
  </si>
  <si>
    <t xml:space="preserve">suspect, louche</t>
  </si>
  <si>
    <t xml:space="preserve">Ansuchen (Ø), das</t>
  </si>
  <si>
    <t xml:space="preserve">la requête</t>
  </si>
  <si>
    <t xml:space="preserve">Zahlungsverzug (-üge), der</t>
  </si>
  <si>
    <t xml:space="preserve">le retard de paiement</t>
  </si>
  <si>
    <t xml:space="preserve">Einschreiben (-), das</t>
  </si>
  <si>
    <t xml:space="preserve">le recommandé / l'inscription</t>
  </si>
  <si>
    <t xml:space="preserve">z. Hd.</t>
  </si>
  <si>
    <t xml:space="preserve">à l'attention de (zu Händen von)</t>
  </si>
  <si>
    <t xml:space="preserve">dankenswert</t>
  </si>
  <si>
    <t xml:space="preserve">digne de reconnaissance, louable</t>
  </si>
  <si>
    <t xml:space="preserve">Strick (-e), der</t>
  </si>
  <si>
    <t xml:space="preserve">la corde</t>
  </si>
  <si>
    <t xml:space="preserve">Stich (-e), der</t>
  </si>
  <si>
    <t xml:space="preserve">la piqûre / le coup de couteau</t>
  </si>
  <si>
    <t xml:space="preserve">bezeugen</t>
  </si>
  <si>
    <t xml:space="preserve">attester, témoigner</t>
  </si>
  <si>
    <t xml:space="preserve">vorankommen</t>
  </si>
  <si>
    <t xml:space="preserve">avancer, faire des progrès</t>
  </si>
  <si>
    <t xml:space="preserve">p.a.</t>
  </si>
  <si>
    <t xml:space="preserve">per anno</t>
  </si>
  <si>
    <t xml:space="preserve">umgebend</t>
  </si>
  <si>
    <t xml:space="preserve">ambiant, entourant</t>
  </si>
  <si>
    <t xml:space="preserve">Weitblick (Ø), der</t>
  </si>
  <si>
    <t xml:space="preserve">la prévoyance, la clairvoyance</t>
  </si>
  <si>
    <t xml:space="preserve">Hj.</t>
  </si>
  <si>
    <t xml:space="preserve">Halbjahr</t>
  </si>
  <si>
    <t xml:space="preserve">ausschmücken</t>
  </si>
  <si>
    <t xml:space="preserve">décorer, broder</t>
  </si>
  <si>
    <t xml:space="preserve">jmdn beurlauben</t>
  </si>
  <si>
    <t xml:space="preserve">accorder un congé à qn</t>
  </si>
  <si>
    <t xml:space="preserve">hierzulande</t>
  </si>
  <si>
    <t xml:space="preserve">ici</t>
  </si>
  <si>
    <t xml:space="preserve">GbR</t>
  </si>
  <si>
    <t xml:space="preserve">Gesellschaft bürgerlichen Rechts</t>
  </si>
  <si>
    <t xml:space="preserve">Bescheid (-e), der</t>
  </si>
  <si>
    <t xml:space="preserve">la réponse / la décision / l'avis</t>
  </si>
  <si>
    <t xml:space="preserve">Ortschaft (-en), die</t>
  </si>
  <si>
    <t xml:space="preserve">la bourgade</t>
  </si>
  <si>
    <t xml:space="preserve">KGaA</t>
  </si>
  <si>
    <t xml:space="preserve">Kommanditgesellschaft auf Aktien</t>
  </si>
  <si>
    <t xml:space="preserve">Storno (Storni), das</t>
  </si>
  <si>
    <t xml:space="preserve">la rectification, la ristourne</t>
  </si>
  <si>
    <t xml:space="preserve">überschaubar</t>
  </si>
  <si>
    <t xml:space="preserve">à taille humaine, gérable, contrôlable</t>
  </si>
  <si>
    <t xml:space="preserve">Einzelunternehmen (-), das</t>
  </si>
  <si>
    <t xml:space="preserve">l'entreprise individuelle, en nom propre</t>
  </si>
  <si>
    <t xml:space="preserve">Mehr- und Minderlieferung (-en), die</t>
  </si>
  <si>
    <t xml:space="preserve">la livraison max &amp; min</t>
  </si>
  <si>
    <t xml:space="preserve">Festtag (-e), der</t>
  </si>
  <si>
    <t xml:space="preserve">le jour férié, la fête</t>
  </si>
  <si>
    <t xml:space="preserve">zumeist</t>
  </si>
  <si>
    <t xml:space="preserve">la plupart du temps</t>
  </si>
  <si>
    <t xml:space="preserve">gewinnträchtig</t>
  </si>
  <si>
    <t xml:space="preserve">rentable, porteur (marché, secteur, créneau)</t>
  </si>
  <si>
    <t xml:space="preserve">Brauch (-äuche), der</t>
  </si>
  <si>
    <t xml:space="preserve">la coutume, l'usage</t>
  </si>
  <si>
    <t xml:space="preserve">erlassen</t>
  </si>
  <si>
    <t xml:space="preserve">promulguer</t>
  </si>
  <si>
    <t xml:space="preserve">unter Umständen</t>
  </si>
  <si>
    <t xml:space="preserve">peut-être, le cas échéant</t>
  </si>
  <si>
    <t xml:space="preserve">auslassen</t>
  </si>
  <si>
    <t xml:space="preserve">faire l'impasse sur (éduc.), omettre</t>
  </si>
  <si>
    <t xml:space="preserve">abfertigen</t>
  </si>
  <si>
    <t xml:space="preserve">servir qn / enregistrer qc / expédier qc</t>
  </si>
  <si>
    <t xml:space="preserve">Tintenpatrone (-n), die</t>
  </si>
  <si>
    <t xml:space="preserve">la cartouche d'encre</t>
  </si>
  <si>
    <t xml:space="preserve">Auftrieb (Ø), der</t>
  </si>
  <si>
    <t xml:space="preserve">la flottabilité, la portance</t>
  </si>
  <si>
    <t xml:space="preserve">ausmachen</t>
  </si>
  <si>
    <t xml:space="preserve">éteindre / constituer, composer</t>
  </si>
  <si>
    <t xml:space="preserve">Füller (-), der</t>
  </si>
  <si>
    <t xml:space="preserve">le stylo-plume</t>
  </si>
  <si>
    <t xml:space="preserve">Willigkeit (-en), die</t>
  </si>
  <si>
    <t xml:space="preserve">la docilité</t>
  </si>
  <si>
    <t xml:space="preserve">Beharrung (-en), die</t>
  </si>
  <si>
    <t xml:space="preserve">la persévérance</t>
  </si>
  <si>
    <t xml:space="preserve">entlassen</t>
  </si>
  <si>
    <t xml:space="preserve">démissionner / licencier qn</t>
  </si>
  <si>
    <t xml:space="preserve">Einnahme (-n), die</t>
  </si>
  <si>
    <t xml:space="preserve">la rentrée d'argent / la prise militaire / la prise de médicaments</t>
  </si>
  <si>
    <t xml:space="preserve">Zucht (-en), die</t>
  </si>
  <si>
    <t xml:space="preserve">l'élevage</t>
  </si>
  <si>
    <t xml:space="preserve">hüpfen</t>
  </si>
  <si>
    <t xml:space="preserve">sauter, bondir</t>
  </si>
  <si>
    <t xml:space="preserve">verbuchen</t>
  </si>
  <si>
    <t xml:space="preserve">enregistrer, comptabiliser</t>
  </si>
  <si>
    <t xml:space="preserve">Wendel (-n), die</t>
  </si>
  <si>
    <t xml:space="preserve">l'hélice</t>
  </si>
  <si>
    <t xml:space="preserve">Qual (-en), die</t>
  </si>
  <si>
    <t xml:space="preserve">la torture</t>
  </si>
  <si>
    <t xml:space="preserve">Schreibblock (-öcke), der</t>
  </si>
  <si>
    <t xml:space="preserve">le bloc-note</t>
  </si>
  <si>
    <t xml:space="preserve">Clique (-n), die</t>
  </si>
  <si>
    <t xml:space="preserve">le gang</t>
  </si>
  <si>
    <t xml:space="preserve">tauchen</t>
  </si>
  <si>
    <t xml:space="preserve">plonger</t>
  </si>
  <si>
    <t xml:space="preserve">etw. jmdm überlassen</t>
  </si>
  <si>
    <t xml:space="preserve">céder, abandonner, confier qc à qn</t>
  </si>
  <si>
    <t xml:space="preserve">Radiergummi (-s), der</t>
  </si>
  <si>
    <t xml:space="preserve">la gomme (pour crayon à papier)</t>
  </si>
  <si>
    <t xml:space="preserve">Leiche (-n), die</t>
  </si>
  <si>
    <t xml:space="preserve">le cadavre</t>
  </si>
  <si>
    <t xml:space="preserve">Filzstift (-e), der</t>
  </si>
  <si>
    <t xml:space="preserve">le stylo feutre</t>
  </si>
  <si>
    <t xml:space="preserve">Ausbau (-ten), der</t>
  </si>
  <si>
    <t xml:space="preserve">le démontage / l'agrandissement, l'expansion</t>
  </si>
  <si>
    <t xml:space="preserve">fündig</t>
  </si>
  <si>
    <t xml:space="preserve">fructueux</t>
  </si>
  <si>
    <t xml:space="preserve">üppig</t>
  </si>
  <si>
    <t xml:space="preserve">exubérant, foisonnant, proliférant</t>
  </si>
  <si>
    <t xml:space="preserve">rundum</t>
  </si>
  <si>
    <t xml:space="preserve">tous azimuts</t>
  </si>
  <si>
    <t xml:space="preserve">Vorfahrt (-en), die</t>
  </si>
  <si>
    <t xml:space="preserve">la priorité (circulation routière) / la marche en avant</t>
  </si>
  <si>
    <t xml:space="preserve">ergattern (fam.)</t>
  </si>
  <si>
    <t xml:space="preserve">dénicher</t>
  </si>
  <si>
    <t xml:space="preserve">beklemmen</t>
  </si>
  <si>
    <t xml:space="preserve">angoisser, oppresser</t>
  </si>
  <si>
    <t xml:space="preserve">(sich) bewähren</t>
  </si>
  <si>
    <t xml:space="preserve">faire ses preuves / s'avérer juste</t>
  </si>
  <si>
    <t xml:space="preserve">flächendeckend</t>
  </si>
  <si>
    <t xml:space="preserve">généralisé</t>
  </si>
  <si>
    <t xml:space="preserve">entbehrlich</t>
  </si>
  <si>
    <t xml:space="preserve">accessoire, superflu</t>
  </si>
  <si>
    <t xml:space="preserve">herkömmlich</t>
  </si>
  <si>
    <t xml:space="preserve">traditionnel</t>
  </si>
  <si>
    <t xml:space="preserve">rasant</t>
  </si>
  <si>
    <t xml:space="preserve">attirant / rapide</t>
  </si>
  <si>
    <t xml:space="preserve">Erarbeitung (-en), die</t>
  </si>
  <si>
    <t xml:space="preserve">l'édification</t>
  </si>
  <si>
    <t xml:space="preserve">Entmündigung (-en), die</t>
  </si>
  <si>
    <t xml:space="preserve">la mise sous tutelle / l'interdiction judiciaire</t>
  </si>
  <si>
    <t xml:space="preserve">ertragen</t>
  </si>
  <si>
    <t xml:space="preserve">supporter, endurer, souffrir</t>
  </si>
  <si>
    <t xml:space="preserve">Rendite (-n), die</t>
  </si>
  <si>
    <t xml:space="preserve">le rendement, le taux de rendement</t>
  </si>
  <si>
    <t xml:space="preserve">Kehrseite (-n), die</t>
  </si>
  <si>
    <t xml:space="preserve">le revers, l'envers</t>
  </si>
  <si>
    <t xml:space="preserve">Erforschung (-en), die</t>
  </si>
  <si>
    <t xml:space="preserve">l'exploration</t>
  </si>
  <si>
    <t xml:space="preserve">rinnen</t>
  </si>
  <si>
    <t xml:space="preserve">couler, ruisseler</t>
  </si>
  <si>
    <t xml:space="preserve">Landungsbrücke (-n), die</t>
  </si>
  <si>
    <t xml:space="preserve">l'embarcadère, la jetée</t>
  </si>
  <si>
    <t xml:space="preserve">Zärtlichkeit (-en), die</t>
  </si>
  <si>
    <t xml:space="preserve">le câlin, la caresse, la tendresse</t>
  </si>
  <si>
    <t xml:space="preserve">fündig werden</t>
  </si>
  <si>
    <t xml:space="preserve">finir par trouver</t>
  </si>
  <si>
    <t xml:space="preserve">Betreuung (-en), die</t>
  </si>
  <si>
    <t xml:space="preserve">l'accompagnement, l'encadrement, la prise en charge</t>
  </si>
  <si>
    <t xml:space="preserve">Verabredung (-en), die</t>
  </si>
  <si>
    <t xml:space="preserve">le rendez-vous / l'arrangement</t>
  </si>
  <si>
    <t xml:space="preserve">in spe (Lateinisch)</t>
  </si>
  <si>
    <t xml:space="preserve">futur</t>
  </si>
  <si>
    <t xml:space="preserve">abnützen</t>
  </si>
  <si>
    <t xml:space="preserve">user, esquinter</t>
  </si>
  <si>
    <t xml:space="preserve">Braunkohle (-n), die</t>
  </si>
  <si>
    <t xml:space="preserve">le lignite</t>
  </si>
  <si>
    <t xml:space="preserve">über Nacht</t>
  </si>
  <si>
    <t xml:space="preserve">du jour au lendemain</t>
  </si>
  <si>
    <t xml:space="preserve">Überbrückung (-en), die</t>
  </si>
  <si>
    <t xml:space="preserve">le franchissement / la conciliation / le court-circuitage</t>
  </si>
  <si>
    <t xml:space="preserve">Frohsinn (Ø), der</t>
  </si>
  <si>
    <t xml:space="preserve">la gaieté</t>
  </si>
  <si>
    <t xml:space="preserve">Bearbeitung (-en), die</t>
  </si>
  <si>
    <t xml:space="preserve">l'élaboration, le façonnage</t>
  </si>
  <si>
    <t xml:space="preserve">schlucken</t>
  </si>
  <si>
    <t xml:space="preserve">avaler, déglutir</t>
  </si>
  <si>
    <t xml:space="preserve">Irrglaube (-n), die</t>
  </si>
  <si>
    <t xml:space="preserve">la croyance erronée, l'hérésie</t>
  </si>
  <si>
    <t xml:space="preserve">Anwendungssoftware, die (z.B. SaP)</t>
  </si>
  <si>
    <t xml:space="preserve">le logiciel applicatif (type SAP)</t>
  </si>
  <si>
    <t xml:space="preserve">Einfuhr (-en), die</t>
  </si>
  <si>
    <t xml:space="preserve">l'importation</t>
  </si>
  <si>
    <t xml:space="preserve">allmählich</t>
  </si>
  <si>
    <t xml:space="preserve">progressif, à la longue</t>
  </si>
  <si>
    <t xml:space="preserve">Bürgschaft (-en), die</t>
  </si>
  <si>
    <t xml:space="preserve">la caution, la garantie bancaire</t>
  </si>
  <si>
    <t xml:space="preserve">beflügeln</t>
  </si>
  <si>
    <t xml:space="preserve">fouetter / stimuler</t>
  </si>
  <si>
    <t xml:space="preserve">darben</t>
  </si>
  <si>
    <t xml:space="preserve">souffrir de privations</t>
  </si>
  <si>
    <t xml:space="preserve">preiswert</t>
  </si>
  <si>
    <t xml:space="preserve">bon marché</t>
  </si>
  <si>
    <t xml:space="preserve">Leim (-e), der</t>
  </si>
  <si>
    <t xml:space="preserve">la colle, la glue</t>
  </si>
  <si>
    <t xml:space="preserve">zusehends</t>
  </si>
  <si>
    <t xml:space="preserve">à vue d'œil / de plus en plus</t>
  </si>
  <si>
    <t xml:space="preserve">Tacker (-), der</t>
  </si>
  <si>
    <t xml:space="preserve">l'agrafeuse</t>
  </si>
  <si>
    <t xml:space="preserve">überflüssig</t>
  </si>
  <si>
    <t xml:space="preserve">superflu, redondant</t>
  </si>
  <si>
    <t xml:space="preserve">grell</t>
  </si>
  <si>
    <t xml:space="preserve">vif, voyant, strident</t>
  </si>
  <si>
    <t xml:space="preserve">Ader (-n), die</t>
  </si>
  <si>
    <t xml:space="preserve">le fil électrique / la veine, le filon</t>
  </si>
  <si>
    <t xml:space="preserve">Heftklammer (-n), die</t>
  </si>
  <si>
    <t xml:space="preserve">l'agrafe de bureau</t>
  </si>
  <si>
    <t xml:space="preserve">Beschuldigung (-en), die</t>
  </si>
  <si>
    <t xml:space="preserve">l'inculpation, l'accusation</t>
  </si>
  <si>
    <t xml:space="preserve">versäumen</t>
  </si>
  <si>
    <t xml:space="preserve">manquer, rater / négliger</t>
  </si>
  <si>
    <t xml:space="preserve">akribisch</t>
  </si>
  <si>
    <t xml:space="preserve">méticuleux, scrupuleux</t>
  </si>
  <si>
    <t xml:space="preserve">überheblich</t>
  </si>
  <si>
    <t xml:space="preserve">arrogant, présomptueux</t>
  </si>
  <si>
    <t xml:space="preserve">einen Rückschlag erleiden</t>
  </si>
  <si>
    <t xml:space="preserve">essuyer un revers</t>
  </si>
  <si>
    <t xml:space="preserve">Ferse (-n), die</t>
  </si>
  <si>
    <t xml:space="preserve">le talon</t>
  </si>
  <si>
    <t xml:space="preserve">Hopp oder Top?</t>
  </si>
  <si>
    <t xml:space="preserve">Cap' ou pas cap' ?</t>
  </si>
  <si>
    <t xml:space="preserve">unwiderruflich</t>
  </si>
  <si>
    <t xml:space="preserve">irrévocable, sans recours</t>
  </si>
  <si>
    <t xml:space="preserve">Gummi (-s), der ou das</t>
  </si>
  <si>
    <t xml:space="preserve">l'élastique</t>
  </si>
  <si>
    <t xml:space="preserve">knallhart</t>
  </si>
  <si>
    <t xml:space="preserve">brutal, très dur</t>
  </si>
  <si>
    <t xml:space="preserve">Schuldschein (-e), der</t>
  </si>
  <si>
    <t xml:space="preserve">la reconnaissance de dette, la lettre de créance</t>
  </si>
  <si>
    <t xml:space="preserve">Klarsichthülle (-n), die</t>
  </si>
  <si>
    <t xml:space="preserve">la pochette plastifiée</t>
  </si>
  <si>
    <t xml:space="preserve">Sporn (-en), der</t>
  </si>
  <si>
    <t xml:space="preserve">l'éperon</t>
  </si>
  <si>
    <t xml:space="preserve">Reederei (-en), die</t>
  </si>
  <si>
    <t xml:space="preserve">la société d'armement / la société maritime</t>
  </si>
  <si>
    <t xml:space="preserve">Mahnung (-en), die</t>
  </si>
  <si>
    <t xml:space="preserve">l'avertissement, la lettre de rappel</t>
  </si>
  <si>
    <t xml:space="preserve">im Bruchteil einer Sekunde</t>
  </si>
  <si>
    <t xml:space="preserve">en une fraction de seconde </t>
  </si>
  <si>
    <t xml:space="preserve">jmdm. auf den Fersen sein</t>
  </si>
  <si>
    <t xml:space="preserve">talonner qn</t>
  </si>
  <si>
    <t xml:space="preserve">prägnant</t>
  </si>
  <si>
    <t xml:space="preserve">concis / prégnant</t>
  </si>
  <si>
    <t xml:space="preserve">Werft (-en), die</t>
  </si>
  <si>
    <t xml:space="preserve">le chantier naval</t>
  </si>
  <si>
    <t xml:space="preserve">Stecker (-), der</t>
  </si>
  <si>
    <t xml:space="preserve">la prise mâle</t>
  </si>
  <si>
    <t xml:space="preserve">anspornen</t>
  </si>
  <si>
    <t xml:space="preserve">stimuler, exciter</t>
  </si>
  <si>
    <t xml:space="preserve">Taschentuch (-ücher), das</t>
  </si>
  <si>
    <t xml:space="preserve">le mouchoir</t>
  </si>
  <si>
    <t xml:space="preserve">durchdenken</t>
  </si>
  <si>
    <t xml:space="preserve">considérer, réfléchir profondément à qc</t>
  </si>
  <si>
    <t xml:space="preserve">Leuchtstift (-e), der / Textmarker (-), der</t>
  </si>
  <si>
    <t xml:space="preserve">le surligneur</t>
  </si>
  <si>
    <t xml:space="preserve">auffangen</t>
  </si>
  <si>
    <t xml:space="preserve">attraper / absorber, amortir</t>
  </si>
  <si>
    <t xml:space="preserve">töricht</t>
  </si>
  <si>
    <t xml:space="preserve">fou, idiot</t>
  </si>
  <si>
    <t xml:space="preserve">jmdm etw. zuweisen</t>
  </si>
  <si>
    <t xml:space="preserve">attribuer, assigner à qn</t>
  </si>
  <si>
    <t xml:space="preserve">hauen</t>
  </si>
  <si>
    <t xml:space="preserve">sculpter / cogner</t>
  </si>
  <si>
    <t xml:space="preserve">bügeln</t>
  </si>
  <si>
    <t xml:space="preserve">repasser (un vêtement)</t>
  </si>
  <si>
    <t xml:space="preserve">être à l'affût, guetter, épier sa proie</t>
  </si>
  <si>
    <t xml:space="preserve">verräterisch</t>
  </si>
  <si>
    <t xml:space="preserve">traître</t>
  </si>
  <si>
    <t xml:space="preserve">bedauern</t>
  </si>
  <si>
    <t xml:space="preserve">regretter</t>
  </si>
  <si>
    <t xml:space="preserve">etw. entgehen</t>
  </si>
  <si>
    <t xml:space="preserve">échapper à qc, passer au traver de qc</t>
  </si>
  <si>
    <t xml:space="preserve">Missstand (-ände), der</t>
  </si>
  <si>
    <t xml:space="preserve">l'inconvénient / l'abus</t>
  </si>
  <si>
    <t xml:space="preserve">an etw. gemessen</t>
  </si>
  <si>
    <t xml:space="preserve">jugé d'après qc</t>
  </si>
  <si>
    <t xml:space="preserve">Selbstbeteiligung (-en), die</t>
  </si>
  <si>
    <t xml:space="preserve">la franchise d'assurance</t>
  </si>
  <si>
    <t xml:space="preserve">vorgezogen</t>
  </si>
  <si>
    <t xml:space="preserve">anticipé</t>
  </si>
  <si>
    <t xml:space="preserve">zustande kommen</t>
  </si>
  <si>
    <t xml:space="preserve">aboutir à qc</t>
  </si>
  <si>
    <t xml:space="preserve">Beliebtheit (-en), die</t>
  </si>
  <si>
    <t xml:space="preserve">la faveur, la popularité</t>
  </si>
  <si>
    <t xml:space="preserve">gegenüber</t>
  </si>
  <si>
    <t xml:space="preserve">face-à-face, à l'opposé</t>
  </si>
  <si>
    <t xml:space="preserve">vorbehaltlich ... (Konj.)</t>
  </si>
  <si>
    <t xml:space="preserve">sauf ...</t>
  </si>
  <si>
    <t xml:space="preserve">sich einer Sache erfreuen</t>
  </si>
  <si>
    <t xml:space="preserve">jouir de qc</t>
  </si>
  <si>
    <t xml:space="preserve">Sortiment (-e), das</t>
  </si>
  <si>
    <t xml:space="preserve">la gamme de produit / l'assortiment</t>
  </si>
  <si>
    <t xml:space="preserve">Einzelhändler (-), der</t>
  </si>
  <si>
    <t xml:space="preserve">le commerçant de détail</t>
  </si>
  <si>
    <t xml:space="preserve">letzten Endes</t>
  </si>
  <si>
    <t xml:space="preserve">en définitive, en fin de compte</t>
  </si>
  <si>
    <t xml:space="preserve">dermaßen, dass …</t>
  </si>
  <si>
    <t xml:space="preserve">à tel point que …</t>
  </si>
  <si>
    <t xml:space="preserve">auf etw. hindeuten</t>
  </si>
  <si>
    <t xml:space="preserve">présager qc / converger vers</t>
  </si>
  <si>
    <t xml:space="preserve">entgegen etw.</t>
  </si>
  <si>
    <t xml:space="preserve">contrairement à qc</t>
  </si>
  <si>
    <t xml:space="preserve">reichhaltig</t>
  </si>
  <si>
    <t xml:space="preserve">copieux, riche, foisonnant</t>
  </si>
  <si>
    <t xml:space="preserve">hinterlassen</t>
  </si>
  <si>
    <t xml:space="preserve">laisser (un message ou un héritage)</t>
  </si>
  <si>
    <t xml:space="preserve">jmdm entgegenkommen</t>
  </si>
  <si>
    <t xml:space="preserve">être agréable, venir au-devant de qn</t>
  </si>
  <si>
    <t xml:space="preserve">Schadenersatz (Ø), der</t>
  </si>
  <si>
    <t xml:space="preserve">l'indemnité, les dommages &amp; intérêts</t>
  </si>
  <si>
    <t xml:space="preserve">hinsichtlich (prép.)</t>
  </si>
  <si>
    <t xml:space="preserve">en ce qui concerne</t>
  </si>
  <si>
    <t xml:space="preserve">betreiben</t>
  </si>
  <si>
    <t xml:space="preserve">soutenir / exploiter</t>
  </si>
  <si>
    <t xml:space="preserve">jmdn verklagen</t>
  </si>
  <si>
    <t xml:space="preserve">porte plainte contre qn</t>
  </si>
  <si>
    <t xml:space="preserve">Ersparte (Ø), das</t>
  </si>
  <si>
    <t xml:space="preserve">l'épargne</t>
  </si>
  <si>
    <t xml:space="preserve">mäßig</t>
  </si>
  <si>
    <t xml:space="preserve">conforme / modéré, sobre</t>
  </si>
  <si>
    <t xml:space="preserve">zu Unrecht</t>
  </si>
  <si>
    <t xml:space="preserve">à tort</t>
  </si>
  <si>
    <t xml:space="preserve">währenddessen</t>
  </si>
  <si>
    <t xml:space="preserve">en attendant / pendant ce temps</t>
  </si>
  <si>
    <t xml:space="preserve">Kleinsparer (-), der</t>
  </si>
  <si>
    <t xml:space="preserve">le petit épargnant</t>
  </si>
  <si>
    <t xml:space="preserve">ferner</t>
  </si>
  <si>
    <t xml:space="preserve">de plus, en outre</t>
  </si>
  <si>
    <t xml:space="preserve">Abgabe (-n), die</t>
  </si>
  <si>
    <t xml:space="preserve">la taxe, l'impôt</t>
  </si>
  <si>
    <t xml:space="preserve">Anführungszeichen (-), die</t>
  </si>
  <si>
    <t xml:space="preserve">les guillemets</t>
  </si>
  <si>
    <t xml:space="preserve">Klempner (-), der</t>
  </si>
  <si>
    <t xml:space="preserve">le plombier, le ferblantier</t>
  </si>
  <si>
    <t xml:space="preserve">fettgedruckt</t>
  </si>
  <si>
    <t xml:space="preserve">imprimé en gras</t>
  </si>
  <si>
    <t xml:space="preserve">Hochstellung (-en), die</t>
  </si>
  <si>
    <t xml:space="preserve">l'exposant (typographie)</t>
  </si>
  <si>
    <t xml:space="preserve">Ausrufzeichen (-), das</t>
  </si>
  <si>
    <t xml:space="preserve">le point d'exclamation</t>
  </si>
  <si>
    <t xml:space="preserve">Kursivschrift (-en), die</t>
  </si>
  <si>
    <t xml:space="preserve">l'écriture italique</t>
  </si>
  <si>
    <t xml:space="preserve">Aufzählungszeichen (-), das</t>
  </si>
  <si>
    <t xml:space="preserve">la puce (typographie)</t>
  </si>
  <si>
    <t xml:space="preserve">Seitenrand (-änder), der</t>
  </si>
  <si>
    <t xml:space="preserve">la marge (typographie)</t>
  </si>
  <si>
    <t xml:space="preserve">Font (-s), der / Zeichensatz (-ätze), der</t>
  </si>
  <si>
    <t xml:space="preserve">la police d'écriture</t>
  </si>
  <si>
    <t xml:space="preserve">Fragezeichen (-), das</t>
  </si>
  <si>
    <t xml:space="preserve">le point d'interrogation</t>
  </si>
  <si>
    <t xml:space="preserve">Elster (-n), die</t>
  </si>
  <si>
    <t xml:space="preserve">la pie</t>
  </si>
  <si>
    <t xml:space="preserve">aussetzen</t>
  </si>
  <si>
    <t xml:space="preserve">suspendre, interrompre</t>
  </si>
  <si>
    <t xml:space="preserve">Masche (-n), die</t>
  </si>
  <si>
    <t xml:space="preserve">la combine</t>
  </si>
  <si>
    <t xml:space="preserve">rückläufig</t>
  </si>
  <si>
    <t xml:space="preserve">régressif, en diminution</t>
  </si>
  <si>
    <t xml:space="preserve">Betroffenheit (-en), die</t>
  </si>
  <si>
    <t xml:space="preserve">la consternation, la stupeur</t>
  </si>
  <si>
    <t xml:space="preserve">etw.+D erliegen</t>
  </si>
  <si>
    <t xml:space="preserve">céder à qc</t>
  </si>
  <si>
    <t xml:space="preserve">klauen</t>
  </si>
  <si>
    <t xml:space="preserve">chaparder</t>
  </si>
  <si>
    <t xml:space="preserve">jmdm +D. trotzen</t>
  </si>
  <si>
    <t xml:space="preserve">bouder / affronter qn</t>
  </si>
  <si>
    <t xml:space="preserve">flimmern</t>
  </si>
  <si>
    <t xml:space="preserve">scintiller, papilloter</t>
  </si>
  <si>
    <t xml:space="preserve">jmdm +D. standhalten</t>
  </si>
  <si>
    <t xml:space="preserve">tenir bon, résister à qn</t>
  </si>
  <si>
    <t xml:space="preserve">immerhin</t>
  </si>
  <si>
    <t xml:space="preserve">en tout cas / après tout</t>
  </si>
  <si>
    <t xml:space="preserve">Einzahl (-en), die</t>
  </si>
  <si>
    <t xml:space="preserve">l'unicité</t>
  </si>
  <si>
    <t xml:space="preserve">Gesichtspunkt (-e), der</t>
  </si>
  <si>
    <t xml:space="preserve">l'aspect / le point de vue</t>
  </si>
  <si>
    <t xml:space="preserve">bieder (Adj.)</t>
  </si>
  <si>
    <t xml:space="preserve">honnête / sage</t>
  </si>
  <si>
    <t xml:space="preserve">etw.+A einzahlen</t>
  </si>
  <si>
    <t xml:space="preserve">déposer (une somme sur un compte)</t>
  </si>
  <si>
    <t xml:space="preserve">demnach</t>
  </si>
  <si>
    <t xml:space="preserve">etw.+A herausbekommen</t>
  </si>
  <si>
    <t xml:space="preserve">trouver qc</t>
  </si>
  <si>
    <t xml:space="preserve">frech</t>
  </si>
  <si>
    <t xml:space="preserve">impertinent, insolent</t>
  </si>
  <si>
    <t xml:space="preserve">betucht</t>
  </si>
  <si>
    <t xml:space="preserve">cossu, rupin</t>
  </si>
  <si>
    <t xml:space="preserve">jmdm nacheifern</t>
  </si>
  <si>
    <t xml:space="preserve">imiter qn</t>
  </si>
  <si>
    <t xml:space="preserve">darauf bestehen, dass ... .</t>
  </si>
  <si>
    <t xml:space="preserve">insister pour que ...</t>
  </si>
  <si>
    <t xml:space="preserve">schwazhaft</t>
  </si>
  <si>
    <t xml:space="preserve">bavard</t>
  </si>
  <si>
    <t xml:space="preserve">Spruchband (-änder), das</t>
  </si>
  <si>
    <t xml:space="preserve">la banderolle, la pancarte</t>
  </si>
  <si>
    <t xml:space="preserve">länglich (Adj.)</t>
  </si>
  <si>
    <t xml:space="preserve">oblong</t>
  </si>
  <si>
    <t xml:space="preserve">alsbald</t>
  </si>
  <si>
    <t xml:space="preserve">peu après (vieilli)</t>
  </si>
  <si>
    <t xml:space="preserve">zäh</t>
  </si>
  <si>
    <t xml:space="preserve">tenace / dur / solide</t>
  </si>
  <si>
    <t xml:space="preserve">anderweitig</t>
  </si>
  <si>
    <t xml:space="preserve">ailleurs / autre, autrement</t>
  </si>
  <si>
    <t xml:space="preserve">weshalb</t>
  </si>
  <si>
    <t xml:space="preserve">pourquoi (conjonction)</t>
  </si>
  <si>
    <t xml:space="preserve">Wolldecke (-n), die</t>
  </si>
  <si>
    <t xml:space="preserve">la couverture en laine</t>
  </si>
  <si>
    <t xml:space="preserve">nachdem</t>
  </si>
  <si>
    <t xml:space="preserve">après que</t>
  </si>
  <si>
    <t xml:space="preserve">Konkursverwalter (-), der</t>
  </si>
  <si>
    <t xml:space="preserve">le syndic chargé de la liquidation des biens</t>
  </si>
  <si>
    <t xml:space="preserve">dennoch</t>
  </si>
  <si>
    <t xml:space="preserve">cependant, néanmoins</t>
  </si>
  <si>
    <t xml:space="preserve">Umorientierung (-en), die</t>
  </si>
  <si>
    <t xml:space="preserve">la ré-orientation, la reconversion</t>
  </si>
  <si>
    <t xml:space="preserve">Mattscheibe (-en), die</t>
  </si>
  <si>
    <t xml:space="preserve">du verre dépoli</t>
  </si>
  <si>
    <t xml:space="preserve">hauseigen (adv.)</t>
  </si>
  <si>
    <t xml:space="preserve">du propriétaire</t>
  </si>
  <si>
    <t xml:space="preserve">Aushändigung (-en), die</t>
  </si>
  <si>
    <t xml:space="preserve">la remise / la délivrance</t>
  </si>
  <si>
    <t xml:space="preserve">jmdm +D. zurückhalten</t>
  </si>
  <si>
    <t xml:space="preserve">cacher, contenir / arrêter qn</t>
  </si>
  <si>
    <t xml:space="preserve">knochenhart</t>
  </si>
  <si>
    <t xml:space="preserve">très dur</t>
  </si>
  <si>
    <t xml:space="preserve">anderthalb</t>
  </si>
  <si>
    <t xml:space="preserve">un et demi</t>
  </si>
  <si>
    <t xml:space="preserve">Brennstoffzelle (-n), die</t>
  </si>
  <si>
    <t xml:space="preserve">la pile à combustible</t>
  </si>
  <si>
    <t xml:space="preserve">aussterben</t>
  </si>
  <si>
    <t xml:space="preserve">disparaître</t>
  </si>
  <si>
    <t xml:space="preserve">Erstbeste (-n), der</t>
  </si>
  <si>
    <t xml:space="preserve">le premier venu</t>
  </si>
  <si>
    <t xml:space="preserve">Geschäftstätigkeit (-en), die</t>
  </si>
  <si>
    <t xml:space="preserve">l'activité commerciale d'une boutique</t>
  </si>
  <si>
    <t xml:space="preserve">obgleich</t>
  </si>
  <si>
    <t xml:space="preserve">bien que</t>
  </si>
  <si>
    <t xml:space="preserve">etw.+A auf etw.+A zurückführen</t>
  </si>
  <si>
    <t xml:space="preserve">attribuer qc à qc</t>
  </si>
  <si>
    <t xml:space="preserve">umsteigen</t>
  </si>
  <si>
    <t xml:space="preserve">changer de véhicule</t>
  </si>
  <si>
    <t xml:space="preserve">Voranschreiten (Ø), das</t>
  </si>
  <si>
    <t xml:space="preserve">le cheminement</t>
  </si>
  <si>
    <t xml:space="preserve">Freiberufler (-), der</t>
  </si>
  <si>
    <t xml:space="preserve">le libéral (profession)</t>
  </si>
  <si>
    <t xml:space="preserve">Plastikgeld (-er), das</t>
  </si>
  <si>
    <t xml:space="preserve">la monnaie électronique</t>
  </si>
  <si>
    <t xml:space="preserve">Kleinasien</t>
  </si>
  <si>
    <t xml:space="preserve">L'Asie Mineure</t>
  </si>
  <si>
    <t xml:space="preserve">dadurch</t>
  </si>
  <si>
    <t xml:space="preserve">à travers, ce faisant</t>
  </si>
  <si>
    <t xml:space="preserve">weitreichend</t>
  </si>
  <si>
    <t xml:space="preserve">de longue portée, étendu</t>
  </si>
  <si>
    <t xml:space="preserve">Wessen Buch ist das?</t>
  </si>
  <si>
    <t xml:space="preserve">A qui appartient ce livre ?</t>
  </si>
  <si>
    <t xml:space="preserve">umso + ... , als …</t>
  </si>
  <si>
    <t xml:space="preserve">d'autant plus que …</t>
  </si>
  <si>
    <t xml:space="preserve">Mitbewerber (-), der</t>
  </si>
  <si>
    <t xml:space="preserve">le concurrent</t>
  </si>
  <si>
    <t xml:space="preserve">zuvor</t>
  </si>
  <si>
    <t xml:space="preserve">au préalable, auparavant</t>
  </si>
  <si>
    <t xml:space="preserve">seitdem</t>
  </si>
  <si>
    <t xml:space="preserve">depuis que / dès lors que</t>
  </si>
  <si>
    <t xml:space="preserve">Kassenzettel (-), der</t>
  </si>
  <si>
    <t xml:space="preserve">le ticket de caisse</t>
  </si>
  <si>
    <t xml:space="preserve">etw.+A einbegreifen</t>
  </si>
  <si>
    <t xml:space="preserve">impliquer qc / englober qc</t>
  </si>
  <si>
    <t xml:space="preserve">jmdn zu etw.+D überreden</t>
  </si>
  <si>
    <t xml:space="preserve">persuader qn</t>
  </si>
  <si>
    <t xml:space="preserve">Entwurf (-ürfe), der</t>
  </si>
  <si>
    <t xml:space="preserve">le brouillon</t>
  </si>
  <si>
    <t xml:space="preserve">Blase (-n), die</t>
  </si>
  <si>
    <t xml:space="preserve">la bulle, la cloque</t>
  </si>
  <si>
    <t xml:space="preserve">wobei</t>
  </si>
  <si>
    <t xml:space="preserve">comment / cependant, et voilà que</t>
  </si>
  <si>
    <t xml:space="preserve">aufbauschen</t>
  </si>
  <si>
    <t xml:space="preserve">exagérer, enfler</t>
  </si>
  <si>
    <t xml:space="preserve">Vermittlung (-en), die</t>
  </si>
  <si>
    <t xml:space="preserve">l'intermédiation / l'agence / le remplacement</t>
  </si>
  <si>
    <t xml:space="preserve">heikel</t>
  </si>
  <si>
    <t xml:space="preserve">risqué, délicat, périlleux</t>
  </si>
  <si>
    <t xml:space="preserve">ordnungsmäßig</t>
  </si>
  <si>
    <t xml:space="preserve">réglementaire</t>
  </si>
  <si>
    <t xml:space="preserve">sachkundig</t>
  </si>
  <si>
    <t xml:space="preserve">compétent, qualifié</t>
  </si>
  <si>
    <t xml:space="preserve">Baumstumpf (-ümpfe), der</t>
  </si>
  <si>
    <t xml:space="preserve">la souche</t>
  </si>
  <si>
    <t xml:space="preserve">Puste (Ø), die</t>
  </si>
  <si>
    <t xml:space="preserve">l'haleine</t>
  </si>
  <si>
    <t xml:space="preserve">Rumpf (-ümpfe), der</t>
  </si>
  <si>
    <t xml:space="preserve">la carlingue, le fuselage</t>
  </si>
  <si>
    <t xml:space="preserve">Herd (-e), der</t>
  </si>
  <si>
    <t xml:space="preserve">la cuisinière, le fourneau</t>
  </si>
  <si>
    <t xml:space="preserve">vornehmlich (Adv.)</t>
  </si>
  <si>
    <t xml:space="preserve">de préférence, surtout</t>
  </si>
  <si>
    <t xml:space="preserve">Erkundung (-en), die</t>
  </si>
  <si>
    <t xml:space="preserve">l'exploration, la prospection</t>
  </si>
  <si>
    <t xml:space="preserve">Anwärter (-), der</t>
  </si>
  <si>
    <t xml:space="preserve">le candidat, l'aspirant</t>
  </si>
  <si>
    <t xml:space="preserve">Streubesitz (Ø), der</t>
  </si>
  <si>
    <t xml:space="preserve">le flottant (financier)</t>
  </si>
  <si>
    <t xml:space="preserve">Lenkwaffe (-n), die</t>
  </si>
  <si>
    <t xml:space="preserve">le missile guidé</t>
  </si>
  <si>
    <t xml:space="preserve">aufholen</t>
  </si>
  <si>
    <t xml:space="preserve">être en reprise, se rattraper</t>
  </si>
  <si>
    <t xml:space="preserve">Hubschrauber (-), der</t>
  </si>
  <si>
    <t xml:space="preserve">l'hélicoptère</t>
  </si>
  <si>
    <t xml:space="preserve">jmdn enteignen</t>
  </si>
  <si>
    <t xml:space="preserve">déposséder, exproprier</t>
  </si>
  <si>
    <t xml:space="preserve">Hauptmasse (-n), die</t>
  </si>
  <si>
    <t xml:space="preserve">le gros de</t>
  </si>
  <si>
    <t xml:space="preserve">Bügeleisen (-), das</t>
  </si>
  <si>
    <t xml:space="preserve">le fer à repasser</t>
  </si>
  <si>
    <t xml:space="preserve">Schlag auf Schlag</t>
  </si>
  <si>
    <t xml:space="preserve">coup sur coup</t>
  </si>
  <si>
    <t xml:space="preserve">Pflaume (-n), die</t>
  </si>
  <si>
    <t xml:space="preserve">la prune</t>
  </si>
  <si>
    <t xml:space="preserve">Sieb (-e), das</t>
  </si>
  <si>
    <t xml:space="preserve">l'égouttoir</t>
  </si>
  <si>
    <t xml:space="preserve">Föhn (-e), der</t>
  </si>
  <si>
    <t xml:space="preserve">le sèche-cheveux</t>
  </si>
  <si>
    <t xml:space="preserve">Decke (-n), die</t>
  </si>
  <si>
    <t xml:space="preserve">le plafond</t>
  </si>
  <si>
    <t xml:space="preserve">Zucchini (-), die</t>
  </si>
  <si>
    <t xml:space="preserve">la courgette</t>
  </si>
  <si>
    <t xml:space="preserve">Pfanne (-n), die</t>
  </si>
  <si>
    <t xml:space="preserve">la poêle</t>
  </si>
  <si>
    <t xml:space="preserve">Salatschüssel (-), die</t>
  </si>
  <si>
    <t xml:space="preserve">le saladier</t>
  </si>
  <si>
    <t xml:space="preserve">Aktentasche (-n), die</t>
  </si>
  <si>
    <t xml:space="preserve">la sacoche professionnelle</t>
  </si>
  <si>
    <t xml:space="preserve">le levier de vitesses</t>
  </si>
  <si>
    <t xml:space="preserve">Toaster (-), der</t>
  </si>
  <si>
    <t xml:space="preserve">le grille-pain</t>
  </si>
  <si>
    <t xml:space="preserve">Wasserhahn (-ähne), der</t>
  </si>
  <si>
    <t xml:space="preserve">le robinet</t>
  </si>
  <si>
    <t xml:space="preserve">Teekanne (-n), die</t>
  </si>
  <si>
    <t xml:space="preserve">la théière</t>
  </si>
  <si>
    <t xml:space="preserve">Rolltreppe (-n), die</t>
  </si>
  <si>
    <t xml:space="preserve">l'escalator</t>
  </si>
  <si>
    <t xml:space="preserve">Waschbecken (-), das</t>
  </si>
  <si>
    <t xml:space="preserve">le lavabo</t>
  </si>
  <si>
    <t xml:space="preserve">Umhängetasche (-n), der</t>
  </si>
  <si>
    <t xml:space="preserve">le sac en bandoulière</t>
  </si>
  <si>
    <t xml:space="preserve">Badewanne (-n), die</t>
  </si>
  <si>
    <t xml:space="preserve">la baignoire</t>
  </si>
  <si>
    <t xml:space="preserve">türkis</t>
  </si>
  <si>
    <t xml:space="preserve">turquoise</t>
  </si>
  <si>
    <t xml:space="preserve">Rasierapparat (-e), der</t>
  </si>
  <si>
    <t xml:space="preserve">le rasoir</t>
  </si>
  <si>
    <t xml:space="preserve">Wasserkocher (-), der</t>
  </si>
  <si>
    <t xml:space="preserve">la bouilloire</t>
  </si>
  <si>
    <t xml:space="preserve">Handbremse (-n), die</t>
  </si>
  <si>
    <t xml:space="preserve">la frein à main</t>
  </si>
  <si>
    <t xml:space="preserve">Klingel (-n), die</t>
  </si>
  <si>
    <t xml:space="preserve">la sonnette</t>
  </si>
  <si>
    <t xml:space="preserve">Kupplungspedal (-e), das</t>
  </si>
  <si>
    <t xml:space="preserve">la pédale d'embrayage</t>
  </si>
  <si>
    <t xml:space="preserve">Salzstreuer (-), der</t>
  </si>
  <si>
    <t xml:space="preserve">la salière</t>
  </si>
  <si>
    <t xml:space="preserve">Kamin (-e), der</t>
  </si>
  <si>
    <t xml:space="preserve">la cheminée</t>
  </si>
  <si>
    <t xml:space="preserve">Lineal (-e), das</t>
  </si>
  <si>
    <t xml:space="preserve">la règle graduée</t>
  </si>
  <si>
    <t xml:space="preserve">Tastatur (-en), die</t>
  </si>
  <si>
    <t xml:space="preserve">le clavier d'ordinateur</t>
  </si>
  <si>
    <t xml:space="preserve">Abfalleimer (-), der</t>
  </si>
  <si>
    <t xml:space="preserve">la poubelle</t>
  </si>
  <si>
    <t xml:space="preserve">Gesinde (-), das</t>
  </si>
  <si>
    <t xml:space="preserve">les domestiques</t>
  </si>
  <si>
    <t xml:space="preserve">kühn</t>
  </si>
  <si>
    <t xml:space="preserve">audacieux, hardi</t>
  </si>
  <si>
    <t xml:space="preserve">jmdn küren</t>
  </si>
  <si>
    <t xml:space="preserve">élire / adouber</t>
  </si>
  <si>
    <t xml:space="preserve">sich etw.+A zulegen</t>
  </si>
  <si>
    <t xml:space="preserve">se doter de qc, s'acheter qc</t>
  </si>
  <si>
    <t xml:space="preserve">Waisenkind (-er), das</t>
  </si>
  <si>
    <t xml:space="preserve">l'orphelin</t>
  </si>
  <si>
    <t xml:space="preserve">Nur langsam weiterkommen / keinen Schritt weiterkommen</t>
  </si>
  <si>
    <t xml:space="preserve">piétiner, ne pas avancer d'un pas</t>
  </si>
  <si>
    <t xml:space="preserve">etw.+A ankurbeln</t>
  </si>
  <si>
    <t xml:space="preserve">doper, stimuler</t>
  </si>
  <si>
    <t xml:space="preserve">Trab (Ø), der</t>
  </si>
  <si>
    <t xml:space="preserve">le trot</t>
  </si>
  <si>
    <t xml:space="preserve">Geländewagen (-), der</t>
  </si>
  <si>
    <t xml:space="preserve">la voiture tout-terrain, le 4x4</t>
  </si>
  <si>
    <t xml:space="preserve">Aggregat (-e), das</t>
  </si>
  <si>
    <t xml:space="preserve">l'unité, le groupe / l'agrégat</t>
  </si>
  <si>
    <t xml:space="preserve">Ausschreibung (-en), die (professionnel)</t>
  </si>
  <si>
    <t xml:space="preserve">l'appel d'offre</t>
  </si>
  <si>
    <t xml:space="preserve">Innung (-en), die</t>
  </si>
  <si>
    <t xml:space="preserve">la corporation</t>
  </si>
  <si>
    <t xml:space="preserve">Die Kamera war momentan deaktiviert, da durch Auftreten von Eindrücken der Platinenfixierung beim Schweissen in der Nähe der Ausklinkungen in die Irre geführt. Dies führte zu unnötigem Ausschuss.</t>
  </si>
  <si>
    <t xml:space="preserve">Eine Abweichung &lt; 4mm kann visuell kaum erkannt werden, da der Roboter beim Stapeln eine ebensogrosse Stapelungenauigkeit hat.</t>
  </si>
  <si>
    <t xml:space="preserve">schummeln</t>
  </si>
  <si>
    <t xml:space="preserve">tricher</t>
  </si>
  <si>
    <t xml:space="preserve">veranlagen</t>
  </si>
  <si>
    <t xml:space="preserve">imposer qc (fin.)</t>
  </si>
  <si>
    <t xml:space="preserve">Begünstigung (-en), die</t>
  </si>
  <si>
    <t xml:space="preserve">la faveur</t>
  </si>
  <si>
    <t xml:space="preserve">Stemmeisen (-), das</t>
  </si>
  <si>
    <t xml:space="preserve">le ciseau à bois</t>
  </si>
  <si>
    <t xml:space="preserve">Ach du grüne Neune!</t>
  </si>
  <si>
    <t xml:space="preserve">Bon sang de bonsoir ! Ça alors !</t>
  </si>
  <si>
    <t xml:space="preserve">etw.+A hegen</t>
  </si>
  <si>
    <t xml:space="preserve">ressentir / nourrir, couver</t>
  </si>
  <si>
    <t xml:space="preserve">dürftig</t>
  </si>
  <si>
    <t xml:space="preserve">insuffisant, succinct</t>
  </si>
  <si>
    <t xml:space="preserve">besonnen (Adj.)</t>
  </si>
  <si>
    <t xml:space="preserve">réfléchi, pondéré / rassis</t>
  </si>
  <si>
    <t xml:space="preserve">Abgesang (-änge), der</t>
  </si>
  <si>
    <t xml:space="preserve">l'adieu</t>
  </si>
  <si>
    <t xml:space="preserve">Steckschlüsselknarre (-n), die</t>
  </si>
  <si>
    <t xml:space="preserve">la clé à cliquets</t>
  </si>
  <si>
    <t xml:space="preserve">Rollgabelschlüssel (-), der</t>
  </si>
  <si>
    <t xml:space="preserve">la clé à molette</t>
  </si>
  <si>
    <t xml:space="preserve">Schraubendreher (-), der</t>
  </si>
  <si>
    <t xml:space="preserve">le tournevis</t>
  </si>
  <si>
    <t xml:space="preserve">vor etw.+D strotzen</t>
  </si>
  <si>
    <t xml:space="preserve">déborder de, être gorgé de</t>
  </si>
  <si>
    <t xml:space="preserve">Rütteln (Ø), das</t>
  </si>
  <si>
    <t xml:space="preserve">les cahots, le secouement</t>
  </si>
  <si>
    <t xml:space="preserve">Feile (-n), die</t>
  </si>
  <si>
    <t xml:space="preserve">la lime</t>
  </si>
  <si>
    <t xml:space="preserve">Schubkarre (-n), die</t>
  </si>
  <si>
    <t xml:space="preserve">la brouette</t>
  </si>
  <si>
    <t xml:space="preserve">Gabelschlüssel (-), der</t>
  </si>
  <si>
    <t xml:space="preserve">la clé à fourche</t>
  </si>
  <si>
    <t xml:space="preserve">die Festfressen von etw.+D entfernen </t>
  </si>
  <si>
    <t xml:space="preserve">dégripper qc</t>
  </si>
  <si>
    <t xml:space="preserve">ehrgeizig</t>
  </si>
  <si>
    <t xml:space="preserve">ambitieux</t>
  </si>
  <si>
    <t xml:space="preserve">Fördertechnik (-en), die</t>
  </si>
  <si>
    <t xml:space="preserve">la manutention / l'extraction / l'exploitation</t>
  </si>
  <si>
    <t xml:space="preserve">Spatel (-), der</t>
  </si>
  <si>
    <t xml:space="preserve">la spatule</t>
  </si>
  <si>
    <t xml:space="preserve">Wagenheber (-), der</t>
  </si>
  <si>
    <t xml:space="preserve">le cric</t>
  </si>
  <si>
    <t xml:space="preserve">Satz (-ätze), der</t>
  </si>
  <si>
    <t xml:space="preserve">le jeu (de cales, …)</t>
  </si>
  <si>
    <t xml:space="preserve">Beißzange (-n), die</t>
  </si>
  <si>
    <t xml:space="preserve">la tenaille</t>
  </si>
  <si>
    <t xml:space="preserve">Bandmaß (-e), das</t>
  </si>
  <si>
    <t xml:space="preserve">le mètre-ruban</t>
  </si>
  <si>
    <t xml:space="preserve">Kreuzschlüssel (-), der</t>
  </si>
  <si>
    <t xml:space="preserve">la clé en croix</t>
  </si>
  <si>
    <t xml:space="preserve">Feinmesser (-), der</t>
  </si>
  <si>
    <t xml:space="preserve">le micromètre</t>
  </si>
  <si>
    <t xml:space="preserve">plündern</t>
  </si>
  <si>
    <t xml:space="preserve">saccager, mettre à sac</t>
  </si>
  <si>
    <t xml:space="preserve">Die Sache ist der Mühe nicht wert.</t>
  </si>
  <si>
    <t xml:space="preserve">Le jeu n'en vaut pas la chandelle</t>
  </si>
  <si>
    <t xml:space="preserve">Brechstange (-n), die</t>
  </si>
  <si>
    <t xml:space="preserve">le pied de biche</t>
  </si>
  <si>
    <t xml:space="preserve">Kurbelwelle (-n), die</t>
  </si>
  <si>
    <t xml:space="preserve">le vilebrequin</t>
  </si>
  <si>
    <t xml:space="preserve">Zange (-n), die</t>
  </si>
  <si>
    <t xml:space="preserve">la pince</t>
  </si>
  <si>
    <t xml:space="preserve">Hammer (-ä), der</t>
  </si>
  <si>
    <t xml:space="preserve">le marteau</t>
  </si>
  <si>
    <t xml:space="preserve">Metallsäge (-n), die</t>
  </si>
  <si>
    <t xml:space="preserve">la scie à métaux</t>
  </si>
  <si>
    <t xml:space="preserve">Messschieber (-), der</t>
  </si>
  <si>
    <t xml:space="preserve">le pied à coulisse</t>
  </si>
  <si>
    <t xml:space="preserve">jmdn entbehren</t>
  </si>
  <si>
    <t xml:space="preserve">être privé de qn</t>
  </si>
  <si>
    <t xml:space="preserve">Bescheidenheit (-en), die</t>
  </si>
  <si>
    <t xml:space="preserve">l'humilité, la modestie</t>
  </si>
  <si>
    <t xml:space="preserve">Es ist geraume Zeit her, dass ...</t>
  </si>
  <si>
    <t xml:space="preserve">Il y a longtemps que …</t>
  </si>
  <si>
    <t xml:space="preserve">Anlass (-ässe), der</t>
  </si>
  <si>
    <t xml:space="preserve">la cause / l'occasion</t>
  </si>
  <si>
    <t xml:space="preserve">nach Maßgabe einer Sache</t>
  </si>
  <si>
    <t xml:space="preserve">conformément à qc</t>
  </si>
  <si>
    <t xml:space="preserve">an etw.+D feilen</t>
  </si>
  <si>
    <t xml:space="preserve">peaufiner qc</t>
  </si>
  <si>
    <t xml:space="preserve">notgedrungen</t>
  </si>
  <si>
    <t xml:space="preserve">contraint / forcément</t>
  </si>
  <si>
    <t xml:space="preserve">unbeseelt</t>
  </si>
  <si>
    <t xml:space="preserve">inanimé</t>
  </si>
  <si>
    <t xml:space="preserve">abwegig</t>
  </si>
  <si>
    <t xml:space="preserve">erroné, aberrant</t>
  </si>
  <si>
    <t xml:space="preserve">vergebens</t>
  </si>
  <si>
    <t xml:space="preserve">ehrenrührig</t>
  </si>
  <si>
    <t xml:space="preserve">injurieux, infamant</t>
  </si>
  <si>
    <t xml:space="preserve">schnöde</t>
  </si>
  <si>
    <t xml:space="preserve">méprisable</t>
  </si>
  <si>
    <t xml:space="preserve">zuschanden werden</t>
  </si>
  <si>
    <t xml:space="preserve">se briser</t>
  </si>
  <si>
    <t xml:space="preserve">etw.+A zuschanden machen</t>
  </si>
  <si>
    <t xml:space="preserve">déjouer qc</t>
  </si>
  <si>
    <t xml:space="preserve">Auseinandersetzung (-en), die</t>
  </si>
  <si>
    <t xml:space="preserve">la discussion, l'affrontement, l'altercation</t>
  </si>
  <si>
    <t xml:space="preserve">etw / jmdn abdrängen</t>
  </si>
  <si>
    <t xml:space="preserve">écarter, déporter</t>
  </si>
  <si>
    <t xml:space="preserve">zermürben</t>
  </si>
  <si>
    <t xml:space="preserve">lasser, démoraliser, énerver</t>
  </si>
  <si>
    <t xml:space="preserve">Versäumnis (-se), das</t>
  </si>
  <si>
    <t xml:space="preserve">l'oubli, le manquement</t>
  </si>
  <si>
    <t xml:space="preserve">Sauregurkenzeit (-en), die</t>
  </si>
  <si>
    <t xml:space="preserve">la basse-saison, la morte-saison</t>
  </si>
  <si>
    <t xml:space="preserve">Kommunikation ist viel zu wichtig, um sie dem Zufall zu überlassen.</t>
  </si>
  <si>
    <t xml:space="preserve">La communication est trop importante pour être laissée au hasard.</t>
  </si>
  <si>
    <t xml:space="preserve">Anliegen (-), das</t>
  </si>
  <si>
    <t xml:space="preserve">la demande, le souhait / la préoccupation</t>
  </si>
  <si>
    <t xml:space="preserve">nüchtern (Adj.)</t>
  </si>
  <si>
    <t xml:space="preserve">terre-à-terre</t>
  </si>
  <si>
    <t xml:space="preserve">jmdm schelten</t>
  </si>
  <si>
    <t xml:space="preserve">blâmer, gronder</t>
  </si>
  <si>
    <t xml:space="preserve">wesentlich (Adj.)</t>
  </si>
  <si>
    <t xml:space="preserve">capital, crucial</t>
  </si>
  <si>
    <t xml:space="preserve">geradezu (Adv.)</t>
  </si>
  <si>
    <t xml:space="preserve">pour ainsi dire / tout simplement</t>
  </si>
  <si>
    <t xml:space="preserve">Lähmung (-en), die</t>
  </si>
  <si>
    <t xml:space="preserve">la paralysie / la sidération / la torpeur</t>
  </si>
  <si>
    <t xml:space="preserve">Riegel (-), der</t>
  </si>
  <si>
    <t xml:space="preserve">le verrou</t>
  </si>
  <si>
    <t xml:space="preserve">leichtfertig</t>
  </si>
  <si>
    <t xml:space="preserve">à la légère / irréfléchi</t>
  </si>
  <si>
    <t xml:space="preserve">etw.+A bewerkstelligen</t>
  </si>
  <si>
    <t xml:space="preserve">exécuter, effectuer</t>
  </si>
  <si>
    <t xml:space="preserve">verkennen</t>
  </si>
  <si>
    <t xml:space="preserve">méconnaître</t>
  </si>
  <si>
    <t xml:space="preserve">privater Verbauch</t>
  </si>
  <si>
    <t xml:space="preserve">la consommation des ménages</t>
  </si>
  <si>
    <t xml:space="preserve">öffentliche Hand (-ände), die</t>
  </si>
  <si>
    <t xml:space="preserve">les pouvoirs publics</t>
  </si>
  <si>
    <t xml:space="preserve">in Anbetracht +G</t>
  </si>
  <si>
    <t xml:space="preserve">compte tenu de …</t>
  </si>
  <si>
    <t xml:space="preserve">Gebot (-e), das</t>
  </si>
  <si>
    <t xml:space="preserve">l'impératif / l'offre</t>
  </si>
  <si>
    <t xml:space="preserve">unumkehrbar</t>
  </si>
  <si>
    <t xml:space="preserve">irréversible</t>
  </si>
  <si>
    <t xml:space="preserve">Sozialprodukt (-e), das</t>
  </si>
  <si>
    <t xml:space="preserve">le revenu national</t>
  </si>
  <si>
    <t xml:space="preserve">tüchtig</t>
  </si>
  <si>
    <t xml:space="preserve">bien, bon / fort</t>
  </si>
  <si>
    <t xml:space="preserve">Schenkel (-), die</t>
  </si>
  <si>
    <t xml:space="preserve">la cuisse</t>
  </si>
  <si>
    <t xml:space="preserve">braun werden</t>
  </si>
  <si>
    <t xml:space="preserve">bronzer</t>
  </si>
  <si>
    <t xml:space="preserve">Tischlerei (-en), die</t>
  </si>
  <si>
    <t xml:space="preserve">la menuiserie</t>
  </si>
  <si>
    <t xml:space="preserve">Geländer (-), das</t>
  </si>
  <si>
    <t xml:space="preserve">la rambarde, le garde-fou, la balustrade</t>
  </si>
  <si>
    <t xml:space="preserve">Tagung (-en), die</t>
  </si>
  <si>
    <t xml:space="preserve">le congrès, les assises</t>
  </si>
  <si>
    <t xml:space="preserve">Auflauffläche (-n), die</t>
  </si>
  <si>
    <t xml:space="preserve">la rampe</t>
  </si>
  <si>
    <t xml:space="preserve">kleckern</t>
  </si>
  <si>
    <t xml:space="preserve">faire des taches</t>
  </si>
  <si>
    <t xml:space="preserve">zuvorderst</t>
  </si>
  <si>
    <t xml:space="preserve">en première position</t>
  </si>
  <si>
    <t xml:space="preserve">Fluch (-üche), der</t>
  </si>
  <si>
    <t xml:space="preserve">le juron, la malédiction, l'imprécation</t>
  </si>
  <si>
    <t xml:space="preserve">klotzen (ugs.)</t>
  </si>
  <si>
    <t xml:space="preserve">besogner</t>
  </si>
  <si>
    <t xml:space="preserve">verfluchen</t>
  </si>
  <si>
    <t xml:space="preserve">maudire, blasphémer, jurer contre qn</t>
  </si>
  <si>
    <t xml:space="preserve">ohrfeigen</t>
  </si>
  <si>
    <t xml:space="preserve">gifler</t>
  </si>
  <si>
    <t xml:space="preserve">jedweder/e/es</t>
  </si>
  <si>
    <t xml:space="preserve">chaque, tout, chacun</t>
  </si>
  <si>
    <t xml:space="preserve">etw.+A in Anspruch nehmen</t>
  </si>
  <si>
    <t xml:space="preserve">avoir recours à qc</t>
  </si>
  <si>
    <t xml:space="preserve">Eimer (-), der</t>
  </si>
  <si>
    <t xml:space="preserve">le seau</t>
  </si>
  <si>
    <t xml:space="preserve">Schuß (-üsse), der</t>
  </si>
  <si>
    <t xml:space="preserve">le tir (arme)</t>
  </si>
  <si>
    <t xml:space="preserve">hinzukommen</t>
  </si>
  <si>
    <t xml:space="preserve">s'y ajouter</t>
  </si>
  <si>
    <t xml:space="preserve">Ausruf (-e), der</t>
  </si>
  <si>
    <t xml:space="preserve">l'exclamation</t>
  </si>
  <si>
    <t xml:space="preserve">nach etw +D eifern</t>
  </si>
  <si>
    <t xml:space="preserve">aspirer ardemment à qc.</t>
  </si>
  <si>
    <t xml:space="preserve">Niederschlag (-äge), der</t>
  </si>
  <si>
    <t xml:space="preserve">les retombées / les précipitations</t>
  </si>
  <si>
    <t xml:space="preserve">Gedeihen (Ø), das</t>
  </si>
  <si>
    <t xml:space="preserve">l'accroissement</t>
  </si>
  <si>
    <t xml:space="preserve">wimmeln</t>
  </si>
  <si>
    <t xml:space="preserve">abonder, grouiller, pulluler</t>
  </si>
  <si>
    <t xml:space="preserve">indessen (Adv.)</t>
  </si>
  <si>
    <t xml:space="preserve">en attendant / toutefois</t>
  </si>
  <si>
    <t xml:space="preserve">wider besseres Willen</t>
  </si>
  <si>
    <t xml:space="preserve">délibérément</t>
  </si>
  <si>
    <t xml:space="preserve">Henker (-), der</t>
  </si>
  <si>
    <t xml:space="preserve">le bourreau, le guillotineur</t>
  </si>
  <si>
    <t xml:space="preserve">kärglich (Adj.)</t>
  </si>
  <si>
    <t xml:space="preserve">maigre, chiche / minable</t>
  </si>
  <si>
    <t xml:space="preserve">Gerassel (Ø), das</t>
  </si>
  <si>
    <t xml:space="preserve">le fracas</t>
  </si>
  <si>
    <t xml:space="preserve">jmdn. geißeln</t>
  </si>
  <si>
    <t xml:space="preserve">châtier, flageller</t>
  </si>
  <si>
    <t xml:space="preserve">Gefüge (-), das</t>
  </si>
  <si>
    <t xml:space="preserve">la structure / la texture</t>
  </si>
  <si>
    <t xml:space="preserve">etw.+A einbehalten</t>
  </si>
  <si>
    <t xml:space="preserve">retenir qc</t>
  </si>
  <si>
    <t xml:space="preserve">außer Kraft treten</t>
  </si>
  <si>
    <t xml:space="preserve">être sans vigueur</t>
  </si>
  <si>
    <t xml:space="preserve">Schornstein (-e), der</t>
  </si>
  <si>
    <t xml:space="preserve">schmälern</t>
  </si>
  <si>
    <t xml:space="preserve">diminuer, rabaisser, amaigrir</t>
  </si>
  <si>
    <t xml:space="preserve">Windel (-n), die</t>
  </si>
  <si>
    <t xml:space="preserve">la couche, la lange</t>
  </si>
  <si>
    <t xml:space="preserve">Sarg (-ärge), die</t>
  </si>
  <si>
    <t xml:space="preserve">le cercueil</t>
  </si>
  <si>
    <t xml:space="preserve">vergilben</t>
  </si>
  <si>
    <t xml:space="preserve">jaunir</t>
  </si>
  <si>
    <t xml:space="preserve">jmdn. hinrichten</t>
  </si>
  <si>
    <t xml:space="preserve">exécuter, guillotiner</t>
  </si>
  <si>
    <t xml:space="preserve">allenthalben</t>
  </si>
  <si>
    <t xml:space="preserve">de toute part / partout / constamment</t>
  </si>
  <si>
    <t xml:space="preserve">Statthalter (-), der</t>
  </si>
  <si>
    <t xml:space="preserve">le gouverneur</t>
  </si>
  <si>
    <t xml:space="preserve">elektronische Fessel (-n), der</t>
  </si>
  <si>
    <t xml:space="preserve">le bracelet électronique</t>
  </si>
  <si>
    <t xml:space="preserve">jmdn. gegen jmdn. ausspielen</t>
  </si>
  <si>
    <t xml:space="preserve">se servir de qn. contre qn.</t>
  </si>
  <si>
    <t xml:space="preserve">einen Beschluss erlassen</t>
  </si>
  <si>
    <t xml:space="preserve">prendre une décision</t>
  </si>
  <si>
    <t xml:space="preserve">brummen</t>
  </si>
  <si>
    <t xml:space="preserve">vrombir</t>
  </si>
  <si>
    <t xml:space="preserve">wider jds. Willen</t>
  </si>
  <si>
    <t xml:space="preserve">contre le gré de qn</t>
  </si>
  <si>
    <t xml:space="preserve">wider</t>
  </si>
  <si>
    <t xml:space="preserve">contre</t>
  </si>
  <si>
    <t xml:space="preserve">schier</t>
  </si>
  <si>
    <t xml:space="preserve">à peu près, presque, quasiment</t>
  </si>
  <si>
    <t xml:space="preserve">Rausch (-äusche), der</t>
  </si>
  <si>
    <t xml:space="preserve">l'enivrement, l'ivresse</t>
  </si>
  <si>
    <t xml:space="preserve">jmdm zuwider sein</t>
  </si>
  <si>
    <t xml:space="preserve">rebuter qn</t>
  </si>
  <si>
    <t xml:space="preserve">jmdn unterbringen</t>
  </si>
  <si>
    <t xml:space="preserve">héberger qn</t>
  </si>
  <si>
    <t xml:space="preserve">Verachtung (-en), die</t>
  </si>
  <si>
    <t xml:space="preserve">le dédain, le mépris</t>
  </si>
  <si>
    <t xml:space="preserve">insgeheim</t>
  </si>
  <si>
    <t xml:space="preserve">en cachette, en secret</t>
  </si>
  <si>
    <t xml:space="preserve">Schädel (-), der</t>
  </si>
  <si>
    <t xml:space="preserve">le crâne</t>
  </si>
  <si>
    <t xml:space="preserve">Betäubung (-en), die</t>
  </si>
  <si>
    <t xml:space="preserve">l'engourdissement, l'anésthésie / la torpeur</t>
  </si>
  <si>
    <t xml:space="preserve">jmdn verhöhnen </t>
  </si>
  <si>
    <t xml:space="preserve">se moquer de qn / narguer qn / bafouer qn</t>
  </si>
  <si>
    <t xml:space="preserve">anstauen</t>
  </si>
  <si>
    <t xml:space="preserve">verwerflich</t>
  </si>
  <si>
    <t xml:space="preserve">abominable, condamnable, réprouvable</t>
  </si>
  <si>
    <t xml:space="preserve">Empörung (-en), die</t>
  </si>
  <si>
    <t xml:space="preserve">l'indignation / la révolte</t>
  </si>
  <si>
    <t xml:space="preserve">griffbereit</t>
  </si>
  <si>
    <t xml:space="preserve">à portée de main</t>
  </si>
  <si>
    <t xml:space="preserve">Verleumdung (-en), die</t>
  </si>
  <si>
    <t xml:space="preserve">le dénigrement / la médisance, la diffamation</t>
  </si>
  <si>
    <t xml:space="preserve">Nachholbedarf (-e), der</t>
  </si>
  <si>
    <t xml:space="preserve">le besoin de rattrapage</t>
  </si>
  <si>
    <t xml:space="preserve">unter der Knute …</t>
  </si>
  <si>
    <t xml:space="preserve">sous la férule …</t>
  </si>
  <si>
    <t xml:space="preserve">aus schierer Verzweiflung</t>
  </si>
  <si>
    <t xml:space="preserve">en désespoir de cause</t>
  </si>
  <si>
    <t xml:space="preserve">Aufständische (-), der</t>
  </si>
  <si>
    <t xml:space="preserve">l'insurgé, le mutin</t>
  </si>
  <si>
    <t xml:space="preserve">ein Kopfgeld auf jmdn aussetzen</t>
  </si>
  <si>
    <t xml:space="preserve">mettre à prix la tête de qn</t>
  </si>
  <si>
    <t xml:space="preserve">Urteilsgründe (Plural), die</t>
  </si>
  <si>
    <t xml:space="preserve">les motifs du jugement</t>
  </si>
  <si>
    <t xml:space="preserve">Polster (-), das</t>
  </si>
  <si>
    <t xml:space="preserve">le rembourrage / le matelas / le coussin</t>
  </si>
  <si>
    <t xml:space="preserve">Es ist wichtig, nichts zu tun, das den eigenen Werten zuwider läuft.</t>
  </si>
  <si>
    <t xml:space="preserve">Schiffbruch (-üche), der</t>
  </si>
  <si>
    <t xml:space="preserve">le naufrage</t>
  </si>
  <si>
    <t xml:space="preserve">Abkommen (-), das</t>
  </si>
  <si>
    <t xml:space="preserve">l'accord, le traité</t>
  </si>
  <si>
    <t xml:space="preserve">Blüte (-n), die</t>
  </si>
  <si>
    <t xml:space="preserve">la floraison</t>
  </si>
  <si>
    <t xml:space="preserve">geächtet</t>
  </si>
  <si>
    <t xml:space="preserve">infréquentable</t>
  </si>
  <si>
    <t xml:space="preserve">Seuche (-en), die</t>
  </si>
  <si>
    <t xml:space="preserve">l'épidémie</t>
  </si>
  <si>
    <t xml:space="preserve">erdulden</t>
  </si>
  <si>
    <t xml:space="preserve">subir, endurer, supporter</t>
  </si>
  <si>
    <t xml:space="preserve">bombastisch (ugs.)</t>
  </si>
  <si>
    <t xml:space="preserve">royal (fam.)</t>
  </si>
  <si>
    <t xml:space="preserve">Rodel (-), der</t>
  </si>
  <si>
    <t xml:space="preserve">la luge</t>
  </si>
  <si>
    <t xml:space="preserve">zuweilen (Adv.)</t>
  </si>
  <si>
    <t xml:space="preserve">de temps à autre, parfois</t>
  </si>
  <si>
    <t xml:space="preserve">knifflig</t>
  </si>
  <si>
    <t xml:space="preserve">épineux, trapu (problème)</t>
  </si>
  <si>
    <t xml:space="preserve">Garn (-e), das</t>
  </si>
  <si>
    <t xml:space="preserve">le fil (textile)</t>
  </si>
  <si>
    <t xml:space="preserve">prunkvoll</t>
  </si>
  <si>
    <t xml:space="preserve">fastueux, luxueux, pompeux</t>
  </si>
  <si>
    <t xml:space="preserve">Gleichschaltung (-en), die</t>
  </si>
  <si>
    <t xml:space="preserve">la synchronisation / la mise au pas (politique)</t>
  </si>
  <si>
    <t xml:space="preserve">Köstlichkeit (-en), die</t>
  </si>
  <si>
    <t xml:space="preserve">le délice</t>
  </si>
  <si>
    <t xml:space="preserve">Lauge (-n), die</t>
  </si>
  <si>
    <t xml:space="preserve">la lessive</t>
  </si>
  <si>
    <t xml:space="preserve">Brauchtum (-ümer), das</t>
  </si>
  <si>
    <t xml:space="preserve">les mœurs</t>
  </si>
  <si>
    <t xml:space="preserve">füglich (Adv.)</t>
  </si>
  <si>
    <t xml:space="preserve">à juste titre</t>
  </si>
  <si>
    <t xml:space="preserve">Überschlagen (Ø), das</t>
  </si>
  <si>
    <t xml:space="preserve">Vergünstigung (-en), die</t>
  </si>
  <si>
    <t xml:space="preserve">l'avantage, le passe-droit / la réduction</t>
  </si>
  <si>
    <t xml:space="preserve">Abschreibung (-en), die</t>
  </si>
  <si>
    <t xml:space="preserve">l'amortissement</t>
  </si>
  <si>
    <t xml:space="preserve">jmdn hauen</t>
  </si>
  <si>
    <t xml:space="preserve">taper sur qn, cogner qn</t>
  </si>
  <si>
    <t xml:space="preserve">Schwamm (-ämme), der / Anfeuchter (-), der</t>
  </si>
  <si>
    <t xml:space="preserve">l'éponge</t>
  </si>
  <si>
    <t xml:space="preserve">Zwangsläufigkeit (-en ?), die</t>
  </si>
  <si>
    <t xml:space="preserve">la force des choses</t>
  </si>
  <si>
    <t xml:space="preserve">fegen</t>
  </si>
  <si>
    <t xml:space="preserve">balayer / ramoner</t>
  </si>
  <si>
    <t xml:space="preserve">Stock (-öcke), die</t>
  </si>
  <si>
    <t xml:space="preserve">le bâton</t>
  </si>
  <si>
    <t xml:space="preserve">beiseite</t>
  </si>
  <si>
    <t xml:space="preserve">de côté</t>
  </si>
  <si>
    <t xml:space="preserve">Mäßigung (-en), die</t>
  </si>
  <si>
    <t xml:space="preserve">la modération</t>
  </si>
  <si>
    <t xml:space="preserve">fortdauernd</t>
  </si>
  <si>
    <t xml:space="preserve">persistant</t>
  </si>
  <si>
    <t xml:space="preserve">misslingen</t>
  </si>
  <si>
    <t xml:space="preserve">rater, échouer</t>
  </si>
  <si>
    <t xml:space="preserve">u.ä.m</t>
  </si>
  <si>
    <t xml:space="preserve">und ähnliches mehr</t>
  </si>
  <si>
    <t xml:space="preserve">Gesetzgebung (-en), die</t>
  </si>
  <si>
    <t xml:space="preserve">la législation</t>
  </si>
  <si>
    <t xml:space="preserve">Weichentstellung (-en), die</t>
  </si>
  <si>
    <t xml:space="preserve">l'aiguillage</t>
  </si>
  <si>
    <t xml:space="preserve">Sitte (-n), die</t>
  </si>
  <si>
    <t xml:space="preserve">la coutume</t>
  </si>
  <si>
    <t xml:space="preserve">Beweglichkeit (-en), die</t>
  </si>
  <si>
    <t xml:space="preserve">la mobilité</t>
  </si>
  <si>
    <t xml:space="preserve">Griff (-e), der</t>
  </si>
  <si>
    <t xml:space="preserve">la poignée</t>
  </si>
  <si>
    <t xml:space="preserve">Fensterladen (-äden), der</t>
  </si>
  <si>
    <t xml:space="preserve">le volet</t>
  </si>
  <si>
    <t xml:space="preserve">bersten</t>
  </si>
  <si>
    <t xml:space="preserve">éclater, craquer</t>
  </si>
  <si>
    <t xml:space="preserve">stellvertretend</t>
  </si>
  <si>
    <t xml:space="preserve">adjoint, suppléant</t>
  </si>
  <si>
    <t xml:space="preserve">Grimm (Ø), der</t>
  </si>
  <si>
    <t xml:space="preserve">la colère</t>
  </si>
  <si>
    <t xml:space="preserve">jmdm/einer Sache entrinnen</t>
  </si>
  <si>
    <t xml:space="preserve">échapper à qn/qc (soutenu)</t>
  </si>
  <si>
    <t xml:space="preserve">List (-en), die</t>
  </si>
  <si>
    <t xml:space="preserve">la ruse, le stratagème</t>
  </si>
  <si>
    <t xml:space="preserve">etw/jmdn beschwigtigen </t>
  </si>
  <si>
    <t xml:space="preserve">apaiser, calmer qc/qn</t>
  </si>
  <si>
    <t xml:space="preserve">haltlos</t>
  </si>
  <si>
    <t xml:space="preserve">sans volonté, sans fondement</t>
  </si>
  <si>
    <t xml:space="preserve">jmdn verleumden</t>
  </si>
  <si>
    <t xml:space="preserve">calomnier, diffamer, médire de qn</t>
  </si>
  <si>
    <t xml:space="preserve">Nachrede (-n), die</t>
  </si>
  <si>
    <t xml:space="preserve">l'épilogue</t>
  </si>
  <si>
    <t xml:space="preserve">bereitwillig (Adj. / Adv.)</t>
  </si>
  <si>
    <t xml:space="preserve">volontiers / complaisant</t>
  </si>
  <si>
    <t xml:space="preserve">jmdn trösten</t>
  </si>
  <si>
    <t xml:space="preserve">consoler qn</t>
  </si>
  <si>
    <t xml:space="preserve">Unterweisung (-en), die</t>
  </si>
  <si>
    <t xml:space="preserve">l'enseignement, l'instruction</t>
  </si>
  <si>
    <t xml:space="preserve">etw.+A taugen</t>
  </si>
  <si>
    <t xml:space="preserve">être bon à qc</t>
  </si>
  <si>
    <t xml:space="preserve">Ohne dass man ihm etwas ansieht, …</t>
  </si>
  <si>
    <t xml:space="preserve">Sans avoir l'air de rien, il …</t>
  </si>
  <si>
    <t xml:space="preserve">Bosheit (-en), die</t>
  </si>
  <si>
    <t xml:space="preserve">la malice, la méchanceté</t>
  </si>
  <si>
    <t xml:space="preserve">vollziehen</t>
  </si>
  <si>
    <t xml:space="preserve">accomplir, exécuter</t>
  </si>
  <si>
    <t xml:space="preserve">zugrunde gehen</t>
  </si>
  <si>
    <t xml:space="preserve">se ruiner, dépérir, pérécliter</t>
  </si>
  <si>
    <t xml:space="preserve">kriechen</t>
  </si>
  <si>
    <t xml:space="preserve">ramper, cheminer</t>
  </si>
  <si>
    <t xml:space="preserve">Bevollmächtigte (-), der</t>
  </si>
  <si>
    <t xml:space="preserve">le plénipotentiaire, le mandataire (dr.)</t>
  </si>
  <si>
    <t xml:space="preserve">üble Nachrede (-n)</t>
  </si>
  <si>
    <t xml:space="preserve">la diffamation, la médisance</t>
  </si>
  <si>
    <t xml:space="preserve">jmdn / etw. entehren</t>
  </si>
  <si>
    <t xml:space="preserve">déshonorer, diffamer qn/qc</t>
  </si>
  <si>
    <t xml:space="preserve">Habgier (Ø), die</t>
  </si>
  <si>
    <t xml:space="preserve">la cupidité, l'avidité</t>
  </si>
  <si>
    <t xml:space="preserve">Nichtigkeit (-en), die</t>
  </si>
  <si>
    <t xml:space="preserve">le néant / la frivolité</t>
  </si>
  <si>
    <t xml:space="preserve">gängig</t>
  </si>
  <si>
    <t xml:space="preserve">courant</t>
  </si>
  <si>
    <t xml:space="preserve">Ziegel (-), der</t>
  </si>
  <si>
    <t xml:space="preserve">la tuile</t>
  </si>
  <si>
    <t xml:space="preserve">Wirrsal (-?), das</t>
  </si>
  <si>
    <t xml:space="preserve">la confusion</t>
  </si>
  <si>
    <t xml:space="preserve">etw. +A preisgeben</t>
  </si>
  <si>
    <t xml:space="preserve">révéler / aliéner</t>
  </si>
  <si>
    <t xml:space="preserve">entzweien</t>
  </si>
  <si>
    <t xml:space="preserve">désunir, brouiller</t>
  </si>
  <si>
    <t xml:space="preserve">Mitlaut (-e), der</t>
  </si>
  <si>
    <t xml:space="preserve">la consonne</t>
  </si>
  <si>
    <t xml:space="preserve">Backstein (-e), der</t>
  </si>
  <si>
    <t xml:space="preserve">la brique</t>
  </si>
  <si>
    <t xml:space="preserve">Selbstlaut (-e), der</t>
  </si>
  <si>
    <t xml:space="preserve">la voyelle</t>
  </si>
  <si>
    <t xml:space="preserve">Konsonant (-en), der</t>
  </si>
  <si>
    <t xml:space="preserve">Vokal (-e), der</t>
  </si>
  <si>
    <t xml:space="preserve">zweifelhaft</t>
  </si>
  <si>
    <t xml:space="preserve">douteux, discutable / louche</t>
  </si>
  <si>
    <t xml:space="preserve">Stolperstein -(e), die</t>
  </si>
  <si>
    <t xml:space="preserve">la pierre d'achoppement, la difficulté, l'entrave</t>
  </si>
  <si>
    <t xml:space="preserve">schlichtweg (Adv.)</t>
  </si>
  <si>
    <t xml:space="preserve">tout simplement, carrément</t>
  </si>
  <si>
    <t xml:space="preserve">etw. +A straffen</t>
  </si>
  <si>
    <t xml:space="preserve">comprimer / raffermir qc</t>
  </si>
  <si>
    <t xml:space="preserve">Stichpunkt (-e), der</t>
  </si>
  <si>
    <t xml:space="preserve">le mot repère, le mot-clé</t>
  </si>
  <si>
    <t xml:space="preserve">Wasserzeichen (-), das</t>
  </si>
  <si>
    <t xml:space="preserve">le filigrane</t>
  </si>
  <si>
    <t xml:space="preserve">Rohfassung (-en), die</t>
  </si>
  <si>
    <t xml:space="preserve">l'ébauche</t>
  </si>
  <si>
    <t xml:space="preserve">Konjunktiv (Ø), der</t>
  </si>
  <si>
    <t xml:space="preserve">le subjonctif</t>
  </si>
  <si>
    <t xml:space="preserve">zugegebenermaßen</t>
  </si>
  <si>
    <t xml:space="preserve">comme il a été admis, certes</t>
  </si>
  <si>
    <t xml:space="preserve">Schnittmenge (-n), die</t>
  </si>
  <si>
    <t xml:space="preserve">la coupure électrique / l'intersection géométrique</t>
  </si>
  <si>
    <t xml:space="preserve">erst recht</t>
  </si>
  <si>
    <t xml:space="preserve">a fortiori, à plus forte raison</t>
  </si>
  <si>
    <t xml:space="preserve">Nörgler (-), der</t>
  </si>
  <si>
    <t xml:space="preserve">le râleur, le rouspéteur</t>
  </si>
  <si>
    <t xml:space="preserve">beträchtlich</t>
  </si>
  <si>
    <t xml:space="preserve">important, considérable</t>
  </si>
  <si>
    <t xml:space="preserve">Richtfunk (Ø), der</t>
  </si>
  <si>
    <t xml:space="preserve">la radio relais</t>
  </si>
  <si>
    <t xml:space="preserve">Zuteilung (-en), die</t>
  </si>
  <si>
    <t xml:space="preserve">l'attribution, l'allocation</t>
  </si>
  <si>
    <t xml:space="preserve">Bollwerk (-e), das</t>
  </si>
  <si>
    <t xml:space="preserve">la bastion / la digue</t>
  </si>
  <si>
    <t xml:space="preserve">hemmend</t>
  </si>
  <si>
    <t xml:space="preserve">inhibiteur, retardateur</t>
  </si>
  <si>
    <t xml:space="preserve">Hochlauf (-äufe), der</t>
  </si>
  <si>
    <t xml:space="preserve">la montée en vitesse</t>
  </si>
  <si>
    <t xml:space="preserve">Steckbrief (-e), der</t>
  </si>
  <si>
    <t xml:space="preserve">le portrait, la fiche signalétique</t>
  </si>
  <si>
    <t xml:space="preserve">vorübergehend (Adv.)</t>
  </si>
  <si>
    <t xml:space="preserve">temporairement</t>
  </si>
  <si>
    <t xml:space="preserve">blauäugig</t>
  </si>
  <si>
    <t xml:space="preserve">naïf</t>
  </si>
  <si>
    <t xml:space="preserve">hiesig</t>
  </si>
  <si>
    <t xml:space="preserve">d'ici, local</t>
  </si>
  <si>
    <t xml:space="preserve">ohne Umschweife</t>
  </si>
  <si>
    <t xml:space="preserve">sans ambage, sans détour</t>
  </si>
  <si>
    <t xml:space="preserve">längst / längst nicht</t>
  </si>
  <si>
    <t xml:space="preserve">depuis longtemps / loin d'être</t>
  </si>
  <si>
    <t xml:space="preserve">élire qn / adouber qn</t>
  </si>
  <si>
    <t xml:space="preserve">Pendler sein</t>
  </si>
  <si>
    <t xml:space="preserve">faire la navette, être banlieusard</t>
  </si>
  <si>
    <t xml:space="preserve">Da drückt ihn der Schuh.</t>
  </si>
  <si>
    <t xml:space="preserve">C'est là que le bât blesse.</t>
  </si>
  <si>
    <t xml:space="preserve">einreichen</t>
  </si>
  <si>
    <t xml:space="preserve">remettre, présenter</t>
  </si>
  <si>
    <t xml:space="preserve">Umbruch (-üche), der</t>
  </si>
  <si>
    <t xml:space="preserve">la mise en page / le bouleversement, la mutation</t>
  </si>
  <si>
    <t xml:space="preserve">Registerkarte (-n), die</t>
  </si>
  <si>
    <t xml:space="preserve">l'onglet (informatique)</t>
  </si>
  <si>
    <t xml:space="preserve">Zeichensetzung (-en), die</t>
  </si>
  <si>
    <t xml:space="preserve">la ponctuation</t>
  </si>
  <si>
    <t xml:space="preserve">etw.+A schürzen</t>
  </si>
  <si>
    <t xml:space="preserve">retrousser qc</t>
  </si>
  <si>
    <t xml:space="preserve">Lesezeichen (-), das</t>
  </si>
  <si>
    <t xml:space="preserve">le marque-page</t>
  </si>
  <si>
    <t xml:space="preserve">ausblenden</t>
  </si>
  <si>
    <t xml:space="preserve">masquer, fermer en fondu (informatique)</t>
  </si>
  <si>
    <t xml:space="preserve">langwierig</t>
  </si>
  <si>
    <t xml:space="preserve">de longue durée, de longue haleine</t>
  </si>
  <si>
    <t xml:space="preserve">sich gegen etw.+A stemmen</t>
  </si>
  <si>
    <t xml:space="preserve">s'opposer à qc</t>
  </si>
  <si>
    <t xml:space="preserve">gewerblich</t>
  </si>
  <si>
    <t xml:space="preserve">industriel / manufacturable</t>
  </si>
  <si>
    <t xml:space="preserve">glaubhaft</t>
  </si>
  <si>
    <t xml:space="preserve">crédible</t>
  </si>
  <si>
    <t xml:space="preserve">Schluckauf (Ø), der</t>
  </si>
  <si>
    <t xml:space="preserve">le hoquet</t>
  </si>
  <si>
    <t xml:space="preserve">bei Bedarf</t>
  </si>
  <si>
    <t xml:space="preserve">si besoin est</t>
  </si>
  <si>
    <t xml:space="preserve">tadellos</t>
  </si>
  <si>
    <t xml:space="preserve">parfait, impeccable, nickel</t>
  </si>
  <si>
    <t xml:space="preserve">seiner Zeit voraus sein</t>
  </si>
  <si>
    <t xml:space="preserve">être en avance sur son temps</t>
  </si>
  <si>
    <t xml:space="preserve">sich übergeben</t>
  </si>
  <si>
    <t xml:space="preserve">vomir</t>
  </si>
  <si>
    <t xml:space="preserve">beilegen</t>
  </si>
  <si>
    <t xml:space="preserve">arranger qc, régler qc</t>
  </si>
  <si>
    <t xml:space="preserve">etw. +A einlösen</t>
  </si>
  <si>
    <t xml:space="preserve">dégager qc / accomplir une promesse</t>
  </si>
  <si>
    <t xml:space="preserve">Hügel (-), der</t>
  </si>
  <si>
    <t xml:space="preserve">la colline, le monticule</t>
  </si>
  <si>
    <t xml:space="preserve">Fehlschlag (-äge), der</t>
  </si>
  <si>
    <t xml:space="preserve">l'échec, le désastre</t>
  </si>
  <si>
    <t xml:space="preserve">Beutegut (-üter), das</t>
  </si>
  <si>
    <t xml:space="preserve">le butin</t>
  </si>
  <si>
    <t xml:space="preserve">Jenseits (Ø), das</t>
  </si>
  <si>
    <t xml:space="preserve">l'au-delà</t>
  </si>
  <si>
    <t xml:space="preserve">Schilf (-e), das</t>
  </si>
  <si>
    <t xml:space="preserve">le roseau</t>
  </si>
  <si>
    <t xml:space="preserve">Wohlwollen (Ø), das</t>
  </si>
  <si>
    <t xml:space="preserve">la bienveillance</t>
  </si>
  <si>
    <t xml:space="preserve">Eid (-e), der</t>
  </si>
  <si>
    <t xml:space="preserve">le serment</t>
  </si>
  <si>
    <t xml:space="preserve">Elle (-n), die</t>
  </si>
  <si>
    <t xml:space="preserve">le cubitus / la coudée, l'aune</t>
  </si>
  <si>
    <t xml:space="preserve">Bundeslade(-n), die</t>
  </si>
  <si>
    <t xml:space="preserve">L'Arche du Seigneur</t>
  </si>
  <si>
    <t xml:space="preserve">Getreide (-), das</t>
  </si>
  <si>
    <t xml:space="preserve">la/les céréale(s)</t>
  </si>
  <si>
    <t xml:space="preserve">Harz (-e), das</t>
  </si>
  <si>
    <t xml:space="preserve">la résine</t>
  </si>
  <si>
    <t xml:space="preserve">Lappen (-), der</t>
  </si>
  <si>
    <t xml:space="preserve">le chiffon</t>
  </si>
  <si>
    <t xml:space="preserve">Duktus (Ø), der</t>
  </si>
  <si>
    <t xml:space="preserve">le trait (de plume)</t>
  </si>
  <si>
    <t xml:space="preserve">zerschellen</t>
  </si>
  <si>
    <t xml:space="preserve">etw. +A aufrauen</t>
  </si>
  <si>
    <t xml:space="preserve">rendre rugueux, greneler</t>
  </si>
  <si>
    <t xml:space="preserve">Klümpfchen (-), das</t>
  </si>
  <si>
    <t xml:space="preserve">le grumeau</t>
  </si>
  <si>
    <t xml:space="preserve">plakativ</t>
  </si>
  <si>
    <t xml:space="preserve">frappant, percutant</t>
  </si>
  <si>
    <t xml:space="preserve">Teer (Ø), der</t>
  </si>
  <si>
    <t xml:space="preserve">le goudron</t>
  </si>
  <si>
    <t xml:space="preserve">Spachtel (-), der</t>
  </si>
  <si>
    <t xml:space="preserve">la spatule, le couteau à enduire</t>
  </si>
  <si>
    <t xml:space="preserve">jmdm huldigen</t>
  </si>
  <si>
    <t xml:space="preserve">rendre hommage à quelqu'un</t>
  </si>
  <si>
    <t xml:space="preserve">etw.+A zücken</t>
  </si>
  <si>
    <t xml:space="preserve">dégainer</t>
  </si>
  <si>
    <t xml:space="preserve">Nachhut (-en), die</t>
  </si>
  <si>
    <t xml:space="preserve">l'arrière-garde</t>
  </si>
  <si>
    <t xml:space="preserve">Ertrag (-äge), der</t>
  </si>
  <si>
    <t xml:space="preserve">le fruit (fig.), le gain</t>
  </si>
  <si>
    <t xml:space="preserve">Greis (-e), der</t>
  </si>
  <si>
    <t xml:space="preserve">le vieillard</t>
  </si>
  <si>
    <t xml:space="preserve">Widder (-), der</t>
  </si>
  <si>
    <t xml:space="preserve">le bélier</t>
  </si>
  <si>
    <t xml:space="preserve">niedermachen</t>
  </si>
  <si>
    <t xml:space="preserve">massacrer</t>
  </si>
  <si>
    <t xml:space="preserve">Flicken (Ø), das</t>
  </si>
  <si>
    <t xml:space="preserve">le rapiéçage, la rustine</t>
  </si>
  <si>
    <t xml:space="preserve">Nacken (-), der</t>
  </si>
  <si>
    <t xml:space="preserve">la nuque</t>
  </si>
  <si>
    <t xml:space="preserve">krümelig</t>
  </si>
  <si>
    <t xml:space="preserve">friable</t>
  </si>
  <si>
    <t xml:space="preserve">öde</t>
  </si>
  <si>
    <t xml:space="preserve">nul</t>
  </si>
  <si>
    <t xml:space="preserve">behauen</t>
  </si>
  <si>
    <t xml:space="preserve">sculpter, tailler</t>
  </si>
  <si>
    <t xml:space="preserve">Holzfäller (-), der</t>
  </si>
  <si>
    <t xml:space="preserve">le bûcheron</t>
  </si>
  <si>
    <t xml:space="preserve">etw.+A ausrotten</t>
  </si>
  <si>
    <t xml:space="preserve">éradiquer, détruire, déraciner</t>
  </si>
  <si>
    <t xml:space="preserve">kahl</t>
  </si>
  <si>
    <t xml:space="preserve">chauve, nu, glabre</t>
  </si>
  <si>
    <t xml:space="preserve">Zaun (-äune), der</t>
  </si>
  <si>
    <t xml:space="preserve">la clôture</t>
  </si>
  <si>
    <t xml:space="preserve">Docht (-e), der</t>
  </si>
  <si>
    <t xml:space="preserve">la mèche</t>
  </si>
  <si>
    <t xml:space="preserve">Wahrsager (-), der</t>
  </si>
  <si>
    <t xml:space="preserve">le devin, le voyant</t>
  </si>
  <si>
    <t xml:space="preserve">Sippe (-n), die</t>
  </si>
  <si>
    <t xml:space="preserve">la tribu, le clan</t>
  </si>
  <si>
    <t xml:space="preserve">hochbetagt</t>
  </si>
  <si>
    <t xml:space="preserve">très vieux, très âgé</t>
  </si>
  <si>
    <t xml:space="preserve">Anhöhe (-n), die</t>
  </si>
  <si>
    <t xml:space="preserve">la butte, le monticule</t>
  </si>
  <si>
    <t xml:space="preserve">versiert</t>
  </si>
  <si>
    <t xml:space="preserve">versé, chevronné</t>
  </si>
  <si>
    <t xml:space="preserve">verdunsten</t>
  </si>
  <si>
    <t xml:space="preserve">s'évaporer</t>
  </si>
  <si>
    <t xml:space="preserve">Vorsatz (-ätze), der</t>
  </si>
  <si>
    <t xml:space="preserve">la préméditation, la résolution</t>
  </si>
  <si>
    <t xml:space="preserve">auf etw. +A / auf jmdn eingehen</t>
  </si>
  <si>
    <t xml:space="preserve">aborder qc / s'occuper de / mourir, dépérir</t>
  </si>
  <si>
    <t xml:space="preserve">Klopfsensor (-en), der</t>
  </si>
  <si>
    <t xml:space="preserve">Ein Sensor am Motor der die Zündung und die Treibstoffzufuhr regelt.</t>
  </si>
  <si>
    <t xml:space="preserve">etw.+A. um etw. +A. schlingen</t>
  </si>
  <si>
    <t xml:space="preserve">entortiller, entrelacer qc autour de qc</t>
  </si>
  <si>
    <t xml:space="preserve">etw.+A eichen</t>
  </si>
  <si>
    <t xml:space="preserve">jauger, calibrer, étalonner</t>
  </si>
  <si>
    <t xml:space="preserve">Peitsche (-n), die</t>
  </si>
  <si>
    <t xml:space="preserve">le fouet</t>
  </si>
  <si>
    <t xml:space="preserve">Selen (Ø), das</t>
  </si>
  <si>
    <t xml:space="preserve">le sélénium</t>
  </si>
  <si>
    <t xml:space="preserve">Zank (Ø), der</t>
  </si>
  <si>
    <t xml:space="preserve">la dispute</t>
  </si>
  <si>
    <t xml:space="preserve">etw.+A ausmerzen</t>
  </si>
  <si>
    <t xml:space="preserve">éliminer qc</t>
  </si>
  <si>
    <t xml:space="preserve">Lumpen (-), der</t>
  </si>
  <si>
    <t xml:space="preserve">les haillons</t>
  </si>
  <si>
    <t xml:space="preserve">jmdn entlarven</t>
  </si>
  <si>
    <t xml:space="preserve">démasquer qn</t>
  </si>
  <si>
    <t xml:space="preserve">schmähen</t>
  </si>
  <si>
    <t xml:space="preserve">invectiver</t>
  </si>
  <si>
    <t xml:space="preserve">einmütig</t>
  </si>
  <si>
    <t xml:space="preserve">unanime</t>
  </si>
  <si>
    <t xml:space="preserve">Bestechung (-en), die</t>
  </si>
  <si>
    <t xml:space="preserve">la corruption, le soudoiement</t>
  </si>
  <si>
    <t xml:space="preserve">die wunde Stelle (-n)</t>
  </si>
  <si>
    <t xml:space="preserve">le point sensible</t>
  </si>
  <si>
    <t xml:space="preserve">Beben (-), das</t>
  </si>
  <si>
    <t xml:space="preserve">le tremblement</t>
  </si>
  <si>
    <t xml:space="preserve">Stroh (Ø), das</t>
  </si>
  <si>
    <t xml:space="preserve">la paille</t>
  </si>
  <si>
    <t xml:space="preserve">Verherrlichung (-en), die</t>
  </si>
  <si>
    <t xml:space="preserve">la glorification</t>
  </si>
  <si>
    <t xml:space="preserve">schlichten</t>
  </si>
  <si>
    <t xml:space="preserve">arbitrer</t>
  </si>
  <si>
    <t xml:space="preserve">Stichtag (-e), der</t>
  </si>
  <si>
    <t xml:space="preserve">la date limite</t>
  </si>
  <si>
    <t xml:space="preserve">faulig</t>
  </si>
  <si>
    <t xml:space="preserve">pourri</t>
  </si>
  <si>
    <t xml:space="preserve">täuschen</t>
  </si>
  <si>
    <t xml:space="preserve">frauder</t>
  </si>
  <si>
    <t xml:space="preserve">Sauerteig (-e), der</t>
  </si>
  <si>
    <t xml:space="preserve">le levain</t>
  </si>
  <si>
    <t xml:space="preserve">fortan</t>
  </si>
  <si>
    <t xml:space="preserve">dorénavant</t>
  </si>
  <si>
    <t xml:space="preserve">Sanftmut (Ø), die</t>
  </si>
  <si>
    <t xml:space="preserve">la douceur de caractère</t>
  </si>
  <si>
    <t xml:space="preserve">Ziel(-e) das / Zweck (-e) der</t>
  </si>
  <si>
    <t xml:space="preserve">"Ziel ist es, eine dauernde anhaltende und gleichbleibende Ergebnis orientierte Qualität zu liefern, der Zweck ist es, Fehler durch die Vorbereitung und Anwendung zu vermeiden."</t>
  </si>
  <si>
    <t xml:space="preserve">enthaltsam</t>
  </si>
  <si>
    <t xml:space="preserve">abstinent</t>
  </si>
  <si>
    <t xml:space="preserve">Begierde (-n), das</t>
  </si>
  <si>
    <t xml:space="preserve">jmdn mit jmdm versöhnen</t>
  </si>
  <si>
    <t xml:space="preserve">réconcilier qn avec qn</t>
  </si>
  <si>
    <t xml:space="preserve">in etw. +A einwilligen</t>
  </si>
  <si>
    <t xml:space="preserve">consentir à qqch</t>
  </si>
  <si>
    <t xml:space="preserve">Fessel (-n), die</t>
  </si>
  <si>
    <t xml:space="preserve">le lien, l'entrave</t>
  </si>
  <si>
    <t xml:space="preserve">sich ertüchtigen</t>
  </si>
  <si>
    <t xml:space="preserve">s'entraîner</t>
  </si>
  <si>
    <t xml:space="preserve">auf dem Stuhl kippeln</t>
  </si>
  <si>
    <t xml:space="preserve">se balancer sur la chaise</t>
  </si>
  <si>
    <t xml:space="preserve">abfällig</t>
  </si>
  <si>
    <t xml:space="preserve">défavorable</t>
  </si>
  <si>
    <t xml:space="preserve">Pflüger (-), der</t>
  </si>
  <si>
    <t xml:space="preserve">le laboureur</t>
  </si>
  <si>
    <t xml:space="preserve">murren</t>
  </si>
  <si>
    <t xml:space="preserve">bougonner</t>
  </si>
  <si>
    <t xml:space="preserve"> jmdn züchtigen</t>
  </si>
  <si>
    <t xml:space="preserve">châtier quelqu'un</t>
  </si>
  <si>
    <t xml:space="preserve">Siegel (-), das</t>
  </si>
  <si>
    <t xml:space="preserve">le sceau</t>
  </si>
  <si>
    <t xml:space="preserve">Dreschen (Ø), das</t>
  </si>
  <si>
    <t xml:space="preserve">le battage (agricole)</t>
  </si>
  <si>
    <t xml:space="preserve">Unterfangen (Ø), das</t>
  </si>
  <si>
    <t xml:space="preserve">l'entreprise, la tentative</t>
  </si>
  <si>
    <t xml:space="preserve">unentbehrlich</t>
  </si>
  <si>
    <t xml:space="preserve">indispensable</t>
  </si>
  <si>
    <t xml:space="preserve">unwiderstehlich</t>
  </si>
  <si>
    <t xml:space="preserve">assassin / irrésistible</t>
  </si>
  <si>
    <t xml:space="preserve">la convenance / la pudeur</t>
  </si>
  <si>
    <t xml:space="preserve">Ringen (Ø), das</t>
  </si>
  <si>
    <t xml:space="preserve">la lutte</t>
  </si>
  <si>
    <t xml:space="preserve">Bestand (-ände), der</t>
  </si>
  <si>
    <t xml:space="preserve">le composant / le stock / l'existence</t>
  </si>
  <si>
    <t xml:space="preserve">Meuterei (-en), die</t>
  </si>
  <si>
    <t xml:space="preserve">la mutinerie</t>
  </si>
  <si>
    <t xml:space="preserve">insofern</t>
  </si>
  <si>
    <t xml:space="preserve">dans ce contexte / pour autant que</t>
  </si>
  <si>
    <t xml:space="preserve">Fluse (-n), die</t>
  </si>
  <si>
    <t xml:space="preserve">une peluche (de poussière)</t>
  </si>
  <si>
    <t xml:space="preserve">Geflecht (-e), das</t>
  </si>
  <si>
    <t xml:space="preserve">l'enlacement / le treillis</t>
  </si>
  <si>
    <t xml:space="preserve">artfremd</t>
  </si>
  <si>
    <t xml:space="preserve">désapparenté</t>
  </si>
  <si>
    <t xml:space="preserve">Der Vollständigkeit halber</t>
  </si>
  <si>
    <t xml:space="preserve">Pour être exhaustif</t>
  </si>
  <si>
    <t xml:space="preserve">Mautstelle (-n), die</t>
  </si>
  <si>
    <t xml:space="preserve">le péage</t>
  </si>
  <si>
    <t xml:space="preserve">Aufzug (-üge), der</t>
  </si>
  <si>
    <t xml:space="preserve">l'ascenseur</t>
  </si>
  <si>
    <t xml:space="preserve">Könnte ich bitte meine Anzahlung haben?</t>
  </si>
  <si>
    <t xml:space="preserve">Puis-je récupérer ma caution s'il vous plaît ?</t>
  </si>
  <si>
    <t xml:space="preserve">Es ist gestrichen</t>
  </si>
  <si>
    <t xml:space="preserve">C'est annulé</t>
  </si>
  <si>
    <t xml:space="preserve">Kopfkissen (-), das</t>
  </si>
  <si>
    <t xml:space="preserve">l'oreiller</t>
  </si>
  <si>
    <t xml:space="preserve">Rückfahrkarte (-n), die</t>
  </si>
  <si>
    <t xml:space="preserve">un billet aller-retour</t>
  </si>
  <si>
    <t xml:space="preserve">Allradfahrzeug (-e), das</t>
  </si>
  <si>
    <t xml:space="preserve">le 4x4</t>
  </si>
  <si>
    <t xml:space="preserve">Ist eine Kilometerzahl inbegriffen?</t>
  </si>
  <si>
    <t xml:space="preserve">Est-ce qu'un kilométrage est compris ?</t>
  </si>
  <si>
    <t xml:space="preserve">Ich werde Sie weiterempfehlen</t>
  </si>
  <si>
    <t xml:space="preserve">Je vous recommanderai</t>
  </si>
  <si>
    <t xml:space="preserve">Biegen Sie links ab.</t>
  </si>
  <si>
    <t xml:space="preserve">Tournez à gauche</t>
  </si>
  <si>
    <t xml:space="preserve">Welches ist der nächste Halt?</t>
  </si>
  <si>
    <t xml:space="preserve">Quel est le prochain arrêt ?</t>
  </si>
  <si>
    <t xml:space="preserve">Ich habe etwas zu verzollen</t>
  </si>
  <si>
    <t xml:space="preserve">J'ai quelque chose à déclarer</t>
  </si>
  <si>
    <t xml:space="preserve">Haben Sie einen Internetanschluß ?</t>
  </si>
  <si>
    <t xml:space="preserve">Avez-vous une connexion internet ?</t>
  </si>
  <si>
    <t xml:space="preserve">Morgendämmerung (-en), die</t>
  </si>
  <si>
    <t xml:space="preserve">l'aube</t>
  </si>
  <si>
    <t xml:space="preserve">Könnte ich bitte eine Quittung haben?</t>
  </si>
  <si>
    <t xml:space="preserve">Pourrais-je avoir un reçu s'il vous plaît ?</t>
  </si>
  <si>
    <t xml:space="preserve">Schnittstelle (-n), die</t>
  </si>
  <si>
    <t xml:space="preserve">l'interface</t>
  </si>
  <si>
    <t xml:space="preserve">Geschwafel (Ø), das</t>
  </si>
  <si>
    <t xml:space="preserve">le bavardage</t>
  </si>
  <si>
    <t xml:space="preserve">ausführen</t>
  </si>
  <si>
    <t xml:space="preserve">exécuter, accomplir</t>
  </si>
  <si>
    <t xml:space="preserve">durchgängig</t>
  </si>
  <si>
    <t xml:space="preserve">constant / (tous) sans exception</t>
  </si>
  <si>
    <t xml:space="preserve">Duft (-üfte), der</t>
  </si>
  <si>
    <t xml:space="preserve">le parfum</t>
  </si>
  <si>
    <t xml:space="preserve">nachlässig</t>
  </si>
  <si>
    <t xml:space="preserve">néligent / nonchalant</t>
  </si>
  <si>
    <t xml:space="preserve">geneigt</t>
  </si>
  <si>
    <t xml:space="preserve">bienveillant, favorable</t>
  </si>
  <si>
    <t xml:space="preserve">Beharrlichkeit (Ø), die</t>
  </si>
  <si>
    <t xml:space="preserve">l'insistance</t>
  </si>
  <si>
    <t xml:space="preserve">Bruchrechnung (-en), die (Mathematik)</t>
  </si>
  <si>
    <t xml:space="preserve">le calcul de fractions</t>
  </si>
  <si>
    <t xml:space="preserve">vermaschen</t>
  </si>
  <si>
    <t xml:space="preserve">mailler (électronique, télécommunications)</t>
  </si>
  <si>
    <t xml:space="preserve">Vorschlagswesen (-?), das</t>
  </si>
  <si>
    <t xml:space="preserve">la mentalité / la stratégie d'entreprise</t>
  </si>
  <si>
    <t xml:space="preserve">eingestehen</t>
  </si>
  <si>
    <t xml:space="preserve">confesser, avouer</t>
  </si>
  <si>
    <t xml:space="preserve">abgeben</t>
  </si>
  <si>
    <t xml:space="preserve">transmettre, restituer</t>
  </si>
  <si>
    <t xml:space="preserve">Ton (-e), der</t>
  </si>
  <si>
    <t xml:space="preserve">la glaise</t>
  </si>
  <si>
    <t xml:space="preserve">Senke (Ø), die</t>
  </si>
  <si>
    <t xml:space="preserve">la cuvette</t>
  </si>
  <si>
    <t xml:space="preserve">gebührend (Adv.)</t>
  </si>
  <si>
    <t xml:space="preserve">comme il se doit, dûment</t>
  </si>
  <si>
    <t xml:space="preserve">Durchdringung (-en), die</t>
  </si>
  <si>
    <t xml:space="preserve">la pénétration (économie, physique)</t>
  </si>
  <si>
    <t xml:space="preserve">treffend (Adj. / Adv.)</t>
  </si>
  <si>
    <t xml:space="preserve">pertinent / avec justesse</t>
  </si>
  <si>
    <t xml:space="preserve">Keule (-n), die</t>
  </si>
  <si>
    <t xml:space="preserve">la massue / la cuisse (cuisine)</t>
  </si>
  <si>
    <t xml:space="preserve">toben</t>
  </si>
  <si>
    <t xml:space="preserve">vociférer, fulminer</t>
  </si>
  <si>
    <t xml:space="preserve">nachlassend</t>
  </si>
  <si>
    <t xml:space="preserve">faiblissant</t>
  </si>
  <si>
    <t xml:space="preserve">Absatzmarkt (-märkte), der</t>
  </si>
  <si>
    <t xml:space="preserve">le débouché</t>
  </si>
  <si>
    <t xml:space="preserve">Bedenken (plur.), die</t>
  </si>
  <si>
    <t xml:space="preserve">les scrupules, les états d'âmes</t>
  </si>
  <si>
    <t xml:space="preserve">Erdungsschiene (-n), die</t>
  </si>
  <si>
    <t xml:space="preserve">la borne de terre</t>
  </si>
  <si>
    <t xml:space="preserve">Gattung (-en), die</t>
  </si>
  <si>
    <t xml:space="preserve">la catégorie, le genre</t>
  </si>
  <si>
    <t xml:space="preserve">jmdn heranziehen</t>
  </si>
  <si>
    <t xml:space="preserve">mettre qn à contribution</t>
  </si>
  <si>
    <t xml:space="preserve">Semmel (-n), die</t>
  </si>
  <si>
    <t xml:space="preserve">le petit pain</t>
  </si>
  <si>
    <t xml:space="preserve">Aussatz (-sätze), der</t>
  </si>
  <si>
    <t xml:space="preserve">la lèpre</t>
  </si>
  <si>
    <t xml:space="preserve">Falle (-n), die</t>
  </si>
  <si>
    <t xml:space="preserve">le piège</t>
  </si>
  <si>
    <t xml:space="preserve">schnarchen</t>
  </si>
  <si>
    <t xml:space="preserve">ronfler</t>
  </si>
  <si>
    <t xml:space="preserve">Wechselwirkung (-en), die</t>
  </si>
  <si>
    <t xml:space="preserve">l'interaction</t>
  </si>
  <si>
    <t xml:space="preserve">Bandwurmsatz (-sätze), der</t>
  </si>
  <si>
    <t xml:space="preserve">la phrase à rallonge</t>
  </si>
  <si>
    <t xml:space="preserve">Bandwurm (-ürmer), der</t>
  </si>
  <si>
    <t xml:space="preserve">le ver solitaire</t>
  </si>
  <si>
    <t xml:space="preserve">schminken</t>
  </si>
  <si>
    <t xml:space="preserve">maquiller</t>
  </si>
  <si>
    <t xml:space="preserve">Dinkel (Ø), der</t>
  </si>
  <si>
    <t xml:space="preserve">l'épeautre</t>
  </si>
  <si>
    <t xml:space="preserve">Leitbild (-er), das</t>
  </si>
  <si>
    <t xml:space="preserve">le modèle / la conception directrice</t>
  </si>
  <si>
    <t xml:space="preserve">stöbern</t>
  </si>
  <si>
    <t xml:space="preserve">trifouiller</t>
  </si>
  <si>
    <t xml:space="preserve">Häppchen (-), das</t>
  </si>
  <si>
    <t xml:space="preserve">la petite bouchée, la mignardise</t>
  </si>
  <si>
    <t xml:space="preserve">Gerücht (-e), das</t>
  </si>
  <si>
    <t xml:space="preserve">la rumeur</t>
  </si>
  <si>
    <t xml:space="preserve">Geschirr (-e), das</t>
  </si>
  <si>
    <t xml:space="preserve">la vaisselle</t>
  </si>
  <si>
    <t xml:space="preserve">Vergeltung (-en), die</t>
  </si>
  <si>
    <t xml:space="preserve">la revanche</t>
  </si>
  <si>
    <t xml:space="preserve">sich rächen</t>
  </si>
  <si>
    <t xml:space="preserve">se venger</t>
  </si>
  <si>
    <t xml:space="preserve">Unzulänglichkeit (-en), die</t>
  </si>
  <si>
    <t xml:space="preserve">la carence, le défaut</t>
  </si>
  <si>
    <t xml:space="preserve">Lärm (Ø), der</t>
  </si>
  <si>
    <t xml:space="preserve">le bruit, le tapage</t>
  </si>
  <si>
    <t xml:space="preserve">Hafer (-), der</t>
  </si>
  <si>
    <t xml:space="preserve">l'avoine</t>
  </si>
  <si>
    <t xml:space="preserve">Roggen (-), der</t>
  </si>
  <si>
    <t xml:space="preserve">le seigle</t>
  </si>
  <si>
    <t xml:space="preserve">Geleit (-e), das</t>
  </si>
  <si>
    <t xml:space="preserve">l'escorte</t>
  </si>
  <si>
    <t xml:space="preserve">Heiterkeit (-en), die</t>
  </si>
  <si>
    <t xml:space="preserve">la sérénité</t>
  </si>
  <si>
    <t xml:space="preserve">Blutschande (Ø), die</t>
  </si>
  <si>
    <t xml:space="preserve">l'inceste</t>
  </si>
  <si>
    <t xml:space="preserve">Trabant (-en), der</t>
  </si>
  <si>
    <t xml:space="preserve">le satellite</t>
  </si>
  <si>
    <t xml:space="preserve">Polizeirevier (-e), das</t>
  </si>
  <si>
    <t xml:space="preserve">le commissariat de police</t>
  </si>
  <si>
    <t xml:space="preserve">(die Nase) rümpfen</t>
  </si>
  <si>
    <t xml:space="preserve">froncer (du nez)</t>
  </si>
  <si>
    <t xml:space="preserve">Abnehmer (-), der</t>
  </si>
  <si>
    <t xml:space="preserve">l'acheteur, le client, l'abonné</t>
  </si>
  <si>
    <t xml:space="preserve">Stachel (-n), der</t>
  </si>
  <si>
    <t xml:space="preserve">l'épine, le dard</t>
  </si>
  <si>
    <t xml:space="preserve">jmdn nachfahren</t>
  </si>
  <si>
    <t xml:space="preserve">suivre quelqu'un en voiture</t>
  </si>
  <si>
    <t xml:space="preserve">Nachfahre (-n), der</t>
  </si>
  <si>
    <t xml:space="preserve">le descendant</t>
  </si>
  <si>
    <t xml:space="preserve">armselig</t>
  </si>
  <si>
    <t xml:space="preserve">misérable, minable / besogneux</t>
  </si>
  <si>
    <t xml:space="preserve">Gestirn (-e), das</t>
  </si>
  <si>
    <t xml:space="preserve">l'astre</t>
  </si>
  <si>
    <t xml:space="preserve">kuschelig, anheimelnd, mollig, wehleidig</t>
  </si>
  <si>
    <t xml:space="preserve">douillet</t>
  </si>
  <si>
    <t xml:space="preserve">verweslich</t>
  </si>
  <si>
    <t xml:space="preserve">putrescible</t>
  </si>
  <si>
    <t xml:space="preserve">Grundeinstellung (-en), die</t>
  </si>
  <si>
    <t xml:space="preserve">l'attitude fondamentale</t>
  </si>
  <si>
    <t xml:space="preserve">stichwortartig</t>
  </si>
  <si>
    <t xml:space="preserve">en mots-clés</t>
  </si>
  <si>
    <t xml:space="preserve">Adressat (-en), der</t>
  </si>
  <si>
    <t xml:space="preserve">le destinataire</t>
  </si>
  <si>
    <t xml:space="preserve">Befugnis (-sse), die</t>
  </si>
  <si>
    <t xml:space="preserve">l'autorisation / la faculté</t>
  </si>
  <si>
    <t xml:space="preserve">etw.+A in etw.+A einblenden</t>
  </si>
  <si>
    <t xml:space="preserve">insérer quelque dans quelque chose</t>
  </si>
  <si>
    <t xml:space="preserve">Rübe (-n), die</t>
  </si>
  <si>
    <t xml:space="preserve">la betterave</t>
  </si>
  <si>
    <t xml:space="preserve">umarbeiten</t>
  </si>
  <si>
    <t xml:space="preserve">retravailler, remanier</t>
  </si>
  <si>
    <t xml:space="preserve">Wickelraum (-äume), der</t>
  </si>
  <si>
    <t xml:space="preserve">la salle à langer / le volume d'enroulement</t>
  </si>
  <si>
    <t xml:space="preserve">Es ist ein Notfall!</t>
  </si>
  <si>
    <t xml:space="preserve">C'est une urgence !</t>
  </si>
  <si>
    <t xml:space="preserve">Verzeichnis (-isse), das</t>
  </si>
  <si>
    <t xml:space="preserve">le registre, le relevé</t>
  </si>
  <si>
    <t xml:space="preserve">Schacht (-ächte), der</t>
  </si>
  <si>
    <t xml:space="preserve">la buse / la gaine / le puit</t>
  </si>
  <si>
    <t xml:space="preserve">etw. bemängeln</t>
  </si>
  <si>
    <t xml:space="preserve">dénoncer qc, critiquer qc</t>
  </si>
  <si>
    <t xml:space="preserve">sich erübrigen</t>
  </si>
  <si>
    <t xml:space="preserve">ne pas être nécessaire</t>
  </si>
  <si>
    <t xml:space="preserve">unerlässlich</t>
  </si>
  <si>
    <t xml:space="preserve">Beute (Ø), die</t>
  </si>
  <si>
    <t xml:space="preserve">la proie</t>
  </si>
  <si>
    <t xml:space="preserve">Verschachtelung (-en), die</t>
  </si>
  <si>
    <t xml:space="preserve">l'imbrication</t>
  </si>
  <si>
    <t xml:space="preserve">Netzhaut (-häute), die</t>
  </si>
  <si>
    <t xml:space="preserve">la rétine</t>
  </si>
  <si>
    <t xml:space="preserve">Ansatzpunkt (-e), der</t>
  </si>
  <si>
    <t xml:space="preserve">le point de départ</t>
  </si>
  <si>
    <t xml:space="preserve">etw. orten</t>
  </si>
  <si>
    <t xml:space="preserve">localiser quelque chose</t>
  </si>
  <si>
    <t xml:space="preserve">massgebend</t>
  </si>
  <si>
    <t xml:space="preserve">normatif / déterminant</t>
  </si>
  <si>
    <t xml:space="preserve">eine Weiche stellen</t>
  </si>
  <si>
    <t xml:space="preserve">aiguiller</t>
  </si>
  <si>
    <t xml:space="preserve">Überschneidung (-en), die</t>
  </si>
  <si>
    <t xml:space="preserve">l'interférence / le croisement, l'intersection</t>
  </si>
  <si>
    <t xml:space="preserve">im Grunde genommen</t>
  </si>
  <si>
    <t xml:space="preserve">tout compte fait</t>
  </si>
  <si>
    <t xml:space="preserve">Ich habe mich übergeben.</t>
  </si>
  <si>
    <t xml:space="preserve">J'ai vomi</t>
  </si>
  <si>
    <t xml:space="preserve">liebevoll</t>
  </si>
  <si>
    <t xml:space="preserve">affectueux, aimant</t>
  </si>
  <si>
    <t xml:space="preserve">Bitte benutzen Sie eine neue Spritze.</t>
  </si>
  <si>
    <t xml:space="preserve">Veuillez s'il vous plaît utiliser une nouvelle seringue.</t>
  </si>
  <si>
    <t xml:space="preserve">Fledermaus (-äuse), die</t>
  </si>
  <si>
    <t xml:space="preserve">la chauve-souris</t>
  </si>
  <si>
    <t xml:space="preserve">lauwarm</t>
  </si>
  <si>
    <t xml:space="preserve">tiède</t>
  </si>
  <si>
    <t xml:space="preserve">Unfallstation (-en), die</t>
  </si>
  <si>
    <t xml:space="preserve">les urgences médicales</t>
  </si>
  <si>
    <t xml:space="preserve">Haben Sie einen Erste-Hilfe Kasten ?</t>
  </si>
  <si>
    <t xml:space="preserve">Avez-vous une trousse de premiers secours ?</t>
  </si>
  <si>
    <t xml:space="preserve">Rufen Sie einen Krankenwagen!</t>
  </si>
  <si>
    <t xml:space="preserve">Appelez une ambulance !</t>
  </si>
  <si>
    <t xml:space="preserve">zu Recht</t>
  </si>
  <si>
    <t xml:space="preserve">Mir ist schwindelig.</t>
  </si>
  <si>
    <t xml:space="preserve">Je me sens étourdi.</t>
  </si>
  <si>
    <t xml:space="preserve">Keder (Ø), der</t>
  </si>
  <si>
    <t xml:space="preserve">la trépointe, le bourrelet</t>
  </si>
  <si>
    <t xml:space="preserve">Bestückung (-en), die</t>
  </si>
  <si>
    <t xml:space="preserve">le garnissage, l'équipement</t>
  </si>
  <si>
    <t xml:space="preserve">ungemein (Adv.)</t>
  </si>
  <si>
    <t xml:space="preserve">singulièrement, on en peut plus</t>
  </si>
  <si>
    <t xml:space="preserve">langatmig</t>
  </si>
  <si>
    <t xml:space="preserve">interminable, traînant</t>
  </si>
  <si>
    <t xml:space="preserve">le rack, le rangement</t>
  </si>
  <si>
    <t xml:space="preserve">Triebfeder (-n), der</t>
  </si>
  <si>
    <t xml:space="preserve">le mobile, le nerf de la guerre</t>
  </si>
  <si>
    <t xml:space="preserve">sprich…</t>
  </si>
  <si>
    <t xml:space="preserve">à savoir …</t>
  </si>
  <si>
    <t xml:space="preserve">Wesenszug (-üge), der</t>
  </si>
  <si>
    <t xml:space="preserve">le trait de caractère, la particularité</t>
  </si>
  <si>
    <t xml:space="preserve">Kufe (-n), die</t>
  </si>
  <si>
    <t xml:space="preserve">le patin</t>
  </si>
  <si>
    <t xml:space="preserve">gegenläufig</t>
  </si>
  <si>
    <t xml:space="preserve">opposé</t>
  </si>
  <si>
    <t xml:space="preserve">Nahtstelle (-n), die</t>
  </si>
  <si>
    <t xml:space="preserve">la jonction</t>
  </si>
  <si>
    <t xml:space="preserve">umreifen</t>
  </si>
  <si>
    <t xml:space="preserve">cercler</t>
  </si>
  <si>
    <t xml:space="preserve">Pfosten (-), der</t>
  </si>
  <si>
    <t xml:space="preserve">le poteau, le montant de but</t>
  </si>
  <si>
    <t xml:space="preserve">Einstellung (-n), die</t>
  </si>
  <si>
    <t xml:space="preserve">l'embauche / l'attitude / le calibrage</t>
  </si>
  <si>
    <t xml:space="preserve">Säuseln (-), das</t>
  </si>
  <si>
    <t xml:space="preserve">le murmure</t>
  </si>
  <si>
    <t xml:space="preserve">fürs Erste</t>
  </si>
  <si>
    <t xml:space="preserve">dans un premier temps</t>
  </si>
  <si>
    <t xml:space="preserve">Spielzug (-üge), der</t>
  </si>
  <si>
    <t xml:space="preserve">l'enchaînement (sportif)</t>
  </si>
  <si>
    <t xml:space="preserve">Most (-e), der</t>
  </si>
  <si>
    <t xml:space="preserve">le cidre</t>
  </si>
  <si>
    <t xml:space="preserve">Bezugsquelle (-n), die</t>
  </si>
  <si>
    <t xml:space="preserve">la source d'approvisionnement</t>
  </si>
  <si>
    <t xml:space="preserve">etw. auffassen</t>
  </si>
  <si>
    <t xml:space="preserve">comprendre, interpréter</t>
  </si>
  <si>
    <t xml:space="preserve">Hau ab!</t>
  </si>
  <si>
    <t xml:space="preserve">Ouste, du balai !</t>
  </si>
  <si>
    <t xml:space="preserve">arbeitsteilig</t>
  </si>
  <si>
    <t xml:space="preserve">basé sur la répartition des tâches</t>
  </si>
  <si>
    <t xml:space="preserve">Tragweite (-n), die</t>
  </si>
  <si>
    <t xml:space="preserve">la portée</t>
  </si>
  <si>
    <t xml:space="preserve">Einfassung (-en), die</t>
  </si>
  <si>
    <t xml:space="preserve">la bordure, la clôture</t>
  </si>
  <si>
    <t xml:space="preserve">zumal</t>
  </si>
  <si>
    <t xml:space="preserve">surtout, à plus forte raison</t>
  </si>
  <si>
    <t xml:space="preserve">einspielen</t>
  </si>
  <si>
    <t xml:space="preserve">accepter / s'organiser / enregistrer qc</t>
  </si>
  <si>
    <t xml:space="preserve">Verpuffen (Ø), das</t>
  </si>
  <si>
    <t xml:space="preserve">la déflagration</t>
  </si>
  <si>
    <t xml:space="preserve">aufhalsen +D</t>
  </si>
  <si>
    <t xml:space="preserve">refiler / endosser</t>
  </si>
  <si>
    <t xml:space="preserve">Veranlagung (-en), die</t>
  </si>
  <si>
    <t xml:space="preserve">la tendance, la pré-disposition</t>
  </si>
  <si>
    <t xml:space="preserve">ausgiebig (Adv.)</t>
  </si>
  <si>
    <t xml:space="preserve">abondamment</t>
  </si>
  <si>
    <t xml:space="preserve">Ernüchterung (-en), die</t>
  </si>
  <si>
    <t xml:space="preserve">le désenchantement</t>
  </si>
  <si>
    <t xml:space="preserve">dahingehend…</t>
  </si>
  <si>
    <t xml:space="preserve">à ce sujet, …</t>
  </si>
  <si>
    <t xml:space="preserve">Rückschluss (-üsse), der</t>
  </si>
  <si>
    <t xml:space="preserve">la conclusion, la déduction</t>
  </si>
  <si>
    <t xml:space="preserve">sich aufschaukeln</t>
  </si>
  <si>
    <t xml:space="preserve">entrer en résonance</t>
  </si>
  <si>
    <t xml:space="preserve">auf +D. beruhen</t>
  </si>
  <si>
    <t xml:space="preserve">consister en </t>
  </si>
  <si>
    <t xml:space="preserve">Echtzeitfähigkeit (-en), die</t>
  </si>
  <si>
    <t xml:space="preserve">l'aptitude temps réel</t>
  </si>
  <si>
    <t xml:space="preserve">Rückkopplung (-en), die</t>
  </si>
  <si>
    <t xml:space="preserve">l'auto-excitation, l'effet Larsen</t>
  </si>
  <si>
    <t xml:space="preserve">Kerngedanke (-n), die</t>
  </si>
  <si>
    <t xml:space="preserve">le fond de la pensée</t>
  </si>
  <si>
    <t xml:space="preserve">Wortstamm (-ämme), der</t>
  </si>
  <si>
    <t xml:space="preserve">le radical (ling.)</t>
  </si>
  <si>
    <t xml:space="preserve">Lasche (-n), die</t>
  </si>
  <si>
    <t xml:space="preserve">le couvre-joint, la bride</t>
  </si>
  <si>
    <t xml:space="preserve">Einbeziehung (-en), die</t>
  </si>
  <si>
    <t xml:space="preserve">l'intégration</t>
  </si>
  <si>
    <t xml:space="preserve">Stellglied (-er), das</t>
  </si>
  <si>
    <t xml:space="preserve">l'actionneur, l'élément de commande final</t>
  </si>
  <si>
    <t xml:space="preserve">Erkenntnis (-se), die</t>
  </si>
  <si>
    <t xml:space="preserve">la connaissance, la découverte / la conclusion</t>
  </si>
  <si>
    <t xml:space="preserve">Lichthupe (-n), die</t>
  </si>
  <si>
    <t xml:space="preserve">l'avertisseur lumineux</t>
  </si>
  <si>
    <t xml:space="preserve">l'exclusion</t>
  </si>
  <si>
    <t xml:space="preserve">nunmehr</t>
  </si>
  <si>
    <t xml:space="preserve">désormais</t>
  </si>
  <si>
    <t xml:space="preserve">geziemend</t>
  </si>
  <si>
    <t xml:space="preserve">décemment / décent</t>
  </si>
  <si>
    <t xml:space="preserve">gefügig</t>
  </si>
  <si>
    <t xml:space="preserve">docile, soumis</t>
  </si>
  <si>
    <t xml:space="preserve">Reif (Ø), der</t>
  </si>
  <si>
    <t xml:space="preserve">le givre / le jonc / le bracelet</t>
  </si>
  <si>
    <t xml:space="preserve">versehren</t>
  </si>
  <si>
    <t xml:space="preserve">blesser, mutiler</t>
  </si>
  <si>
    <t xml:space="preserve">Ablagerung (-en), die</t>
  </si>
  <si>
    <t xml:space="preserve">l'alluvion</t>
  </si>
  <si>
    <t xml:space="preserve">vorläufig</t>
  </si>
  <si>
    <t xml:space="preserve">temporaire</t>
  </si>
  <si>
    <t xml:space="preserve">Unversehrtheit (-en), die</t>
  </si>
  <si>
    <t xml:space="preserve">l'intégrité</t>
  </si>
  <si>
    <t xml:space="preserve">Hetze (Ø), die</t>
  </si>
  <si>
    <t xml:space="preserve">le dénigrement / la précipitation</t>
  </si>
  <si>
    <t xml:space="preserve">betrübt</t>
  </si>
  <si>
    <t xml:space="preserve">attristé, peiné</t>
  </si>
  <si>
    <t xml:space="preserve">sachdienlich</t>
  </si>
  <si>
    <t xml:space="preserve">pertinent</t>
  </si>
  <si>
    <t xml:space="preserve">Fertigkeit (-en), die</t>
  </si>
  <si>
    <t xml:space="preserve">la science / la dextérité</t>
  </si>
  <si>
    <t xml:space="preserve">Fortpflanzung (-en), die</t>
  </si>
  <si>
    <t xml:space="preserve">la reproduction</t>
  </si>
  <si>
    <t xml:space="preserve">sich darüber im Klaren sein, dass …</t>
  </si>
  <si>
    <t xml:space="preserve">se rendre compte que ...</t>
  </si>
  <si>
    <t xml:space="preserve">Auflösung (-en), die</t>
  </si>
  <si>
    <t xml:space="preserve">la dissolution, la désintégration</t>
  </si>
  <si>
    <t xml:space="preserve">ausgleichen</t>
  </si>
  <si>
    <t xml:space="preserve">concilier / atténuer</t>
  </si>
  <si>
    <t xml:space="preserve">Aussreisser (-), der (Mathematik)</t>
  </si>
  <si>
    <t xml:space="preserve">le cas aberrant</t>
  </si>
  <si>
    <t xml:space="preserve">Feinzeiger (-n), der (Metrologie)</t>
  </si>
  <si>
    <t xml:space="preserve">le comparateur (métrologie)</t>
  </si>
  <si>
    <t xml:space="preserve">Rückzahlung (-en), die</t>
  </si>
  <si>
    <t xml:space="preserve">le remboursement</t>
  </si>
  <si>
    <t xml:space="preserve">nachschlagen</t>
  </si>
  <si>
    <t xml:space="preserve">se référer à</t>
  </si>
  <si>
    <t xml:space="preserve">Rachen (-), der</t>
  </si>
  <si>
    <t xml:space="preserve">blindlings (Adv.)</t>
  </si>
  <si>
    <t xml:space="preserve">aveuglément</t>
  </si>
  <si>
    <t xml:space="preserve">schlussfolgern</t>
  </si>
  <si>
    <t xml:space="preserve">conclure</t>
  </si>
  <si>
    <t xml:space="preserve">bedingt</t>
  </si>
  <si>
    <t xml:space="preserve">conditionné, relatif</t>
  </si>
  <si>
    <t xml:space="preserve">zufällig</t>
  </si>
  <si>
    <t xml:space="preserve">aléatoire</t>
  </si>
  <si>
    <t xml:space="preserve">schlendern</t>
  </si>
  <si>
    <t xml:space="preserve">flâner</t>
  </si>
  <si>
    <t xml:space="preserve">sich +A. zieren</t>
  </si>
  <si>
    <t xml:space="preserve">faire des manières, faire des simagrées</t>
  </si>
  <si>
    <t xml:space="preserve">jmdn prellen</t>
  </si>
  <si>
    <t xml:space="preserve">berner qn</t>
  </si>
  <si>
    <t xml:space="preserve">erhaben (adj.)</t>
  </si>
  <si>
    <t xml:space="preserve">en relief / majestueux</t>
  </si>
  <si>
    <t xml:space="preserve">womöglich …</t>
  </si>
  <si>
    <t xml:space="preserve">si ça se trouve, …</t>
  </si>
  <si>
    <t xml:space="preserve">Knackpunkt (-e), der</t>
  </si>
  <si>
    <t xml:space="preserve">le nerf de la guerre</t>
  </si>
  <si>
    <t xml:space="preserve">Treiben (Ø), das</t>
  </si>
  <si>
    <t xml:space="preserve">les agissements</t>
  </si>
  <si>
    <t xml:space="preserve">ködern</t>
  </si>
  <si>
    <t xml:space="preserve">allécher, appâter</t>
  </si>
  <si>
    <t xml:space="preserve">verleumderisch</t>
  </si>
  <si>
    <t xml:space="preserve">calomniateur, diffamant</t>
  </si>
  <si>
    <t xml:space="preserve">Rufmord (-e), der</t>
  </si>
  <si>
    <t xml:space="preserve">la diffamation</t>
  </si>
  <si>
    <t xml:space="preserve">gebrandmarkt (Adj.)</t>
  </si>
  <si>
    <t xml:space="preserve">de marque / stigmatisé</t>
  </si>
  <si>
    <t xml:space="preserve">Unterordnung (-en), die</t>
  </si>
  <si>
    <t xml:space="preserve">l'obéissance, la subordination</t>
  </si>
  <si>
    <t xml:space="preserve">Daunen (plural), die</t>
  </si>
  <si>
    <t xml:space="preserve">le duvet</t>
  </si>
  <si>
    <t xml:space="preserve">Pappe (-n), die</t>
  </si>
  <si>
    <t xml:space="preserve">le carton (la matière)</t>
  </si>
  <si>
    <t xml:space="preserve">steil (adj.)</t>
  </si>
  <si>
    <t xml:space="preserve">raide, abrupt</t>
  </si>
  <si>
    <t xml:space="preserve">bis dato</t>
  </si>
  <si>
    <t xml:space="preserve">à ce jour</t>
  </si>
  <si>
    <t xml:space="preserve">Pfändung (-en), die</t>
  </si>
  <si>
    <t xml:space="preserve">la saisie</t>
  </si>
  <si>
    <t xml:space="preserve">Geldanlage (-n), die</t>
  </si>
  <si>
    <t xml:space="preserve">le placement financier</t>
  </si>
  <si>
    <t xml:space="preserve">Nachlass (-ässe), der</t>
  </si>
  <si>
    <t xml:space="preserve">la remise, la succession</t>
  </si>
  <si>
    <t xml:space="preserve">Anteilseigner (-), der</t>
  </si>
  <si>
    <t xml:space="preserve">l'actionnaire</t>
  </si>
  <si>
    <t xml:space="preserve">Drossel (-n), die</t>
  </si>
  <si>
    <t xml:space="preserve">le piège / la grive</t>
  </si>
  <si>
    <t xml:space="preserve">Ausbeute (-n), die</t>
  </si>
  <si>
    <t xml:space="preserve">le bénéfice / le rendement</t>
  </si>
  <si>
    <t xml:space="preserve">Blende (-n), die</t>
  </si>
  <si>
    <t xml:space="preserve">l'écran / le masque / l'iris</t>
  </si>
  <si>
    <t xml:space="preserve">zart</t>
  </si>
  <si>
    <t xml:space="preserve">tendre, délicat</t>
  </si>
  <si>
    <t xml:space="preserve">etw. / jmdn. ausloten</t>
  </si>
  <si>
    <t xml:space="preserve">prendre la mesure de qc / de qn</t>
  </si>
  <si>
    <t xml:space="preserve">die schwarze Null</t>
  </si>
  <si>
    <t xml:space="preserve">le bilan équilibré (autant de rentrées que de sorties d'argent)</t>
  </si>
  <si>
    <t xml:space="preserve">Erörterung (-en), die</t>
  </si>
  <si>
    <t xml:space="preserve">la discussion</t>
  </si>
  <si>
    <t xml:space="preserve">Auftakt (-e), der</t>
  </si>
  <si>
    <t xml:space="preserve">l'amorce, le prélude</t>
  </si>
  <si>
    <t xml:space="preserve">Auslöser (-), der</t>
  </si>
  <si>
    <t xml:space="preserve">le déclencheur</t>
  </si>
  <si>
    <t xml:space="preserve">Nacheilung (Ø), die</t>
  </si>
  <si>
    <t xml:space="preserve">le rattrapage</t>
  </si>
  <si>
    <t xml:space="preserve">Flaschenhals (-älse), der</t>
  </si>
  <si>
    <t xml:space="preserve">le goulot d'une bouteille</t>
  </si>
  <si>
    <t xml:space="preserve">Riege (-n), die</t>
  </si>
  <si>
    <t xml:space="preserve">la section</t>
  </si>
  <si>
    <t xml:space="preserve">händerigend suchen</t>
  </si>
  <si>
    <t xml:space="preserve">chercher désespérement</t>
  </si>
  <si>
    <t xml:space="preserve">Sog (-e), der</t>
  </si>
  <si>
    <t xml:space="preserve">le remous / l'aspiration (au sens propre)</t>
  </si>
  <si>
    <t xml:space="preserve">Schwarm (-ärme), der</t>
  </si>
  <si>
    <t xml:space="preserve">l'essaim / l'idole</t>
  </si>
  <si>
    <t xml:space="preserve">Säbelrasseln (Ø), das</t>
  </si>
  <si>
    <t xml:space="preserve">le bruit de bottes (expr.)</t>
  </si>
  <si>
    <t xml:space="preserve">jmdm etw. entziehen</t>
  </si>
  <si>
    <t xml:space="preserve">priver qn de qc</t>
  </si>
  <si>
    <t xml:space="preserve">klamm</t>
  </si>
  <si>
    <t xml:space="preserve">froid et humide / gourd</t>
  </si>
  <si>
    <t xml:space="preserve">Fahndung (-en), die</t>
  </si>
  <si>
    <t xml:space="preserve">la recherche, la poursuite</t>
  </si>
  <si>
    <t xml:space="preserve">Handlanger (-), der</t>
  </si>
  <si>
    <t xml:space="preserve">le sbire</t>
  </si>
  <si>
    <t xml:space="preserve">Gefecht (-e), das</t>
  </si>
  <si>
    <t xml:space="preserve">la combat / la rencontre sportive</t>
  </si>
  <si>
    <t xml:space="preserve">etw.+A in etw.+A stöpseln</t>
  </si>
  <si>
    <t xml:space="preserve">insérer qc dans qc</t>
  </si>
  <si>
    <t xml:space="preserve">sich vermummen</t>
  </si>
  <si>
    <t xml:space="preserve">masquer son visage</t>
  </si>
  <si>
    <t xml:space="preserve">Zapfsäule (-n), die</t>
  </si>
  <si>
    <t xml:space="preserve">la pompe à essence</t>
  </si>
  <si>
    <t xml:space="preserve">glimpflich</t>
  </si>
  <si>
    <t xml:space="preserve">légèrement</t>
  </si>
  <si>
    <t xml:space="preserve">breitbeinig dastehen</t>
  </si>
  <si>
    <t xml:space="preserve">être bien campé</t>
  </si>
  <si>
    <t xml:space="preserve">Hochstapler (-), der</t>
  </si>
  <si>
    <t xml:space="preserve">l'escroc, l'imposteur</t>
  </si>
  <si>
    <t xml:space="preserve">Schublade (-n), die</t>
  </si>
  <si>
    <t xml:space="preserve">le tiroir</t>
  </si>
  <si>
    <t xml:space="preserve">Wange (-n), die</t>
  </si>
  <si>
    <t xml:space="preserve">la joue</t>
  </si>
  <si>
    <t xml:space="preserve">grinsen</t>
  </si>
  <si>
    <t xml:space="preserve">ricaner</t>
  </si>
  <si>
    <t xml:space="preserve">Kürbis (-sse), der</t>
  </si>
  <si>
    <t xml:space="preserve">la citrouille</t>
  </si>
  <si>
    <t xml:space="preserve">jmdn infizieren</t>
  </si>
  <si>
    <t xml:space="preserve">infecter qn</t>
  </si>
  <si>
    <t xml:space="preserve">Ohnmacht (Ø), die</t>
  </si>
  <si>
    <t xml:space="preserve">l'évanouissement, la défaillance</t>
  </si>
  <si>
    <t xml:space="preserve">eifrig</t>
  </si>
  <si>
    <t xml:space="preserve">appliqué, assidu</t>
  </si>
  <si>
    <t xml:space="preserve">Schaulaufen (Ø), das</t>
  </si>
  <si>
    <t xml:space="preserve">le gala de patinage artistique</t>
  </si>
  <si>
    <t xml:space="preserve">künftig</t>
  </si>
  <si>
    <t xml:space="preserve">à l'avenir</t>
  </si>
  <si>
    <t xml:space="preserve">ausspähen</t>
  </si>
  <si>
    <t xml:space="preserve">espionner, guetter</t>
  </si>
  <si>
    <t xml:space="preserve">Dünger (-), der</t>
  </si>
  <si>
    <t xml:space="preserve">l'engrais</t>
  </si>
  <si>
    <t xml:space="preserve">Qualle (-n), die</t>
  </si>
  <si>
    <t xml:space="preserve">la méduse</t>
  </si>
  <si>
    <t xml:space="preserve">Tintenfisch (-e), der</t>
  </si>
  <si>
    <t xml:space="preserve">la pieuvre</t>
  </si>
  <si>
    <t xml:space="preserve">Hupe (-n), die</t>
  </si>
  <si>
    <t xml:space="preserve">le klaxon</t>
  </si>
  <si>
    <t xml:space="preserve">Erbschaft (-en), die</t>
  </si>
  <si>
    <t xml:space="preserve">la succession, l'héritage</t>
  </si>
  <si>
    <t xml:space="preserve">hinterhältig</t>
  </si>
  <si>
    <t xml:space="preserve">vicieux, sournois</t>
  </si>
  <si>
    <t xml:space="preserve">Einhorn (-örner), das</t>
  </si>
  <si>
    <t xml:space="preserve">la licorne</t>
  </si>
  <si>
    <t xml:space="preserve">genesen</t>
  </si>
  <si>
    <t xml:space="preserve">guérir</t>
  </si>
  <si>
    <t xml:space="preserve">Achterbahn (-en), die</t>
  </si>
  <si>
    <t xml:space="preserve">les montagnes russes, le grand huit</t>
  </si>
  <si>
    <t xml:space="preserve">Gemüt (-er), das</t>
  </si>
  <si>
    <t xml:space="preserve">l'âme / le moral</t>
  </si>
  <si>
    <t xml:space="preserve">Zögling (-e), der</t>
  </si>
  <si>
    <t xml:space="preserve">l'élève (veilli)</t>
  </si>
  <si>
    <t xml:space="preserve">Kram (Ø), der</t>
  </si>
  <si>
    <t xml:space="preserve">la broutille</t>
  </si>
  <si>
    <t xml:space="preserve">Elch (-e), der</t>
  </si>
  <si>
    <t xml:space="preserve">l'élan (animal)</t>
  </si>
  <si>
    <t xml:space="preserve">einstig (Adj. / Adv)</t>
  </si>
  <si>
    <t xml:space="preserve">ancien / d'avant</t>
  </si>
  <si>
    <t xml:space="preserve">Müßiggänger (-), der</t>
  </si>
  <si>
    <t xml:space="preserve">l'oisif, le fainéant</t>
  </si>
  <si>
    <t xml:space="preserve">Schwung (-ünge), der</t>
  </si>
  <si>
    <t xml:space="preserve">la fougue, l'entrain</t>
  </si>
  <si>
    <t xml:space="preserve">jmdm. etw. ausreden </t>
  </si>
  <si>
    <t xml:space="preserve">dissuader qn de qc</t>
  </si>
  <si>
    <t xml:space="preserve">sich verschanzen</t>
  </si>
  <si>
    <t xml:space="preserve">se calfeutrer, se retrancher</t>
  </si>
  <si>
    <t xml:space="preserve">Ausschreitungen, die (plur.)</t>
  </si>
  <si>
    <t xml:space="preserve">les incidents, les débordements</t>
  </si>
  <si>
    <t xml:space="preserve">Privatier (-s), der</t>
  </si>
  <si>
    <t xml:space="preserve">le rentier</t>
  </si>
  <si>
    <t xml:space="preserve">beteuern</t>
  </si>
  <si>
    <t xml:space="preserve">affirmer, clamer</t>
  </si>
  <si>
    <t xml:space="preserve">saumselig</t>
  </si>
  <si>
    <t xml:space="preserve">traînard, lent</t>
  </si>
  <si>
    <t xml:space="preserve">Zuspitzung (-en), die</t>
  </si>
  <si>
    <t xml:space="preserve">l'aggravation, le pourrissement</t>
  </si>
  <si>
    <t xml:space="preserve">Zwerg (-e), der</t>
  </si>
  <si>
    <t xml:space="preserve">le nain</t>
  </si>
  <si>
    <t xml:space="preserve">lindern</t>
  </si>
  <si>
    <t xml:space="preserve">diminuer, calmer</t>
  </si>
  <si>
    <t xml:space="preserve">Sparkurs (-e), der</t>
  </si>
  <si>
    <t xml:space="preserve">la politique de rigueur</t>
  </si>
  <si>
    <t xml:space="preserve">Keks (-e), der</t>
  </si>
  <si>
    <t xml:space="preserve">le biscuit</t>
  </si>
  <si>
    <t xml:space="preserve">Segel (-), das</t>
  </si>
  <si>
    <t xml:space="preserve">la voile</t>
  </si>
  <si>
    <t xml:space="preserve">Gedränge (-), das</t>
  </si>
  <si>
    <t xml:space="preserve">la foule / la bousculade</t>
  </si>
  <si>
    <t xml:space="preserve">mau (Adj.)</t>
  </si>
  <si>
    <t xml:space="preserve">morose</t>
  </si>
  <si>
    <t xml:space="preserve">Arznei (-en), die</t>
  </si>
  <si>
    <t xml:space="preserve">le médicament, la potion</t>
  </si>
  <si>
    <t xml:space="preserve">an jmdm vorbeiziehen</t>
  </si>
  <si>
    <t xml:space="preserve">devancer qn</t>
  </si>
  <si>
    <t xml:space="preserve">Kronzeug (-n), der</t>
  </si>
  <si>
    <t xml:space="preserve">le témoin principal / le repenti</t>
  </si>
  <si>
    <t xml:space="preserve">ausbleiben</t>
  </si>
  <si>
    <t xml:space="preserve">ne pas arriver, ne pas éclater (tempête, orage, …)</t>
  </si>
  <si>
    <t xml:space="preserve">Nachschub (-übe), der</t>
  </si>
  <si>
    <t xml:space="preserve">le stock, le ravitaillement, l'intendance</t>
  </si>
  <si>
    <t xml:space="preserve">Kontrahent (-en), der</t>
  </si>
  <si>
    <t xml:space="preserve">wettmachen</t>
  </si>
  <si>
    <t xml:space="preserve">compenser, pallier</t>
  </si>
  <si>
    <t xml:space="preserve">anlegen (IT)</t>
  </si>
  <si>
    <t xml:space="preserve">créer</t>
  </si>
  <si>
    <t xml:space="preserve">Laufschrift (-en), die</t>
  </si>
  <si>
    <t xml:space="preserve">le texte défilant</t>
  </si>
  <si>
    <t xml:space="preserve">Ausgabe (-n), die (IT)</t>
  </si>
  <si>
    <t xml:space="preserve">l'éjection</t>
  </si>
  <si>
    <t xml:space="preserve">Systemsteuerung (-en), die (IT)</t>
  </si>
  <si>
    <t xml:space="preserve">le panneau de configuration</t>
  </si>
  <si>
    <t xml:space="preserve">Schacht (-ächte), der (IT)</t>
  </si>
  <si>
    <t xml:space="preserve">la baie</t>
  </si>
  <si>
    <t xml:space="preserve">Klammeraffe (-n), der (IT)</t>
  </si>
  <si>
    <t xml:space="preserve">l'arobas</t>
  </si>
  <si>
    <t xml:space="preserve">abstürzen (IT)</t>
  </si>
  <si>
    <t xml:space="preserve">planter (programme info)</t>
  </si>
  <si>
    <t xml:space="preserve">Bildauflösung (-en), die (IT)</t>
  </si>
  <si>
    <t xml:space="preserve">la résolution</t>
  </si>
  <si>
    <t xml:space="preserve">verschlüsseln (IT)</t>
  </si>
  <si>
    <t xml:space="preserve">crypter</t>
  </si>
  <si>
    <t xml:space="preserve">Hauptplatine (-n), die (IT)</t>
  </si>
  <si>
    <t xml:space="preserve">la carte mère</t>
  </si>
  <si>
    <t xml:space="preserve">Arbeitsspeicher (-n), der (IT)</t>
  </si>
  <si>
    <t xml:space="preserve">la RAM</t>
  </si>
  <si>
    <t xml:space="preserve">Bildlauf (-), das (IT)</t>
  </si>
  <si>
    <t xml:space="preserve">le défilement</t>
  </si>
  <si>
    <t xml:space="preserve">Dateiendung (-en), die (IT)</t>
  </si>
  <si>
    <t xml:space="preserve">l'extension de fichier</t>
  </si>
  <si>
    <t xml:space="preserve">Kommunikationsdienst (-e), der (IT)</t>
  </si>
  <si>
    <t xml:space="preserve">le fournisseur d'accès</t>
  </si>
  <si>
    <t xml:space="preserve">Bildschirmschoner (-), der (IT)</t>
  </si>
  <si>
    <t xml:space="preserve">l'écran de veille</t>
  </si>
  <si>
    <t xml:space="preserve">Ansicht (-en), die (IT)</t>
  </si>
  <si>
    <t xml:space="preserve">l'affichage (IT)</t>
  </si>
  <si>
    <t xml:space="preserve">ausschneiden (IT)</t>
  </si>
  <si>
    <t xml:space="preserve">couper</t>
  </si>
  <si>
    <t xml:space="preserve">Bildschirm (-en), der (IT)</t>
  </si>
  <si>
    <t xml:space="preserve">l'écran</t>
  </si>
  <si>
    <t xml:space="preserve">Löschprogramm (-e), das (IT)</t>
  </si>
  <si>
    <t xml:space="preserve">le programme de désinstallation</t>
  </si>
  <si>
    <t xml:space="preserve">eintippen (IT)</t>
  </si>
  <si>
    <t xml:space="preserve">taper (IT)</t>
  </si>
  <si>
    <t xml:space="preserve">Formblatt (-ätter), das</t>
  </si>
  <si>
    <t xml:space="preserve">le formulaire</t>
  </si>
  <si>
    <t xml:space="preserve">Pfadangabe (-n), die (IT)</t>
  </si>
  <si>
    <t xml:space="preserve">le chemin d'accès</t>
  </si>
  <si>
    <t xml:space="preserve">Stromversorgungskabel (-n), das (IT)</t>
  </si>
  <si>
    <t xml:space="preserve">le câble d'alimentation</t>
  </si>
  <si>
    <t xml:space="preserve">Kennwort (-örter), das (IT)</t>
  </si>
  <si>
    <t xml:space="preserve">le mot de passe</t>
  </si>
  <si>
    <t xml:space="preserve">entpacken (IT)</t>
  </si>
  <si>
    <t xml:space="preserve">décompresser (IT)</t>
  </si>
  <si>
    <t xml:space="preserve">Datei (-), die (IT)</t>
  </si>
  <si>
    <t xml:space="preserve">le fichier</t>
  </si>
  <si>
    <t xml:space="preserve">Leitseite (-en), die (IT)</t>
  </si>
  <si>
    <t xml:space="preserve">la page d'accueil</t>
  </si>
  <si>
    <t xml:space="preserve">Ordner (-n), der (IT)</t>
  </si>
  <si>
    <t xml:space="preserve">le dossier (IT)</t>
  </si>
  <si>
    <t xml:space="preserve">Festplatte (-n), die (IT)</t>
  </si>
  <si>
    <t xml:space="preserve">le disque dur</t>
  </si>
  <si>
    <t xml:space="preserve">entschlüsseln (IT)</t>
  </si>
  <si>
    <t xml:space="preserve">décrypter</t>
  </si>
  <si>
    <t xml:space="preserve">Internetzugang (-änge), der (IT)</t>
  </si>
  <si>
    <t xml:space="preserve">l'accès internet</t>
  </si>
  <si>
    <t xml:space="preserve">Bildwiederholfrequenz (-en), die (IT)</t>
  </si>
  <si>
    <t xml:space="preserve">la fréquence de rafraîchissement</t>
  </si>
  <si>
    <t xml:space="preserve">Papierkorb (-örbe), der</t>
  </si>
  <si>
    <t xml:space="preserve">la corbeille</t>
  </si>
  <si>
    <t xml:space="preserve">Virenschutzprogramm (-e), das (IT)</t>
  </si>
  <si>
    <t xml:space="preserve">l'anti-virus</t>
  </si>
  <si>
    <t xml:space="preserve">ausführbar (IT)</t>
  </si>
  <si>
    <t xml:space="preserve">exécutable</t>
  </si>
  <si>
    <t xml:space="preserve">Erweiterung (-en), die (IT)</t>
  </si>
  <si>
    <t xml:space="preserve">l'extension</t>
  </si>
  <si>
    <t xml:space="preserve">Grafikkarte (-n), die (IT)</t>
  </si>
  <si>
    <t xml:space="preserve">la carte graphique</t>
  </si>
  <si>
    <t xml:space="preserve">herunterladen (IT)</t>
  </si>
  <si>
    <t xml:space="preserve">télécharger</t>
  </si>
  <si>
    <t xml:space="preserve">Peripheriegerät (-e), das (IT)</t>
  </si>
  <si>
    <t xml:space="preserve">le périphérique</t>
  </si>
  <si>
    <t xml:space="preserve">Suchmaschine (-n), die (IT)</t>
  </si>
  <si>
    <t xml:space="preserve">le moteur de recherche</t>
  </si>
  <si>
    <t xml:space="preserve">Legehenne (-n), die</t>
  </si>
  <si>
    <t xml:space="preserve">la poule pondeuse</t>
  </si>
  <si>
    <t xml:space="preserve">anheuern</t>
  </si>
  <si>
    <t xml:space="preserve">engager, enrôler</t>
  </si>
  <si>
    <t xml:space="preserve">beschönigen</t>
  </si>
  <si>
    <t xml:space="preserve">embellir, enjoliver</t>
  </si>
  <si>
    <t xml:space="preserve">Futter (-), das</t>
  </si>
  <si>
    <t xml:space="preserve">la nourriture pour animaux</t>
  </si>
  <si>
    <t xml:space="preserve">prächtig</t>
  </si>
  <si>
    <t xml:space="preserve">somptueux, splendide</t>
  </si>
  <si>
    <t xml:space="preserve">Betrug (Ø), der</t>
  </si>
  <si>
    <t xml:space="preserve">l'escroquerie, la triche</t>
  </si>
  <si>
    <t xml:space="preserve">Gauner (-), der</t>
  </si>
  <si>
    <t xml:space="preserve">le voyou, l'escroc</t>
  </si>
  <si>
    <t xml:space="preserve">Bimstein (-e), der</t>
  </si>
  <si>
    <t xml:space="preserve">la pierre ponce</t>
  </si>
  <si>
    <t xml:space="preserve">Abspann (-e), der</t>
  </si>
  <si>
    <t xml:space="preserve">le générique de fin</t>
  </si>
  <si>
    <t xml:space="preserve">Vetter (-n), der</t>
  </si>
  <si>
    <t xml:space="preserve">le cousin</t>
  </si>
  <si>
    <t xml:space="preserve">rügen</t>
  </si>
  <si>
    <t xml:space="preserve">blâmer, réprimander</t>
  </si>
  <si>
    <t xml:space="preserve">widerwärtig</t>
  </si>
  <si>
    <t xml:space="preserve">contrariant / dégueulasse</t>
  </si>
  <si>
    <t xml:space="preserve">beschwichtigen</t>
  </si>
  <si>
    <t xml:space="preserve">apaiser, calmer</t>
  </si>
  <si>
    <t xml:space="preserve">Verbraucherpreise (Ø), die</t>
  </si>
  <si>
    <t xml:space="preserve">les prix à la consommation</t>
  </si>
  <si>
    <t xml:space="preserve">erwägen</t>
  </si>
  <si>
    <t xml:space="preserve">einbrechen</t>
  </si>
  <si>
    <t xml:space="preserve">s'écrouler, s'effondrer</t>
  </si>
  <si>
    <t xml:space="preserve">Abfindung (-en), die</t>
  </si>
  <si>
    <t xml:space="preserve">le dédommagement</t>
  </si>
  <si>
    <t xml:space="preserve">anständig (Adj.)</t>
  </si>
  <si>
    <t xml:space="preserve">loyal</t>
  </si>
  <si>
    <t xml:space="preserve">sich begeben nach …</t>
  </si>
  <si>
    <t xml:space="preserve">se rendre à …</t>
  </si>
  <si>
    <t xml:space="preserve">Vorhaben (-), das</t>
  </si>
  <si>
    <t xml:space="preserve">le projet, la démarche</t>
  </si>
  <si>
    <t xml:space="preserve">Backbord (-e), das</t>
  </si>
  <si>
    <t xml:space="preserve">le côté bâbord</t>
  </si>
  <si>
    <t xml:space="preserve">Steuerbord (-e), das</t>
  </si>
  <si>
    <t xml:space="preserve">le côté tribord</t>
  </si>
  <si>
    <t xml:space="preserve">gruselig</t>
  </si>
  <si>
    <t xml:space="preserve">effrayant</t>
  </si>
  <si>
    <t xml:space="preserve">Kartellamt (-ämter), das</t>
  </si>
  <si>
    <t xml:space="preserve">l'autorité de la concurrence</t>
  </si>
  <si>
    <t xml:space="preserve">Prädikat (-e), das</t>
  </si>
  <si>
    <t xml:space="preserve">le verbe</t>
  </si>
  <si>
    <t xml:space="preserve">Eintracht (-en), die</t>
  </si>
  <si>
    <t xml:space="preserve">l'entente, la concorde</t>
  </si>
  <si>
    <t xml:space="preserve">Vorgriff (-e), der</t>
  </si>
  <si>
    <t xml:space="preserve">l'anticipation</t>
  </si>
  <si>
    <t xml:space="preserve">Nachzügler (-n), der</t>
  </si>
  <si>
    <t xml:space="preserve">le traînard</t>
  </si>
  <si>
    <t xml:space="preserve">Schneise  (-n), die</t>
  </si>
  <si>
    <t xml:space="preserve">la percée, la trouée</t>
  </si>
  <si>
    <t xml:space="preserve">Mitläufer (-n), der</t>
  </si>
  <si>
    <t xml:space="preserve">le sympathisant</t>
  </si>
  <si>
    <t xml:space="preserve">Kahlschlag (-äge), der</t>
  </si>
  <si>
    <t xml:space="preserve">la coupe rase</t>
  </si>
  <si>
    <t xml:space="preserve">jmdm. etw. gönnen / sich etw. gönnen</t>
  </si>
  <si>
    <t xml:space="preserve">être content pour quelqu'un / se permettre quelque chose</t>
  </si>
  <si>
    <t xml:space="preserve">Mir ist übel.</t>
  </si>
  <si>
    <t xml:space="preserve">J'ai la nausée</t>
  </si>
  <si>
    <t xml:space="preserve">Gerste (-), die</t>
  </si>
  <si>
    <t xml:space="preserve">l'orge</t>
  </si>
  <si>
    <t xml:space="preserve">Mich fröstelt.</t>
  </si>
  <si>
    <t xml:space="preserve">Je grelotte</t>
  </si>
  <si>
    <t xml:space="preserve">Durchfall (-älle), der</t>
  </si>
  <si>
    <t xml:space="preserve">la diarrhée</t>
  </si>
  <si>
    <t xml:space="preserve">Ich habe seit … Wochen meine Periode nicht gehabt.</t>
  </si>
  <si>
    <t xml:space="preserve">Je n'ai pas eu mes règles depuis … semaines</t>
  </si>
  <si>
    <t xml:space="preserve">Verhütungsmittel (-), das</t>
  </si>
  <si>
    <t xml:space="preserve">le moyen de contraception</t>
  </si>
  <si>
    <t xml:space="preserve">das entzündungshemmende Mittel</t>
  </si>
  <si>
    <t xml:space="preserve">l'anti-inflammatoire</t>
  </si>
  <si>
    <t xml:space="preserve">Krampf (-ämpfe), der</t>
  </si>
  <si>
    <t xml:space="preserve">la crampe</t>
  </si>
  <si>
    <t xml:space="preserve">Mein … ist geschwollen.</t>
  </si>
  <si>
    <t xml:space="preserve">J'ai le … enflé.</t>
  </si>
  <si>
    <t xml:space="preserve">Hintern (-), der</t>
  </si>
  <si>
    <t xml:space="preserve">les fesses</t>
  </si>
  <si>
    <t xml:space="preserve">Magen (-ägen), der</t>
  </si>
  <si>
    <t xml:space="preserve">l'estomac</t>
  </si>
  <si>
    <t xml:space="preserve">Wie oft am Tag?</t>
  </si>
  <si>
    <t xml:space="preserve">Combien de fois par jour ?</t>
  </si>
  <si>
    <t xml:space="preserve">Ich brauche eine Betäubung.</t>
  </si>
  <si>
    <t xml:space="preserve">J'aurais besoin d'une anesthésie</t>
  </si>
  <si>
    <t xml:space="preserve">Das Zahnfleisch tut mir weh.</t>
  </si>
  <si>
    <t xml:space="preserve">J'ai mal aux gencives.</t>
  </si>
  <si>
    <t xml:space="preserve">halb durch (Essen)</t>
  </si>
  <si>
    <t xml:space="preserve">à point (cuisson)</t>
  </si>
  <si>
    <t xml:space="preserve">englisch (Essen)</t>
  </si>
  <si>
    <t xml:space="preserve">saignant (cuisson)</t>
  </si>
  <si>
    <t xml:space="preserve">gedämpft (Essen)</t>
  </si>
  <si>
    <t xml:space="preserve">à la vapeur</t>
  </si>
  <si>
    <t xml:space="preserve">gut durchgebraten (Essen)</t>
  </si>
  <si>
    <t xml:space="preserve">bien cuit</t>
  </si>
  <si>
    <t xml:space="preserve">Schlafsack (-äcke), der</t>
  </si>
  <si>
    <t xml:space="preserve">le sac de couchage</t>
  </si>
  <si>
    <t xml:space="preserve">Spaten (-), der</t>
  </si>
  <si>
    <t xml:space="preserve">la bêche</t>
  </si>
  <si>
    <t xml:space="preserve">Ausverkauf (-äufe), der</t>
  </si>
  <si>
    <t xml:space="preserve">les soldes</t>
  </si>
  <si>
    <t xml:space="preserve">Ich habe Größe …</t>
  </si>
  <si>
    <t xml:space="preserve">Je fais du (telle taille)</t>
  </si>
  <si>
    <t xml:space="preserve">Kopfhörer (-), der</t>
  </si>
  <si>
    <t xml:space="preserve">le casque audio</t>
  </si>
  <si>
    <t xml:space="preserve">Ich möchte Passfotos machen lassen.</t>
  </si>
  <si>
    <t xml:space="preserve">J'ai besoin de photos d'identité.</t>
  </si>
  <si>
    <t xml:space="preserve">Briefmarke (-n), die</t>
  </si>
  <si>
    <t xml:space="preserve">un timbre</t>
  </si>
  <si>
    <t xml:space="preserve">Einschreiben (Post.)</t>
  </si>
  <si>
    <t xml:space="preserve">en recommandé</t>
  </si>
  <si>
    <t xml:space="preserve">zerbrechlich</t>
  </si>
  <si>
    <t xml:space="preserve">Ich rufe später nochmal an.</t>
  </si>
  <si>
    <t xml:space="preserve">Je rappellerai plus tard.</t>
  </si>
  <si>
    <t xml:space="preserve">Wie lautet das Passwort?</t>
  </si>
  <si>
    <t xml:space="preserve">Quel est le mot de passe ?</t>
  </si>
  <si>
    <t xml:space="preserve">Es ist abgestürtzt.</t>
  </si>
  <si>
    <t xml:space="preserve">Ça a planté</t>
  </si>
  <si>
    <t xml:space="preserve">Wo ist der nächste Geldautomat?</t>
  </si>
  <si>
    <t xml:space="preserve">Où est le distributeur automatique le plus proche ?</t>
  </si>
  <si>
    <t xml:space="preserve">Das ist umsonst.</t>
  </si>
  <si>
    <t xml:space="preserve">C'est gratuit.</t>
  </si>
  <si>
    <t xml:space="preserve">Der Geldautomat hat meine Karte einbehalten.</t>
  </si>
  <si>
    <t xml:space="preserve">La machine a avalé ma carte.</t>
  </si>
  <si>
    <t xml:space="preserve">Es erinnert mich an…</t>
  </si>
  <si>
    <t xml:space="preserve">Cela me fait penser à …</t>
  </si>
  <si>
    <t xml:space="preserve">Ausflug (-üge), der</t>
  </si>
  <si>
    <t xml:space="preserve">l'excursion</t>
  </si>
  <si>
    <t xml:space="preserve">Ist die Beförderung inbegriffen?</t>
  </si>
  <si>
    <t xml:space="preserve">Le transport est-il inclus ?</t>
  </si>
  <si>
    <t xml:space="preserve">Ich bin Rentner.</t>
  </si>
  <si>
    <t xml:space="preserve">Je suis retraité.</t>
  </si>
  <si>
    <t xml:space="preserve">Ich bin selbstständig. (Beruf)</t>
  </si>
  <si>
    <t xml:space="preserve">Je suis à mon compte.</t>
  </si>
  <si>
    <t xml:space="preserve">Wann hast du Geburtstag?</t>
  </si>
  <si>
    <t xml:space="preserve">Quand est ton anniversaire ?</t>
  </si>
  <si>
    <t xml:space="preserve">Es war schön, Sie kennen zu lernen.</t>
  </si>
  <si>
    <t xml:space="preserve">C'est agréable de faire votre connaissance</t>
  </si>
  <si>
    <t xml:space="preserve">Gratuliere!</t>
  </si>
  <si>
    <t xml:space="preserve">Félicitations !</t>
  </si>
  <si>
    <t xml:space="preserve">Was machst du in deiner Freizeit?</t>
  </si>
  <si>
    <t xml:space="preserve">Que fais-tu de ton temps libre ?</t>
  </si>
  <si>
    <t xml:space="preserve">widmen</t>
  </si>
  <si>
    <t xml:space="preserve">dédier</t>
  </si>
  <si>
    <t xml:space="preserve">Zeichentrickfilm (-e), der</t>
  </si>
  <si>
    <t xml:space="preserve">le dessin animé</t>
  </si>
  <si>
    <t xml:space="preserve">Ich mache mir keine Sorgen.</t>
  </si>
  <si>
    <t xml:space="preserve">Je ne fais pas de souci.</t>
  </si>
  <si>
    <t xml:space="preserve">Ich schätze mich sehr glücklich.</t>
  </si>
  <si>
    <t xml:space="preserve">J'ai beaucoup de chance.</t>
  </si>
  <si>
    <t xml:space="preserve">Danach kräht kein Hahn.</t>
  </si>
  <si>
    <t xml:space="preserve">Ca n'intéresse personne.</t>
  </si>
  <si>
    <t xml:space="preserve">Da liegt der Hund begraben.</t>
  </si>
  <si>
    <t xml:space="preserve">Das führt zu nichts.</t>
  </si>
  <si>
    <t xml:space="preserve">Ca mène nulle part.</t>
  </si>
  <si>
    <t xml:space="preserve">Wie wäre es mit morgen?</t>
  </si>
  <si>
    <t xml:space="preserve">Pourquoi pas demain ?</t>
  </si>
  <si>
    <t xml:space="preserve">Wann sollen wir uns treffen?</t>
  </si>
  <si>
    <t xml:space="preserve">Quand nous retrouvons-nous ?</t>
  </si>
  <si>
    <t xml:space="preserve">Ich hole dich ab.</t>
  </si>
  <si>
    <t xml:space="preserve">Je viens te chercher.</t>
  </si>
  <si>
    <t xml:space="preserve">Ich glaube, wir passen gut zueinander.</t>
  </si>
  <si>
    <t xml:space="preserve">Je trouve que nous allons bien ensemble.</t>
  </si>
  <si>
    <t xml:space="preserve">einen Gottesdienst besuchen</t>
  </si>
  <si>
    <t xml:space="preserve">aller à la messe / aller au culte</t>
  </si>
  <si>
    <t xml:space="preserve">Was ist deine Lieblingsmannschaft?</t>
  </si>
  <si>
    <t xml:space="preserve">Quelle est ton équipe préférée ?</t>
  </si>
  <si>
    <t xml:space="preserve">Wie steht es? (Sport)</t>
  </si>
  <si>
    <t xml:space="preserve">Quel est le score ?</t>
  </si>
  <si>
    <t xml:space="preserve">Wo sind die Umkleiderräume?</t>
  </si>
  <si>
    <t xml:space="preserve">Où sont les vestiaires ?</t>
  </si>
  <si>
    <t xml:space="preserve">Fußballweltmeisterschaftqualifikationspiel</t>
  </si>
  <si>
    <t xml:space="preserve">Héhé !</t>
  </si>
  <si>
    <t xml:space="preserve">Welcher Verein steht an der Tabellenspitze?</t>
  </si>
  <si>
    <t xml:space="preserve">Quelle équipe est en tête du classement ?</t>
  </si>
  <si>
    <t xml:space="preserve">Er hat drei Toren geschossen.</t>
  </si>
  <si>
    <t xml:space="preserve">Il a marqué trois buts.</t>
  </si>
  <si>
    <t xml:space="preserve">Freistoß (-össe), der</t>
  </si>
  <si>
    <t xml:space="preserve">le coup franc</t>
  </si>
  <si>
    <t xml:space="preserve">Torhüter (-), der</t>
  </si>
  <si>
    <t xml:space="preserve">le gardien de but</t>
  </si>
  <si>
    <t xml:space="preserve">Abseits (Adj. / Sport)</t>
  </si>
  <si>
    <t xml:space="preserve">hors-jeu</t>
  </si>
  <si>
    <t xml:space="preserve">Strafstoß (-össe), der</t>
  </si>
  <si>
    <t xml:space="preserve">le penalty</t>
  </si>
  <si>
    <t xml:space="preserve">Ich habe mich verlaufen.</t>
  </si>
  <si>
    <t xml:space="preserve">Je me suis perdu.</t>
  </si>
  <si>
    <t xml:space="preserve">Wich hoch führt die Klettentour hinauf?</t>
  </si>
  <si>
    <t xml:space="preserve">Quel est le dénivelé ?</t>
  </si>
  <si>
    <t xml:space="preserve">Wann wird es dunkel?</t>
  </si>
  <si>
    <t xml:space="preserve">A quelle heure la nuit tombe ?</t>
  </si>
  <si>
    <t xml:space="preserve">knausrig (Adj.)</t>
  </si>
  <si>
    <t xml:space="preserve">pingre, avare</t>
  </si>
  <si>
    <t xml:space="preserve">umwerben jmdn</t>
  </si>
  <si>
    <t xml:space="preserve">courtiser qn</t>
  </si>
  <si>
    <t xml:space="preserve">Näher (-), der</t>
  </si>
  <si>
    <t xml:space="preserve">le couturier, le couseur</t>
  </si>
  <si>
    <t xml:space="preserve">Schälchen (-), das</t>
  </si>
  <si>
    <t xml:space="preserve">la coupelle</t>
  </si>
  <si>
    <t xml:space="preserve">Haudegen (-), der</t>
  </si>
  <si>
    <t xml:space="preserve">le grognard, le soudard</t>
  </si>
  <si>
    <t xml:space="preserve">Talfahrt (-en), die</t>
  </si>
  <si>
    <t xml:space="preserve">la dégringolade / la récession</t>
  </si>
  <si>
    <t xml:space="preserve">Verflechtung (-en), die</t>
  </si>
  <si>
    <t xml:space="preserve">l'interdépendance</t>
  </si>
  <si>
    <t xml:space="preserve">Halm (-e), der</t>
  </si>
  <si>
    <t xml:space="preserve">le brin de paille</t>
  </si>
  <si>
    <t xml:space="preserve">mit jdm hadern</t>
  </si>
  <si>
    <t xml:space="preserve">se disputer avec qn</t>
  </si>
  <si>
    <t xml:space="preserve">Schaukel (-n), die</t>
  </si>
  <si>
    <t xml:space="preserve">la balançoire</t>
  </si>
  <si>
    <t xml:space="preserve">Wippe (-n), die</t>
  </si>
  <si>
    <t xml:space="preserve"> le jeu de bascule</t>
  </si>
  <si>
    <t xml:space="preserve">Die erste Gehversuche.</t>
  </si>
  <si>
    <t xml:space="preserve">Les premiers pas</t>
  </si>
  <si>
    <t xml:space="preserve">Es liegt auf der Hand.</t>
  </si>
  <si>
    <t xml:space="preserve">Ca tombe sous le sens.</t>
  </si>
  <si>
    <t xml:space="preserve">beileibe nicht</t>
  </si>
  <si>
    <t xml:space="preserve">vraiment pas</t>
  </si>
  <si>
    <t xml:space="preserve">zappelig</t>
  </si>
  <si>
    <t xml:space="preserve">remuant, frétillant</t>
  </si>
  <si>
    <t xml:space="preserve">jmdn and jmdn verweisen</t>
  </si>
  <si>
    <t xml:space="preserve">renvoyer quelqu'un à quelqu'un</t>
  </si>
  <si>
    <t xml:space="preserve">kerben</t>
  </si>
  <si>
    <t xml:space="preserve">entailler</t>
  </si>
  <si>
    <t xml:space="preserve">Bestattung (-en), die</t>
  </si>
  <si>
    <t xml:space="preserve">la sépulture / les funérailles</t>
  </si>
  <si>
    <t xml:space="preserve">vermasseln</t>
  </si>
  <si>
    <t xml:space="preserve">foire, gâcher</t>
  </si>
  <si>
    <t xml:space="preserve">Kitt (-s), der</t>
  </si>
  <si>
    <t xml:space="preserve">la colle, le mastic</t>
  </si>
  <si>
    <t xml:space="preserve">Nombre d'interros</t>
  </si>
  <si>
    <t xml:space="preserve">feig</t>
  </si>
  <si>
    <t xml:space="preserve">N°</t>
  </si>
  <si>
    <t xml:space="preserve">Questions posées</t>
  </si>
  <si>
    <t xml:space="preserve">% test</t>
  </si>
  <si>
    <t xml:space="preserve">% rattrapage</t>
  </si>
  <si>
    <t xml:space="preserve">forsch</t>
  </si>
  <si>
    <t xml:space="preserve">Corrections</t>
  </si>
  <si>
    <t xml:space="preserve">Cumul</t>
  </si>
  <si>
    <t xml:space="preserve">Nombre de mots</t>
  </si>
  <si>
    <t xml:space="preserve">Deutsch</t>
  </si>
  <si>
    <t xml:space="preserve">Français</t>
  </si>
  <si>
    <t xml:space="preserve">prozentual</t>
  </si>
  <si>
    <t xml:space="preserve">en pourcentage</t>
  </si>
  <si>
    <t xml:space="preserve">Erpresser (-), der</t>
  </si>
  <si>
    <t xml:space="preserve">le rançonneur, le maître-chanteur</t>
  </si>
  <si>
    <t xml:space="preserve">Baustelle (-n), die</t>
  </si>
  <si>
    <t xml:space="preserve">le chantier</t>
  </si>
  <si>
    <t xml:space="preserve">Spielsucht (Ø), die</t>
  </si>
  <si>
    <t xml:space="preserve">le démon du jeu</t>
  </si>
  <si>
    <t xml:space="preserve">spassig</t>
  </si>
  <si>
    <t xml:space="preserve">marrant</t>
  </si>
  <si>
    <t xml:space="preserve">Mir ist abwechselnd heiss und kalt.</t>
  </si>
  <si>
    <t xml:space="preserve">J'ai tantôt chaud, tantôt froid.</t>
  </si>
  <si>
    <t xml:space="preserve">Ich bin gegen … geimpft worden.</t>
  </si>
  <si>
    <t xml:space="preserve">Je suis vacciné contre … .</t>
  </si>
  <si>
    <t xml:space="preserve">Ich habe ein Rezept für dieses Medikament.</t>
  </si>
  <si>
    <t xml:space="preserve">J'ai une ordonnance pour ce médicament</t>
  </si>
  <si>
    <t xml:space="preserve">locker</t>
  </si>
  <si>
    <t xml:space="preserve">décontracté, détendu</t>
  </si>
  <si>
    <t xml:space="preserve">vergeuden</t>
  </si>
  <si>
    <t xml:space="preserve">gâcher / dissiper</t>
  </si>
  <si>
    <t xml:space="preserve">Gesagt, getan.</t>
  </si>
  <si>
    <t xml:space="preserve">Aussitôt dit, aussitôt fait.</t>
  </si>
  <si>
    <t xml:space="preserve">Es ist 100 Meter entfernt.</t>
  </si>
  <si>
    <t xml:space="preserve">C'est à 100 mètres.</t>
  </si>
  <si>
    <t xml:space="preserve">Wie kann ich da hinkommen?</t>
  </si>
  <si>
    <t xml:space="preserve">Comment puis-je m'y rendre ?</t>
  </si>
  <si>
    <t xml:space="preserve">Ich möchte mein Fahrrad reparieren lassen.</t>
  </si>
  <si>
    <t xml:space="preserve">Je voudrais faire réparer mon vélo.</t>
  </si>
  <si>
    <t xml:space="preserve">Reifen (-), der</t>
  </si>
  <si>
    <t xml:space="preserve">le pneu / le cerceau / la maturation</t>
  </si>
  <si>
    <t xml:space="preserve">Jeder Rechtsweg ist ausgeschlossen.</t>
  </si>
  <si>
    <t xml:space="preserve">Tout recours juridique est exclu</t>
  </si>
  <si>
    <t xml:space="preserve">Mails werden in diesem Zeitraum mit Verspätung gelesen.</t>
  </si>
  <si>
    <t xml:space="preserve">Au cours de cette période, les mails seront lus avec un certain délai.</t>
  </si>
  <si>
    <t xml:space="preserve">Aus ihm wird nichts.</t>
  </si>
  <si>
    <t xml:space="preserve">Il ne fera jamais rien de bon.</t>
  </si>
  <si>
    <t xml:space="preserve">gesondert</t>
  </si>
  <si>
    <t xml:space="preserve">séparé, à part</t>
  </si>
  <si>
    <t xml:space="preserve">ablöten</t>
  </si>
  <si>
    <t xml:space="preserve">dessouder</t>
  </si>
  <si>
    <t xml:space="preserve">Erlangung (-en), die</t>
  </si>
  <si>
    <t xml:space="preserve">l'acquisition, l'obtention</t>
  </si>
  <si>
    <t xml:space="preserve">übernehmen</t>
  </si>
  <si>
    <t xml:space="preserve">assumer, prendre en charge</t>
  </si>
  <si>
    <t xml:space="preserve">Den Wievielten haben wir heute?</t>
  </si>
  <si>
    <t xml:space="preserve">On est le combien aujourd'hui ?</t>
  </si>
  <si>
    <t xml:space="preserve">im engeren Sinne</t>
  </si>
  <si>
    <t xml:space="preserve">au sens strict, stricto sensu</t>
  </si>
  <si>
    <t xml:space="preserve">Franzosen und Deutsche</t>
  </si>
  <si>
    <t xml:space="preserve">les français et les allemands</t>
  </si>
  <si>
    <t xml:space="preserve">Euro (-s), der</t>
  </si>
  <si>
    <t xml:space="preserve">l'euro</t>
  </si>
  <si>
    <t xml:space="preserve">Zahlungsbilanz (-en), die</t>
  </si>
  <si>
    <t xml:space="preserve">la balance des comptes, la balance des paiements</t>
  </si>
  <si>
    <t xml:space="preserve">ins Fettnäpfchen treten</t>
  </si>
  <si>
    <t xml:space="preserve">gaffer</t>
  </si>
  <si>
    <t xml:space="preserve">FB</t>
  </si>
  <si>
    <t xml:space="preserve">Fachbereich</t>
  </si>
  <si>
    <t xml:space="preserve">u.V. = unter Vorbehalt</t>
  </si>
  <si>
    <t xml:space="preserve">sous condition</t>
  </si>
  <si>
    <t xml:space="preserve">Befähigung (-en), die</t>
  </si>
  <si>
    <t xml:space="preserve">la qualification professionnelle</t>
  </si>
  <si>
    <t xml:space="preserve">unter dem Strich</t>
  </si>
  <si>
    <t xml:space="preserve">en fin de compte</t>
  </si>
  <si>
    <t xml:space="preserve">einmalig</t>
  </si>
  <si>
    <t xml:space="preserve">unique / exceptionnel</t>
  </si>
  <si>
    <t xml:space="preserve">Handelsgesetzbuch (HGB), das</t>
  </si>
  <si>
    <t xml:space="preserve">Le Code de commerce fédéral allemand</t>
  </si>
  <si>
    <t xml:space="preserve">Abwasserkanal (-äle), das</t>
  </si>
  <si>
    <t xml:space="preserve">les égouts</t>
  </si>
  <si>
    <t xml:space="preserve">vom wirtschaftlichen Standpunkt aus, ...</t>
  </si>
  <si>
    <t xml:space="preserve">économiquement parlant, …</t>
  </si>
  <si>
    <t xml:space="preserve">Die Erinnerung an jmdn. für immer wachhalten</t>
  </si>
  <si>
    <t xml:space="preserve">perpétuer le souvenir de qn</t>
  </si>
  <si>
    <t xml:space="preserve">Mutter (-n), die</t>
  </si>
  <si>
    <t xml:space="preserve">la mère / l'écrou</t>
  </si>
  <si>
    <t xml:space="preserve">Das hat leider zu einer Bemerkung beim dieswöchigen VDA / VW Audit geführt.</t>
  </si>
  <si>
    <t xml:space="preserve">Cela a malheureusement débouché sur une remarque lors de l'audit VDA / VW de cette semaine.</t>
  </si>
  <si>
    <t xml:space="preserve">Marktlücke (-n), die</t>
  </si>
  <si>
    <t xml:space="preserve">le créneau commercial, la niche</t>
  </si>
  <si>
    <t xml:space="preserve">Verkaufsförderung (-en), die</t>
  </si>
  <si>
    <t xml:space="preserve">la promotion des ventes</t>
  </si>
  <si>
    <t xml:space="preserve">rasch</t>
  </si>
  <si>
    <t xml:space="preserve">rapide (r…)</t>
  </si>
  <si>
    <t xml:space="preserve">Speichel (Ø), der</t>
  </si>
  <si>
    <t xml:space="preserve">la bave, la salive</t>
  </si>
  <si>
    <t xml:space="preserve">Kranz (-änze), der</t>
  </si>
  <si>
    <t xml:space="preserve">la couronne / le chapelet</t>
  </si>
  <si>
    <t xml:space="preserve">Hub (-übe), der</t>
  </si>
  <si>
    <t xml:space="preserve">la course d’un organe mobile</t>
  </si>
  <si>
    <t xml:space="preserve">bevorzugte</t>
  </si>
  <si>
    <t xml:space="preserve">préféré / discriminé</t>
  </si>
  <si>
    <t xml:space="preserve">Bremssattel (-ättel), der</t>
  </si>
  <si>
    <t xml:space="preserve">l'étrier de frein</t>
  </si>
  <si>
    <t xml:space="preserve">Einklang (-änge), der</t>
  </si>
  <si>
    <t xml:space="preserve">l'accord, l'unisson</t>
  </si>
  <si>
    <t xml:space="preserve">Schmirgelpapier (-e), das</t>
  </si>
  <si>
    <t xml:space="preserve">le papier abrasif</t>
  </si>
  <si>
    <t xml:space="preserve">Pol (-e), der</t>
  </si>
  <si>
    <t xml:space="preserve">le pôle, la borne, le terminal</t>
  </si>
  <si>
    <t xml:space="preserve">einhaken</t>
  </si>
  <si>
    <t xml:space="preserve">accrocher / intervenir</t>
  </si>
  <si>
    <t xml:space="preserve">tropfen</t>
  </si>
  <si>
    <t xml:space="preserve">couler, goutter</t>
  </si>
  <si>
    <t xml:space="preserve">Weide (-n), die</t>
  </si>
  <si>
    <t xml:space="preserve">la prairie / le saule / les herbages, les pâturages</t>
  </si>
  <si>
    <t xml:space="preserve">Hauch (-äuche), der</t>
  </si>
  <si>
    <t xml:space="preserve">le souffle</t>
  </si>
  <si>
    <t xml:space="preserve">Lanze (-n), die</t>
  </si>
  <si>
    <t xml:space="preserve">la lance, la sagaie</t>
  </si>
  <si>
    <t xml:space="preserve">Glied (-er), das</t>
  </si>
  <si>
    <t xml:space="preserve">le membre, le maillon, le terme (math.)</t>
  </si>
  <si>
    <t xml:space="preserve">Befehl (-e), der</t>
  </si>
  <si>
    <t xml:space="preserve">l'ordre, le commandement</t>
  </si>
  <si>
    <t xml:space="preserve">probeweise</t>
  </si>
  <si>
    <t xml:space="preserve">pour essayer</t>
  </si>
  <si>
    <t xml:space="preserve">Heu (Ø), das</t>
  </si>
  <si>
    <t xml:space="preserve">le foin</t>
  </si>
  <si>
    <t xml:space="preserve">Zusage (-n), die</t>
  </si>
  <si>
    <t xml:space="preserve">l'engagement, la réponse positive</t>
  </si>
  <si>
    <t xml:space="preserve">Bejahung (-en), die</t>
  </si>
  <si>
    <t xml:space="preserve">l'approbation</t>
  </si>
  <si>
    <t xml:space="preserve">Schablone (-n), die</t>
  </si>
  <si>
    <t xml:space="preserve">le modèle, le gabarit</t>
  </si>
  <si>
    <t xml:space="preserve">nicht kleckern, sondern klotzen (ugs.)</t>
  </si>
  <si>
    <t xml:space="preserve">y aller à fond (fam.)</t>
  </si>
  <si>
    <t xml:space="preserve">Hierzu schulde ich euch noch eine Rückmeldung.</t>
  </si>
  <si>
    <t xml:space="preserve">Briefkasten (-ä), der</t>
  </si>
  <si>
    <t xml:space="preserve">la boîte aux lettres</t>
  </si>
  <si>
    <t xml:space="preserve">Außenspiegel (-), der</t>
  </si>
  <si>
    <t xml:space="preserve">le rétroviseur extérieur</t>
  </si>
  <si>
    <t xml:space="preserve">All (kein Plural), das</t>
  </si>
  <si>
    <t xml:space="preserve">l'univers, l'espace</t>
  </si>
  <si>
    <t xml:space="preserve">Gutgläubigkeit (-en), die</t>
  </si>
  <si>
    <t xml:space="preserve">la crédulité</t>
  </si>
  <si>
    <t xml:space="preserve">größtenteils</t>
  </si>
  <si>
    <t xml:space="preserve">la plupart</t>
  </si>
  <si>
    <t xml:space="preserve">erlernter Beruf</t>
  </si>
  <si>
    <t xml:space="preserve">la profession acquise</t>
  </si>
  <si>
    <t xml:space="preserve">Käuferschicht (-en), die</t>
  </si>
  <si>
    <t xml:space="preserve">le type d'acheteur</t>
  </si>
  <si>
    <t xml:space="preserve">at-Symbol (-e), das / at-Zeichen (-), das</t>
  </si>
  <si>
    <t xml:space="preserve">l'arobase</t>
  </si>
  <si>
    <t xml:space="preserve">jmdn erfreuen</t>
  </si>
  <si>
    <t xml:space="preserve">faire plaisir à qn, réjouir qn</t>
  </si>
  <si>
    <t xml:space="preserve">Deutscher (-tsche), ein</t>
  </si>
  <si>
    <t xml:space="preserve">un Allemand</t>
  </si>
  <si>
    <t xml:space="preserve">täglich</t>
  </si>
  <si>
    <t xml:space="preserve">quotidien / journellement</t>
  </si>
  <si>
    <t xml:space="preserve">schälen</t>
  </si>
  <si>
    <t xml:space="preserve">éplucher</t>
  </si>
  <si>
    <t xml:space="preserve">Vermarktung (-en), die</t>
  </si>
  <si>
    <t xml:space="preserve">la commercialisation</t>
  </si>
  <si>
    <t xml:space="preserve">Plakat (-e), das</t>
  </si>
  <si>
    <t xml:space="preserve">l'affiche, le poster</t>
  </si>
  <si>
    <t xml:space="preserve">Hierzu sind wir bezüglich Audi jetzt gezwungen die Umstellung vorzunehmen.</t>
  </si>
  <si>
    <t xml:space="preserve">Fleck (-e / -en), der</t>
  </si>
  <si>
    <t xml:space="preserve">la tache (sur un habit)</t>
  </si>
  <si>
    <t xml:space="preserve">punkten</t>
  </si>
  <si>
    <t xml:space="preserve">marquer des points</t>
  </si>
  <si>
    <t xml:space="preserve">zunichtemachen</t>
  </si>
  <si>
    <t xml:space="preserve">réduire à néant</t>
  </si>
  <si>
    <t xml:space="preserve">mit etw. liebäugeln</t>
  </si>
  <si>
    <t xml:space="preserve">lorgner qqc</t>
  </si>
  <si>
    <t xml:space="preserve">Maßlosigkeit (-en), die</t>
  </si>
  <si>
    <t xml:space="preserve">la démesure</t>
  </si>
  <si>
    <t xml:space="preserve">Vorwarnung (-en), die</t>
  </si>
  <si>
    <t xml:space="preserve">la mise en garde</t>
  </si>
  <si>
    <t xml:space="preserve">Er hatte nicht geahnt, dass sein Buch so viel Erfolg haben würde.</t>
  </si>
  <si>
    <t xml:space="preserve">Il ne s'était pas douté que son livre aurait autant de succès.</t>
  </si>
  <si>
    <t xml:space="preserve">s.o.</t>
  </si>
  <si>
    <t xml:space="preserve">siehe oben</t>
  </si>
  <si>
    <t xml:space="preserve">Er wurde Rot vor Wut.</t>
  </si>
  <si>
    <t xml:space="preserve">Il a vu rouge</t>
  </si>
  <si>
    <t xml:space="preserve">Stirnrad (-äder), das</t>
  </si>
  <si>
    <t xml:space="preserve">la roue dentée droite</t>
  </si>
  <si>
    <t xml:space="preserve">einschließlich</t>
  </si>
  <si>
    <t xml:space="preserve">compris, inclus</t>
  </si>
  <si>
    <t xml:space="preserve">Gesamtrundlauf u. Gesamtplanlauf (-äufe)</t>
  </si>
  <si>
    <t xml:space="preserve">le battement total</t>
  </si>
  <si>
    <t xml:space="preserve">pflichtbewußt</t>
  </si>
  <si>
    <t xml:space="preserve">conscient de son devoir</t>
  </si>
  <si>
    <t xml:space="preserve">trinkfest</t>
  </si>
  <si>
    <t xml:space="preserve">qui tient bien l'alcool</t>
  </si>
  <si>
    <t xml:space="preserve">Zuversicht (Ø), die</t>
  </si>
  <si>
    <t xml:space="preserve">la confiance / l'espoir</t>
  </si>
  <si>
    <t xml:space="preserve">ganz und gar</t>
  </si>
  <si>
    <t xml:space="preserve">complètement, tout à fait</t>
  </si>
  <si>
    <t xml:space="preserve">Eroberung (-en), die</t>
  </si>
  <si>
    <t xml:space="preserve">la conquête, la prise militaire</t>
  </si>
  <si>
    <t xml:space="preserve">erwirtschaften</t>
  </si>
  <si>
    <t xml:space="preserve">réaliser</t>
  </si>
  <si>
    <t xml:space="preserve">Zündspule (-n), die</t>
  </si>
  <si>
    <t xml:space="preserve">la bobine d’allumage</t>
  </si>
  <si>
    <t xml:space="preserve">Scheinwerfer (-), der</t>
  </si>
  <si>
    <t xml:space="preserve">le phare, le projecteur</t>
  </si>
  <si>
    <t xml:space="preserve">Ausstellung (-en), die</t>
  </si>
  <si>
    <t xml:space="preserve">l'exposition / la délivrance (fin.)</t>
  </si>
  <si>
    <t xml:space="preserve">Instandhaltung (-en), die</t>
  </si>
  <si>
    <t xml:space="preserve">la maintenance</t>
  </si>
  <si>
    <t xml:space="preserve">Abkürzung (-en), die</t>
  </si>
  <si>
    <t xml:space="preserve">l'abréviation / le raccourci</t>
  </si>
  <si>
    <t xml:space="preserve">auf etw. prallen</t>
  </si>
  <si>
    <t xml:space="preserve">percuter qc</t>
  </si>
  <si>
    <t xml:space="preserve">Einhaltung (-en), die</t>
  </si>
  <si>
    <t xml:space="preserve">l'observation, le respect</t>
  </si>
  <si>
    <t xml:space="preserve">derartig</t>
  </si>
  <si>
    <t xml:space="preserve">semblable, de ce genre</t>
  </si>
  <si>
    <t xml:space="preserve">geeignet</t>
  </si>
  <si>
    <t xml:space="preserve">approprié, qualifié</t>
  </si>
  <si>
    <t xml:space="preserve">rückwirkend</t>
  </si>
  <si>
    <t xml:space="preserve">rétroactif</t>
  </si>
  <si>
    <t xml:space="preserve">gegebenenfalls (ggf.)</t>
  </si>
  <si>
    <t xml:space="preserve">éventuellement</t>
  </si>
  <si>
    <t xml:space="preserve">Je nachdem …</t>
  </si>
  <si>
    <t xml:space="preserve">Suivant que …</t>
  </si>
  <si>
    <t xml:space="preserve">Scheibenwischer (-), der</t>
  </si>
  <si>
    <t xml:space="preserve">l'essuie-glace</t>
  </si>
  <si>
    <t xml:space="preserve">durchforschen</t>
  </si>
  <si>
    <t xml:space="preserve">étudier qc à fond / prospecter</t>
  </si>
  <si>
    <t xml:space="preserve">fortschreiten</t>
  </si>
  <si>
    <t xml:space="preserve">progresser, cheminer</t>
  </si>
  <si>
    <t xml:space="preserve">Folter (-n), die</t>
  </si>
  <si>
    <t xml:space="preserve">Kakerlake (-n), die</t>
  </si>
  <si>
    <t xml:space="preserve">la blatte, le cafard</t>
  </si>
  <si>
    <t xml:space="preserve">übereinstimmend</t>
  </si>
  <si>
    <t xml:space="preserve">consensuel, concordant</t>
  </si>
  <si>
    <t xml:space="preserve">erforderlich</t>
  </si>
  <si>
    <t xml:space="preserve">nécessaire, requis</t>
  </si>
  <si>
    <t xml:space="preserve">Wärmeüberträger (-), der</t>
  </si>
  <si>
    <t xml:space="preserve">le caloporteur, l'échangeur de chaleur</t>
  </si>
  <si>
    <t xml:space="preserve">etw.+A anwenden</t>
  </si>
  <si>
    <t xml:space="preserve">utiliser, recourir à</t>
  </si>
  <si>
    <t xml:space="preserve">speichern</t>
  </si>
  <si>
    <t xml:space="preserve">sauvegarder, enregistrer / accumuler</t>
  </si>
  <si>
    <t xml:space="preserve">Überwachung (-en), die</t>
  </si>
  <si>
    <t xml:space="preserve">la surveillance, la supervision</t>
  </si>
  <si>
    <t xml:space="preserve">Abtreibung (-en), die</t>
  </si>
  <si>
    <t xml:space="preserve">l'avortement</t>
  </si>
  <si>
    <t xml:space="preserve">Wahrnehmung (-en), die</t>
  </si>
  <si>
    <t xml:space="preserve">la perception / la sauvegarde / la prise en charge</t>
  </si>
  <si>
    <t xml:space="preserve">den Standpunkt vertreten, dass ...</t>
  </si>
  <si>
    <t xml:space="preserve">être d'avis que ...</t>
  </si>
  <si>
    <t xml:space="preserve">Zielstrebigkeit (-en), die</t>
  </si>
  <si>
    <t xml:space="preserve">la détermination</t>
  </si>
  <si>
    <t xml:space="preserve">aufnahmefähig</t>
  </si>
  <si>
    <t xml:space="preserve">réceptif</t>
  </si>
  <si>
    <t xml:space="preserve">Himmelrichtung (-en), die</t>
  </si>
  <si>
    <t xml:space="preserve">le point cardinal</t>
  </si>
  <si>
    <t xml:space="preserve">Wenn Sie mir bitte folgen würden...</t>
  </si>
  <si>
    <t xml:space="preserve">Si vous voulez bien me suivre ...</t>
  </si>
  <si>
    <t xml:space="preserve">Grund war ein beschädigter Bolzen zum Positionnieren der Platinen, der durch zu hohe Schneid-Staubverschmutzung abgenutzt war.</t>
  </si>
  <si>
    <t xml:space="preserve">Störfall (-älle), der</t>
  </si>
  <si>
    <t xml:space="preserve">l'incident</t>
  </si>
  <si>
    <t xml:space="preserve">Scham (Ø), die</t>
  </si>
  <si>
    <t xml:space="preserve">la honte</t>
  </si>
  <si>
    <t xml:space="preserve">Beförderung (-en), die</t>
  </si>
  <si>
    <t xml:space="preserve">la promotion, l'avancement / l'acheminement, la manutention</t>
  </si>
  <si>
    <t xml:space="preserve">ausgemacht</t>
  </si>
  <si>
    <t xml:space="preserve">convenu</t>
  </si>
  <si>
    <t xml:space="preserve">einschieben</t>
  </si>
  <si>
    <t xml:space="preserve">insérer, intercaler</t>
  </si>
  <si>
    <t xml:space="preserve">Raub (-e), das</t>
  </si>
  <si>
    <t xml:space="preserve">le vol (prise)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</si>
</sst>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yyyy\-mm\-dd;@"/>
    <numFmt numFmtId="167" formatCode="0.00"/>
    <numFmt numFmtId="168" formatCode="0%"/>
    <numFmt numFmtId="169" formatCode="0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Arial"/>
      <family val="2"/>
      <charset val="1"/>
    </font>
    <font>
      <sz val="12"/>
      <color theme="0"/>
      <name val="Arial"/>
      <family val="2"/>
      <charset val="1"/>
    </font>
    <font>
      <sz val="10"/>
      <color theme="0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9"/>
      <color rgb="FF595959"/>
      <name val="Calibri"/>
      <family val="2"/>
    </font>
    <font>
      <sz val="12"/>
      <color rgb="FF000000"/>
      <name val="Arial"/>
      <family val="0"/>
      <charset val="1"/>
    </font>
    <font>
      <sz val="14.4"/>
      <color rgb="FF595959"/>
      <name val="Arial"/>
      <family val="2"/>
    </font>
    <font>
      <sz val="12"/>
      <color rgb="FF000000"/>
      <name val="Arial"/>
      <family val="2"/>
    </font>
    <font>
      <sz val="12"/>
      <color rgb="FF595959"/>
      <name val="Arial"/>
      <family val="2"/>
    </font>
    <font>
      <sz val="9"/>
      <color rgb="FFBFBFBF"/>
      <name val="Calibri"/>
      <family val="2"/>
    </font>
    <font>
      <b val="true"/>
      <sz val="9"/>
      <color rgb="FFBFBFBF"/>
      <name val="Calibri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"/>
        <bgColor rgb="FFF4B183"/>
      </patternFill>
    </fill>
    <fill>
      <patternFill patternType="solid">
        <fgColor theme="0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6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6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4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6" fontId="7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4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9" fontId="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4" fillId="2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9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4B183"/>
      <rgbColor rgb="FFCC99FF"/>
      <rgbColor rgb="FFF8CBAD"/>
      <rgbColor rgb="FF3366FF"/>
      <rgbColor rgb="FF33CCCC"/>
      <rgbColor rgb="FF99CC00"/>
      <rgbColor rgb="FFFFC000"/>
      <rgbColor rgb="FFFF9900"/>
      <rgbColor rgb="FFED7D31"/>
      <rgbColor rgb="FF595959"/>
      <rgbColor rgb="FF8B8B8B"/>
      <rgbColor rgb="FF003366"/>
      <rgbColor rgb="FF339966"/>
      <rgbColor rgb="FF003300"/>
      <rgbColor rgb="FF333300"/>
      <rgbColor rgb="FF993300"/>
      <rgbColor rgb="FF993366"/>
      <rgbColor rgb="FF333399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tx>
            <c:strRef>
              <c:f>voc_macro!$D$12:$D$12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00b0f0"/>
            </a:solidFill>
            <a:ln w="25560">
              <a:noFill/>
            </a:ln>
          </c:spPr>
          <c:marker>
            <c:symbol val="circle"/>
            <c:size val="5"/>
            <c:spPr>
              <a:solidFill>
                <a:srgbClr val="00b0f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000000"/>
                </a:solidFill>
                <a:round/>
              </a:ln>
            </c:spPr>
            <c:trendlineType val="movingAvg"/>
            <c:period val="28"/>
            <c:forward val="0"/>
            <c:backward val="0"/>
            <c:dispRSqr val="0"/>
            <c:dispEq val="0"/>
          </c:trendline>
          <c:yVal>
            <c:numRef>
              <c:f>voc_macro!$D$19:$D$362</c:f>
              <c:numCache>
                <c:formatCode>0</c:formatCode>
                <c:ptCount val="344"/>
                <c:pt idx="0">
                  <c:v>51.4851485148515</c:v>
                </c:pt>
                <c:pt idx="1">
                  <c:v>49.5049504950495</c:v>
                </c:pt>
                <c:pt idx="2">
                  <c:v>55.4455445544554</c:v>
                </c:pt>
                <c:pt idx="3">
                  <c:v>57.4257425742574</c:v>
                </c:pt>
                <c:pt idx="4">
                  <c:v>58.4158415841584</c:v>
                </c:pt>
                <c:pt idx="5">
                  <c:v>55.4455445544554</c:v>
                </c:pt>
                <c:pt idx="6">
                  <c:v>58.4158415841584</c:v>
                </c:pt>
                <c:pt idx="7">
                  <c:v>55</c:v>
                </c:pt>
                <c:pt idx="8">
                  <c:v>52.6315789473684</c:v>
                </c:pt>
                <c:pt idx="9">
                  <c:v>60</c:v>
                </c:pt>
                <c:pt idx="10">
                  <c:v>55.5555555555556</c:v>
                </c:pt>
                <c:pt idx="11">
                  <c:v>57.5757575757576</c:v>
                </c:pt>
                <c:pt idx="12">
                  <c:v>66</c:v>
                </c:pt>
                <c:pt idx="13">
                  <c:v>70.1030927835052</c:v>
                </c:pt>
                <c:pt idx="14">
                  <c:v>58</c:v>
                </c:pt>
                <c:pt idx="15">
                  <c:v>65.3061224489796</c:v>
                </c:pt>
                <c:pt idx="16">
                  <c:v>57</c:v>
                </c:pt>
                <c:pt idx="17">
                  <c:v>64.5161290322581</c:v>
                </c:pt>
                <c:pt idx="18">
                  <c:v>61.1111111111111</c:v>
                </c:pt>
                <c:pt idx="19">
                  <c:v>59.5</c:v>
                </c:pt>
                <c:pt idx="20">
                  <c:v>62.8140703517588</c:v>
                </c:pt>
                <c:pt idx="21">
                  <c:v>63.5</c:v>
                </c:pt>
                <c:pt idx="22">
                  <c:v>69.5</c:v>
                </c:pt>
                <c:pt idx="23">
                  <c:v>70.5</c:v>
                </c:pt>
                <c:pt idx="24">
                  <c:v>68.5279187817259</c:v>
                </c:pt>
                <c:pt idx="25">
                  <c:v>66</c:v>
                </c:pt>
                <c:pt idx="26">
                  <c:v>72.7272727272727</c:v>
                </c:pt>
                <c:pt idx="27">
                  <c:v>72.020725388601</c:v>
                </c:pt>
                <c:pt idx="28">
                  <c:v>65.3266331658292</c:v>
                </c:pt>
                <c:pt idx="29">
                  <c:v>65.8536585365854</c:v>
                </c:pt>
                <c:pt idx="30">
                  <c:v>62.2093023255814</c:v>
                </c:pt>
                <c:pt idx="31">
                  <c:v>67.6300578034682</c:v>
                </c:pt>
                <c:pt idx="33">
                  <c:v>64.367816091954</c:v>
                </c:pt>
                <c:pt idx="34">
                  <c:v>60</c:v>
                </c:pt>
                <c:pt idx="35">
                  <c:v>63.0681818181818</c:v>
                </c:pt>
                <c:pt idx="36">
                  <c:v>65.3409090909091</c:v>
                </c:pt>
                <c:pt idx="37">
                  <c:v>60</c:v>
                </c:pt>
                <c:pt idx="38">
                  <c:v>62.5</c:v>
                </c:pt>
                <c:pt idx="39">
                  <c:v>71.1111111111111</c:v>
                </c:pt>
                <c:pt idx="40">
                  <c:v>70.391061452514</c:v>
                </c:pt>
                <c:pt idx="41">
                  <c:v>67.9558011049724</c:v>
                </c:pt>
                <c:pt idx="42">
                  <c:v>72.3756906077348</c:v>
                </c:pt>
                <c:pt idx="43">
                  <c:v>74.1071428571429</c:v>
                </c:pt>
                <c:pt idx="44">
                  <c:v>74.0331491712707</c:v>
                </c:pt>
                <c:pt idx="45">
                  <c:v>72.4719101123596</c:v>
                </c:pt>
                <c:pt idx="46">
                  <c:v>68.1081081081081</c:v>
                </c:pt>
                <c:pt idx="47">
                  <c:v>70.9677419354839</c:v>
                </c:pt>
                <c:pt idx="48">
                  <c:v>76.4705882352941</c:v>
                </c:pt>
                <c:pt idx="49">
                  <c:v>77.2222222222222</c:v>
                </c:pt>
                <c:pt idx="50">
                  <c:v>74.6113989637306</c:v>
                </c:pt>
                <c:pt idx="51">
                  <c:v>70.9844559585492</c:v>
                </c:pt>
                <c:pt idx="52">
                  <c:v>68.2539682539683</c:v>
                </c:pt>
                <c:pt idx="53">
                  <c:v>67.5257731958763</c:v>
                </c:pt>
                <c:pt idx="54">
                  <c:v>64.6153846153846</c:v>
                </c:pt>
                <c:pt idx="55">
                  <c:v>69.2307692307692</c:v>
                </c:pt>
                <c:pt idx="56">
                  <c:v>64.6153846153846</c:v>
                </c:pt>
                <c:pt idx="57">
                  <c:v>66.6666666666667</c:v>
                </c:pt>
                <c:pt idx="58">
                  <c:v>68.5567010309278</c:v>
                </c:pt>
                <c:pt idx="59">
                  <c:v>67.3366834170854</c:v>
                </c:pt>
                <c:pt idx="60">
                  <c:v>67.5</c:v>
                </c:pt>
                <c:pt idx="61">
                  <c:v>63</c:v>
                </c:pt>
                <c:pt idx="62">
                  <c:v>63</c:v>
                </c:pt>
                <c:pt idx="63">
                  <c:v>72</c:v>
                </c:pt>
                <c:pt idx="64">
                  <c:v>69</c:v>
                </c:pt>
                <c:pt idx="65">
                  <c:v>72</c:v>
                </c:pt>
                <c:pt idx="66">
                  <c:v>65</c:v>
                </c:pt>
                <c:pt idx="67">
                  <c:v>77</c:v>
                </c:pt>
                <c:pt idx="68">
                  <c:v>59</c:v>
                </c:pt>
                <c:pt idx="69">
                  <c:v>61</c:v>
                </c:pt>
                <c:pt idx="70">
                  <c:v>60</c:v>
                </c:pt>
                <c:pt idx="71">
                  <c:v>62</c:v>
                </c:pt>
                <c:pt idx="72">
                  <c:v>56</c:v>
                </c:pt>
                <c:pt idx="73">
                  <c:v>57</c:v>
                </c:pt>
                <c:pt idx="74">
                  <c:v>65</c:v>
                </c:pt>
                <c:pt idx="75">
                  <c:v>47</c:v>
                </c:pt>
                <c:pt idx="76">
                  <c:v>54</c:v>
                </c:pt>
                <c:pt idx="77">
                  <c:v>56</c:v>
                </c:pt>
                <c:pt idx="78">
                  <c:v>55</c:v>
                </c:pt>
                <c:pt idx="79">
                  <c:v>59</c:v>
                </c:pt>
                <c:pt idx="80">
                  <c:v>52</c:v>
                </c:pt>
                <c:pt idx="81">
                  <c:v>50</c:v>
                </c:pt>
                <c:pt idx="82">
                  <c:v>50</c:v>
                </c:pt>
                <c:pt idx="83">
                  <c:v>60</c:v>
                </c:pt>
                <c:pt idx="84">
                  <c:v>50</c:v>
                </c:pt>
                <c:pt idx="85">
                  <c:v>52</c:v>
                </c:pt>
                <c:pt idx="86">
                  <c:v>56</c:v>
                </c:pt>
                <c:pt idx="87">
                  <c:v>55</c:v>
                </c:pt>
                <c:pt idx="88">
                  <c:v>62</c:v>
                </c:pt>
                <c:pt idx="89">
                  <c:v>55</c:v>
                </c:pt>
                <c:pt idx="90">
                  <c:v>52</c:v>
                </c:pt>
                <c:pt idx="91">
                  <c:v>45</c:v>
                </c:pt>
                <c:pt idx="92">
                  <c:v>51</c:v>
                </c:pt>
                <c:pt idx="93">
                  <c:v>53</c:v>
                </c:pt>
                <c:pt idx="94">
                  <c:v>80</c:v>
                </c:pt>
                <c:pt idx="95">
                  <c:v>43</c:v>
                </c:pt>
                <c:pt idx="96">
                  <c:v>60</c:v>
                </c:pt>
                <c:pt idx="97">
                  <c:v>61</c:v>
                </c:pt>
                <c:pt idx="98">
                  <c:v>55</c:v>
                </c:pt>
                <c:pt idx="99">
                  <c:v>47</c:v>
                </c:pt>
                <c:pt idx="100">
                  <c:v>53</c:v>
                </c:pt>
                <c:pt idx="101">
                  <c:v>43</c:v>
                </c:pt>
                <c:pt idx="102">
                  <c:v>48</c:v>
                </c:pt>
                <c:pt idx="103">
                  <c:v>47</c:v>
                </c:pt>
                <c:pt idx="104">
                  <c:v>55</c:v>
                </c:pt>
                <c:pt idx="105">
                  <c:v>48</c:v>
                </c:pt>
                <c:pt idx="106">
                  <c:v>58</c:v>
                </c:pt>
                <c:pt idx="107">
                  <c:v>52</c:v>
                </c:pt>
                <c:pt idx="108">
                  <c:v>51</c:v>
                </c:pt>
                <c:pt idx="109">
                  <c:v>60</c:v>
                </c:pt>
                <c:pt idx="110">
                  <c:v>47</c:v>
                </c:pt>
                <c:pt idx="111">
                  <c:v>51</c:v>
                </c:pt>
                <c:pt idx="112">
                  <c:v>56</c:v>
                </c:pt>
                <c:pt idx="113">
                  <c:v>48</c:v>
                </c:pt>
                <c:pt idx="114">
                  <c:v>51</c:v>
                </c:pt>
                <c:pt idx="115">
                  <c:v>58</c:v>
                </c:pt>
                <c:pt idx="116">
                  <c:v>61</c:v>
                </c:pt>
                <c:pt idx="117">
                  <c:v>52</c:v>
                </c:pt>
                <c:pt idx="118">
                  <c:v>55</c:v>
                </c:pt>
                <c:pt idx="119">
                  <c:v>54</c:v>
                </c:pt>
                <c:pt idx="120">
                  <c:v>59</c:v>
                </c:pt>
                <c:pt idx="121">
                  <c:v>65</c:v>
                </c:pt>
                <c:pt idx="122">
                  <c:v>66</c:v>
                </c:pt>
                <c:pt idx="123">
                  <c:v>51</c:v>
                </c:pt>
                <c:pt idx="124">
                  <c:v>56</c:v>
                </c:pt>
                <c:pt idx="125">
                  <c:v>67</c:v>
                </c:pt>
                <c:pt idx="126">
                  <c:v>61</c:v>
                </c:pt>
                <c:pt idx="127">
                  <c:v>66</c:v>
                </c:pt>
                <c:pt idx="128">
                  <c:v>57</c:v>
                </c:pt>
                <c:pt idx="129">
                  <c:v>69</c:v>
                </c:pt>
                <c:pt idx="130">
                  <c:v>68</c:v>
                </c:pt>
                <c:pt idx="131">
                  <c:v>64</c:v>
                </c:pt>
                <c:pt idx="132">
                  <c:v>64</c:v>
                </c:pt>
                <c:pt idx="133">
                  <c:v>61</c:v>
                </c:pt>
                <c:pt idx="134">
                  <c:v>55</c:v>
                </c:pt>
                <c:pt idx="135">
                  <c:v>73</c:v>
                </c:pt>
                <c:pt idx="136">
                  <c:v>62</c:v>
                </c:pt>
                <c:pt idx="137">
                  <c:v>56</c:v>
                </c:pt>
                <c:pt idx="138">
                  <c:v>64</c:v>
                </c:pt>
                <c:pt idx="139">
                  <c:v>55</c:v>
                </c:pt>
                <c:pt idx="140">
                  <c:v>62</c:v>
                </c:pt>
                <c:pt idx="141">
                  <c:v>64</c:v>
                </c:pt>
                <c:pt idx="142">
                  <c:v>65</c:v>
                </c:pt>
                <c:pt idx="143">
                  <c:v>63</c:v>
                </c:pt>
                <c:pt idx="144">
                  <c:v>67</c:v>
                </c:pt>
                <c:pt idx="145">
                  <c:v>64</c:v>
                </c:pt>
                <c:pt idx="146">
                  <c:v>69</c:v>
                </c:pt>
                <c:pt idx="147">
                  <c:v>63</c:v>
                </c:pt>
                <c:pt idx="148">
                  <c:v>64</c:v>
                </c:pt>
                <c:pt idx="149">
                  <c:v>59</c:v>
                </c:pt>
                <c:pt idx="150">
                  <c:v>65</c:v>
                </c:pt>
                <c:pt idx="151">
                  <c:v>67</c:v>
                </c:pt>
                <c:pt idx="152">
                  <c:v>54</c:v>
                </c:pt>
                <c:pt idx="153">
                  <c:v>59</c:v>
                </c:pt>
                <c:pt idx="154">
                  <c:v>66</c:v>
                </c:pt>
                <c:pt idx="155">
                  <c:v>63</c:v>
                </c:pt>
                <c:pt idx="156">
                  <c:v>64</c:v>
                </c:pt>
                <c:pt idx="157">
                  <c:v>69</c:v>
                </c:pt>
                <c:pt idx="158">
                  <c:v>69</c:v>
                </c:pt>
                <c:pt idx="159">
                  <c:v>76</c:v>
                </c:pt>
                <c:pt idx="160">
                  <c:v>66</c:v>
                </c:pt>
                <c:pt idx="161">
                  <c:v>64</c:v>
                </c:pt>
                <c:pt idx="162">
                  <c:v>60</c:v>
                </c:pt>
                <c:pt idx="163">
                  <c:v>64</c:v>
                </c:pt>
                <c:pt idx="164">
                  <c:v>65</c:v>
                </c:pt>
                <c:pt idx="165">
                  <c:v>68</c:v>
                </c:pt>
                <c:pt idx="166">
                  <c:v>69</c:v>
                </c:pt>
                <c:pt idx="167">
                  <c:v>69</c:v>
                </c:pt>
                <c:pt idx="168">
                  <c:v>66</c:v>
                </c:pt>
                <c:pt idx="169">
                  <c:v>67</c:v>
                </c:pt>
                <c:pt idx="170">
                  <c:v>69</c:v>
                </c:pt>
                <c:pt idx="171">
                  <c:v>75</c:v>
                </c:pt>
                <c:pt idx="172">
                  <c:v>65</c:v>
                </c:pt>
                <c:pt idx="173">
                  <c:v>66</c:v>
                </c:pt>
                <c:pt idx="174">
                  <c:v>61</c:v>
                </c:pt>
                <c:pt idx="175">
                  <c:v>62</c:v>
                </c:pt>
                <c:pt idx="176">
                  <c:v>65</c:v>
                </c:pt>
                <c:pt idx="177">
                  <c:v>67</c:v>
                </c:pt>
                <c:pt idx="178">
                  <c:v>67</c:v>
                </c:pt>
                <c:pt idx="179">
                  <c:v>73</c:v>
                </c:pt>
                <c:pt idx="180">
                  <c:v>69</c:v>
                </c:pt>
                <c:pt idx="181">
                  <c:v>70</c:v>
                </c:pt>
                <c:pt idx="182">
                  <c:v>68</c:v>
                </c:pt>
                <c:pt idx="183">
                  <c:v>68</c:v>
                </c:pt>
                <c:pt idx="184">
                  <c:v>78</c:v>
                </c:pt>
                <c:pt idx="185">
                  <c:v>64</c:v>
                </c:pt>
                <c:pt idx="186">
                  <c:v>65</c:v>
                </c:pt>
                <c:pt idx="187">
                  <c:v>73</c:v>
                </c:pt>
                <c:pt idx="188">
                  <c:v>73</c:v>
                </c:pt>
                <c:pt idx="189">
                  <c:v>61</c:v>
                </c:pt>
                <c:pt idx="190">
                  <c:v>67</c:v>
                </c:pt>
                <c:pt idx="191">
                  <c:v>70</c:v>
                </c:pt>
                <c:pt idx="192">
                  <c:v>64</c:v>
                </c:pt>
                <c:pt idx="193">
                  <c:v>69</c:v>
                </c:pt>
                <c:pt idx="194">
                  <c:v>76</c:v>
                </c:pt>
                <c:pt idx="195">
                  <c:v>83</c:v>
                </c:pt>
                <c:pt idx="196">
                  <c:v>71</c:v>
                </c:pt>
                <c:pt idx="197">
                  <c:v>69</c:v>
                </c:pt>
                <c:pt idx="198">
                  <c:v>68</c:v>
                </c:pt>
                <c:pt idx="199">
                  <c:v>70</c:v>
                </c:pt>
                <c:pt idx="200">
                  <c:v>67</c:v>
                </c:pt>
                <c:pt idx="201">
                  <c:v>67</c:v>
                </c:pt>
                <c:pt idx="202">
                  <c:v>75</c:v>
                </c:pt>
                <c:pt idx="203">
                  <c:v>81</c:v>
                </c:pt>
                <c:pt idx="204">
                  <c:v>71</c:v>
                </c:pt>
                <c:pt idx="205">
                  <c:v>73</c:v>
                </c:pt>
                <c:pt idx="206">
                  <c:v>66</c:v>
                </c:pt>
                <c:pt idx="207">
                  <c:v>80</c:v>
                </c:pt>
                <c:pt idx="208">
                  <c:v>80</c:v>
                </c:pt>
                <c:pt idx="209">
                  <c:v>69</c:v>
                </c:pt>
                <c:pt idx="210">
                  <c:v>76</c:v>
                </c:pt>
                <c:pt idx="211">
                  <c:v>77</c:v>
                </c:pt>
                <c:pt idx="212">
                  <c:v>77</c:v>
                </c:pt>
                <c:pt idx="213">
                  <c:v>79</c:v>
                </c:pt>
                <c:pt idx="214">
                  <c:v>74</c:v>
                </c:pt>
                <c:pt idx="215">
                  <c:v>67</c:v>
                </c:pt>
                <c:pt idx="216">
                  <c:v>72</c:v>
                </c:pt>
                <c:pt idx="217">
                  <c:v>73</c:v>
                </c:pt>
                <c:pt idx="218">
                  <c:v>73</c:v>
                </c:pt>
                <c:pt idx="219">
                  <c:v>75</c:v>
                </c:pt>
                <c:pt idx="220">
                  <c:v>67</c:v>
                </c:pt>
                <c:pt idx="221">
                  <c:v>70</c:v>
                </c:pt>
                <c:pt idx="222">
                  <c:v>67</c:v>
                </c:pt>
                <c:pt idx="223">
                  <c:v>82</c:v>
                </c:pt>
                <c:pt idx="224">
                  <c:v>67</c:v>
                </c:pt>
                <c:pt idx="225">
                  <c:v>60</c:v>
                </c:pt>
                <c:pt idx="226">
                  <c:v>69</c:v>
                </c:pt>
                <c:pt idx="227">
                  <c:v>71</c:v>
                </c:pt>
                <c:pt idx="228">
                  <c:v>71</c:v>
                </c:pt>
                <c:pt idx="229">
                  <c:v>75</c:v>
                </c:pt>
                <c:pt idx="230">
                  <c:v>66</c:v>
                </c:pt>
                <c:pt idx="231">
                  <c:v>72</c:v>
                </c:pt>
                <c:pt idx="232">
                  <c:v>68</c:v>
                </c:pt>
                <c:pt idx="233">
                  <c:v>75</c:v>
                </c:pt>
                <c:pt idx="234">
                  <c:v>75</c:v>
                </c:pt>
                <c:pt idx="235">
                  <c:v>73</c:v>
                </c:pt>
                <c:pt idx="236">
                  <c:v>73</c:v>
                </c:pt>
                <c:pt idx="237">
                  <c:v>75</c:v>
                </c:pt>
                <c:pt idx="238">
                  <c:v>76</c:v>
                </c:pt>
                <c:pt idx="239">
                  <c:v>80</c:v>
                </c:pt>
                <c:pt idx="240">
                  <c:v>71</c:v>
                </c:pt>
                <c:pt idx="241">
                  <c:v>73</c:v>
                </c:pt>
                <c:pt idx="242">
                  <c:v>72</c:v>
                </c:pt>
                <c:pt idx="243">
                  <c:v>75</c:v>
                </c:pt>
                <c:pt idx="244">
                  <c:v>82</c:v>
                </c:pt>
                <c:pt idx="245">
                  <c:v>84</c:v>
                </c:pt>
                <c:pt idx="246">
                  <c:v>76</c:v>
                </c:pt>
                <c:pt idx="247">
                  <c:v>74</c:v>
                </c:pt>
                <c:pt idx="248">
                  <c:v>79</c:v>
                </c:pt>
                <c:pt idx="249">
                  <c:v>73</c:v>
                </c:pt>
                <c:pt idx="250">
                  <c:v>74</c:v>
                </c:pt>
                <c:pt idx="251">
                  <c:v>76</c:v>
                </c:pt>
                <c:pt idx="252">
                  <c:v>70</c:v>
                </c:pt>
                <c:pt idx="253">
                  <c:v>73</c:v>
                </c:pt>
                <c:pt idx="254">
                  <c:v>75</c:v>
                </c:pt>
                <c:pt idx="255">
                  <c:v>69</c:v>
                </c:pt>
                <c:pt idx="256">
                  <c:v>72</c:v>
                </c:pt>
                <c:pt idx="257">
                  <c:v>81</c:v>
                </c:pt>
                <c:pt idx="258">
                  <c:v>77</c:v>
                </c:pt>
                <c:pt idx="259">
                  <c:v>76</c:v>
                </c:pt>
                <c:pt idx="260">
                  <c:v>75</c:v>
                </c:pt>
                <c:pt idx="261">
                  <c:v>75</c:v>
                </c:pt>
                <c:pt idx="262">
                  <c:v>75</c:v>
                </c:pt>
                <c:pt idx="263">
                  <c:v>73</c:v>
                </c:pt>
                <c:pt idx="264">
                  <c:v>85</c:v>
                </c:pt>
                <c:pt idx="265">
                  <c:v>72</c:v>
                </c:pt>
                <c:pt idx="266">
                  <c:v>70</c:v>
                </c:pt>
                <c:pt idx="267">
                  <c:v>78</c:v>
                </c:pt>
                <c:pt idx="268">
                  <c:v>76</c:v>
                </c:pt>
                <c:pt idx="269">
                  <c:v>74</c:v>
                </c:pt>
                <c:pt idx="270">
                  <c:v>83</c:v>
                </c:pt>
                <c:pt idx="271">
                  <c:v>77</c:v>
                </c:pt>
                <c:pt idx="272">
                  <c:v>74</c:v>
                </c:pt>
                <c:pt idx="273">
                  <c:v>72</c:v>
                </c:pt>
                <c:pt idx="274">
                  <c:v>69</c:v>
                </c:pt>
                <c:pt idx="275">
                  <c:v>68</c:v>
                </c:pt>
                <c:pt idx="276">
                  <c:v>73</c:v>
                </c:pt>
                <c:pt idx="277">
                  <c:v>82</c:v>
                </c:pt>
                <c:pt idx="278">
                  <c:v>69</c:v>
                </c:pt>
                <c:pt idx="279">
                  <c:v>80</c:v>
                </c:pt>
                <c:pt idx="280">
                  <c:v>75</c:v>
                </c:pt>
                <c:pt idx="281">
                  <c:v>73</c:v>
                </c:pt>
                <c:pt idx="282">
                  <c:v>81</c:v>
                </c:pt>
                <c:pt idx="283">
                  <c:v>78</c:v>
                </c:pt>
                <c:pt idx="284">
                  <c:v>76</c:v>
                </c:pt>
                <c:pt idx="285">
                  <c:v>81</c:v>
                </c:pt>
                <c:pt idx="286">
                  <c:v>80</c:v>
                </c:pt>
                <c:pt idx="287">
                  <c:v>78</c:v>
                </c:pt>
                <c:pt idx="288">
                  <c:v>76</c:v>
                </c:pt>
                <c:pt idx="289">
                  <c:v>84</c:v>
                </c:pt>
                <c:pt idx="290">
                  <c:v>78</c:v>
                </c:pt>
                <c:pt idx="291">
                  <c:v>74</c:v>
                </c:pt>
                <c:pt idx="292">
                  <c:v>72</c:v>
                </c:pt>
                <c:pt idx="293">
                  <c:v>70</c:v>
                </c:pt>
                <c:pt idx="294">
                  <c:v>79</c:v>
                </c:pt>
                <c:pt idx="295">
                  <c:v>76</c:v>
                </c:pt>
                <c:pt idx="296">
                  <c:v>79</c:v>
                </c:pt>
                <c:pt idx="297">
                  <c:v>76</c:v>
                </c:pt>
                <c:pt idx="298">
                  <c:v>73</c:v>
                </c:pt>
                <c:pt idx="299">
                  <c:v>84</c:v>
                </c:pt>
                <c:pt idx="300">
                  <c:v>78</c:v>
                </c:pt>
                <c:pt idx="301">
                  <c:v>79</c:v>
                </c:pt>
                <c:pt idx="302">
                  <c:v>76</c:v>
                </c:pt>
                <c:pt idx="303">
                  <c:v>73</c:v>
                </c:pt>
                <c:pt idx="304">
                  <c:v>78</c:v>
                </c:pt>
                <c:pt idx="305">
                  <c:v>70</c:v>
                </c:pt>
                <c:pt idx="306">
                  <c:v>75</c:v>
                </c:pt>
                <c:pt idx="307">
                  <c:v>80</c:v>
                </c:pt>
                <c:pt idx="308">
                  <c:v>78</c:v>
                </c:pt>
                <c:pt idx="309">
                  <c:v>76</c:v>
                </c:pt>
                <c:pt idx="310">
                  <c:v>74</c:v>
                </c:pt>
                <c:pt idx="311">
                  <c:v>75</c:v>
                </c:pt>
                <c:pt idx="312">
                  <c:v>73</c:v>
                </c:pt>
                <c:pt idx="313">
                  <c:v>73</c:v>
                </c:pt>
                <c:pt idx="314">
                  <c:v>71</c:v>
                </c:pt>
                <c:pt idx="315">
                  <c:v>70</c:v>
                </c:pt>
                <c:pt idx="316">
                  <c:v>78</c:v>
                </c:pt>
                <c:pt idx="317">
                  <c:v>74</c:v>
                </c:pt>
                <c:pt idx="318">
                  <c:v>74</c:v>
                </c:pt>
                <c:pt idx="319">
                  <c:v>83</c:v>
                </c:pt>
                <c:pt idx="320">
                  <c:v>73</c:v>
                </c:pt>
                <c:pt idx="321">
                  <c:v>72</c:v>
                </c:pt>
                <c:pt idx="322">
                  <c:v>72</c:v>
                </c:pt>
                <c:pt idx="323">
                  <c:v>77</c:v>
                </c:pt>
                <c:pt idx="324">
                  <c:v>77</c:v>
                </c:pt>
                <c:pt idx="325">
                  <c:v>73</c:v>
                </c:pt>
                <c:pt idx="326">
                  <c:v>75</c:v>
                </c:pt>
                <c:pt idx="327">
                  <c:v>81</c:v>
                </c:pt>
                <c:pt idx="328">
                  <c:v>78</c:v>
                </c:pt>
                <c:pt idx="329">
                  <c:v>72</c:v>
                </c:pt>
                <c:pt idx="330">
                  <c:v>81</c:v>
                </c:pt>
                <c:pt idx="331">
                  <c:v>75</c:v>
                </c:pt>
                <c:pt idx="332">
                  <c:v>68</c:v>
                </c:pt>
                <c:pt idx="333">
                  <c:v>79</c:v>
                </c:pt>
                <c:pt idx="334">
                  <c:v>81</c:v>
                </c:pt>
                <c:pt idx="335">
                  <c:v>90</c:v>
                </c:pt>
                <c:pt idx="336">
                  <c:v>82</c:v>
                </c:pt>
                <c:pt idx="337">
                  <c:v>70</c:v>
                </c:pt>
                <c:pt idx="338">
                  <c:v>66</c:v>
                </c:pt>
                <c:pt idx="339">
                  <c:v>74</c:v>
                </c:pt>
                <c:pt idx="340">
                  <c:v>61</c:v>
                </c:pt>
                <c:pt idx="341">
                  <c:v>69</c:v>
                </c:pt>
                <c:pt idx="342">
                  <c:v>69</c:v>
                </c:pt>
                <c:pt idx="343">
                  <c:v>55</c:v>
                </c:pt>
              </c:numCache>
            </c:numRef>
          </c:yVal>
          <c:smooth val="0"/>
        </c:ser>
        <c:axId val="67546779"/>
        <c:axId val="18263140"/>
      </c:scatterChart>
      <c:valAx>
        <c:axId val="6754677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8263140"/>
        <c:crosses val="autoZero"/>
        <c:crossBetween val="midCat"/>
      </c:valAx>
      <c:valAx>
        <c:axId val="18263140"/>
        <c:scaling>
          <c:orientation val="minMax"/>
          <c:max val="100"/>
          <c:min val="5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7546779"/>
        <c:crosses val="autoZero"/>
        <c:crossBetween val="midCat"/>
        <c:majorUnit val="10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24638391762687"/>
          <c:y val="0.0258666666666667"/>
          <c:w val="0.92968864917872"/>
          <c:h val="0.9132"/>
        </c:manualLayout>
      </c:layout>
      <c:scatterChart>
        <c:scatterStyle val="lineMarker"/>
        <c:varyColors val="0"/>
        <c:ser>
          <c:idx val="0"/>
          <c:order val="0"/>
          <c:tx>
            <c:strRef>
              <c:f>voc_macro!$E$12:$E$12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ed7d31"/>
            </a:solidFill>
            <a:ln w="2556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000000"/>
                </a:solidFill>
                <a:round/>
              </a:ln>
            </c:spPr>
            <c:trendlineType val="movingAvg"/>
            <c:period val="28"/>
            <c:forward val="0"/>
            <c:backward val="0"/>
            <c:dispRSqr val="0"/>
            <c:dispEq val="0"/>
          </c:trendline>
          <c:yVal>
            <c:numRef>
              <c:f>voc_macro!$E$19:$E$362</c:f>
              <c:numCache>
                <c:formatCode>0</c:formatCode>
                <c:ptCount val="344"/>
                <c:pt idx="0">
                  <c:v>44.8979591836735</c:v>
                </c:pt>
                <c:pt idx="1">
                  <c:v>68</c:v>
                </c:pt>
                <c:pt idx="2">
                  <c:v>26.6666666666667</c:v>
                </c:pt>
                <c:pt idx="3">
                  <c:v>53.4883720930233</c:v>
                </c:pt>
                <c:pt idx="4">
                  <c:v>52.3809523809524</c:v>
                </c:pt>
                <c:pt idx="5">
                  <c:v>48.8888888888889</c:v>
                </c:pt>
                <c:pt idx="6">
                  <c:v>45.2380952380952</c:v>
                </c:pt>
                <c:pt idx="7">
                  <c:v>39.1304347826087</c:v>
                </c:pt>
                <c:pt idx="8">
                  <c:v>69.5652173913043</c:v>
                </c:pt>
                <c:pt idx="9">
                  <c:v>73.1707317073171</c:v>
                </c:pt>
                <c:pt idx="10">
                  <c:v>64.4444444444444</c:v>
                </c:pt>
                <c:pt idx="11">
                  <c:v>58.1395348837209</c:v>
                </c:pt>
                <c:pt idx="12">
                  <c:v>42.8571428571429</c:v>
                </c:pt>
                <c:pt idx="13">
                  <c:v>62.0689655172414</c:v>
                </c:pt>
                <c:pt idx="14">
                  <c:v>60.4651162790698</c:v>
                </c:pt>
                <c:pt idx="15">
                  <c:v>45.7142857142857</c:v>
                </c:pt>
                <c:pt idx="16">
                  <c:v>68.1818181818182</c:v>
                </c:pt>
                <c:pt idx="17">
                  <c:v>64.7058823529412</c:v>
                </c:pt>
                <c:pt idx="18">
                  <c:v>73.0769230769231</c:v>
                </c:pt>
                <c:pt idx="19">
                  <c:v>64.1975308641975</c:v>
                </c:pt>
                <c:pt idx="20">
                  <c:v>56</c:v>
                </c:pt>
                <c:pt idx="21">
                  <c:v>56.7567567567568</c:v>
                </c:pt>
                <c:pt idx="22">
                  <c:v>62.9032258064516</c:v>
                </c:pt>
                <c:pt idx="23">
                  <c:v>63.3333333333333</c:v>
                </c:pt>
                <c:pt idx="24">
                  <c:v>60.3174603174603</c:v>
                </c:pt>
                <c:pt idx="25">
                  <c:v>59.4202898550725</c:v>
                </c:pt>
                <c:pt idx="26">
                  <c:v>65.4545454545455</c:v>
                </c:pt>
                <c:pt idx="27">
                  <c:v>60</c:v>
                </c:pt>
                <c:pt idx="28">
                  <c:v>65.7142857142857</c:v>
                </c:pt>
                <c:pt idx="29">
                  <c:v>57.8947368421053</c:v>
                </c:pt>
                <c:pt idx="30">
                  <c:v>68.1818181818182</c:v>
                </c:pt>
                <c:pt idx="31">
                  <c:v>64.9122807017544</c:v>
                </c:pt>
                <c:pt idx="32">
                  <c:v>69.8275862068966</c:v>
                </c:pt>
                <c:pt idx="34">
                  <c:v>71.830985915493</c:v>
                </c:pt>
                <c:pt idx="35">
                  <c:v>68.1818181818182</c:v>
                </c:pt>
                <c:pt idx="36">
                  <c:v>82.7586206896552</c:v>
                </c:pt>
                <c:pt idx="37">
                  <c:v>69.8630136986301</c:v>
                </c:pt>
                <c:pt idx="38">
                  <c:v>65.6716417910448</c:v>
                </c:pt>
                <c:pt idx="39">
                  <c:v>81.1320754716981</c:v>
                </c:pt>
                <c:pt idx="40">
                  <c:v>72.2222222222222</c:v>
                </c:pt>
                <c:pt idx="41">
                  <c:v>66.1016949152542</c:v>
                </c:pt>
                <c:pt idx="42">
                  <c:v>66.6666666666667</c:v>
                </c:pt>
                <c:pt idx="43">
                  <c:v>70.9677419354839</c:v>
                </c:pt>
                <c:pt idx="44">
                  <c:v>79.1666666666667</c:v>
                </c:pt>
                <c:pt idx="45">
                  <c:v>50</c:v>
                </c:pt>
                <c:pt idx="46">
                  <c:v>73.3333333333333</c:v>
                </c:pt>
                <c:pt idx="47">
                  <c:v>45.4545454545455</c:v>
                </c:pt>
                <c:pt idx="48">
                  <c:v>75.5555555555556</c:v>
                </c:pt>
                <c:pt idx="49">
                  <c:v>73.8095238095238</c:v>
                </c:pt>
                <c:pt idx="50">
                  <c:v>64</c:v>
                </c:pt>
                <c:pt idx="51">
                  <c:v>64.9122807017544</c:v>
                </c:pt>
                <c:pt idx="52">
                  <c:v>65.5737704918033</c:v>
                </c:pt>
                <c:pt idx="53">
                  <c:v>58.73</c:v>
                </c:pt>
                <c:pt idx="54">
                  <c:v>79.7101449275362</c:v>
                </c:pt>
                <c:pt idx="55">
                  <c:v>70</c:v>
                </c:pt>
                <c:pt idx="56">
                  <c:v>71.0144927536232</c:v>
                </c:pt>
                <c:pt idx="57">
                  <c:v>70.3125</c:v>
                </c:pt>
                <c:pt idx="58">
                  <c:v>60.655737704918</c:v>
                </c:pt>
                <c:pt idx="59">
                  <c:v>49.2307692307692</c:v>
                </c:pt>
                <c:pt idx="60">
                  <c:v>69.2307692307692</c:v>
                </c:pt>
                <c:pt idx="61">
                  <c:v>55.4054054054054</c:v>
                </c:pt>
                <c:pt idx="62">
                  <c:v>59.4594594594595</c:v>
                </c:pt>
                <c:pt idx="63">
                  <c:v>82.1428571428571</c:v>
                </c:pt>
                <c:pt idx="64">
                  <c:v>48.3870967741936</c:v>
                </c:pt>
                <c:pt idx="65">
                  <c:v>75</c:v>
                </c:pt>
                <c:pt idx="66">
                  <c:v>77.1428571428571</c:v>
                </c:pt>
                <c:pt idx="67">
                  <c:v>60.8695652173913</c:v>
                </c:pt>
                <c:pt idx="68">
                  <c:v>70.7317073170732</c:v>
                </c:pt>
                <c:pt idx="69">
                  <c:v>71.7948717948718</c:v>
                </c:pt>
                <c:pt idx="70">
                  <c:v>73.6842105263158</c:v>
                </c:pt>
                <c:pt idx="71">
                  <c:v>84.2105263157895</c:v>
                </c:pt>
                <c:pt idx="72">
                  <c:v>70.4545454545455</c:v>
                </c:pt>
                <c:pt idx="73">
                  <c:v>65.1162790697674</c:v>
                </c:pt>
                <c:pt idx="74">
                  <c:v>71.4285714285714</c:v>
                </c:pt>
                <c:pt idx="75">
                  <c:v>79.2452830188679</c:v>
                </c:pt>
                <c:pt idx="76">
                  <c:v>78.2608695652174</c:v>
                </c:pt>
                <c:pt idx="77">
                  <c:v>61.3636363636364</c:v>
                </c:pt>
                <c:pt idx="78">
                  <c:v>55.5555555555556</c:v>
                </c:pt>
                <c:pt idx="79">
                  <c:v>63.4146341463415</c:v>
                </c:pt>
                <c:pt idx="80">
                  <c:v>56.25</c:v>
                </c:pt>
                <c:pt idx="81">
                  <c:v>50</c:v>
                </c:pt>
                <c:pt idx="82">
                  <c:v>56</c:v>
                </c:pt>
                <c:pt idx="83">
                  <c:v>77.5</c:v>
                </c:pt>
                <c:pt idx="84">
                  <c:v>48</c:v>
                </c:pt>
                <c:pt idx="85">
                  <c:v>64.5833333333333</c:v>
                </c:pt>
                <c:pt idx="86">
                  <c:v>63.6363636363636</c:v>
                </c:pt>
                <c:pt idx="87">
                  <c:v>71.1111111111111</c:v>
                </c:pt>
                <c:pt idx="88">
                  <c:v>50</c:v>
                </c:pt>
                <c:pt idx="90">
                  <c:v>63</c:v>
                </c:pt>
                <c:pt idx="91">
                  <c:v>47.2727272727273</c:v>
                </c:pt>
                <c:pt idx="92">
                  <c:v>50</c:v>
                </c:pt>
                <c:pt idx="93">
                  <c:v>57.4468085106383</c:v>
                </c:pt>
                <c:pt idx="94">
                  <c:v>40</c:v>
                </c:pt>
                <c:pt idx="95">
                  <c:v>38.5964912280702</c:v>
                </c:pt>
                <c:pt idx="96">
                  <c:v>67.5</c:v>
                </c:pt>
                <c:pt idx="97">
                  <c:v>51.2820512820513</c:v>
                </c:pt>
                <c:pt idx="98">
                  <c:v>47.7272727272727</c:v>
                </c:pt>
                <c:pt idx="99">
                  <c:v>40</c:v>
                </c:pt>
                <c:pt idx="100">
                  <c:v>44.6808510638298</c:v>
                </c:pt>
                <c:pt idx="101">
                  <c:v>50</c:v>
                </c:pt>
                <c:pt idx="102">
                  <c:v>51.9230769230769</c:v>
                </c:pt>
                <c:pt idx="103">
                  <c:v>31.3725490196078</c:v>
                </c:pt>
                <c:pt idx="104">
                  <c:v>60</c:v>
                </c:pt>
                <c:pt idx="105">
                  <c:v>61.5384615384615</c:v>
                </c:pt>
                <c:pt idx="106">
                  <c:v>65</c:v>
                </c:pt>
                <c:pt idx="107">
                  <c:v>55.3191489361702</c:v>
                </c:pt>
                <c:pt idx="108">
                  <c:v>47.0588235294118</c:v>
                </c:pt>
                <c:pt idx="109">
                  <c:v>55</c:v>
                </c:pt>
                <c:pt idx="110">
                  <c:v>35.8490566037736</c:v>
                </c:pt>
                <c:pt idx="111">
                  <c:v>58</c:v>
                </c:pt>
                <c:pt idx="112">
                  <c:v>61.3636363636364</c:v>
                </c:pt>
                <c:pt idx="113">
                  <c:v>42.3076923076923</c:v>
                </c:pt>
                <c:pt idx="114">
                  <c:v>58</c:v>
                </c:pt>
                <c:pt idx="115">
                  <c:v>54.7619047619048</c:v>
                </c:pt>
                <c:pt idx="116">
                  <c:v>43.5897435897436</c:v>
                </c:pt>
                <c:pt idx="117">
                  <c:v>70.8333333333333</c:v>
                </c:pt>
                <c:pt idx="118">
                  <c:v>53.3333333333333</c:v>
                </c:pt>
                <c:pt idx="119">
                  <c:v>52.1739130434783</c:v>
                </c:pt>
                <c:pt idx="120">
                  <c:v>70.7317073170732</c:v>
                </c:pt>
                <c:pt idx="121">
                  <c:v>56</c:v>
                </c:pt>
                <c:pt idx="122">
                  <c:v>67.6470588235294</c:v>
                </c:pt>
                <c:pt idx="123">
                  <c:v>57.1428571428571</c:v>
                </c:pt>
                <c:pt idx="124">
                  <c:v>60.4651162790698</c:v>
                </c:pt>
                <c:pt idx="125">
                  <c:v>62.5</c:v>
                </c:pt>
                <c:pt idx="126">
                  <c:v>69.2307692307692</c:v>
                </c:pt>
                <c:pt idx="127">
                  <c:v>54.5454545454546</c:v>
                </c:pt>
                <c:pt idx="128">
                  <c:v>51.1627906976744</c:v>
                </c:pt>
                <c:pt idx="129">
                  <c:v>61.2903225806452</c:v>
                </c:pt>
                <c:pt idx="130">
                  <c:v>67.741935483871</c:v>
                </c:pt>
                <c:pt idx="131">
                  <c:v>55</c:v>
                </c:pt>
                <c:pt idx="132">
                  <c:v>52.7777777777778</c:v>
                </c:pt>
                <c:pt idx="133">
                  <c:v>56.4102564102564</c:v>
                </c:pt>
                <c:pt idx="134">
                  <c:v>61</c:v>
                </c:pt>
                <c:pt idx="135">
                  <c:v>59.2592592592593</c:v>
                </c:pt>
                <c:pt idx="136">
                  <c:v>65.7894736842105</c:v>
                </c:pt>
                <c:pt idx="137">
                  <c:v>40.9090909090909</c:v>
                </c:pt>
                <c:pt idx="138">
                  <c:v>55.5555555555556</c:v>
                </c:pt>
                <c:pt idx="139">
                  <c:v>66.6666666666667</c:v>
                </c:pt>
                <c:pt idx="140">
                  <c:v>63.1578947368421</c:v>
                </c:pt>
                <c:pt idx="141">
                  <c:v>77.7777777777778</c:v>
                </c:pt>
                <c:pt idx="142">
                  <c:v>65.7142857142857</c:v>
                </c:pt>
                <c:pt idx="143">
                  <c:v>81.0810810810811</c:v>
                </c:pt>
                <c:pt idx="144">
                  <c:v>71.875</c:v>
                </c:pt>
                <c:pt idx="145">
                  <c:v>83.3333333333333</c:v>
                </c:pt>
                <c:pt idx="146">
                  <c:v>74.1935483870968</c:v>
                </c:pt>
                <c:pt idx="147">
                  <c:v>75</c:v>
                </c:pt>
                <c:pt idx="148">
                  <c:v>66.6666666666667</c:v>
                </c:pt>
                <c:pt idx="149">
                  <c:v>69.2307692307692</c:v>
                </c:pt>
                <c:pt idx="150">
                  <c:v>54.2857142857143</c:v>
                </c:pt>
                <c:pt idx="151">
                  <c:v>36.3636363636364</c:v>
                </c:pt>
                <c:pt idx="152">
                  <c:v>56</c:v>
                </c:pt>
                <c:pt idx="153">
                  <c:v>74.3589743589744</c:v>
                </c:pt>
                <c:pt idx="154">
                  <c:v>63</c:v>
                </c:pt>
                <c:pt idx="155">
                  <c:v>62.1621621621622</c:v>
                </c:pt>
                <c:pt idx="156">
                  <c:v>69.4444444444444</c:v>
                </c:pt>
                <c:pt idx="157">
                  <c:v>74.1935483870968</c:v>
                </c:pt>
                <c:pt idx="158">
                  <c:v>67.741935483871</c:v>
                </c:pt>
                <c:pt idx="159">
                  <c:v>79.1666666666667</c:v>
                </c:pt>
                <c:pt idx="160">
                  <c:v>76</c:v>
                </c:pt>
                <c:pt idx="161">
                  <c:v>71.4285714285714</c:v>
                </c:pt>
                <c:pt idx="162">
                  <c:v>67.5</c:v>
                </c:pt>
                <c:pt idx="163">
                  <c:v>85.7142857142857</c:v>
                </c:pt>
                <c:pt idx="164">
                  <c:v>76.4705882352941</c:v>
                </c:pt>
                <c:pt idx="165">
                  <c:v>80.6451612903226</c:v>
                </c:pt>
                <c:pt idx="166">
                  <c:v>74.1935483870968</c:v>
                </c:pt>
                <c:pt idx="167">
                  <c:v>67.741935483871</c:v>
                </c:pt>
                <c:pt idx="168">
                  <c:v>67</c:v>
                </c:pt>
                <c:pt idx="169">
                  <c:v>75.7575757575758</c:v>
                </c:pt>
                <c:pt idx="170">
                  <c:v>83.8709677419355</c:v>
                </c:pt>
                <c:pt idx="171">
                  <c:v>60</c:v>
                </c:pt>
                <c:pt idx="172">
                  <c:v>85.7142857142857</c:v>
                </c:pt>
                <c:pt idx="173">
                  <c:v>78.7878787878788</c:v>
                </c:pt>
                <c:pt idx="174">
                  <c:v>58.974358974359</c:v>
                </c:pt>
                <c:pt idx="175">
                  <c:v>62.1621621621622</c:v>
                </c:pt>
                <c:pt idx="176">
                  <c:v>47.0588235294118</c:v>
                </c:pt>
                <c:pt idx="177">
                  <c:v>68.75</c:v>
                </c:pt>
                <c:pt idx="178">
                  <c:v>56.25</c:v>
                </c:pt>
                <c:pt idx="179">
                  <c:v>76.9230769230769</c:v>
                </c:pt>
                <c:pt idx="180">
                  <c:v>82.7586206896552</c:v>
                </c:pt>
                <c:pt idx="181">
                  <c:v>73.3333333333333</c:v>
                </c:pt>
                <c:pt idx="182">
                  <c:v>78.125</c:v>
                </c:pt>
                <c:pt idx="183">
                  <c:v>83.8709677419355</c:v>
                </c:pt>
                <c:pt idx="184">
                  <c:v>81.8181818181818</c:v>
                </c:pt>
                <c:pt idx="185">
                  <c:v>68</c:v>
                </c:pt>
                <c:pt idx="186">
                  <c:v>51.6129032258065</c:v>
                </c:pt>
                <c:pt idx="187">
                  <c:v>62.962962962963</c:v>
                </c:pt>
                <c:pt idx="188">
                  <c:v>59.2592592592593</c:v>
                </c:pt>
                <c:pt idx="189">
                  <c:v>43.5897435897436</c:v>
                </c:pt>
                <c:pt idx="190">
                  <c:v>62.5</c:v>
                </c:pt>
                <c:pt idx="191">
                  <c:v>63.3333333333333</c:v>
                </c:pt>
                <c:pt idx="192">
                  <c:v>74</c:v>
                </c:pt>
                <c:pt idx="193">
                  <c:v>80.6451612903226</c:v>
                </c:pt>
                <c:pt idx="194">
                  <c:v>85</c:v>
                </c:pt>
                <c:pt idx="195">
                  <c:v>81.25</c:v>
                </c:pt>
                <c:pt idx="196">
                  <c:v>76.9230769230769</c:v>
                </c:pt>
                <c:pt idx="197">
                  <c:v>93.1034482758621</c:v>
                </c:pt>
                <c:pt idx="198">
                  <c:v>65.625</c:v>
                </c:pt>
                <c:pt idx="199">
                  <c:v>82.7586206896552</c:v>
                </c:pt>
                <c:pt idx="200">
                  <c:v>72.7272727272727</c:v>
                </c:pt>
                <c:pt idx="201">
                  <c:v>66.6666666666667</c:v>
                </c:pt>
                <c:pt idx="202">
                  <c:v>73.9130434782609</c:v>
                </c:pt>
                <c:pt idx="203">
                  <c:v>73.6842105263158</c:v>
                </c:pt>
                <c:pt idx="204">
                  <c:v>73</c:v>
                </c:pt>
                <c:pt idx="205">
                  <c:v>70.3703703703704</c:v>
                </c:pt>
                <c:pt idx="206">
                  <c:v>72.7272727272727</c:v>
                </c:pt>
                <c:pt idx="207">
                  <c:v>70</c:v>
                </c:pt>
                <c:pt idx="208">
                  <c:v>61.1111111111111</c:v>
                </c:pt>
                <c:pt idx="209">
                  <c:v>80</c:v>
                </c:pt>
                <c:pt idx="210">
                  <c:v>75</c:v>
                </c:pt>
                <c:pt idx="211">
                  <c:v>73.9130434782609</c:v>
                </c:pt>
                <c:pt idx="212">
                  <c:v>85.7142857142857</c:v>
                </c:pt>
                <c:pt idx="213">
                  <c:v>63.1578947368421</c:v>
                </c:pt>
                <c:pt idx="214">
                  <c:v>70.8333333333333</c:v>
                </c:pt>
                <c:pt idx="215">
                  <c:v>70.9677419354839</c:v>
                </c:pt>
                <c:pt idx="216">
                  <c:v>77.7777777777778</c:v>
                </c:pt>
                <c:pt idx="217">
                  <c:v>75</c:v>
                </c:pt>
                <c:pt idx="218">
                  <c:v>57.6923076923077</c:v>
                </c:pt>
                <c:pt idx="219">
                  <c:v>58.3333333333333</c:v>
                </c:pt>
                <c:pt idx="220">
                  <c:v>68.75</c:v>
                </c:pt>
                <c:pt idx="221">
                  <c:v>66.6666666666667</c:v>
                </c:pt>
                <c:pt idx="222">
                  <c:v>56.25</c:v>
                </c:pt>
                <c:pt idx="223">
                  <c:v>83.3333333333333</c:v>
                </c:pt>
                <c:pt idx="224">
                  <c:v>67.741935483871</c:v>
                </c:pt>
                <c:pt idx="225">
                  <c:v>55</c:v>
                </c:pt>
                <c:pt idx="226">
                  <c:v>72.4137931034483</c:v>
                </c:pt>
                <c:pt idx="227">
                  <c:v>77.7777777777778</c:v>
                </c:pt>
                <c:pt idx="228">
                  <c:v>80.7692307692308</c:v>
                </c:pt>
                <c:pt idx="229">
                  <c:v>60</c:v>
                </c:pt>
                <c:pt idx="230">
                  <c:v>70.5882352941177</c:v>
                </c:pt>
                <c:pt idx="231">
                  <c:v>76.9230769230769</c:v>
                </c:pt>
                <c:pt idx="232">
                  <c:v>76.6666666666667</c:v>
                </c:pt>
                <c:pt idx="233">
                  <c:v>72.7272727272727</c:v>
                </c:pt>
                <c:pt idx="234">
                  <c:v>79.1666666666667</c:v>
                </c:pt>
                <c:pt idx="235">
                  <c:v>84.6153846153846</c:v>
                </c:pt>
                <c:pt idx="236">
                  <c:v>82</c:v>
                </c:pt>
                <c:pt idx="237">
                  <c:v>60</c:v>
                </c:pt>
                <c:pt idx="238">
                  <c:v>87.5</c:v>
                </c:pt>
                <c:pt idx="239">
                  <c:v>75</c:v>
                </c:pt>
                <c:pt idx="240">
                  <c:v>73.0769230769231</c:v>
                </c:pt>
                <c:pt idx="241">
                  <c:v>81.4814814814815</c:v>
                </c:pt>
                <c:pt idx="242">
                  <c:v>74.0740740740741</c:v>
                </c:pt>
                <c:pt idx="243">
                  <c:v>95.8333333333333</c:v>
                </c:pt>
                <c:pt idx="244">
                  <c:v>77.7777777777778</c:v>
                </c:pt>
                <c:pt idx="245">
                  <c:v>100</c:v>
                </c:pt>
                <c:pt idx="246">
                  <c:v>65.2173913043478</c:v>
                </c:pt>
                <c:pt idx="247">
                  <c:v>73.9130434782609</c:v>
                </c:pt>
                <c:pt idx="248">
                  <c:v>85.7142857142857</c:v>
                </c:pt>
                <c:pt idx="249">
                  <c:v>73.0769230769231</c:v>
                </c:pt>
                <c:pt idx="250">
                  <c:v>58.3333333333333</c:v>
                </c:pt>
                <c:pt idx="251">
                  <c:v>79.1666666666667</c:v>
                </c:pt>
                <c:pt idx="252">
                  <c:v>67.8571428571429</c:v>
                </c:pt>
                <c:pt idx="253">
                  <c:v>53</c:v>
                </c:pt>
                <c:pt idx="254">
                  <c:v>72</c:v>
                </c:pt>
                <c:pt idx="255">
                  <c:v>85</c:v>
                </c:pt>
                <c:pt idx="256">
                  <c:v>71.4285714285714</c:v>
                </c:pt>
                <c:pt idx="257">
                  <c:v>61.1111111111111</c:v>
                </c:pt>
                <c:pt idx="258">
                  <c:v>86.9565217391304</c:v>
                </c:pt>
                <c:pt idx="259">
                  <c:v>78.2608695652174</c:v>
                </c:pt>
                <c:pt idx="260">
                  <c:v>70.8333333333333</c:v>
                </c:pt>
                <c:pt idx="261">
                  <c:v>57.1428571428571</c:v>
                </c:pt>
                <c:pt idx="262">
                  <c:v>81.8181818181818</c:v>
                </c:pt>
                <c:pt idx="263">
                  <c:v>72</c:v>
                </c:pt>
                <c:pt idx="264">
                  <c:v>91.6666666666667</c:v>
                </c:pt>
                <c:pt idx="265">
                  <c:v>68</c:v>
                </c:pt>
                <c:pt idx="266">
                  <c:v>68.9655172413793</c:v>
                </c:pt>
                <c:pt idx="267">
                  <c:v>61.9047619047619</c:v>
                </c:pt>
                <c:pt idx="268">
                  <c:v>78.2608695652174</c:v>
                </c:pt>
                <c:pt idx="269">
                  <c:v>77</c:v>
                </c:pt>
                <c:pt idx="270">
                  <c:v>62.5</c:v>
                </c:pt>
                <c:pt idx="271">
                  <c:v>72.7272727272727</c:v>
                </c:pt>
                <c:pt idx="272">
                  <c:v>73.0769230769231</c:v>
                </c:pt>
                <c:pt idx="273">
                  <c:v>64.2857142857143</c:v>
                </c:pt>
                <c:pt idx="274">
                  <c:v>68.9655172413793</c:v>
                </c:pt>
                <c:pt idx="275">
                  <c:v>70.9677419354839</c:v>
                </c:pt>
                <c:pt idx="276">
                  <c:v>53.8461538461539</c:v>
                </c:pt>
                <c:pt idx="277">
                  <c:v>88.2352941176471</c:v>
                </c:pt>
                <c:pt idx="278">
                  <c:v>70</c:v>
                </c:pt>
                <c:pt idx="279">
                  <c:v>60</c:v>
                </c:pt>
                <c:pt idx="280">
                  <c:v>68</c:v>
                </c:pt>
                <c:pt idx="281">
                  <c:v>73.9130434782609</c:v>
                </c:pt>
                <c:pt idx="282">
                  <c:v>77.7777777777778</c:v>
                </c:pt>
                <c:pt idx="283">
                  <c:v>80</c:v>
                </c:pt>
                <c:pt idx="284">
                  <c:v>78.2608695652174</c:v>
                </c:pt>
                <c:pt idx="285">
                  <c:v>66.6666666666667</c:v>
                </c:pt>
                <c:pt idx="286">
                  <c:v>55</c:v>
                </c:pt>
                <c:pt idx="287">
                  <c:v>80</c:v>
                </c:pt>
                <c:pt idx="288">
                  <c:v>69.5652173913043</c:v>
                </c:pt>
                <c:pt idx="289">
                  <c:v>81.25</c:v>
                </c:pt>
                <c:pt idx="290">
                  <c:v>81.8181818181818</c:v>
                </c:pt>
                <c:pt idx="291">
                  <c:v>65.2173913043478</c:v>
                </c:pt>
                <c:pt idx="292">
                  <c:v>77</c:v>
                </c:pt>
                <c:pt idx="293">
                  <c:v>65.5172413793104</c:v>
                </c:pt>
                <c:pt idx="294">
                  <c:v>89.4736842105263</c:v>
                </c:pt>
                <c:pt idx="295">
                  <c:v>68.1818181818182</c:v>
                </c:pt>
                <c:pt idx="296">
                  <c:v>80</c:v>
                </c:pt>
                <c:pt idx="297">
                  <c:v>68.1818181818182</c:v>
                </c:pt>
                <c:pt idx="298">
                  <c:v>70.3703703703704</c:v>
                </c:pt>
                <c:pt idx="299">
                  <c:v>87.5</c:v>
                </c:pt>
                <c:pt idx="300">
                  <c:v>73.6842105263158</c:v>
                </c:pt>
                <c:pt idx="301">
                  <c:v>88.2352941176471</c:v>
                </c:pt>
                <c:pt idx="302">
                  <c:v>86</c:v>
                </c:pt>
                <c:pt idx="303">
                  <c:v>79.1666666666667</c:v>
                </c:pt>
                <c:pt idx="304">
                  <c:v>81</c:v>
                </c:pt>
                <c:pt idx="305">
                  <c:v>68.9655172413793</c:v>
                </c:pt>
                <c:pt idx="306">
                  <c:v>91.6666666666667</c:v>
                </c:pt>
                <c:pt idx="307">
                  <c:v>63.1578947368421</c:v>
                </c:pt>
                <c:pt idx="308">
                  <c:v>80</c:v>
                </c:pt>
                <c:pt idx="309">
                  <c:v>77.2727272727273</c:v>
                </c:pt>
                <c:pt idx="310">
                  <c:v>62.5</c:v>
                </c:pt>
                <c:pt idx="311">
                  <c:v>80</c:v>
                </c:pt>
                <c:pt idx="312">
                  <c:v>48</c:v>
                </c:pt>
                <c:pt idx="313">
                  <c:v>87.5</c:v>
                </c:pt>
                <c:pt idx="314">
                  <c:v>74</c:v>
                </c:pt>
                <c:pt idx="315">
                  <c:v>66</c:v>
                </c:pt>
                <c:pt idx="316">
                  <c:v>71.4285714285714</c:v>
                </c:pt>
                <c:pt idx="317">
                  <c:v>84</c:v>
                </c:pt>
                <c:pt idx="318">
                  <c:v>65.2173913043478</c:v>
                </c:pt>
                <c:pt idx="319">
                  <c:v>66.6666666666667</c:v>
                </c:pt>
                <c:pt idx="320">
                  <c:v>76.9230769230769</c:v>
                </c:pt>
                <c:pt idx="321">
                  <c:v>76.9230769230769</c:v>
                </c:pt>
                <c:pt idx="322">
                  <c:v>77.7777777777778</c:v>
                </c:pt>
                <c:pt idx="323">
                  <c:v>78.9473684210526</c:v>
                </c:pt>
                <c:pt idx="324">
                  <c:v>72.7272727272727</c:v>
                </c:pt>
                <c:pt idx="325">
                  <c:v>75</c:v>
                </c:pt>
                <c:pt idx="326">
                  <c:v>79.1666666666667</c:v>
                </c:pt>
                <c:pt idx="327">
                  <c:v>88.8888888888889</c:v>
                </c:pt>
                <c:pt idx="328">
                  <c:v>78.2608695652174</c:v>
                </c:pt>
                <c:pt idx="329">
                  <c:v>80</c:v>
                </c:pt>
                <c:pt idx="330">
                  <c:v>72.2222222222222</c:v>
                </c:pt>
                <c:pt idx="331">
                  <c:v>83.3333333333333</c:v>
                </c:pt>
                <c:pt idx="332">
                  <c:v>61.2903225806452</c:v>
                </c:pt>
                <c:pt idx="333">
                  <c:v>100</c:v>
                </c:pt>
                <c:pt idx="334">
                  <c:v>70.5882352941177</c:v>
                </c:pt>
                <c:pt idx="335">
                  <c:v>75</c:v>
                </c:pt>
                <c:pt idx="336">
                  <c:v>80</c:v>
                </c:pt>
                <c:pt idx="337">
                  <c:v>88.8888888888889</c:v>
                </c:pt>
                <c:pt idx="338">
                  <c:v>71</c:v>
                </c:pt>
                <c:pt idx="339">
                  <c:v>84</c:v>
                </c:pt>
                <c:pt idx="340">
                  <c:v>62.8571428571429</c:v>
                </c:pt>
                <c:pt idx="341">
                  <c:v>60</c:v>
                </c:pt>
                <c:pt idx="342">
                  <c:v>63.3333333333333</c:v>
                </c:pt>
                <c:pt idx="343">
                  <c:v>58.1395348837209</c:v>
                </c:pt>
              </c:numCache>
            </c:numRef>
          </c:yVal>
          <c:smooth val="0"/>
        </c:ser>
        <c:axId val="42450699"/>
        <c:axId val="64657207"/>
      </c:scatterChart>
      <c:valAx>
        <c:axId val="4245069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4657207"/>
        <c:crosses val="autoZero"/>
        <c:crossBetween val="midCat"/>
      </c:valAx>
      <c:valAx>
        <c:axId val="64657207"/>
        <c:scaling>
          <c:orientation val="minMax"/>
          <c:max val="100"/>
          <c:min val="5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2450699"/>
        <c:crosses val="autoZero"/>
        <c:crossBetween val="midCat"/>
        <c:majorUnit val="10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fr-FR" sz="1440" spc="-1" strike="noStrike">
                <a:solidFill>
                  <a:srgbClr val="595959"/>
                </a:solidFill>
                <a:latin typeface="Arial"/>
              </a:defRPr>
            </a:pPr>
            <a:r>
              <a:rPr b="0" lang="fr-FR" sz="1440" spc="-1" strike="noStrike">
                <a:solidFill>
                  <a:srgbClr val="595959"/>
                </a:solidFill>
                <a:latin typeface="Arial"/>
              </a:rPr>
              <a:t>Nombre de corrections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corrections!$B$18</c:f>
              <c:strCache>
                <c:ptCount val="1"/>
                <c:pt idx="0">
                  <c:v>Cumul</c:v>
                </c:pt>
              </c:strCache>
            </c:strRef>
          </c:tx>
          <c:spPr>
            <a:solidFill>
              <a:srgbClr val="ed7d31"/>
            </a:solidFill>
            <a:ln cap="rnd" w="1260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corrections!$B$19:$B$271</c:f>
              <c:numCache>
                <c:formatCode>General</c:formatCode>
                <c:ptCount val="253"/>
                <c:pt idx="0">
                  <c:v>41</c:v>
                </c:pt>
                <c:pt idx="1">
                  <c:v>82</c:v>
                </c:pt>
                <c:pt idx="2">
                  <c:v>114</c:v>
                </c:pt>
                <c:pt idx="3">
                  <c:v>165</c:v>
                </c:pt>
                <c:pt idx="4">
                  <c:v>203</c:v>
                </c:pt>
                <c:pt idx="5">
                  <c:v>240</c:v>
                </c:pt>
                <c:pt idx="6">
                  <c:v>243</c:v>
                </c:pt>
                <c:pt idx="7">
                  <c:v>279</c:v>
                </c:pt>
                <c:pt idx="8">
                  <c:v>299</c:v>
                </c:pt>
                <c:pt idx="9">
                  <c:v>340</c:v>
                </c:pt>
                <c:pt idx="10">
                  <c:v>370</c:v>
                </c:pt>
                <c:pt idx="11">
                  <c:v>401</c:v>
                </c:pt>
                <c:pt idx="12">
                  <c:v>428</c:v>
                </c:pt>
                <c:pt idx="13">
                  <c:v>463</c:v>
                </c:pt>
                <c:pt idx="14">
                  <c:v>486</c:v>
                </c:pt>
                <c:pt idx="15">
                  <c:v>516</c:v>
                </c:pt>
                <c:pt idx="16">
                  <c:v>533</c:v>
                </c:pt>
                <c:pt idx="17">
                  <c:v>550</c:v>
                </c:pt>
                <c:pt idx="18">
                  <c:v>576</c:v>
                </c:pt>
                <c:pt idx="19">
                  <c:v>594</c:v>
                </c:pt>
                <c:pt idx="20">
                  <c:v>617</c:v>
                </c:pt>
                <c:pt idx="21">
                  <c:v>636</c:v>
                </c:pt>
                <c:pt idx="22">
                  <c:v>664</c:v>
                </c:pt>
                <c:pt idx="23">
                  <c:v>680</c:v>
                </c:pt>
                <c:pt idx="24">
                  <c:v>695</c:v>
                </c:pt>
                <c:pt idx="25">
                  <c:v>711</c:v>
                </c:pt>
                <c:pt idx="26">
                  <c:v>724</c:v>
                </c:pt>
                <c:pt idx="27">
                  <c:v>738</c:v>
                </c:pt>
                <c:pt idx="28">
                  <c:v>750</c:v>
                </c:pt>
                <c:pt idx="29">
                  <c:v>765</c:v>
                </c:pt>
                <c:pt idx="30">
                  <c:v>776</c:v>
                </c:pt>
                <c:pt idx="31">
                  <c:v>798</c:v>
                </c:pt>
                <c:pt idx="32">
                  <c:v>810</c:v>
                </c:pt>
                <c:pt idx="33">
                  <c:v>826</c:v>
                </c:pt>
                <c:pt idx="34">
                  <c:v>842</c:v>
                </c:pt>
                <c:pt idx="35">
                  <c:v>853</c:v>
                </c:pt>
                <c:pt idx="36">
                  <c:v>867</c:v>
                </c:pt>
                <c:pt idx="37">
                  <c:v>876</c:v>
                </c:pt>
                <c:pt idx="38">
                  <c:v>888</c:v>
                </c:pt>
                <c:pt idx="39">
                  <c:v>892</c:v>
                </c:pt>
                <c:pt idx="40">
                  <c:v>905</c:v>
                </c:pt>
                <c:pt idx="41">
                  <c:v>922</c:v>
                </c:pt>
                <c:pt idx="42">
                  <c:v>934</c:v>
                </c:pt>
                <c:pt idx="43">
                  <c:v>949</c:v>
                </c:pt>
                <c:pt idx="44">
                  <c:v>964</c:v>
                </c:pt>
                <c:pt idx="45">
                  <c:v>974</c:v>
                </c:pt>
                <c:pt idx="46">
                  <c:v>980</c:v>
                </c:pt>
                <c:pt idx="47">
                  <c:v>990</c:v>
                </c:pt>
                <c:pt idx="48">
                  <c:v>999</c:v>
                </c:pt>
                <c:pt idx="49">
                  <c:v>1004</c:v>
                </c:pt>
                <c:pt idx="50">
                  <c:v>1021</c:v>
                </c:pt>
                <c:pt idx="51">
                  <c:v>1029</c:v>
                </c:pt>
                <c:pt idx="52">
                  <c:v>1040</c:v>
                </c:pt>
                <c:pt idx="53">
                  <c:v>1048</c:v>
                </c:pt>
                <c:pt idx="54">
                  <c:v>1051</c:v>
                </c:pt>
                <c:pt idx="55">
                  <c:v>1060</c:v>
                </c:pt>
                <c:pt idx="56">
                  <c:v>1067</c:v>
                </c:pt>
                <c:pt idx="57">
                  <c:v>1076</c:v>
                </c:pt>
                <c:pt idx="58">
                  <c:v>1086</c:v>
                </c:pt>
                <c:pt idx="59">
                  <c:v>1088</c:v>
                </c:pt>
                <c:pt idx="60">
                  <c:v>1094</c:v>
                </c:pt>
                <c:pt idx="61">
                  <c:v>1100</c:v>
                </c:pt>
                <c:pt idx="62">
                  <c:v>1108</c:v>
                </c:pt>
                <c:pt idx="63">
                  <c:v>1110</c:v>
                </c:pt>
                <c:pt idx="64">
                  <c:v>1113</c:v>
                </c:pt>
                <c:pt idx="65">
                  <c:v>1117</c:v>
                </c:pt>
                <c:pt idx="66">
                  <c:v>1122</c:v>
                </c:pt>
                <c:pt idx="67">
                  <c:v>1125</c:v>
                </c:pt>
                <c:pt idx="68">
                  <c:v>1128</c:v>
                </c:pt>
                <c:pt idx="69">
                  <c:v>1130</c:v>
                </c:pt>
                <c:pt idx="70">
                  <c:v>1133</c:v>
                </c:pt>
                <c:pt idx="71">
                  <c:v>1134</c:v>
                </c:pt>
                <c:pt idx="72">
                  <c:v>1138</c:v>
                </c:pt>
                <c:pt idx="73">
                  <c:v>1144</c:v>
                </c:pt>
                <c:pt idx="74">
                  <c:v>1148</c:v>
                </c:pt>
                <c:pt idx="75">
                  <c:v>1149</c:v>
                </c:pt>
                <c:pt idx="76">
                  <c:v>1151</c:v>
                </c:pt>
                <c:pt idx="77">
                  <c:v>1151</c:v>
                </c:pt>
                <c:pt idx="78">
                  <c:v>1153</c:v>
                </c:pt>
                <c:pt idx="79">
                  <c:v>1155</c:v>
                </c:pt>
                <c:pt idx="80">
                  <c:v>1155</c:v>
                </c:pt>
                <c:pt idx="81">
                  <c:v>1156</c:v>
                </c:pt>
                <c:pt idx="82">
                  <c:v>1156</c:v>
                </c:pt>
                <c:pt idx="83">
                  <c:v>1156</c:v>
                </c:pt>
                <c:pt idx="84">
                  <c:v>1157</c:v>
                </c:pt>
                <c:pt idx="85">
                  <c:v>1158</c:v>
                </c:pt>
                <c:pt idx="86">
                  <c:v>1161</c:v>
                </c:pt>
                <c:pt idx="87">
                  <c:v>1162</c:v>
                </c:pt>
                <c:pt idx="88">
                  <c:v>1163</c:v>
                </c:pt>
                <c:pt idx="89">
                  <c:v>1165</c:v>
                </c:pt>
                <c:pt idx="90">
                  <c:v>1168</c:v>
                </c:pt>
                <c:pt idx="91">
                  <c:v>1170</c:v>
                </c:pt>
                <c:pt idx="92">
                  <c:v>1171</c:v>
                </c:pt>
                <c:pt idx="93">
                  <c:v>1172</c:v>
                </c:pt>
                <c:pt idx="94">
                  <c:v>1173</c:v>
                </c:pt>
                <c:pt idx="95">
                  <c:v>1174</c:v>
                </c:pt>
                <c:pt idx="96">
                  <c:v>1175</c:v>
                </c:pt>
                <c:pt idx="97">
                  <c:v>1176</c:v>
                </c:pt>
                <c:pt idx="98">
                  <c:v>1179</c:v>
                </c:pt>
                <c:pt idx="99">
                  <c:v>1181</c:v>
                </c:pt>
                <c:pt idx="100">
                  <c:v>1183</c:v>
                </c:pt>
                <c:pt idx="101">
                  <c:v>1185</c:v>
                </c:pt>
                <c:pt idx="102">
                  <c:v>1187</c:v>
                </c:pt>
                <c:pt idx="103">
                  <c:v>1188</c:v>
                </c:pt>
                <c:pt idx="104">
                  <c:v>1188</c:v>
                </c:pt>
                <c:pt idx="105">
                  <c:v>1189</c:v>
                </c:pt>
                <c:pt idx="106">
                  <c:v>1189</c:v>
                </c:pt>
                <c:pt idx="107">
                  <c:v>1189</c:v>
                </c:pt>
                <c:pt idx="108">
                  <c:v>1190</c:v>
                </c:pt>
                <c:pt idx="109">
                  <c:v>1195</c:v>
                </c:pt>
                <c:pt idx="110">
                  <c:v>1195</c:v>
                </c:pt>
                <c:pt idx="111">
                  <c:v>1202</c:v>
                </c:pt>
                <c:pt idx="112">
                  <c:v>1203</c:v>
                </c:pt>
                <c:pt idx="113">
                  <c:v>1203</c:v>
                </c:pt>
                <c:pt idx="114">
                  <c:v>1204</c:v>
                </c:pt>
                <c:pt idx="115">
                  <c:v>1204</c:v>
                </c:pt>
                <c:pt idx="116">
                  <c:v>1204</c:v>
                </c:pt>
                <c:pt idx="117">
                  <c:v>1207</c:v>
                </c:pt>
                <c:pt idx="118">
                  <c:v>1208</c:v>
                </c:pt>
                <c:pt idx="119">
                  <c:v>1209</c:v>
                </c:pt>
                <c:pt idx="120">
                  <c:v>1209</c:v>
                </c:pt>
                <c:pt idx="121">
                  <c:v>1209</c:v>
                </c:pt>
                <c:pt idx="122">
                  <c:v>1210</c:v>
                </c:pt>
                <c:pt idx="123">
                  <c:v>1210</c:v>
                </c:pt>
                <c:pt idx="124">
                  <c:v>1212</c:v>
                </c:pt>
                <c:pt idx="125">
                  <c:v>1213</c:v>
                </c:pt>
                <c:pt idx="126">
                  <c:v>1215</c:v>
                </c:pt>
                <c:pt idx="127">
                  <c:v>1215</c:v>
                </c:pt>
                <c:pt idx="128">
                  <c:v>1216</c:v>
                </c:pt>
                <c:pt idx="129">
                  <c:v>1216</c:v>
                </c:pt>
                <c:pt idx="130">
                  <c:v>1218</c:v>
                </c:pt>
                <c:pt idx="131">
                  <c:v>1220</c:v>
                </c:pt>
                <c:pt idx="132">
                  <c:v>1223</c:v>
                </c:pt>
                <c:pt idx="133">
                  <c:v>1227</c:v>
                </c:pt>
                <c:pt idx="134">
                  <c:v>1229</c:v>
                </c:pt>
                <c:pt idx="135">
                  <c:v>1234</c:v>
                </c:pt>
                <c:pt idx="136">
                  <c:v>1245</c:v>
                </c:pt>
                <c:pt idx="137">
                  <c:v>1251</c:v>
                </c:pt>
                <c:pt idx="138">
                  <c:v>1252</c:v>
                </c:pt>
                <c:pt idx="139">
                  <c:v>1253</c:v>
                </c:pt>
                <c:pt idx="140">
                  <c:v>1255</c:v>
                </c:pt>
                <c:pt idx="141">
                  <c:v>1259</c:v>
                </c:pt>
                <c:pt idx="142">
                  <c:v>1261</c:v>
                </c:pt>
                <c:pt idx="143">
                  <c:v>1263</c:v>
                </c:pt>
                <c:pt idx="144">
                  <c:v>1268</c:v>
                </c:pt>
                <c:pt idx="145">
                  <c:v>1271</c:v>
                </c:pt>
                <c:pt idx="146">
                  <c:v>1275</c:v>
                </c:pt>
                <c:pt idx="147">
                  <c:v>1277</c:v>
                </c:pt>
                <c:pt idx="148">
                  <c:v>1281</c:v>
                </c:pt>
                <c:pt idx="149">
                  <c:v>1283</c:v>
                </c:pt>
                <c:pt idx="150">
                  <c:v>1284</c:v>
                </c:pt>
                <c:pt idx="151">
                  <c:v>1284</c:v>
                </c:pt>
                <c:pt idx="152">
                  <c:v>1288</c:v>
                </c:pt>
                <c:pt idx="153">
                  <c:v>1292</c:v>
                </c:pt>
                <c:pt idx="154">
                  <c:v>1294</c:v>
                </c:pt>
                <c:pt idx="155">
                  <c:v>1297</c:v>
                </c:pt>
                <c:pt idx="156">
                  <c:v>1297</c:v>
                </c:pt>
                <c:pt idx="157">
                  <c:v>1299</c:v>
                </c:pt>
                <c:pt idx="158">
                  <c:v>1300</c:v>
                </c:pt>
                <c:pt idx="159">
                  <c:v>1303</c:v>
                </c:pt>
                <c:pt idx="160">
                  <c:v>1321</c:v>
                </c:pt>
                <c:pt idx="161">
                  <c:v>1321</c:v>
                </c:pt>
                <c:pt idx="162">
                  <c:v>1323</c:v>
                </c:pt>
                <c:pt idx="163">
                  <c:v>1323</c:v>
                </c:pt>
                <c:pt idx="164">
                  <c:v>1324</c:v>
                </c:pt>
                <c:pt idx="165">
                  <c:v>1324</c:v>
                </c:pt>
                <c:pt idx="166">
                  <c:v>1325</c:v>
                </c:pt>
                <c:pt idx="167">
                  <c:v>1326</c:v>
                </c:pt>
                <c:pt idx="168">
                  <c:v>1327</c:v>
                </c:pt>
                <c:pt idx="169">
                  <c:v>1329</c:v>
                </c:pt>
                <c:pt idx="170">
                  <c:v>1329</c:v>
                </c:pt>
                <c:pt idx="171">
                  <c:v>1330</c:v>
                </c:pt>
                <c:pt idx="172">
                  <c:v>1331</c:v>
                </c:pt>
                <c:pt idx="173">
                  <c:v>1331</c:v>
                </c:pt>
                <c:pt idx="174">
                  <c:v>1334</c:v>
                </c:pt>
                <c:pt idx="175">
                  <c:v>1335</c:v>
                </c:pt>
                <c:pt idx="176">
                  <c:v>1337</c:v>
                </c:pt>
                <c:pt idx="177">
                  <c:v>1339</c:v>
                </c:pt>
                <c:pt idx="178">
                  <c:v>1340</c:v>
                </c:pt>
                <c:pt idx="179">
                  <c:v>1340</c:v>
                </c:pt>
                <c:pt idx="180">
                  <c:v>1340</c:v>
                </c:pt>
                <c:pt idx="181">
                  <c:v>1342</c:v>
                </c:pt>
                <c:pt idx="182">
                  <c:v>1342</c:v>
                </c:pt>
                <c:pt idx="183">
                  <c:v>1344</c:v>
                </c:pt>
                <c:pt idx="184">
                  <c:v>1345</c:v>
                </c:pt>
                <c:pt idx="185">
                  <c:v>1347</c:v>
                </c:pt>
                <c:pt idx="186">
                  <c:v>1348</c:v>
                </c:pt>
                <c:pt idx="187">
                  <c:v>1349</c:v>
                </c:pt>
                <c:pt idx="188">
                  <c:v>1349</c:v>
                </c:pt>
                <c:pt idx="189">
                  <c:v>1349</c:v>
                </c:pt>
                <c:pt idx="190">
                  <c:v>1349</c:v>
                </c:pt>
                <c:pt idx="191">
                  <c:v>1349</c:v>
                </c:pt>
                <c:pt idx="192">
                  <c:v>1349</c:v>
                </c:pt>
                <c:pt idx="193">
                  <c:v>1349</c:v>
                </c:pt>
                <c:pt idx="194">
                  <c:v>1350</c:v>
                </c:pt>
                <c:pt idx="195">
                  <c:v>1351</c:v>
                </c:pt>
                <c:pt idx="196">
                  <c:v>1352</c:v>
                </c:pt>
                <c:pt idx="197">
                  <c:v>1352</c:v>
                </c:pt>
                <c:pt idx="198">
                  <c:v>1354</c:v>
                </c:pt>
                <c:pt idx="199">
                  <c:v>1358</c:v>
                </c:pt>
                <c:pt idx="200">
                  <c:v>1359</c:v>
                </c:pt>
                <c:pt idx="201">
                  <c:v>1359</c:v>
                </c:pt>
                <c:pt idx="202">
                  <c:v>1360</c:v>
                </c:pt>
                <c:pt idx="203">
                  <c:v>1361</c:v>
                </c:pt>
                <c:pt idx="204">
                  <c:v>1361</c:v>
                </c:pt>
                <c:pt idx="205">
                  <c:v>1362</c:v>
                </c:pt>
                <c:pt idx="206">
                  <c:v>1364</c:v>
                </c:pt>
                <c:pt idx="207">
                  <c:v>1365</c:v>
                </c:pt>
                <c:pt idx="208">
                  <c:v>1365</c:v>
                </c:pt>
                <c:pt idx="209">
                  <c:v>1367</c:v>
                </c:pt>
                <c:pt idx="210">
                  <c:v>1369</c:v>
                </c:pt>
                <c:pt idx="211">
                  <c:v>1369</c:v>
                </c:pt>
                <c:pt idx="212">
                  <c:v>1369</c:v>
                </c:pt>
                <c:pt idx="213">
                  <c:v>1372</c:v>
                </c:pt>
                <c:pt idx="214">
                  <c:v>1372</c:v>
                </c:pt>
                <c:pt idx="215">
                  <c:v>1374</c:v>
                </c:pt>
                <c:pt idx="216">
                  <c:v>1376</c:v>
                </c:pt>
                <c:pt idx="217">
                  <c:v>1376</c:v>
                </c:pt>
                <c:pt idx="218">
                  <c:v>1378</c:v>
                </c:pt>
                <c:pt idx="219">
                  <c:v>1378</c:v>
                </c:pt>
                <c:pt idx="220">
                  <c:v>1379</c:v>
                </c:pt>
                <c:pt idx="221">
                  <c:v>1379</c:v>
                </c:pt>
                <c:pt idx="222">
                  <c:v>1381</c:v>
                </c:pt>
                <c:pt idx="223">
                  <c:v>1383</c:v>
                </c:pt>
                <c:pt idx="224">
                  <c:v>1383</c:v>
                </c:pt>
                <c:pt idx="225">
                  <c:v>1383</c:v>
                </c:pt>
                <c:pt idx="226">
                  <c:v>1386</c:v>
                </c:pt>
                <c:pt idx="227">
                  <c:v>1386</c:v>
                </c:pt>
                <c:pt idx="228">
                  <c:v>1387</c:v>
                </c:pt>
                <c:pt idx="229">
                  <c:v>1387</c:v>
                </c:pt>
                <c:pt idx="230">
                  <c:v>1389</c:v>
                </c:pt>
                <c:pt idx="231">
                  <c:v>1391</c:v>
                </c:pt>
                <c:pt idx="232">
                  <c:v>1391</c:v>
                </c:pt>
                <c:pt idx="233">
                  <c:v>1391</c:v>
                </c:pt>
                <c:pt idx="234">
                  <c:v>1392</c:v>
                </c:pt>
                <c:pt idx="235">
                  <c:v>1395</c:v>
                </c:pt>
                <c:pt idx="236">
                  <c:v>1396</c:v>
                </c:pt>
                <c:pt idx="237">
                  <c:v>1397</c:v>
                </c:pt>
                <c:pt idx="238">
                  <c:v>1397</c:v>
                </c:pt>
                <c:pt idx="239">
                  <c:v>1397</c:v>
                </c:pt>
                <c:pt idx="240">
                  <c:v>1398</c:v>
                </c:pt>
                <c:pt idx="241">
                  <c:v>1398</c:v>
                </c:pt>
                <c:pt idx="242">
                  <c:v>1398</c:v>
                </c:pt>
                <c:pt idx="243">
                  <c:v>1398</c:v>
                </c:pt>
                <c:pt idx="244">
                  <c:v>1398</c:v>
                </c:pt>
                <c:pt idx="245">
                  <c:v>1399</c:v>
                </c:pt>
                <c:pt idx="246">
                  <c:v>1399</c:v>
                </c:pt>
                <c:pt idx="247">
                  <c:v>1400</c:v>
                </c:pt>
                <c:pt idx="248">
                  <c:v>1401</c:v>
                </c:pt>
                <c:pt idx="249">
                  <c:v>1401</c:v>
                </c:pt>
                <c:pt idx="250">
                  <c:v>1401</c:v>
                </c:pt>
                <c:pt idx="251">
                  <c:v>1401</c:v>
                </c:pt>
                <c:pt idx="252">
                  <c:v>1403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85145282"/>
        <c:axId val="82011908"/>
      </c:lineChart>
      <c:scatterChart>
        <c:scatterStyle val="lineMarker"/>
        <c:varyColors val="0"/>
        <c:ser>
          <c:idx val="1"/>
          <c:order val="1"/>
          <c:tx>
            <c:strRef>
              <c:f>corrections!$A$18</c:f>
              <c:strCache>
                <c:ptCount val="1"/>
                <c:pt idx="0">
                  <c:v>Corrections</c:v>
                </c:pt>
              </c:strCache>
            </c:strRef>
          </c:tx>
          <c:spPr>
            <a:solidFill>
              <a:srgbClr val="ffc000"/>
            </a:solidFill>
            <a:ln w="25560">
              <a:noFill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28440">
                <a:solidFill>
                  <a:srgbClr val="000000"/>
                </a:solidFill>
                <a:round/>
              </a:ln>
            </c:spPr>
            <c:trendlineType val="movingAvg"/>
            <c:period val="7"/>
            <c:forward val="0"/>
            <c:backward val="0"/>
            <c:dispRSqr val="0"/>
            <c:dispEq val="0"/>
          </c:trendline>
          <c:yVal>
            <c:numRef>
              <c:f>corrections!$A$19:$A$271</c:f>
              <c:numCache>
                <c:formatCode>General</c:formatCode>
                <c:ptCount val="253"/>
                <c:pt idx="0">
                  <c:v>41</c:v>
                </c:pt>
                <c:pt idx="1">
                  <c:v>41</c:v>
                </c:pt>
                <c:pt idx="2">
                  <c:v>32</c:v>
                </c:pt>
                <c:pt idx="3">
                  <c:v>51</c:v>
                </c:pt>
                <c:pt idx="4">
                  <c:v>38</c:v>
                </c:pt>
                <c:pt idx="5">
                  <c:v>37</c:v>
                </c:pt>
                <c:pt idx="6">
                  <c:v>3</c:v>
                </c:pt>
                <c:pt idx="7">
                  <c:v>36</c:v>
                </c:pt>
                <c:pt idx="8">
                  <c:v>20</c:v>
                </c:pt>
                <c:pt idx="9">
                  <c:v>41</c:v>
                </c:pt>
                <c:pt idx="10">
                  <c:v>30</c:v>
                </c:pt>
                <c:pt idx="11">
                  <c:v>31</c:v>
                </c:pt>
                <c:pt idx="12">
                  <c:v>27</c:v>
                </c:pt>
                <c:pt idx="13">
                  <c:v>35</c:v>
                </c:pt>
                <c:pt idx="14">
                  <c:v>23</c:v>
                </c:pt>
                <c:pt idx="15">
                  <c:v>30</c:v>
                </c:pt>
                <c:pt idx="16">
                  <c:v>17</c:v>
                </c:pt>
                <c:pt idx="17">
                  <c:v>17</c:v>
                </c:pt>
                <c:pt idx="18">
                  <c:v>26</c:v>
                </c:pt>
                <c:pt idx="19">
                  <c:v>18</c:v>
                </c:pt>
                <c:pt idx="20">
                  <c:v>23</c:v>
                </c:pt>
                <c:pt idx="21">
                  <c:v>19</c:v>
                </c:pt>
                <c:pt idx="22">
                  <c:v>28</c:v>
                </c:pt>
                <c:pt idx="23">
                  <c:v>16</c:v>
                </c:pt>
                <c:pt idx="24">
                  <c:v>15</c:v>
                </c:pt>
                <c:pt idx="25">
                  <c:v>16</c:v>
                </c:pt>
                <c:pt idx="26">
                  <c:v>13</c:v>
                </c:pt>
                <c:pt idx="27">
                  <c:v>14</c:v>
                </c:pt>
                <c:pt idx="28">
                  <c:v>12</c:v>
                </c:pt>
                <c:pt idx="29">
                  <c:v>15</c:v>
                </c:pt>
                <c:pt idx="30">
                  <c:v>11</c:v>
                </c:pt>
                <c:pt idx="31">
                  <c:v>22</c:v>
                </c:pt>
                <c:pt idx="32">
                  <c:v>12</c:v>
                </c:pt>
                <c:pt idx="33">
                  <c:v>16</c:v>
                </c:pt>
                <c:pt idx="34">
                  <c:v>16</c:v>
                </c:pt>
                <c:pt idx="35">
                  <c:v>11</c:v>
                </c:pt>
                <c:pt idx="36">
                  <c:v>14</c:v>
                </c:pt>
                <c:pt idx="37">
                  <c:v>9</c:v>
                </c:pt>
                <c:pt idx="38">
                  <c:v>12</c:v>
                </c:pt>
                <c:pt idx="39">
                  <c:v>4</c:v>
                </c:pt>
                <c:pt idx="40">
                  <c:v>13</c:v>
                </c:pt>
                <c:pt idx="41">
                  <c:v>17</c:v>
                </c:pt>
                <c:pt idx="42">
                  <c:v>12</c:v>
                </c:pt>
                <c:pt idx="43">
                  <c:v>15</c:v>
                </c:pt>
                <c:pt idx="44">
                  <c:v>15</c:v>
                </c:pt>
                <c:pt idx="45">
                  <c:v>10</c:v>
                </c:pt>
                <c:pt idx="46">
                  <c:v>6</c:v>
                </c:pt>
                <c:pt idx="47">
                  <c:v>10</c:v>
                </c:pt>
                <c:pt idx="48">
                  <c:v>9</c:v>
                </c:pt>
                <c:pt idx="49">
                  <c:v>5</c:v>
                </c:pt>
                <c:pt idx="50">
                  <c:v>17</c:v>
                </c:pt>
                <c:pt idx="51">
                  <c:v>8</c:v>
                </c:pt>
                <c:pt idx="52">
                  <c:v>11</c:v>
                </c:pt>
                <c:pt idx="53">
                  <c:v>8</c:v>
                </c:pt>
                <c:pt idx="54">
                  <c:v>3</c:v>
                </c:pt>
                <c:pt idx="55">
                  <c:v>9</c:v>
                </c:pt>
                <c:pt idx="56">
                  <c:v>7</c:v>
                </c:pt>
                <c:pt idx="57">
                  <c:v>9</c:v>
                </c:pt>
                <c:pt idx="58">
                  <c:v>10</c:v>
                </c:pt>
                <c:pt idx="59">
                  <c:v>2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1</c:v>
                </c:pt>
                <c:pt idx="72">
                  <c:v>4</c:v>
                </c:pt>
                <c:pt idx="73">
                  <c:v>6</c:v>
                </c:pt>
                <c:pt idx="74">
                  <c:v>4</c:v>
                </c:pt>
                <c:pt idx="75">
                  <c:v>1</c:v>
                </c:pt>
                <c:pt idx="76">
                  <c:v>2</c:v>
                </c:pt>
                <c:pt idx="77">
                  <c:v>0</c:v>
                </c:pt>
                <c:pt idx="78">
                  <c:v>2</c:v>
                </c:pt>
                <c:pt idx="79">
                  <c:v>2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5</c:v>
                </c:pt>
                <c:pt idx="110">
                  <c:v>0</c:v>
                </c:pt>
                <c:pt idx="111">
                  <c:v>7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3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2</c:v>
                </c:pt>
                <c:pt idx="135">
                  <c:v>5</c:v>
                </c:pt>
                <c:pt idx="136">
                  <c:v>11</c:v>
                </c:pt>
                <c:pt idx="137">
                  <c:v>6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5</c:v>
                </c:pt>
                <c:pt idx="145">
                  <c:v>3</c:v>
                </c:pt>
                <c:pt idx="146">
                  <c:v>4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1</c:v>
                </c:pt>
                <c:pt idx="151">
                  <c:v>0</c:v>
                </c:pt>
                <c:pt idx="152">
                  <c:v>4</c:v>
                </c:pt>
                <c:pt idx="153">
                  <c:v>4</c:v>
                </c:pt>
                <c:pt idx="154">
                  <c:v>2</c:v>
                </c:pt>
                <c:pt idx="155">
                  <c:v>3</c:v>
                </c:pt>
                <c:pt idx="156">
                  <c:v>0</c:v>
                </c:pt>
                <c:pt idx="157">
                  <c:v>2</c:v>
                </c:pt>
                <c:pt idx="158">
                  <c:v>1</c:v>
                </c:pt>
                <c:pt idx="159">
                  <c:v>3</c:v>
                </c:pt>
                <c:pt idx="160">
                  <c:v>18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0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2</c:v>
                </c:pt>
                <c:pt idx="182">
                  <c:v>0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0</c:v>
                </c:pt>
                <c:pt idx="198">
                  <c:v>2</c:v>
                </c:pt>
                <c:pt idx="199">
                  <c:v>4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2</c:v>
                </c:pt>
                <c:pt idx="207">
                  <c:v>1</c:v>
                </c:pt>
                <c:pt idx="208">
                  <c:v>0</c:v>
                </c:pt>
                <c:pt idx="209">
                  <c:v>2</c:v>
                </c:pt>
                <c:pt idx="210">
                  <c:v>2</c:v>
                </c:pt>
                <c:pt idx="211">
                  <c:v>0</c:v>
                </c:pt>
                <c:pt idx="212">
                  <c:v>0</c:v>
                </c:pt>
                <c:pt idx="213">
                  <c:v>3</c:v>
                </c:pt>
                <c:pt idx="214">
                  <c:v>0</c:v>
                </c:pt>
                <c:pt idx="215">
                  <c:v>2</c:v>
                </c:pt>
                <c:pt idx="216">
                  <c:v>2</c:v>
                </c:pt>
                <c:pt idx="217">
                  <c:v>0</c:v>
                </c:pt>
                <c:pt idx="218">
                  <c:v>2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2</c:v>
                </c:pt>
                <c:pt idx="223">
                  <c:v>2</c:v>
                </c:pt>
                <c:pt idx="224">
                  <c:v>0</c:v>
                </c:pt>
                <c:pt idx="225">
                  <c:v>0</c:v>
                </c:pt>
                <c:pt idx="226">
                  <c:v>3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2</c:v>
                </c:pt>
                <c:pt idx="231">
                  <c:v>2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3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2</c:v>
                </c:pt>
              </c:numCache>
            </c:numRef>
          </c:yVal>
          <c:smooth val="0"/>
        </c:ser>
        <c:axId val="43503666"/>
        <c:axId val="18064046"/>
      </c:scatterChart>
      <c:valAx>
        <c:axId val="4350366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8064046"/>
        <c:crossBetween val="midCat"/>
      </c:valAx>
      <c:valAx>
        <c:axId val="18064046"/>
        <c:scaling>
          <c:orientation val="minMax"/>
          <c:max val="3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Arial"/>
              </a:defRPr>
            </a:pPr>
          </a:p>
        </c:txPr>
        <c:crossAx val="43503666"/>
        <c:crosses val="autoZero"/>
        <c:crossBetween val="midCat"/>
      </c:valAx>
      <c:catAx>
        <c:axId val="8514528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2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82011908"/>
        <c:auto val="1"/>
        <c:lblAlgn val="ctr"/>
        <c:lblOffset val="100"/>
        <c:noMultiLvlLbl val="0"/>
      </c:catAx>
      <c:valAx>
        <c:axId val="82011908"/>
        <c:scaling>
          <c:orientation val="minMax"/>
        </c:scaling>
        <c:delete val="0"/>
        <c:axPos val="r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200" spc="-1" strike="noStrike">
                <a:solidFill>
                  <a:srgbClr val="595959"/>
                </a:solidFill>
                <a:latin typeface="Arial"/>
              </a:defRPr>
            </a:pPr>
          </a:p>
        </c:txPr>
        <c:crossAx val="85145282"/>
        <c:crosses val="max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f4b183"/>
            </a:solidFill>
            <a:ln w="25560">
              <a:noFill/>
            </a:ln>
          </c:spPr>
          <c:marker>
            <c:symbol val="circle"/>
            <c:size val="3"/>
            <c:spPr>
              <a:solidFill>
                <a:srgbClr val="f4b183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voc!$D$2:$D$2270</c:f>
              <c:numCache>
                <c:formatCode>General</c:formatCode>
                <c:ptCount val="2269"/>
                <c:pt idx="0">
                  <c:v>9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13</c:v>
                </c:pt>
                <c:pt idx="6">
                  <c:v>7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9</c:v>
                </c:pt>
                <c:pt idx="11">
                  <c:v>1</c:v>
                </c:pt>
                <c:pt idx="12">
                  <c:v>17</c:v>
                </c:pt>
                <c:pt idx="13">
                  <c:v>16</c:v>
                </c:pt>
                <c:pt idx="14">
                  <c:v>16</c:v>
                </c:pt>
                <c:pt idx="15">
                  <c:v>13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17</c:v>
                </c:pt>
                <c:pt idx="22">
                  <c:v>5</c:v>
                </c:pt>
                <c:pt idx="23">
                  <c:v>16</c:v>
                </c:pt>
                <c:pt idx="24">
                  <c:v>8</c:v>
                </c:pt>
                <c:pt idx="25">
                  <c:v>8</c:v>
                </c:pt>
                <c:pt idx="26">
                  <c:v>9</c:v>
                </c:pt>
                <c:pt idx="27">
                  <c:v>8</c:v>
                </c:pt>
                <c:pt idx="28">
                  <c:v>12</c:v>
                </c:pt>
                <c:pt idx="29">
                  <c:v>9</c:v>
                </c:pt>
                <c:pt idx="30">
                  <c:v>15</c:v>
                </c:pt>
                <c:pt idx="31">
                  <c:v>4</c:v>
                </c:pt>
                <c:pt idx="32">
                  <c:v>5</c:v>
                </c:pt>
                <c:pt idx="33">
                  <c:v>16</c:v>
                </c:pt>
                <c:pt idx="34">
                  <c:v>11</c:v>
                </c:pt>
                <c:pt idx="35">
                  <c:v>12</c:v>
                </c:pt>
                <c:pt idx="36">
                  <c:v>6</c:v>
                </c:pt>
                <c:pt idx="37">
                  <c:v>12</c:v>
                </c:pt>
                <c:pt idx="38">
                  <c:v>18</c:v>
                </c:pt>
                <c:pt idx="39">
                  <c:v>7</c:v>
                </c:pt>
                <c:pt idx="40">
                  <c:v>7</c:v>
                </c:pt>
                <c:pt idx="41">
                  <c:v>15</c:v>
                </c:pt>
                <c:pt idx="42">
                  <c:v>8</c:v>
                </c:pt>
                <c:pt idx="43">
                  <c:v>8</c:v>
                </c:pt>
                <c:pt idx="44">
                  <c:v>16</c:v>
                </c:pt>
                <c:pt idx="45">
                  <c:v>9</c:v>
                </c:pt>
                <c:pt idx="46">
                  <c:v>10</c:v>
                </c:pt>
                <c:pt idx="47">
                  <c:v>12</c:v>
                </c:pt>
                <c:pt idx="48">
                  <c:v>12</c:v>
                </c:pt>
                <c:pt idx="49">
                  <c:v>16</c:v>
                </c:pt>
                <c:pt idx="50">
                  <c:v>8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8</c:v>
                </c:pt>
                <c:pt idx="60">
                  <c:v>8</c:v>
                </c:pt>
                <c:pt idx="61">
                  <c:v>9</c:v>
                </c:pt>
                <c:pt idx="62">
                  <c:v>8</c:v>
                </c:pt>
                <c:pt idx="63">
                  <c:v>7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9</c:v>
                </c:pt>
                <c:pt idx="68">
                  <c:v>9</c:v>
                </c:pt>
                <c:pt idx="69">
                  <c:v>11</c:v>
                </c:pt>
                <c:pt idx="70">
                  <c:v>15</c:v>
                </c:pt>
                <c:pt idx="71">
                  <c:v>6</c:v>
                </c:pt>
                <c:pt idx="72">
                  <c:v>12</c:v>
                </c:pt>
                <c:pt idx="73">
                  <c:v>10</c:v>
                </c:pt>
                <c:pt idx="74">
                  <c:v>3</c:v>
                </c:pt>
                <c:pt idx="75">
                  <c:v>15</c:v>
                </c:pt>
                <c:pt idx="76">
                  <c:v>13</c:v>
                </c:pt>
                <c:pt idx="77">
                  <c:v>10</c:v>
                </c:pt>
                <c:pt idx="78">
                  <c:v>10</c:v>
                </c:pt>
                <c:pt idx="79">
                  <c:v>12</c:v>
                </c:pt>
                <c:pt idx="80">
                  <c:v>7</c:v>
                </c:pt>
                <c:pt idx="81">
                  <c:v>4</c:v>
                </c:pt>
                <c:pt idx="82">
                  <c:v>9</c:v>
                </c:pt>
                <c:pt idx="83">
                  <c:v>13</c:v>
                </c:pt>
                <c:pt idx="84">
                  <c:v>11</c:v>
                </c:pt>
                <c:pt idx="85">
                  <c:v>21</c:v>
                </c:pt>
                <c:pt idx="86">
                  <c:v>7</c:v>
                </c:pt>
                <c:pt idx="87">
                  <c:v>9</c:v>
                </c:pt>
                <c:pt idx="88">
                  <c:v>10</c:v>
                </c:pt>
                <c:pt idx="89">
                  <c:v>11</c:v>
                </c:pt>
                <c:pt idx="90">
                  <c:v>12</c:v>
                </c:pt>
                <c:pt idx="91">
                  <c:v>10</c:v>
                </c:pt>
                <c:pt idx="92">
                  <c:v>13</c:v>
                </c:pt>
                <c:pt idx="93">
                  <c:v>16</c:v>
                </c:pt>
                <c:pt idx="94">
                  <c:v>10</c:v>
                </c:pt>
                <c:pt idx="95">
                  <c:v>10</c:v>
                </c:pt>
                <c:pt idx="96">
                  <c:v>9</c:v>
                </c:pt>
                <c:pt idx="97">
                  <c:v>9</c:v>
                </c:pt>
                <c:pt idx="98">
                  <c:v>8</c:v>
                </c:pt>
                <c:pt idx="99">
                  <c:v>8</c:v>
                </c:pt>
                <c:pt idx="100">
                  <c:v>10</c:v>
                </c:pt>
                <c:pt idx="101">
                  <c:v>3</c:v>
                </c:pt>
                <c:pt idx="102">
                  <c:v>4</c:v>
                </c:pt>
                <c:pt idx="103">
                  <c:v>4</c:v>
                </c:pt>
                <c:pt idx="104">
                  <c:v>5</c:v>
                </c:pt>
                <c:pt idx="105">
                  <c:v>4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10</c:v>
                </c:pt>
                <c:pt idx="121">
                  <c:v>9</c:v>
                </c:pt>
                <c:pt idx="122">
                  <c:v>8</c:v>
                </c:pt>
                <c:pt idx="123">
                  <c:v>12</c:v>
                </c:pt>
                <c:pt idx="124">
                  <c:v>10</c:v>
                </c:pt>
                <c:pt idx="125">
                  <c:v>8</c:v>
                </c:pt>
                <c:pt idx="126">
                  <c:v>11</c:v>
                </c:pt>
                <c:pt idx="127">
                  <c:v>6</c:v>
                </c:pt>
                <c:pt idx="128">
                  <c:v>13</c:v>
                </c:pt>
                <c:pt idx="129">
                  <c:v>13</c:v>
                </c:pt>
                <c:pt idx="130">
                  <c:v>11</c:v>
                </c:pt>
                <c:pt idx="131">
                  <c:v>9</c:v>
                </c:pt>
                <c:pt idx="132">
                  <c:v>10</c:v>
                </c:pt>
                <c:pt idx="133">
                  <c:v>15</c:v>
                </c:pt>
                <c:pt idx="134">
                  <c:v>11</c:v>
                </c:pt>
                <c:pt idx="135">
                  <c:v>6</c:v>
                </c:pt>
                <c:pt idx="136">
                  <c:v>12</c:v>
                </c:pt>
                <c:pt idx="137">
                  <c:v>7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11</c:v>
                </c:pt>
                <c:pt idx="142">
                  <c:v>12</c:v>
                </c:pt>
                <c:pt idx="143">
                  <c:v>13</c:v>
                </c:pt>
                <c:pt idx="144">
                  <c:v>15</c:v>
                </c:pt>
                <c:pt idx="145">
                  <c:v>10</c:v>
                </c:pt>
                <c:pt idx="146">
                  <c:v>10</c:v>
                </c:pt>
                <c:pt idx="147">
                  <c:v>8</c:v>
                </c:pt>
                <c:pt idx="148">
                  <c:v>9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7</c:v>
                </c:pt>
                <c:pt idx="155">
                  <c:v>9</c:v>
                </c:pt>
                <c:pt idx="156">
                  <c:v>9</c:v>
                </c:pt>
                <c:pt idx="157">
                  <c:v>7</c:v>
                </c:pt>
                <c:pt idx="158">
                  <c:v>8</c:v>
                </c:pt>
                <c:pt idx="159">
                  <c:v>15</c:v>
                </c:pt>
                <c:pt idx="160">
                  <c:v>15</c:v>
                </c:pt>
                <c:pt idx="161">
                  <c:v>5</c:v>
                </c:pt>
                <c:pt idx="162">
                  <c:v>13</c:v>
                </c:pt>
                <c:pt idx="163">
                  <c:v>21</c:v>
                </c:pt>
                <c:pt idx="164">
                  <c:v>4</c:v>
                </c:pt>
                <c:pt idx="165">
                  <c:v>10</c:v>
                </c:pt>
                <c:pt idx="166">
                  <c:v>7</c:v>
                </c:pt>
                <c:pt idx="167">
                  <c:v>18</c:v>
                </c:pt>
                <c:pt idx="168">
                  <c:v>6</c:v>
                </c:pt>
                <c:pt idx="169">
                  <c:v>17</c:v>
                </c:pt>
                <c:pt idx="170">
                  <c:v>6</c:v>
                </c:pt>
                <c:pt idx="171">
                  <c:v>6</c:v>
                </c:pt>
                <c:pt idx="172">
                  <c:v>7</c:v>
                </c:pt>
                <c:pt idx="173">
                  <c:v>7</c:v>
                </c:pt>
                <c:pt idx="174">
                  <c:v>10</c:v>
                </c:pt>
                <c:pt idx="175">
                  <c:v>10</c:v>
                </c:pt>
                <c:pt idx="176">
                  <c:v>15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20</c:v>
                </c:pt>
                <c:pt idx="181">
                  <c:v>11</c:v>
                </c:pt>
                <c:pt idx="182">
                  <c:v>11</c:v>
                </c:pt>
                <c:pt idx="183">
                  <c:v>13</c:v>
                </c:pt>
                <c:pt idx="184">
                  <c:v>10</c:v>
                </c:pt>
                <c:pt idx="185">
                  <c:v>10</c:v>
                </c:pt>
                <c:pt idx="186">
                  <c:v>1</c:v>
                </c:pt>
                <c:pt idx="187">
                  <c:v>5</c:v>
                </c:pt>
                <c:pt idx="188">
                  <c:v>6</c:v>
                </c:pt>
                <c:pt idx="189">
                  <c:v>7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5</c:v>
                </c:pt>
                <c:pt idx="194">
                  <c:v>5</c:v>
                </c:pt>
                <c:pt idx="195">
                  <c:v>8</c:v>
                </c:pt>
                <c:pt idx="196">
                  <c:v>12</c:v>
                </c:pt>
                <c:pt idx="197">
                  <c:v>12</c:v>
                </c:pt>
                <c:pt idx="198">
                  <c:v>9</c:v>
                </c:pt>
                <c:pt idx="199">
                  <c:v>4</c:v>
                </c:pt>
                <c:pt idx="200">
                  <c:v>20</c:v>
                </c:pt>
                <c:pt idx="201">
                  <c:v>10</c:v>
                </c:pt>
                <c:pt idx="202">
                  <c:v>11</c:v>
                </c:pt>
                <c:pt idx="203">
                  <c:v>7</c:v>
                </c:pt>
                <c:pt idx="204">
                  <c:v>17</c:v>
                </c:pt>
                <c:pt idx="205">
                  <c:v>8</c:v>
                </c:pt>
                <c:pt idx="206">
                  <c:v>6</c:v>
                </c:pt>
                <c:pt idx="207">
                  <c:v>9</c:v>
                </c:pt>
                <c:pt idx="208">
                  <c:v>7</c:v>
                </c:pt>
                <c:pt idx="209">
                  <c:v>7</c:v>
                </c:pt>
                <c:pt idx="210">
                  <c:v>12</c:v>
                </c:pt>
                <c:pt idx="211">
                  <c:v>12</c:v>
                </c:pt>
                <c:pt idx="212">
                  <c:v>15</c:v>
                </c:pt>
                <c:pt idx="213">
                  <c:v>8</c:v>
                </c:pt>
                <c:pt idx="214">
                  <c:v>23</c:v>
                </c:pt>
                <c:pt idx="215">
                  <c:v>6</c:v>
                </c:pt>
                <c:pt idx="216">
                  <c:v>10</c:v>
                </c:pt>
                <c:pt idx="217">
                  <c:v>10</c:v>
                </c:pt>
                <c:pt idx="218">
                  <c:v>7</c:v>
                </c:pt>
                <c:pt idx="219">
                  <c:v>15</c:v>
                </c:pt>
                <c:pt idx="220">
                  <c:v>13</c:v>
                </c:pt>
                <c:pt idx="221">
                  <c:v>9</c:v>
                </c:pt>
                <c:pt idx="222">
                  <c:v>9</c:v>
                </c:pt>
                <c:pt idx="223">
                  <c:v>6</c:v>
                </c:pt>
                <c:pt idx="224">
                  <c:v>14</c:v>
                </c:pt>
                <c:pt idx="225">
                  <c:v>8</c:v>
                </c:pt>
                <c:pt idx="226">
                  <c:v>8</c:v>
                </c:pt>
                <c:pt idx="227">
                  <c:v>9</c:v>
                </c:pt>
                <c:pt idx="228">
                  <c:v>10</c:v>
                </c:pt>
                <c:pt idx="229">
                  <c:v>11</c:v>
                </c:pt>
                <c:pt idx="230">
                  <c:v>12</c:v>
                </c:pt>
                <c:pt idx="231">
                  <c:v>17</c:v>
                </c:pt>
                <c:pt idx="232">
                  <c:v>18</c:v>
                </c:pt>
                <c:pt idx="233">
                  <c:v>11</c:v>
                </c:pt>
                <c:pt idx="234">
                  <c:v>10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3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6</c:v>
                </c:pt>
                <c:pt idx="245">
                  <c:v>5</c:v>
                </c:pt>
                <c:pt idx="246">
                  <c:v>5</c:v>
                </c:pt>
                <c:pt idx="247">
                  <c:v>6</c:v>
                </c:pt>
                <c:pt idx="248">
                  <c:v>7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9</c:v>
                </c:pt>
                <c:pt idx="253">
                  <c:v>10</c:v>
                </c:pt>
                <c:pt idx="254">
                  <c:v>14</c:v>
                </c:pt>
                <c:pt idx="255">
                  <c:v>10</c:v>
                </c:pt>
                <c:pt idx="256">
                  <c:v>9</c:v>
                </c:pt>
                <c:pt idx="257">
                  <c:v>12</c:v>
                </c:pt>
                <c:pt idx="258">
                  <c:v>13</c:v>
                </c:pt>
                <c:pt idx="259">
                  <c:v>7</c:v>
                </c:pt>
                <c:pt idx="260">
                  <c:v>9</c:v>
                </c:pt>
                <c:pt idx="261">
                  <c:v>6</c:v>
                </c:pt>
                <c:pt idx="262">
                  <c:v>9</c:v>
                </c:pt>
                <c:pt idx="263">
                  <c:v>13</c:v>
                </c:pt>
                <c:pt idx="264">
                  <c:v>8</c:v>
                </c:pt>
                <c:pt idx="265">
                  <c:v>8</c:v>
                </c:pt>
                <c:pt idx="266">
                  <c:v>11</c:v>
                </c:pt>
                <c:pt idx="267">
                  <c:v>12</c:v>
                </c:pt>
                <c:pt idx="268">
                  <c:v>12</c:v>
                </c:pt>
                <c:pt idx="269">
                  <c:v>17</c:v>
                </c:pt>
                <c:pt idx="270">
                  <c:v>10</c:v>
                </c:pt>
                <c:pt idx="271">
                  <c:v>8</c:v>
                </c:pt>
                <c:pt idx="272">
                  <c:v>8</c:v>
                </c:pt>
                <c:pt idx="273">
                  <c:v>6</c:v>
                </c:pt>
                <c:pt idx="274">
                  <c:v>9</c:v>
                </c:pt>
                <c:pt idx="275">
                  <c:v>6</c:v>
                </c:pt>
                <c:pt idx="276">
                  <c:v>10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9</c:v>
                </c:pt>
                <c:pt idx="281">
                  <c:v>8</c:v>
                </c:pt>
                <c:pt idx="282">
                  <c:v>7</c:v>
                </c:pt>
                <c:pt idx="283">
                  <c:v>8</c:v>
                </c:pt>
                <c:pt idx="284">
                  <c:v>12</c:v>
                </c:pt>
                <c:pt idx="285">
                  <c:v>8</c:v>
                </c:pt>
                <c:pt idx="286">
                  <c:v>17</c:v>
                </c:pt>
                <c:pt idx="287">
                  <c:v>9</c:v>
                </c:pt>
                <c:pt idx="288">
                  <c:v>11</c:v>
                </c:pt>
                <c:pt idx="289">
                  <c:v>11</c:v>
                </c:pt>
                <c:pt idx="290">
                  <c:v>12</c:v>
                </c:pt>
                <c:pt idx="291">
                  <c:v>12</c:v>
                </c:pt>
                <c:pt idx="292">
                  <c:v>6</c:v>
                </c:pt>
                <c:pt idx="293">
                  <c:v>13</c:v>
                </c:pt>
                <c:pt idx="294">
                  <c:v>16</c:v>
                </c:pt>
                <c:pt idx="295">
                  <c:v>15</c:v>
                </c:pt>
                <c:pt idx="296">
                  <c:v>10</c:v>
                </c:pt>
                <c:pt idx="297">
                  <c:v>10</c:v>
                </c:pt>
                <c:pt idx="298">
                  <c:v>10</c:v>
                </c:pt>
                <c:pt idx="299">
                  <c:v>8</c:v>
                </c:pt>
                <c:pt idx="300">
                  <c:v>8</c:v>
                </c:pt>
                <c:pt idx="301">
                  <c:v>10</c:v>
                </c:pt>
                <c:pt idx="302">
                  <c:v>9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3</c:v>
                </c:pt>
                <c:pt idx="307">
                  <c:v>4</c:v>
                </c:pt>
                <c:pt idx="308">
                  <c:v>4</c:v>
                </c:pt>
                <c:pt idx="309">
                  <c:v>5</c:v>
                </c:pt>
                <c:pt idx="310">
                  <c:v>7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15</c:v>
                </c:pt>
                <c:pt idx="315">
                  <c:v>9</c:v>
                </c:pt>
                <c:pt idx="316">
                  <c:v>3</c:v>
                </c:pt>
                <c:pt idx="317">
                  <c:v>5</c:v>
                </c:pt>
                <c:pt idx="318">
                  <c:v>12</c:v>
                </c:pt>
                <c:pt idx="319">
                  <c:v>8</c:v>
                </c:pt>
                <c:pt idx="320">
                  <c:v>7</c:v>
                </c:pt>
                <c:pt idx="321">
                  <c:v>12</c:v>
                </c:pt>
                <c:pt idx="322">
                  <c:v>9</c:v>
                </c:pt>
                <c:pt idx="323">
                  <c:v>22</c:v>
                </c:pt>
                <c:pt idx="324">
                  <c:v>9</c:v>
                </c:pt>
                <c:pt idx="325">
                  <c:v>6</c:v>
                </c:pt>
                <c:pt idx="326">
                  <c:v>3</c:v>
                </c:pt>
                <c:pt idx="327">
                  <c:v>11</c:v>
                </c:pt>
                <c:pt idx="328">
                  <c:v>15</c:v>
                </c:pt>
                <c:pt idx="329">
                  <c:v>15</c:v>
                </c:pt>
                <c:pt idx="330">
                  <c:v>7</c:v>
                </c:pt>
                <c:pt idx="331">
                  <c:v>11</c:v>
                </c:pt>
                <c:pt idx="332">
                  <c:v>5</c:v>
                </c:pt>
                <c:pt idx="333">
                  <c:v>12</c:v>
                </c:pt>
                <c:pt idx="334">
                  <c:v>11</c:v>
                </c:pt>
                <c:pt idx="335">
                  <c:v>14</c:v>
                </c:pt>
                <c:pt idx="336">
                  <c:v>10</c:v>
                </c:pt>
                <c:pt idx="337">
                  <c:v>15</c:v>
                </c:pt>
                <c:pt idx="338">
                  <c:v>9</c:v>
                </c:pt>
                <c:pt idx="339">
                  <c:v>14</c:v>
                </c:pt>
                <c:pt idx="340">
                  <c:v>10</c:v>
                </c:pt>
                <c:pt idx="341">
                  <c:v>10</c:v>
                </c:pt>
                <c:pt idx="342">
                  <c:v>6</c:v>
                </c:pt>
                <c:pt idx="343">
                  <c:v>7</c:v>
                </c:pt>
                <c:pt idx="344">
                  <c:v>7</c:v>
                </c:pt>
                <c:pt idx="345">
                  <c:v>8</c:v>
                </c:pt>
                <c:pt idx="346">
                  <c:v>9</c:v>
                </c:pt>
                <c:pt idx="347">
                  <c:v>27</c:v>
                </c:pt>
                <c:pt idx="348">
                  <c:v>10</c:v>
                </c:pt>
                <c:pt idx="349">
                  <c:v>10</c:v>
                </c:pt>
                <c:pt idx="350">
                  <c:v>12</c:v>
                </c:pt>
                <c:pt idx="351">
                  <c:v>10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10</c:v>
                </c:pt>
                <c:pt idx="357">
                  <c:v>10</c:v>
                </c:pt>
                <c:pt idx="358">
                  <c:v>9</c:v>
                </c:pt>
                <c:pt idx="359">
                  <c:v>8</c:v>
                </c:pt>
                <c:pt idx="360">
                  <c:v>8</c:v>
                </c:pt>
                <c:pt idx="361">
                  <c:v>5</c:v>
                </c:pt>
                <c:pt idx="362">
                  <c:v>5</c:v>
                </c:pt>
                <c:pt idx="363">
                  <c:v>6</c:v>
                </c:pt>
                <c:pt idx="364">
                  <c:v>7</c:v>
                </c:pt>
                <c:pt idx="365">
                  <c:v>9</c:v>
                </c:pt>
                <c:pt idx="366">
                  <c:v>10</c:v>
                </c:pt>
                <c:pt idx="367">
                  <c:v>9</c:v>
                </c:pt>
                <c:pt idx="368">
                  <c:v>12</c:v>
                </c:pt>
                <c:pt idx="369">
                  <c:v>11</c:v>
                </c:pt>
                <c:pt idx="370">
                  <c:v>10</c:v>
                </c:pt>
                <c:pt idx="371">
                  <c:v>10</c:v>
                </c:pt>
                <c:pt idx="372">
                  <c:v>6</c:v>
                </c:pt>
                <c:pt idx="373">
                  <c:v>5</c:v>
                </c:pt>
                <c:pt idx="374">
                  <c:v>9</c:v>
                </c:pt>
                <c:pt idx="375">
                  <c:v>4</c:v>
                </c:pt>
                <c:pt idx="376">
                  <c:v>6</c:v>
                </c:pt>
                <c:pt idx="377">
                  <c:v>8</c:v>
                </c:pt>
                <c:pt idx="378">
                  <c:v>6</c:v>
                </c:pt>
                <c:pt idx="379">
                  <c:v>10</c:v>
                </c:pt>
                <c:pt idx="380">
                  <c:v>12</c:v>
                </c:pt>
                <c:pt idx="381">
                  <c:v>11</c:v>
                </c:pt>
                <c:pt idx="382">
                  <c:v>11</c:v>
                </c:pt>
                <c:pt idx="383">
                  <c:v>8</c:v>
                </c:pt>
                <c:pt idx="384">
                  <c:v>5</c:v>
                </c:pt>
                <c:pt idx="385">
                  <c:v>13</c:v>
                </c:pt>
                <c:pt idx="386">
                  <c:v>13</c:v>
                </c:pt>
                <c:pt idx="387">
                  <c:v>7</c:v>
                </c:pt>
                <c:pt idx="388">
                  <c:v>12</c:v>
                </c:pt>
                <c:pt idx="389">
                  <c:v>9</c:v>
                </c:pt>
                <c:pt idx="390">
                  <c:v>15</c:v>
                </c:pt>
                <c:pt idx="391">
                  <c:v>4</c:v>
                </c:pt>
                <c:pt idx="392">
                  <c:v>13</c:v>
                </c:pt>
                <c:pt idx="393">
                  <c:v>9</c:v>
                </c:pt>
                <c:pt idx="394">
                  <c:v>9</c:v>
                </c:pt>
                <c:pt idx="395">
                  <c:v>7</c:v>
                </c:pt>
                <c:pt idx="396">
                  <c:v>7</c:v>
                </c:pt>
                <c:pt idx="397">
                  <c:v>15</c:v>
                </c:pt>
                <c:pt idx="398">
                  <c:v>12</c:v>
                </c:pt>
                <c:pt idx="399">
                  <c:v>8</c:v>
                </c:pt>
                <c:pt idx="400">
                  <c:v>13</c:v>
                </c:pt>
                <c:pt idx="401">
                  <c:v>12</c:v>
                </c:pt>
                <c:pt idx="402">
                  <c:v>10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8</c:v>
                </c:pt>
                <c:pt idx="408">
                  <c:v>9</c:v>
                </c:pt>
                <c:pt idx="409">
                  <c:v>9</c:v>
                </c:pt>
                <c:pt idx="410">
                  <c:v>10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6</c:v>
                </c:pt>
                <c:pt idx="415">
                  <c:v>7</c:v>
                </c:pt>
                <c:pt idx="416">
                  <c:v>6</c:v>
                </c:pt>
                <c:pt idx="417">
                  <c:v>6</c:v>
                </c:pt>
                <c:pt idx="418">
                  <c:v>7</c:v>
                </c:pt>
                <c:pt idx="419">
                  <c:v>7</c:v>
                </c:pt>
                <c:pt idx="420">
                  <c:v>10</c:v>
                </c:pt>
                <c:pt idx="421">
                  <c:v>4</c:v>
                </c:pt>
                <c:pt idx="422">
                  <c:v>11</c:v>
                </c:pt>
                <c:pt idx="423">
                  <c:v>13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11</c:v>
                </c:pt>
                <c:pt idx="428">
                  <c:v>7</c:v>
                </c:pt>
                <c:pt idx="429">
                  <c:v>8</c:v>
                </c:pt>
                <c:pt idx="430">
                  <c:v>7</c:v>
                </c:pt>
                <c:pt idx="431">
                  <c:v>10</c:v>
                </c:pt>
                <c:pt idx="432">
                  <c:v>8</c:v>
                </c:pt>
                <c:pt idx="433">
                  <c:v>8</c:v>
                </c:pt>
                <c:pt idx="434">
                  <c:v>10</c:v>
                </c:pt>
                <c:pt idx="435">
                  <c:v>14</c:v>
                </c:pt>
                <c:pt idx="436">
                  <c:v>7</c:v>
                </c:pt>
                <c:pt idx="437">
                  <c:v>11</c:v>
                </c:pt>
                <c:pt idx="438">
                  <c:v>11</c:v>
                </c:pt>
                <c:pt idx="439">
                  <c:v>11</c:v>
                </c:pt>
                <c:pt idx="440">
                  <c:v>9</c:v>
                </c:pt>
                <c:pt idx="441">
                  <c:v>12</c:v>
                </c:pt>
                <c:pt idx="442">
                  <c:v>12</c:v>
                </c:pt>
                <c:pt idx="443">
                  <c:v>5</c:v>
                </c:pt>
                <c:pt idx="444">
                  <c:v>20</c:v>
                </c:pt>
                <c:pt idx="445">
                  <c:v>17</c:v>
                </c:pt>
                <c:pt idx="446">
                  <c:v>9</c:v>
                </c:pt>
                <c:pt idx="447">
                  <c:v>10</c:v>
                </c:pt>
                <c:pt idx="448">
                  <c:v>6</c:v>
                </c:pt>
                <c:pt idx="449">
                  <c:v>7</c:v>
                </c:pt>
                <c:pt idx="450">
                  <c:v>8</c:v>
                </c:pt>
                <c:pt idx="451">
                  <c:v>17</c:v>
                </c:pt>
                <c:pt idx="452">
                  <c:v>9</c:v>
                </c:pt>
                <c:pt idx="453">
                  <c:v>11</c:v>
                </c:pt>
                <c:pt idx="454">
                  <c:v>11</c:v>
                </c:pt>
                <c:pt idx="455">
                  <c:v>12</c:v>
                </c:pt>
                <c:pt idx="456">
                  <c:v>12</c:v>
                </c:pt>
                <c:pt idx="457">
                  <c:v>13</c:v>
                </c:pt>
                <c:pt idx="458">
                  <c:v>15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8</c:v>
                </c:pt>
                <c:pt idx="466">
                  <c:v>8</c:v>
                </c:pt>
                <c:pt idx="467">
                  <c:v>10</c:v>
                </c:pt>
                <c:pt idx="468">
                  <c:v>9</c:v>
                </c:pt>
                <c:pt idx="469">
                  <c:v>10</c:v>
                </c:pt>
                <c:pt idx="470">
                  <c:v>9</c:v>
                </c:pt>
                <c:pt idx="471">
                  <c:v>4</c:v>
                </c:pt>
                <c:pt idx="472">
                  <c:v>3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8</c:v>
                </c:pt>
                <c:pt idx="478">
                  <c:v>6</c:v>
                </c:pt>
                <c:pt idx="479">
                  <c:v>8</c:v>
                </c:pt>
                <c:pt idx="480">
                  <c:v>9</c:v>
                </c:pt>
                <c:pt idx="481">
                  <c:v>11</c:v>
                </c:pt>
                <c:pt idx="482">
                  <c:v>12</c:v>
                </c:pt>
                <c:pt idx="483">
                  <c:v>12</c:v>
                </c:pt>
                <c:pt idx="484">
                  <c:v>11</c:v>
                </c:pt>
                <c:pt idx="485">
                  <c:v>9</c:v>
                </c:pt>
                <c:pt idx="486">
                  <c:v>7</c:v>
                </c:pt>
                <c:pt idx="487">
                  <c:v>7</c:v>
                </c:pt>
                <c:pt idx="488">
                  <c:v>10</c:v>
                </c:pt>
                <c:pt idx="489">
                  <c:v>14</c:v>
                </c:pt>
                <c:pt idx="490">
                  <c:v>6</c:v>
                </c:pt>
                <c:pt idx="491">
                  <c:v>11</c:v>
                </c:pt>
                <c:pt idx="492">
                  <c:v>16</c:v>
                </c:pt>
                <c:pt idx="493">
                  <c:v>10</c:v>
                </c:pt>
                <c:pt idx="494">
                  <c:v>9</c:v>
                </c:pt>
                <c:pt idx="495">
                  <c:v>11</c:v>
                </c:pt>
                <c:pt idx="496">
                  <c:v>14</c:v>
                </c:pt>
                <c:pt idx="497">
                  <c:v>10</c:v>
                </c:pt>
                <c:pt idx="498">
                  <c:v>11</c:v>
                </c:pt>
                <c:pt idx="499">
                  <c:v>9</c:v>
                </c:pt>
                <c:pt idx="500">
                  <c:v>11</c:v>
                </c:pt>
                <c:pt idx="501">
                  <c:v>11</c:v>
                </c:pt>
                <c:pt idx="502">
                  <c:v>14</c:v>
                </c:pt>
                <c:pt idx="503">
                  <c:v>7</c:v>
                </c:pt>
                <c:pt idx="504">
                  <c:v>14</c:v>
                </c:pt>
                <c:pt idx="505">
                  <c:v>12</c:v>
                </c:pt>
                <c:pt idx="506">
                  <c:v>8</c:v>
                </c:pt>
                <c:pt idx="507">
                  <c:v>12</c:v>
                </c:pt>
                <c:pt idx="508">
                  <c:v>10</c:v>
                </c:pt>
                <c:pt idx="509">
                  <c:v>4</c:v>
                </c:pt>
                <c:pt idx="510">
                  <c:v>8</c:v>
                </c:pt>
                <c:pt idx="511">
                  <c:v>9</c:v>
                </c:pt>
                <c:pt idx="512">
                  <c:v>10</c:v>
                </c:pt>
                <c:pt idx="513">
                  <c:v>8</c:v>
                </c:pt>
                <c:pt idx="514">
                  <c:v>10</c:v>
                </c:pt>
                <c:pt idx="515">
                  <c:v>10</c:v>
                </c:pt>
                <c:pt idx="516">
                  <c:v>8</c:v>
                </c:pt>
                <c:pt idx="517">
                  <c:v>8</c:v>
                </c:pt>
                <c:pt idx="518">
                  <c:v>10</c:v>
                </c:pt>
                <c:pt idx="519">
                  <c:v>6</c:v>
                </c:pt>
                <c:pt idx="520">
                  <c:v>6</c:v>
                </c:pt>
                <c:pt idx="521">
                  <c:v>6</c:v>
                </c:pt>
                <c:pt idx="522">
                  <c:v>7</c:v>
                </c:pt>
                <c:pt idx="523">
                  <c:v>7</c:v>
                </c:pt>
                <c:pt idx="524">
                  <c:v>19</c:v>
                </c:pt>
                <c:pt idx="525">
                  <c:v>10</c:v>
                </c:pt>
                <c:pt idx="526">
                  <c:v>10</c:v>
                </c:pt>
                <c:pt idx="527">
                  <c:v>9</c:v>
                </c:pt>
                <c:pt idx="528">
                  <c:v>7</c:v>
                </c:pt>
                <c:pt idx="529">
                  <c:v>5</c:v>
                </c:pt>
                <c:pt idx="530">
                  <c:v>12</c:v>
                </c:pt>
                <c:pt idx="531">
                  <c:v>11</c:v>
                </c:pt>
                <c:pt idx="532">
                  <c:v>8</c:v>
                </c:pt>
                <c:pt idx="533">
                  <c:v>4</c:v>
                </c:pt>
                <c:pt idx="534">
                  <c:v>11</c:v>
                </c:pt>
                <c:pt idx="535">
                  <c:v>12</c:v>
                </c:pt>
                <c:pt idx="536">
                  <c:v>11</c:v>
                </c:pt>
                <c:pt idx="537">
                  <c:v>8</c:v>
                </c:pt>
                <c:pt idx="538">
                  <c:v>9</c:v>
                </c:pt>
                <c:pt idx="539">
                  <c:v>10</c:v>
                </c:pt>
                <c:pt idx="540">
                  <c:v>10</c:v>
                </c:pt>
                <c:pt idx="541">
                  <c:v>9</c:v>
                </c:pt>
                <c:pt idx="542">
                  <c:v>11</c:v>
                </c:pt>
                <c:pt idx="543">
                  <c:v>10</c:v>
                </c:pt>
                <c:pt idx="544">
                  <c:v>9</c:v>
                </c:pt>
                <c:pt idx="545">
                  <c:v>9</c:v>
                </c:pt>
                <c:pt idx="546">
                  <c:v>14</c:v>
                </c:pt>
                <c:pt idx="547">
                  <c:v>12</c:v>
                </c:pt>
                <c:pt idx="548">
                  <c:v>6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10</c:v>
                </c:pt>
                <c:pt idx="553">
                  <c:v>23</c:v>
                </c:pt>
                <c:pt idx="554">
                  <c:v>5</c:v>
                </c:pt>
                <c:pt idx="555">
                  <c:v>12</c:v>
                </c:pt>
                <c:pt idx="556">
                  <c:v>14</c:v>
                </c:pt>
                <c:pt idx="557">
                  <c:v>11</c:v>
                </c:pt>
                <c:pt idx="558">
                  <c:v>15</c:v>
                </c:pt>
                <c:pt idx="559">
                  <c:v>8</c:v>
                </c:pt>
                <c:pt idx="560">
                  <c:v>9</c:v>
                </c:pt>
                <c:pt idx="561">
                  <c:v>23</c:v>
                </c:pt>
                <c:pt idx="562">
                  <c:v>14</c:v>
                </c:pt>
                <c:pt idx="563">
                  <c:v>17</c:v>
                </c:pt>
                <c:pt idx="564">
                  <c:v>16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9</c:v>
                </c:pt>
                <c:pt idx="570">
                  <c:v>10</c:v>
                </c:pt>
                <c:pt idx="571">
                  <c:v>9</c:v>
                </c:pt>
                <c:pt idx="572">
                  <c:v>5</c:v>
                </c:pt>
                <c:pt idx="573">
                  <c:v>5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4</c:v>
                </c:pt>
                <c:pt idx="579">
                  <c:v>15</c:v>
                </c:pt>
                <c:pt idx="580">
                  <c:v>16</c:v>
                </c:pt>
                <c:pt idx="581">
                  <c:v>6</c:v>
                </c:pt>
                <c:pt idx="582">
                  <c:v>11</c:v>
                </c:pt>
                <c:pt idx="583">
                  <c:v>9</c:v>
                </c:pt>
                <c:pt idx="584">
                  <c:v>9</c:v>
                </c:pt>
                <c:pt idx="585">
                  <c:v>8</c:v>
                </c:pt>
                <c:pt idx="586">
                  <c:v>22</c:v>
                </c:pt>
                <c:pt idx="587">
                  <c:v>14</c:v>
                </c:pt>
                <c:pt idx="588">
                  <c:v>8</c:v>
                </c:pt>
                <c:pt idx="589">
                  <c:v>6</c:v>
                </c:pt>
                <c:pt idx="590">
                  <c:v>12</c:v>
                </c:pt>
                <c:pt idx="591">
                  <c:v>5</c:v>
                </c:pt>
                <c:pt idx="592">
                  <c:v>13</c:v>
                </c:pt>
                <c:pt idx="593">
                  <c:v>10</c:v>
                </c:pt>
                <c:pt idx="594">
                  <c:v>10</c:v>
                </c:pt>
                <c:pt idx="595">
                  <c:v>20</c:v>
                </c:pt>
                <c:pt idx="596">
                  <c:v>7</c:v>
                </c:pt>
                <c:pt idx="597">
                  <c:v>11</c:v>
                </c:pt>
                <c:pt idx="598">
                  <c:v>17</c:v>
                </c:pt>
                <c:pt idx="599">
                  <c:v>6</c:v>
                </c:pt>
                <c:pt idx="600">
                  <c:v>7</c:v>
                </c:pt>
                <c:pt idx="601">
                  <c:v>8</c:v>
                </c:pt>
                <c:pt idx="602">
                  <c:v>8</c:v>
                </c:pt>
                <c:pt idx="603">
                  <c:v>10</c:v>
                </c:pt>
                <c:pt idx="604">
                  <c:v>11</c:v>
                </c:pt>
                <c:pt idx="605">
                  <c:v>11</c:v>
                </c:pt>
                <c:pt idx="606">
                  <c:v>13</c:v>
                </c:pt>
                <c:pt idx="607">
                  <c:v>13</c:v>
                </c:pt>
                <c:pt idx="608">
                  <c:v>14</c:v>
                </c:pt>
                <c:pt idx="609">
                  <c:v>14</c:v>
                </c:pt>
                <c:pt idx="610">
                  <c:v>14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9</c:v>
                </c:pt>
                <c:pt idx="615">
                  <c:v>9</c:v>
                </c:pt>
                <c:pt idx="616">
                  <c:v>9</c:v>
                </c:pt>
                <c:pt idx="617">
                  <c:v>4</c:v>
                </c:pt>
                <c:pt idx="618">
                  <c:v>5</c:v>
                </c:pt>
                <c:pt idx="619">
                  <c:v>5</c:v>
                </c:pt>
                <c:pt idx="620">
                  <c:v>6</c:v>
                </c:pt>
                <c:pt idx="621">
                  <c:v>7</c:v>
                </c:pt>
                <c:pt idx="622">
                  <c:v>7</c:v>
                </c:pt>
                <c:pt idx="623">
                  <c:v>7</c:v>
                </c:pt>
                <c:pt idx="624">
                  <c:v>11</c:v>
                </c:pt>
                <c:pt idx="625">
                  <c:v>12</c:v>
                </c:pt>
                <c:pt idx="626">
                  <c:v>12</c:v>
                </c:pt>
                <c:pt idx="627">
                  <c:v>9</c:v>
                </c:pt>
                <c:pt idx="628">
                  <c:v>12</c:v>
                </c:pt>
                <c:pt idx="629">
                  <c:v>9</c:v>
                </c:pt>
                <c:pt idx="630">
                  <c:v>9</c:v>
                </c:pt>
                <c:pt idx="631">
                  <c:v>6</c:v>
                </c:pt>
                <c:pt idx="632">
                  <c:v>5</c:v>
                </c:pt>
                <c:pt idx="633">
                  <c:v>15</c:v>
                </c:pt>
                <c:pt idx="634">
                  <c:v>9</c:v>
                </c:pt>
                <c:pt idx="635">
                  <c:v>9</c:v>
                </c:pt>
                <c:pt idx="636">
                  <c:v>8</c:v>
                </c:pt>
                <c:pt idx="637">
                  <c:v>14</c:v>
                </c:pt>
                <c:pt idx="638">
                  <c:v>13</c:v>
                </c:pt>
                <c:pt idx="639">
                  <c:v>12</c:v>
                </c:pt>
                <c:pt idx="640">
                  <c:v>9</c:v>
                </c:pt>
                <c:pt idx="641">
                  <c:v>11</c:v>
                </c:pt>
                <c:pt idx="642">
                  <c:v>5</c:v>
                </c:pt>
                <c:pt idx="643">
                  <c:v>7</c:v>
                </c:pt>
                <c:pt idx="644">
                  <c:v>14</c:v>
                </c:pt>
                <c:pt idx="645">
                  <c:v>8</c:v>
                </c:pt>
                <c:pt idx="646">
                  <c:v>11</c:v>
                </c:pt>
                <c:pt idx="647">
                  <c:v>10</c:v>
                </c:pt>
                <c:pt idx="648">
                  <c:v>16</c:v>
                </c:pt>
                <c:pt idx="649">
                  <c:v>7</c:v>
                </c:pt>
                <c:pt idx="650">
                  <c:v>7</c:v>
                </c:pt>
                <c:pt idx="651">
                  <c:v>13</c:v>
                </c:pt>
                <c:pt idx="652">
                  <c:v>11</c:v>
                </c:pt>
                <c:pt idx="653">
                  <c:v>14</c:v>
                </c:pt>
                <c:pt idx="654">
                  <c:v>18</c:v>
                </c:pt>
                <c:pt idx="655">
                  <c:v>13</c:v>
                </c:pt>
                <c:pt idx="656">
                  <c:v>10</c:v>
                </c:pt>
                <c:pt idx="657">
                  <c:v>7</c:v>
                </c:pt>
                <c:pt idx="658">
                  <c:v>7</c:v>
                </c:pt>
                <c:pt idx="659">
                  <c:v>7</c:v>
                </c:pt>
                <c:pt idx="660">
                  <c:v>9</c:v>
                </c:pt>
                <c:pt idx="661">
                  <c:v>14</c:v>
                </c:pt>
                <c:pt idx="662">
                  <c:v>10</c:v>
                </c:pt>
                <c:pt idx="663">
                  <c:v>5</c:v>
                </c:pt>
                <c:pt idx="664">
                  <c:v>15</c:v>
                </c:pt>
                <c:pt idx="665">
                  <c:v>16</c:v>
                </c:pt>
                <c:pt idx="666">
                  <c:v>9</c:v>
                </c:pt>
                <c:pt idx="667">
                  <c:v>11</c:v>
                </c:pt>
                <c:pt idx="668">
                  <c:v>11</c:v>
                </c:pt>
                <c:pt idx="669">
                  <c:v>12</c:v>
                </c:pt>
                <c:pt idx="670">
                  <c:v>6</c:v>
                </c:pt>
                <c:pt idx="671">
                  <c:v>10</c:v>
                </c:pt>
                <c:pt idx="672">
                  <c:v>10</c:v>
                </c:pt>
                <c:pt idx="673">
                  <c:v>7</c:v>
                </c:pt>
                <c:pt idx="674">
                  <c:v>7</c:v>
                </c:pt>
                <c:pt idx="675">
                  <c:v>16</c:v>
                </c:pt>
                <c:pt idx="676">
                  <c:v>17</c:v>
                </c:pt>
                <c:pt idx="677">
                  <c:v>12</c:v>
                </c:pt>
                <c:pt idx="678">
                  <c:v>12</c:v>
                </c:pt>
                <c:pt idx="679">
                  <c:v>12</c:v>
                </c:pt>
                <c:pt idx="680">
                  <c:v>13</c:v>
                </c:pt>
                <c:pt idx="681">
                  <c:v>13</c:v>
                </c:pt>
                <c:pt idx="682">
                  <c:v>15</c:v>
                </c:pt>
                <c:pt idx="683">
                  <c:v>16</c:v>
                </c:pt>
                <c:pt idx="684">
                  <c:v>16</c:v>
                </c:pt>
                <c:pt idx="685">
                  <c:v>17</c:v>
                </c:pt>
                <c:pt idx="686">
                  <c:v>17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</c:v>
                </c:pt>
                <c:pt idx="691">
                  <c:v>10</c:v>
                </c:pt>
                <c:pt idx="692">
                  <c:v>10</c:v>
                </c:pt>
                <c:pt idx="693">
                  <c:v>10</c:v>
                </c:pt>
                <c:pt idx="694">
                  <c:v>10</c:v>
                </c:pt>
                <c:pt idx="695">
                  <c:v>10</c:v>
                </c:pt>
                <c:pt idx="696">
                  <c:v>11</c:v>
                </c:pt>
                <c:pt idx="697">
                  <c:v>10</c:v>
                </c:pt>
                <c:pt idx="698">
                  <c:v>8</c:v>
                </c:pt>
                <c:pt idx="699">
                  <c:v>8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4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14</c:v>
                </c:pt>
                <c:pt idx="716">
                  <c:v>11</c:v>
                </c:pt>
                <c:pt idx="717">
                  <c:v>9</c:v>
                </c:pt>
                <c:pt idx="718">
                  <c:v>18</c:v>
                </c:pt>
                <c:pt idx="719">
                  <c:v>12</c:v>
                </c:pt>
                <c:pt idx="720">
                  <c:v>11</c:v>
                </c:pt>
                <c:pt idx="721">
                  <c:v>5</c:v>
                </c:pt>
                <c:pt idx="722">
                  <c:v>9</c:v>
                </c:pt>
                <c:pt idx="723">
                  <c:v>7</c:v>
                </c:pt>
                <c:pt idx="724">
                  <c:v>7</c:v>
                </c:pt>
                <c:pt idx="725">
                  <c:v>5</c:v>
                </c:pt>
                <c:pt idx="726">
                  <c:v>8</c:v>
                </c:pt>
                <c:pt idx="727">
                  <c:v>11</c:v>
                </c:pt>
                <c:pt idx="728">
                  <c:v>11</c:v>
                </c:pt>
                <c:pt idx="729">
                  <c:v>8</c:v>
                </c:pt>
                <c:pt idx="730">
                  <c:v>6</c:v>
                </c:pt>
                <c:pt idx="731">
                  <c:v>12</c:v>
                </c:pt>
                <c:pt idx="732">
                  <c:v>13</c:v>
                </c:pt>
                <c:pt idx="733">
                  <c:v>11</c:v>
                </c:pt>
                <c:pt idx="734">
                  <c:v>11</c:v>
                </c:pt>
                <c:pt idx="735">
                  <c:v>11</c:v>
                </c:pt>
                <c:pt idx="736">
                  <c:v>11</c:v>
                </c:pt>
                <c:pt idx="737">
                  <c:v>12</c:v>
                </c:pt>
                <c:pt idx="738">
                  <c:v>15</c:v>
                </c:pt>
                <c:pt idx="739">
                  <c:v>13</c:v>
                </c:pt>
                <c:pt idx="740">
                  <c:v>7</c:v>
                </c:pt>
                <c:pt idx="741">
                  <c:v>7</c:v>
                </c:pt>
                <c:pt idx="742">
                  <c:v>11</c:v>
                </c:pt>
                <c:pt idx="743">
                  <c:v>11</c:v>
                </c:pt>
                <c:pt idx="744">
                  <c:v>8</c:v>
                </c:pt>
                <c:pt idx="745">
                  <c:v>10</c:v>
                </c:pt>
                <c:pt idx="746">
                  <c:v>16</c:v>
                </c:pt>
                <c:pt idx="747">
                  <c:v>6</c:v>
                </c:pt>
                <c:pt idx="748">
                  <c:v>25</c:v>
                </c:pt>
                <c:pt idx="749">
                  <c:v>14</c:v>
                </c:pt>
                <c:pt idx="750">
                  <c:v>7</c:v>
                </c:pt>
                <c:pt idx="751">
                  <c:v>11</c:v>
                </c:pt>
                <c:pt idx="752">
                  <c:v>8</c:v>
                </c:pt>
                <c:pt idx="753">
                  <c:v>8</c:v>
                </c:pt>
                <c:pt idx="754">
                  <c:v>10</c:v>
                </c:pt>
                <c:pt idx="755">
                  <c:v>10</c:v>
                </c:pt>
                <c:pt idx="756">
                  <c:v>11</c:v>
                </c:pt>
                <c:pt idx="757">
                  <c:v>13</c:v>
                </c:pt>
                <c:pt idx="758">
                  <c:v>8</c:v>
                </c:pt>
                <c:pt idx="759">
                  <c:v>9</c:v>
                </c:pt>
                <c:pt idx="760">
                  <c:v>10</c:v>
                </c:pt>
                <c:pt idx="761">
                  <c:v>16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10</c:v>
                </c:pt>
                <c:pt idx="766">
                  <c:v>8</c:v>
                </c:pt>
                <c:pt idx="767">
                  <c:v>8</c:v>
                </c:pt>
                <c:pt idx="768">
                  <c:v>8</c:v>
                </c:pt>
                <c:pt idx="769">
                  <c:v>8</c:v>
                </c:pt>
                <c:pt idx="770">
                  <c:v>10</c:v>
                </c:pt>
                <c:pt idx="771">
                  <c:v>9</c:v>
                </c:pt>
                <c:pt idx="772">
                  <c:v>10</c:v>
                </c:pt>
                <c:pt idx="773">
                  <c:v>4</c:v>
                </c:pt>
                <c:pt idx="774">
                  <c:v>5</c:v>
                </c:pt>
                <c:pt idx="775">
                  <c:v>6</c:v>
                </c:pt>
                <c:pt idx="776">
                  <c:v>5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8</c:v>
                </c:pt>
                <c:pt idx="782">
                  <c:v>11</c:v>
                </c:pt>
                <c:pt idx="783">
                  <c:v>12</c:v>
                </c:pt>
                <c:pt idx="784">
                  <c:v>15</c:v>
                </c:pt>
                <c:pt idx="785">
                  <c:v>1</c:v>
                </c:pt>
                <c:pt idx="786">
                  <c:v>8</c:v>
                </c:pt>
                <c:pt idx="787">
                  <c:v>12</c:v>
                </c:pt>
                <c:pt idx="788">
                  <c:v>11</c:v>
                </c:pt>
                <c:pt idx="789">
                  <c:v>14</c:v>
                </c:pt>
                <c:pt idx="790">
                  <c:v>14</c:v>
                </c:pt>
                <c:pt idx="791">
                  <c:v>4</c:v>
                </c:pt>
                <c:pt idx="792">
                  <c:v>10</c:v>
                </c:pt>
                <c:pt idx="793">
                  <c:v>7</c:v>
                </c:pt>
                <c:pt idx="794">
                  <c:v>10</c:v>
                </c:pt>
                <c:pt idx="795">
                  <c:v>10</c:v>
                </c:pt>
                <c:pt idx="796">
                  <c:v>8</c:v>
                </c:pt>
                <c:pt idx="797">
                  <c:v>8</c:v>
                </c:pt>
                <c:pt idx="798">
                  <c:v>8</c:v>
                </c:pt>
                <c:pt idx="799">
                  <c:v>9</c:v>
                </c:pt>
                <c:pt idx="800">
                  <c:v>9</c:v>
                </c:pt>
                <c:pt idx="801">
                  <c:v>9</c:v>
                </c:pt>
                <c:pt idx="802">
                  <c:v>6</c:v>
                </c:pt>
                <c:pt idx="803">
                  <c:v>7</c:v>
                </c:pt>
                <c:pt idx="804">
                  <c:v>7</c:v>
                </c:pt>
                <c:pt idx="805">
                  <c:v>8</c:v>
                </c:pt>
                <c:pt idx="806">
                  <c:v>6</c:v>
                </c:pt>
                <c:pt idx="807">
                  <c:v>5</c:v>
                </c:pt>
                <c:pt idx="808">
                  <c:v>5</c:v>
                </c:pt>
                <c:pt idx="809">
                  <c:v>9</c:v>
                </c:pt>
                <c:pt idx="810">
                  <c:v>7</c:v>
                </c:pt>
                <c:pt idx="811">
                  <c:v>12</c:v>
                </c:pt>
                <c:pt idx="812">
                  <c:v>11</c:v>
                </c:pt>
                <c:pt idx="813">
                  <c:v>8</c:v>
                </c:pt>
                <c:pt idx="814">
                  <c:v>8</c:v>
                </c:pt>
                <c:pt idx="815">
                  <c:v>7</c:v>
                </c:pt>
                <c:pt idx="816">
                  <c:v>11</c:v>
                </c:pt>
                <c:pt idx="817">
                  <c:v>11</c:v>
                </c:pt>
                <c:pt idx="818">
                  <c:v>13</c:v>
                </c:pt>
                <c:pt idx="819">
                  <c:v>4</c:v>
                </c:pt>
                <c:pt idx="820">
                  <c:v>12</c:v>
                </c:pt>
                <c:pt idx="821">
                  <c:v>8</c:v>
                </c:pt>
                <c:pt idx="822">
                  <c:v>4</c:v>
                </c:pt>
                <c:pt idx="823">
                  <c:v>14</c:v>
                </c:pt>
                <c:pt idx="824">
                  <c:v>11</c:v>
                </c:pt>
                <c:pt idx="825">
                  <c:v>12</c:v>
                </c:pt>
                <c:pt idx="826">
                  <c:v>9</c:v>
                </c:pt>
                <c:pt idx="827">
                  <c:v>9</c:v>
                </c:pt>
                <c:pt idx="828">
                  <c:v>13</c:v>
                </c:pt>
                <c:pt idx="829">
                  <c:v>9</c:v>
                </c:pt>
                <c:pt idx="830">
                  <c:v>11</c:v>
                </c:pt>
                <c:pt idx="831">
                  <c:v>11</c:v>
                </c:pt>
                <c:pt idx="832">
                  <c:v>10</c:v>
                </c:pt>
                <c:pt idx="833">
                  <c:v>11</c:v>
                </c:pt>
                <c:pt idx="834">
                  <c:v>11</c:v>
                </c:pt>
                <c:pt idx="835">
                  <c:v>7</c:v>
                </c:pt>
                <c:pt idx="836">
                  <c:v>12</c:v>
                </c:pt>
                <c:pt idx="837">
                  <c:v>10</c:v>
                </c:pt>
                <c:pt idx="838">
                  <c:v>18</c:v>
                </c:pt>
                <c:pt idx="839">
                  <c:v>6</c:v>
                </c:pt>
                <c:pt idx="840">
                  <c:v>9</c:v>
                </c:pt>
                <c:pt idx="841">
                  <c:v>6</c:v>
                </c:pt>
                <c:pt idx="842">
                  <c:v>18</c:v>
                </c:pt>
                <c:pt idx="843">
                  <c:v>7</c:v>
                </c:pt>
                <c:pt idx="844">
                  <c:v>11</c:v>
                </c:pt>
                <c:pt idx="845">
                  <c:v>11</c:v>
                </c:pt>
                <c:pt idx="846">
                  <c:v>12</c:v>
                </c:pt>
                <c:pt idx="847">
                  <c:v>10</c:v>
                </c:pt>
                <c:pt idx="848">
                  <c:v>5</c:v>
                </c:pt>
                <c:pt idx="849">
                  <c:v>5</c:v>
                </c:pt>
                <c:pt idx="850">
                  <c:v>15</c:v>
                </c:pt>
                <c:pt idx="851">
                  <c:v>12</c:v>
                </c:pt>
                <c:pt idx="852">
                  <c:v>12</c:v>
                </c:pt>
                <c:pt idx="853">
                  <c:v>6</c:v>
                </c:pt>
                <c:pt idx="854">
                  <c:v>8</c:v>
                </c:pt>
                <c:pt idx="855">
                  <c:v>7</c:v>
                </c:pt>
                <c:pt idx="856">
                  <c:v>7</c:v>
                </c:pt>
                <c:pt idx="857">
                  <c:v>8</c:v>
                </c:pt>
                <c:pt idx="858">
                  <c:v>9</c:v>
                </c:pt>
                <c:pt idx="859">
                  <c:v>9</c:v>
                </c:pt>
                <c:pt idx="860">
                  <c:v>9</c:v>
                </c:pt>
                <c:pt idx="861">
                  <c:v>9</c:v>
                </c:pt>
                <c:pt idx="862">
                  <c:v>9</c:v>
                </c:pt>
                <c:pt idx="863">
                  <c:v>10</c:v>
                </c:pt>
                <c:pt idx="864">
                  <c:v>10</c:v>
                </c:pt>
                <c:pt idx="865">
                  <c:v>11</c:v>
                </c:pt>
                <c:pt idx="866">
                  <c:v>11</c:v>
                </c:pt>
                <c:pt idx="867">
                  <c:v>12</c:v>
                </c:pt>
                <c:pt idx="868">
                  <c:v>13</c:v>
                </c:pt>
                <c:pt idx="869">
                  <c:v>15</c:v>
                </c:pt>
                <c:pt idx="870">
                  <c:v>10</c:v>
                </c:pt>
                <c:pt idx="871">
                  <c:v>11</c:v>
                </c:pt>
                <c:pt idx="872">
                  <c:v>13</c:v>
                </c:pt>
                <c:pt idx="873">
                  <c:v>16</c:v>
                </c:pt>
                <c:pt idx="874">
                  <c:v>10</c:v>
                </c:pt>
                <c:pt idx="875">
                  <c:v>10</c:v>
                </c:pt>
                <c:pt idx="876">
                  <c:v>10</c:v>
                </c:pt>
                <c:pt idx="877">
                  <c:v>10</c:v>
                </c:pt>
                <c:pt idx="878">
                  <c:v>10</c:v>
                </c:pt>
                <c:pt idx="879">
                  <c:v>8</c:v>
                </c:pt>
                <c:pt idx="880">
                  <c:v>8</c:v>
                </c:pt>
                <c:pt idx="881">
                  <c:v>9</c:v>
                </c:pt>
                <c:pt idx="882">
                  <c:v>8</c:v>
                </c:pt>
                <c:pt idx="883">
                  <c:v>9</c:v>
                </c:pt>
                <c:pt idx="884">
                  <c:v>9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9</c:v>
                </c:pt>
                <c:pt idx="892">
                  <c:v>9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6</c:v>
                </c:pt>
                <c:pt idx="897">
                  <c:v>7</c:v>
                </c:pt>
                <c:pt idx="898">
                  <c:v>7</c:v>
                </c:pt>
                <c:pt idx="899">
                  <c:v>12</c:v>
                </c:pt>
                <c:pt idx="900">
                  <c:v>15</c:v>
                </c:pt>
                <c:pt idx="901">
                  <c:v>13</c:v>
                </c:pt>
                <c:pt idx="902">
                  <c:v>7</c:v>
                </c:pt>
                <c:pt idx="903">
                  <c:v>15</c:v>
                </c:pt>
                <c:pt idx="904">
                  <c:v>10</c:v>
                </c:pt>
                <c:pt idx="905">
                  <c:v>10</c:v>
                </c:pt>
                <c:pt idx="906">
                  <c:v>9</c:v>
                </c:pt>
                <c:pt idx="907">
                  <c:v>7</c:v>
                </c:pt>
                <c:pt idx="908">
                  <c:v>12</c:v>
                </c:pt>
                <c:pt idx="909">
                  <c:v>9</c:v>
                </c:pt>
                <c:pt idx="910">
                  <c:v>5</c:v>
                </c:pt>
                <c:pt idx="911">
                  <c:v>6</c:v>
                </c:pt>
                <c:pt idx="912">
                  <c:v>8</c:v>
                </c:pt>
                <c:pt idx="913">
                  <c:v>10</c:v>
                </c:pt>
                <c:pt idx="914">
                  <c:v>15</c:v>
                </c:pt>
                <c:pt idx="915">
                  <c:v>8</c:v>
                </c:pt>
                <c:pt idx="916">
                  <c:v>4</c:v>
                </c:pt>
                <c:pt idx="917">
                  <c:v>9</c:v>
                </c:pt>
                <c:pt idx="918">
                  <c:v>7</c:v>
                </c:pt>
                <c:pt idx="919">
                  <c:v>12</c:v>
                </c:pt>
                <c:pt idx="920">
                  <c:v>8</c:v>
                </c:pt>
                <c:pt idx="921">
                  <c:v>6</c:v>
                </c:pt>
                <c:pt idx="922">
                  <c:v>7</c:v>
                </c:pt>
                <c:pt idx="923">
                  <c:v>10</c:v>
                </c:pt>
                <c:pt idx="924">
                  <c:v>8</c:v>
                </c:pt>
                <c:pt idx="925">
                  <c:v>11</c:v>
                </c:pt>
                <c:pt idx="926">
                  <c:v>9</c:v>
                </c:pt>
                <c:pt idx="927">
                  <c:v>11</c:v>
                </c:pt>
                <c:pt idx="928">
                  <c:v>10</c:v>
                </c:pt>
                <c:pt idx="929">
                  <c:v>17</c:v>
                </c:pt>
                <c:pt idx="930">
                  <c:v>10</c:v>
                </c:pt>
                <c:pt idx="931">
                  <c:v>16</c:v>
                </c:pt>
                <c:pt idx="932">
                  <c:v>9</c:v>
                </c:pt>
                <c:pt idx="933">
                  <c:v>9</c:v>
                </c:pt>
                <c:pt idx="934">
                  <c:v>11</c:v>
                </c:pt>
                <c:pt idx="935">
                  <c:v>5</c:v>
                </c:pt>
                <c:pt idx="936">
                  <c:v>7</c:v>
                </c:pt>
                <c:pt idx="937">
                  <c:v>8</c:v>
                </c:pt>
                <c:pt idx="938">
                  <c:v>9</c:v>
                </c:pt>
                <c:pt idx="939">
                  <c:v>10</c:v>
                </c:pt>
                <c:pt idx="940">
                  <c:v>12</c:v>
                </c:pt>
                <c:pt idx="941">
                  <c:v>11</c:v>
                </c:pt>
                <c:pt idx="942">
                  <c:v>14</c:v>
                </c:pt>
                <c:pt idx="943">
                  <c:v>6</c:v>
                </c:pt>
                <c:pt idx="944">
                  <c:v>8</c:v>
                </c:pt>
                <c:pt idx="945">
                  <c:v>21</c:v>
                </c:pt>
                <c:pt idx="946">
                  <c:v>10</c:v>
                </c:pt>
                <c:pt idx="947">
                  <c:v>10</c:v>
                </c:pt>
                <c:pt idx="948">
                  <c:v>8</c:v>
                </c:pt>
                <c:pt idx="949">
                  <c:v>11</c:v>
                </c:pt>
                <c:pt idx="950">
                  <c:v>5</c:v>
                </c:pt>
                <c:pt idx="951">
                  <c:v>8</c:v>
                </c:pt>
                <c:pt idx="952">
                  <c:v>12</c:v>
                </c:pt>
                <c:pt idx="953">
                  <c:v>8</c:v>
                </c:pt>
                <c:pt idx="954">
                  <c:v>13</c:v>
                </c:pt>
                <c:pt idx="955">
                  <c:v>14</c:v>
                </c:pt>
                <c:pt idx="956">
                  <c:v>14</c:v>
                </c:pt>
                <c:pt idx="957">
                  <c:v>10</c:v>
                </c:pt>
                <c:pt idx="958">
                  <c:v>8</c:v>
                </c:pt>
                <c:pt idx="959">
                  <c:v>4</c:v>
                </c:pt>
                <c:pt idx="960">
                  <c:v>7</c:v>
                </c:pt>
                <c:pt idx="961">
                  <c:v>10</c:v>
                </c:pt>
                <c:pt idx="962">
                  <c:v>11</c:v>
                </c:pt>
                <c:pt idx="963">
                  <c:v>6</c:v>
                </c:pt>
                <c:pt idx="964">
                  <c:v>14</c:v>
                </c:pt>
                <c:pt idx="965">
                  <c:v>14</c:v>
                </c:pt>
                <c:pt idx="966">
                  <c:v>8</c:v>
                </c:pt>
                <c:pt idx="967">
                  <c:v>11</c:v>
                </c:pt>
                <c:pt idx="968">
                  <c:v>13</c:v>
                </c:pt>
                <c:pt idx="969">
                  <c:v>11</c:v>
                </c:pt>
                <c:pt idx="970">
                  <c:v>12</c:v>
                </c:pt>
                <c:pt idx="971">
                  <c:v>12</c:v>
                </c:pt>
                <c:pt idx="972">
                  <c:v>18</c:v>
                </c:pt>
                <c:pt idx="973">
                  <c:v>10</c:v>
                </c:pt>
                <c:pt idx="974">
                  <c:v>13</c:v>
                </c:pt>
                <c:pt idx="975">
                  <c:v>16</c:v>
                </c:pt>
                <c:pt idx="976">
                  <c:v>6</c:v>
                </c:pt>
                <c:pt idx="977">
                  <c:v>9</c:v>
                </c:pt>
                <c:pt idx="978">
                  <c:v>13</c:v>
                </c:pt>
                <c:pt idx="979">
                  <c:v>8</c:v>
                </c:pt>
                <c:pt idx="980">
                  <c:v>9</c:v>
                </c:pt>
                <c:pt idx="981">
                  <c:v>3</c:v>
                </c:pt>
                <c:pt idx="982">
                  <c:v>7</c:v>
                </c:pt>
                <c:pt idx="983">
                  <c:v>11</c:v>
                </c:pt>
                <c:pt idx="984">
                  <c:v>13</c:v>
                </c:pt>
                <c:pt idx="985">
                  <c:v>12</c:v>
                </c:pt>
                <c:pt idx="986">
                  <c:v>9</c:v>
                </c:pt>
                <c:pt idx="987">
                  <c:v>15</c:v>
                </c:pt>
                <c:pt idx="988">
                  <c:v>11</c:v>
                </c:pt>
                <c:pt idx="989">
                  <c:v>6</c:v>
                </c:pt>
                <c:pt idx="990">
                  <c:v>10</c:v>
                </c:pt>
                <c:pt idx="991">
                  <c:v>7</c:v>
                </c:pt>
                <c:pt idx="992">
                  <c:v>8</c:v>
                </c:pt>
                <c:pt idx="993">
                  <c:v>7</c:v>
                </c:pt>
                <c:pt idx="994">
                  <c:v>12</c:v>
                </c:pt>
                <c:pt idx="995">
                  <c:v>9</c:v>
                </c:pt>
                <c:pt idx="996">
                  <c:v>14</c:v>
                </c:pt>
                <c:pt idx="997">
                  <c:v>12</c:v>
                </c:pt>
                <c:pt idx="998">
                  <c:v>13</c:v>
                </c:pt>
                <c:pt idx="999">
                  <c:v>12</c:v>
                </c:pt>
                <c:pt idx="1000">
                  <c:v>14</c:v>
                </c:pt>
                <c:pt idx="1001">
                  <c:v>8</c:v>
                </c:pt>
                <c:pt idx="1002">
                  <c:v>7</c:v>
                </c:pt>
                <c:pt idx="1003">
                  <c:v>14</c:v>
                </c:pt>
                <c:pt idx="1004">
                  <c:v>15</c:v>
                </c:pt>
                <c:pt idx="1005">
                  <c:v>13</c:v>
                </c:pt>
                <c:pt idx="1006">
                  <c:v>10</c:v>
                </c:pt>
                <c:pt idx="1007">
                  <c:v>11</c:v>
                </c:pt>
                <c:pt idx="1008">
                  <c:v>8</c:v>
                </c:pt>
                <c:pt idx="1009">
                  <c:v>9</c:v>
                </c:pt>
                <c:pt idx="1010">
                  <c:v>14</c:v>
                </c:pt>
                <c:pt idx="1011">
                  <c:v>14</c:v>
                </c:pt>
                <c:pt idx="1012">
                  <c:v>12</c:v>
                </c:pt>
                <c:pt idx="1013">
                  <c:v>10</c:v>
                </c:pt>
                <c:pt idx="1014">
                  <c:v>12</c:v>
                </c:pt>
                <c:pt idx="1015">
                  <c:v>8</c:v>
                </c:pt>
                <c:pt idx="1016">
                  <c:v>13</c:v>
                </c:pt>
                <c:pt idx="1017">
                  <c:v>10</c:v>
                </c:pt>
                <c:pt idx="1018">
                  <c:v>9</c:v>
                </c:pt>
                <c:pt idx="1019">
                  <c:v>8</c:v>
                </c:pt>
                <c:pt idx="1020">
                  <c:v>16</c:v>
                </c:pt>
                <c:pt idx="1021">
                  <c:v>12</c:v>
                </c:pt>
                <c:pt idx="1022">
                  <c:v>14</c:v>
                </c:pt>
                <c:pt idx="1023">
                  <c:v>14</c:v>
                </c:pt>
                <c:pt idx="1024">
                  <c:v>10</c:v>
                </c:pt>
                <c:pt idx="1025">
                  <c:v>14</c:v>
                </c:pt>
                <c:pt idx="1026">
                  <c:v>8</c:v>
                </c:pt>
                <c:pt idx="1027">
                  <c:v>8</c:v>
                </c:pt>
                <c:pt idx="1028">
                  <c:v>10</c:v>
                </c:pt>
                <c:pt idx="1029">
                  <c:v>8</c:v>
                </c:pt>
                <c:pt idx="1030">
                  <c:v>11</c:v>
                </c:pt>
                <c:pt idx="1031">
                  <c:v>15</c:v>
                </c:pt>
                <c:pt idx="1032">
                  <c:v>7</c:v>
                </c:pt>
                <c:pt idx="1033">
                  <c:v>11</c:v>
                </c:pt>
                <c:pt idx="1034">
                  <c:v>4</c:v>
                </c:pt>
                <c:pt idx="1035">
                  <c:v>12</c:v>
                </c:pt>
                <c:pt idx="1036">
                  <c:v>10</c:v>
                </c:pt>
                <c:pt idx="1037">
                  <c:v>10</c:v>
                </c:pt>
                <c:pt idx="1038">
                  <c:v>7</c:v>
                </c:pt>
                <c:pt idx="1039">
                  <c:v>16</c:v>
                </c:pt>
                <c:pt idx="1040">
                  <c:v>13</c:v>
                </c:pt>
                <c:pt idx="1041">
                  <c:v>3</c:v>
                </c:pt>
                <c:pt idx="1042">
                  <c:v>10</c:v>
                </c:pt>
                <c:pt idx="1043">
                  <c:v>10</c:v>
                </c:pt>
                <c:pt idx="1044">
                  <c:v>11</c:v>
                </c:pt>
                <c:pt idx="1045">
                  <c:v>14</c:v>
                </c:pt>
                <c:pt idx="1046">
                  <c:v>15</c:v>
                </c:pt>
                <c:pt idx="1047">
                  <c:v>12</c:v>
                </c:pt>
                <c:pt idx="1048">
                  <c:v>10</c:v>
                </c:pt>
                <c:pt idx="1049">
                  <c:v>5</c:v>
                </c:pt>
                <c:pt idx="1050">
                  <c:v>6</c:v>
                </c:pt>
                <c:pt idx="1051">
                  <c:v>7</c:v>
                </c:pt>
                <c:pt idx="1052">
                  <c:v>7</c:v>
                </c:pt>
                <c:pt idx="1053">
                  <c:v>7</c:v>
                </c:pt>
                <c:pt idx="1054">
                  <c:v>9</c:v>
                </c:pt>
                <c:pt idx="1055">
                  <c:v>9</c:v>
                </c:pt>
                <c:pt idx="1056">
                  <c:v>10</c:v>
                </c:pt>
                <c:pt idx="1057">
                  <c:v>11</c:v>
                </c:pt>
                <c:pt idx="1058">
                  <c:v>7</c:v>
                </c:pt>
                <c:pt idx="1059">
                  <c:v>10</c:v>
                </c:pt>
                <c:pt idx="1060">
                  <c:v>4</c:v>
                </c:pt>
                <c:pt idx="1061">
                  <c:v>10</c:v>
                </c:pt>
                <c:pt idx="1062">
                  <c:v>13</c:v>
                </c:pt>
                <c:pt idx="1063">
                  <c:v>7</c:v>
                </c:pt>
                <c:pt idx="1064">
                  <c:v>15</c:v>
                </c:pt>
                <c:pt idx="1065">
                  <c:v>23</c:v>
                </c:pt>
                <c:pt idx="1066">
                  <c:v>14</c:v>
                </c:pt>
                <c:pt idx="1067">
                  <c:v>11</c:v>
                </c:pt>
                <c:pt idx="1068">
                  <c:v>16</c:v>
                </c:pt>
                <c:pt idx="1069">
                  <c:v>16</c:v>
                </c:pt>
                <c:pt idx="1070">
                  <c:v>10</c:v>
                </c:pt>
                <c:pt idx="1071">
                  <c:v>10</c:v>
                </c:pt>
                <c:pt idx="1072">
                  <c:v>11</c:v>
                </c:pt>
                <c:pt idx="1073">
                  <c:v>9</c:v>
                </c:pt>
                <c:pt idx="1074">
                  <c:v>9</c:v>
                </c:pt>
                <c:pt idx="1075">
                  <c:v>6</c:v>
                </c:pt>
                <c:pt idx="1076">
                  <c:v>6</c:v>
                </c:pt>
                <c:pt idx="1077">
                  <c:v>7</c:v>
                </c:pt>
                <c:pt idx="1078">
                  <c:v>12</c:v>
                </c:pt>
                <c:pt idx="1079">
                  <c:v>12</c:v>
                </c:pt>
                <c:pt idx="1080">
                  <c:v>5</c:v>
                </c:pt>
                <c:pt idx="1081">
                  <c:v>10</c:v>
                </c:pt>
                <c:pt idx="1082">
                  <c:v>7</c:v>
                </c:pt>
                <c:pt idx="1083">
                  <c:v>5</c:v>
                </c:pt>
                <c:pt idx="1084">
                  <c:v>9</c:v>
                </c:pt>
                <c:pt idx="1085">
                  <c:v>9</c:v>
                </c:pt>
                <c:pt idx="1086">
                  <c:v>8</c:v>
                </c:pt>
                <c:pt idx="1087">
                  <c:v>9</c:v>
                </c:pt>
                <c:pt idx="1088">
                  <c:v>6</c:v>
                </c:pt>
                <c:pt idx="1089">
                  <c:v>12</c:v>
                </c:pt>
                <c:pt idx="1090">
                  <c:v>10</c:v>
                </c:pt>
                <c:pt idx="1091">
                  <c:v>10</c:v>
                </c:pt>
                <c:pt idx="1092">
                  <c:v>8</c:v>
                </c:pt>
                <c:pt idx="1093">
                  <c:v>8</c:v>
                </c:pt>
                <c:pt idx="1094">
                  <c:v>7</c:v>
                </c:pt>
                <c:pt idx="1095">
                  <c:v>7</c:v>
                </c:pt>
                <c:pt idx="1096">
                  <c:v>11</c:v>
                </c:pt>
                <c:pt idx="1097">
                  <c:v>11</c:v>
                </c:pt>
                <c:pt idx="1098">
                  <c:v>14</c:v>
                </c:pt>
                <c:pt idx="1099">
                  <c:v>9</c:v>
                </c:pt>
                <c:pt idx="1100">
                  <c:v>9</c:v>
                </c:pt>
                <c:pt idx="1101">
                  <c:v>9</c:v>
                </c:pt>
                <c:pt idx="1102">
                  <c:v>13</c:v>
                </c:pt>
                <c:pt idx="1103">
                  <c:v>4</c:v>
                </c:pt>
                <c:pt idx="1104">
                  <c:v>4</c:v>
                </c:pt>
                <c:pt idx="1105">
                  <c:v>11</c:v>
                </c:pt>
                <c:pt idx="1106">
                  <c:v>13</c:v>
                </c:pt>
                <c:pt idx="1107">
                  <c:v>9</c:v>
                </c:pt>
                <c:pt idx="1108">
                  <c:v>15</c:v>
                </c:pt>
                <c:pt idx="1109">
                  <c:v>8</c:v>
                </c:pt>
                <c:pt idx="1110">
                  <c:v>13</c:v>
                </c:pt>
                <c:pt idx="1111">
                  <c:v>9</c:v>
                </c:pt>
                <c:pt idx="1112">
                  <c:v>10</c:v>
                </c:pt>
                <c:pt idx="1113">
                  <c:v>8</c:v>
                </c:pt>
                <c:pt idx="1114">
                  <c:v>4</c:v>
                </c:pt>
                <c:pt idx="1115">
                  <c:v>7</c:v>
                </c:pt>
                <c:pt idx="1116">
                  <c:v>7</c:v>
                </c:pt>
                <c:pt idx="1117">
                  <c:v>14</c:v>
                </c:pt>
                <c:pt idx="1118">
                  <c:v>10</c:v>
                </c:pt>
                <c:pt idx="1119">
                  <c:v>5</c:v>
                </c:pt>
                <c:pt idx="1120">
                  <c:v>13</c:v>
                </c:pt>
                <c:pt idx="1121">
                  <c:v>14</c:v>
                </c:pt>
                <c:pt idx="1122">
                  <c:v>8</c:v>
                </c:pt>
                <c:pt idx="1123">
                  <c:v>8</c:v>
                </c:pt>
                <c:pt idx="1124">
                  <c:v>9</c:v>
                </c:pt>
                <c:pt idx="1125">
                  <c:v>13</c:v>
                </c:pt>
                <c:pt idx="1126">
                  <c:v>10</c:v>
                </c:pt>
                <c:pt idx="1127">
                  <c:v>11</c:v>
                </c:pt>
                <c:pt idx="1128">
                  <c:v>12</c:v>
                </c:pt>
                <c:pt idx="1129">
                  <c:v>8</c:v>
                </c:pt>
                <c:pt idx="1130">
                  <c:v>13</c:v>
                </c:pt>
                <c:pt idx="1131">
                  <c:v>9</c:v>
                </c:pt>
                <c:pt idx="1132">
                  <c:v>14</c:v>
                </c:pt>
                <c:pt idx="1133">
                  <c:v>10</c:v>
                </c:pt>
                <c:pt idx="1134">
                  <c:v>10</c:v>
                </c:pt>
                <c:pt idx="1135">
                  <c:v>15</c:v>
                </c:pt>
                <c:pt idx="1136">
                  <c:v>6</c:v>
                </c:pt>
                <c:pt idx="1137">
                  <c:v>13</c:v>
                </c:pt>
                <c:pt idx="1138">
                  <c:v>13</c:v>
                </c:pt>
                <c:pt idx="1139">
                  <c:v>7</c:v>
                </c:pt>
                <c:pt idx="1140">
                  <c:v>9</c:v>
                </c:pt>
                <c:pt idx="1141">
                  <c:v>8</c:v>
                </c:pt>
                <c:pt idx="1142">
                  <c:v>8</c:v>
                </c:pt>
                <c:pt idx="1143">
                  <c:v>9</c:v>
                </c:pt>
                <c:pt idx="1144">
                  <c:v>9</c:v>
                </c:pt>
                <c:pt idx="1145">
                  <c:v>18</c:v>
                </c:pt>
                <c:pt idx="1146">
                  <c:v>10</c:v>
                </c:pt>
                <c:pt idx="1147">
                  <c:v>11</c:v>
                </c:pt>
                <c:pt idx="1148">
                  <c:v>11</c:v>
                </c:pt>
                <c:pt idx="1149">
                  <c:v>13</c:v>
                </c:pt>
                <c:pt idx="1150">
                  <c:v>13</c:v>
                </c:pt>
                <c:pt idx="1151">
                  <c:v>14</c:v>
                </c:pt>
                <c:pt idx="1152">
                  <c:v>14</c:v>
                </c:pt>
                <c:pt idx="1153">
                  <c:v>15</c:v>
                </c:pt>
                <c:pt idx="1154">
                  <c:v>9</c:v>
                </c:pt>
                <c:pt idx="1155">
                  <c:v>10</c:v>
                </c:pt>
                <c:pt idx="1156">
                  <c:v>15</c:v>
                </c:pt>
                <c:pt idx="1157">
                  <c:v>10</c:v>
                </c:pt>
                <c:pt idx="1158">
                  <c:v>10</c:v>
                </c:pt>
                <c:pt idx="1159">
                  <c:v>10</c:v>
                </c:pt>
                <c:pt idx="1160">
                  <c:v>10</c:v>
                </c:pt>
                <c:pt idx="1161">
                  <c:v>8</c:v>
                </c:pt>
                <c:pt idx="1162">
                  <c:v>9</c:v>
                </c:pt>
                <c:pt idx="1163">
                  <c:v>9</c:v>
                </c:pt>
                <c:pt idx="1164">
                  <c:v>9</c:v>
                </c:pt>
                <c:pt idx="1165">
                  <c:v>4</c:v>
                </c:pt>
                <c:pt idx="1166">
                  <c:v>5</c:v>
                </c:pt>
                <c:pt idx="1167">
                  <c:v>6</c:v>
                </c:pt>
                <c:pt idx="1168">
                  <c:v>7</c:v>
                </c:pt>
                <c:pt idx="1169">
                  <c:v>4</c:v>
                </c:pt>
                <c:pt idx="1170">
                  <c:v>4</c:v>
                </c:pt>
                <c:pt idx="1171">
                  <c:v>4</c:v>
                </c:pt>
                <c:pt idx="1172">
                  <c:v>16</c:v>
                </c:pt>
                <c:pt idx="1173">
                  <c:v>11</c:v>
                </c:pt>
                <c:pt idx="1174">
                  <c:v>7</c:v>
                </c:pt>
                <c:pt idx="1175">
                  <c:v>12</c:v>
                </c:pt>
                <c:pt idx="1176">
                  <c:v>5</c:v>
                </c:pt>
                <c:pt idx="1177">
                  <c:v>5</c:v>
                </c:pt>
                <c:pt idx="1178">
                  <c:v>8</c:v>
                </c:pt>
                <c:pt idx="1179">
                  <c:v>4</c:v>
                </c:pt>
                <c:pt idx="1180">
                  <c:v>8</c:v>
                </c:pt>
                <c:pt idx="1181">
                  <c:v>9</c:v>
                </c:pt>
                <c:pt idx="1182">
                  <c:v>14</c:v>
                </c:pt>
                <c:pt idx="1183">
                  <c:v>11</c:v>
                </c:pt>
                <c:pt idx="1184">
                  <c:v>8</c:v>
                </c:pt>
                <c:pt idx="1185">
                  <c:v>5</c:v>
                </c:pt>
                <c:pt idx="1186">
                  <c:v>13</c:v>
                </c:pt>
                <c:pt idx="1187">
                  <c:v>12</c:v>
                </c:pt>
                <c:pt idx="1188">
                  <c:v>11</c:v>
                </c:pt>
                <c:pt idx="1189">
                  <c:v>15</c:v>
                </c:pt>
                <c:pt idx="1190">
                  <c:v>8</c:v>
                </c:pt>
                <c:pt idx="1191">
                  <c:v>8</c:v>
                </c:pt>
                <c:pt idx="1192">
                  <c:v>8</c:v>
                </c:pt>
                <c:pt idx="1193">
                  <c:v>9</c:v>
                </c:pt>
                <c:pt idx="1194">
                  <c:v>10</c:v>
                </c:pt>
                <c:pt idx="1195">
                  <c:v>11</c:v>
                </c:pt>
                <c:pt idx="1196">
                  <c:v>11</c:v>
                </c:pt>
                <c:pt idx="1197">
                  <c:v>12</c:v>
                </c:pt>
                <c:pt idx="1198">
                  <c:v>14</c:v>
                </c:pt>
                <c:pt idx="1199">
                  <c:v>8</c:v>
                </c:pt>
                <c:pt idx="1200">
                  <c:v>7</c:v>
                </c:pt>
                <c:pt idx="1201">
                  <c:v>15</c:v>
                </c:pt>
                <c:pt idx="1202">
                  <c:v>8</c:v>
                </c:pt>
                <c:pt idx="1203">
                  <c:v>8</c:v>
                </c:pt>
                <c:pt idx="1204">
                  <c:v>8</c:v>
                </c:pt>
                <c:pt idx="1205">
                  <c:v>8</c:v>
                </c:pt>
                <c:pt idx="1206">
                  <c:v>17</c:v>
                </c:pt>
                <c:pt idx="1207">
                  <c:v>9</c:v>
                </c:pt>
                <c:pt idx="1208">
                  <c:v>19</c:v>
                </c:pt>
                <c:pt idx="1209">
                  <c:v>10</c:v>
                </c:pt>
                <c:pt idx="1210">
                  <c:v>13</c:v>
                </c:pt>
                <c:pt idx="1211">
                  <c:v>13</c:v>
                </c:pt>
                <c:pt idx="1212">
                  <c:v>18</c:v>
                </c:pt>
                <c:pt idx="1213">
                  <c:v>18</c:v>
                </c:pt>
                <c:pt idx="1214">
                  <c:v>10</c:v>
                </c:pt>
                <c:pt idx="1215">
                  <c:v>8</c:v>
                </c:pt>
                <c:pt idx="1216">
                  <c:v>8</c:v>
                </c:pt>
                <c:pt idx="1217">
                  <c:v>9</c:v>
                </c:pt>
                <c:pt idx="1218">
                  <c:v>10</c:v>
                </c:pt>
                <c:pt idx="1219">
                  <c:v>4</c:v>
                </c:pt>
                <c:pt idx="1220">
                  <c:v>6</c:v>
                </c:pt>
                <c:pt idx="1221">
                  <c:v>19</c:v>
                </c:pt>
                <c:pt idx="1222">
                  <c:v>4</c:v>
                </c:pt>
                <c:pt idx="1223">
                  <c:v>9</c:v>
                </c:pt>
                <c:pt idx="1224">
                  <c:v>11</c:v>
                </c:pt>
                <c:pt idx="1225">
                  <c:v>12</c:v>
                </c:pt>
                <c:pt idx="1226">
                  <c:v>5</c:v>
                </c:pt>
                <c:pt idx="1227">
                  <c:v>10</c:v>
                </c:pt>
                <c:pt idx="1228">
                  <c:v>11</c:v>
                </c:pt>
                <c:pt idx="1229">
                  <c:v>5</c:v>
                </c:pt>
                <c:pt idx="1230">
                  <c:v>15</c:v>
                </c:pt>
                <c:pt idx="1231">
                  <c:v>7</c:v>
                </c:pt>
                <c:pt idx="1232">
                  <c:v>13</c:v>
                </c:pt>
                <c:pt idx="1233">
                  <c:v>7</c:v>
                </c:pt>
                <c:pt idx="1234">
                  <c:v>12</c:v>
                </c:pt>
                <c:pt idx="1235">
                  <c:v>14</c:v>
                </c:pt>
                <c:pt idx="1236">
                  <c:v>11</c:v>
                </c:pt>
                <c:pt idx="1237">
                  <c:v>10</c:v>
                </c:pt>
                <c:pt idx="1238">
                  <c:v>13</c:v>
                </c:pt>
                <c:pt idx="1239">
                  <c:v>14</c:v>
                </c:pt>
                <c:pt idx="1240">
                  <c:v>11</c:v>
                </c:pt>
                <c:pt idx="1241">
                  <c:v>8</c:v>
                </c:pt>
                <c:pt idx="1242">
                  <c:v>10</c:v>
                </c:pt>
                <c:pt idx="1243">
                  <c:v>9</c:v>
                </c:pt>
                <c:pt idx="1244">
                  <c:v>7</c:v>
                </c:pt>
                <c:pt idx="1245">
                  <c:v>6</c:v>
                </c:pt>
                <c:pt idx="1246">
                  <c:v>5</c:v>
                </c:pt>
                <c:pt idx="1247">
                  <c:v>8</c:v>
                </c:pt>
                <c:pt idx="1248">
                  <c:v>11</c:v>
                </c:pt>
                <c:pt idx="1249">
                  <c:v>11</c:v>
                </c:pt>
                <c:pt idx="1250">
                  <c:v>9</c:v>
                </c:pt>
                <c:pt idx="1251">
                  <c:v>7</c:v>
                </c:pt>
                <c:pt idx="1252">
                  <c:v>6</c:v>
                </c:pt>
                <c:pt idx="1253">
                  <c:v>6</c:v>
                </c:pt>
                <c:pt idx="1254">
                  <c:v>8</c:v>
                </c:pt>
                <c:pt idx="1255">
                  <c:v>9</c:v>
                </c:pt>
                <c:pt idx="1256">
                  <c:v>10</c:v>
                </c:pt>
                <c:pt idx="1257">
                  <c:v>8</c:v>
                </c:pt>
                <c:pt idx="1258">
                  <c:v>6</c:v>
                </c:pt>
                <c:pt idx="1259">
                  <c:v>9</c:v>
                </c:pt>
                <c:pt idx="1260">
                  <c:v>9</c:v>
                </c:pt>
                <c:pt idx="1261">
                  <c:v>14</c:v>
                </c:pt>
                <c:pt idx="1262">
                  <c:v>7</c:v>
                </c:pt>
                <c:pt idx="1263">
                  <c:v>12</c:v>
                </c:pt>
                <c:pt idx="1264">
                  <c:v>6</c:v>
                </c:pt>
                <c:pt idx="1265">
                  <c:v>13</c:v>
                </c:pt>
                <c:pt idx="1266">
                  <c:v>10</c:v>
                </c:pt>
                <c:pt idx="1267">
                  <c:v>11</c:v>
                </c:pt>
                <c:pt idx="1268">
                  <c:v>12</c:v>
                </c:pt>
                <c:pt idx="1269">
                  <c:v>12</c:v>
                </c:pt>
                <c:pt idx="1270">
                  <c:v>12</c:v>
                </c:pt>
                <c:pt idx="1271">
                  <c:v>9</c:v>
                </c:pt>
                <c:pt idx="1272">
                  <c:v>11</c:v>
                </c:pt>
                <c:pt idx="1273">
                  <c:v>17</c:v>
                </c:pt>
                <c:pt idx="1274">
                  <c:v>17</c:v>
                </c:pt>
                <c:pt idx="1275">
                  <c:v>12</c:v>
                </c:pt>
                <c:pt idx="1276">
                  <c:v>11</c:v>
                </c:pt>
                <c:pt idx="1277">
                  <c:v>9</c:v>
                </c:pt>
                <c:pt idx="1278">
                  <c:v>9</c:v>
                </c:pt>
                <c:pt idx="1279">
                  <c:v>7</c:v>
                </c:pt>
                <c:pt idx="1280">
                  <c:v>8</c:v>
                </c:pt>
                <c:pt idx="1281">
                  <c:v>5</c:v>
                </c:pt>
                <c:pt idx="1282">
                  <c:v>8</c:v>
                </c:pt>
                <c:pt idx="1283">
                  <c:v>10</c:v>
                </c:pt>
                <c:pt idx="1284">
                  <c:v>13</c:v>
                </c:pt>
                <c:pt idx="1285">
                  <c:v>8</c:v>
                </c:pt>
                <c:pt idx="1286">
                  <c:v>13</c:v>
                </c:pt>
                <c:pt idx="1287">
                  <c:v>6</c:v>
                </c:pt>
                <c:pt idx="1288">
                  <c:v>9</c:v>
                </c:pt>
                <c:pt idx="1289">
                  <c:v>10</c:v>
                </c:pt>
                <c:pt idx="1290">
                  <c:v>9</c:v>
                </c:pt>
                <c:pt idx="1291">
                  <c:v>13</c:v>
                </c:pt>
                <c:pt idx="1292">
                  <c:v>8</c:v>
                </c:pt>
                <c:pt idx="1293">
                  <c:v>4</c:v>
                </c:pt>
                <c:pt idx="1294">
                  <c:v>10</c:v>
                </c:pt>
                <c:pt idx="1295">
                  <c:v>8</c:v>
                </c:pt>
                <c:pt idx="1296">
                  <c:v>19</c:v>
                </c:pt>
                <c:pt idx="1297">
                  <c:v>12</c:v>
                </c:pt>
                <c:pt idx="1298">
                  <c:v>7</c:v>
                </c:pt>
                <c:pt idx="1299">
                  <c:v>9</c:v>
                </c:pt>
                <c:pt idx="1300">
                  <c:v>9</c:v>
                </c:pt>
                <c:pt idx="1301">
                  <c:v>14</c:v>
                </c:pt>
                <c:pt idx="1302">
                  <c:v>8</c:v>
                </c:pt>
                <c:pt idx="1303">
                  <c:v>14</c:v>
                </c:pt>
                <c:pt idx="1304">
                  <c:v>10</c:v>
                </c:pt>
                <c:pt idx="1305">
                  <c:v>15</c:v>
                </c:pt>
                <c:pt idx="1306">
                  <c:v>13</c:v>
                </c:pt>
                <c:pt idx="1307">
                  <c:v>13</c:v>
                </c:pt>
                <c:pt idx="1308">
                  <c:v>18</c:v>
                </c:pt>
                <c:pt idx="1309">
                  <c:v>12</c:v>
                </c:pt>
                <c:pt idx="1310">
                  <c:v>15</c:v>
                </c:pt>
                <c:pt idx="1311">
                  <c:v>9</c:v>
                </c:pt>
                <c:pt idx="1312">
                  <c:v>9</c:v>
                </c:pt>
                <c:pt idx="1313">
                  <c:v>9</c:v>
                </c:pt>
                <c:pt idx="1314">
                  <c:v>9</c:v>
                </c:pt>
                <c:pt idx="1315">
                  <c:v>7</c:v>
                </c:pt>
                <c:pt idx="1316">
                  <c:v>7</c:v>
                </c:pt>
                <c:pt idx="1317">
                  <c:v>12</c:v>
                </c:pt>
                <c:pt idx="1318">
                  <c:v>9</c:v>
                </c:pt>
                <c:pt idx="1319">
                  <c:v>13</c:v>
                </c:pt>
                <c:pt idx="1320">
                  <c:v>10</c:v>
                </c:pt>
                <c:pt idx="1321">
                  <c:v>8</c:v>
                </c:pt>
                <c:pt idx="1322">
                  <c:v>11</c:v>
                </c:pt>
                <c:pt idx="1323">
                  <c:v>13</c:v>
                </c:pt>
                <c:pt idx="1324">
                  <c:v>7</c:v>
                </c:pt>
                <c:pt idx="1325">
                  <c:v>8</c:v>
                </c:pt>
                <c:pt idx="1326">
                  <c:v>11</c:v>
                </c:pt>
                <c:pt idx="1327">
                  <c:v>12</c:v>
                </c:pt>
                <c:pt idx="1328">
                  <c:v>10</c:v>
                </c:pt>
                <c:pt idx="1329">
                  <c:v>16</c:v>
                </c:pt>
                <c:pt idx="1330">
                  <c:v>13</c:v>
                </c:pt>
                <c:pt idx="1331">
                  <c:v>9</c:v>
                </c:pt>
                <c:pt idx="1332">
                  <c:v>5</c:v>
                </c:pt>
                <c:pt idx="1333">
                  <c:v>12</c:v>
                </c:pt>
                <c:pt idx="1334">
                  <c:v>15</c:v>
                </c:pt>
                <c:pt idx="1335">
                  <c:v>8</c:v>
                </c:pt>
                <c:pt idx="1336">
                  <c:v>9</c:v>
                </c:pt>
                <c:pt idx="1337">
                  <c:v>6</c:v>
                </c:pt>
                <c:pt idx="1338">
                  <c:v>16</c:v>
                </c:pt>
                <c:pt idx="1339">
                  <c:v>13</c:v>
                </c:pt>
                <c:pt idx="1340">
                  <c:v>9</c:v>
                </c:pt>
                <c:pt idx="1341">
                  <c:v>9</c:v>
                </c:pt>
                <c:pt idx="1342">
                  <c:v>11</c:v>
                </c:pt>
                <c:pt idx="1343">
                  <c:v>13</c:v>
                </c:pt>
                <c:pt idx="1344">
                  <c:v>7</c:v>
                </c:pt>
                <c:pt idx="1345">
                  <c:v>15</c:v>
                </c:pt>
                <c:pt idx="1346">
                  <c:v>10</c:v>
                </c:pt>
                <c:pt idx="1347">
                  <c:v>9</c:v>
                </c:pt>
                <c:pt idx="1348">
                  <c:v>5</c:v>
                </c:pt>
                <c:pt idx="1349">
                  <c:v>5</c:v>
                </c:pt>
                <c:pt idx="1350">
                  <c:v>6</c:v>
                </c:pt>
                <c:pt idx="1351">
                  <c:v>6</c:v>
                </c:pt>
                <c:pt idx="1352">
                  <c:v>5</c:v>
                </c:pt>
                <c:pt idx="1353">
                  <c:v>7</c:v>
                </c:pt>
                <c:pt idx="1354">
                  <c:v>7</c:v>
                </c:pt>
                <c:pt idx="1355">
                  <c:v>5</c:v>
                </c:pt>
                <c:pt idx="1356">
                  <c:v>9</c:v>
                </c:pt>
                <c:pt idx="1357">
                  <c:v>12</c:v>
                </c:pt>
                <c:pt idx="1358">
                  <c:v>8</c:v>
                </c:pt>
                <c:pt idx="1359">
                  <c:v>8</c:v>
                </c:pt>
                <c:pt idx="1360">
                  <c:v>8</c:v>
                </c:pt>
                <c:pt idx="1361">
                  <c:v>11</c:v>
                </c:pt>
                <c:pt idx="1362">
                  <c:v>16</c:v>
                </c:pt>
                <c:pt idx="1363">
                  <c:v>5</c:v>
                </c:pt>
                <c:pt idx="1364">
                  <c:v>7</c:v>
                </c:pt>
                <c:pt idx="1365">
                  <c:v>6</c:v>
                </c:pt>
                <c:pt idx="1366">
                  <c:v>7</c:v>
                </c:pt>
                <c:pt idx="1367">
                  <c:v>8</c:v>
                </c:pt>
                <c:pt idx="1368">
                  <c:v>7</c:v>
                </c:pt>
                <c:pt idx="1369">
                  <c:v>11</c:v>
                </c:pt>
                <c:pt idx="1370">
                  <c:v>8</c:v>
                </c:pt>
                <c:pt idx="1371">
                  <c:v>14</c:v>
                </c:pt>
                <c:pt idx="1372">
                  <c:v>17</c:v>
                </c:pt>
                <c:pt idx="1373">
                  <c:v>13</c:v>
                </c:pt>
                <c:pt idx="1374">
                  <c:v>12</c:v>
                </c:pt>
                <c:pt idx="1375">
                  <c:v>14</c:v>
                </c:pt>
                <c:pt idx="1376">
                  <c:v>9</c:v>
                </c:pt>
                <c:pt idx="1377">
                  <c:v>10</c:v>
                </c:pt>
                <c:pt idx="1378">
                  <c:v>8</c:v>
                </c:pt>
                <c:pt idx="1379">
                  <c:v>8</c:v>
                </c:pt>
                <c:pt idx="1380">
                  <c:v>7</c:v>
                </c:pt>
                <c:pt idx="1381">
                  <c:v>11</c:v>
                </c:pt>
                <c:pt idx="1382">
                  <c:v>11</c:v>
                </c:pt>
                <c:pt idx="1383">
                  <c:v>10</c:v>
                </c:pt>
                <c:pt idx="1384">
                  <c:v>9</c:v>
                </c:pt>
                <c:pt idx="1385">
                  <c:v>9</c:v>
                </c:pt>
                <c:pt idx="1386">
                  <c:v>7</c:v>
                </c:pt>
                <c:pt idx="1387">
                  <c:v>6</c:v>
                </c:pt>
                <c:pt idx="1388">
                  <c:v>16</c:v>
                </c:pt>
                <c:pt idx="1389">
                  <c:v>10</c:v>
                </c:pt>
                <c:pt idx="1390">
                  <c:v>18</c:v>
                </c:pt>
                <c:pt idx="1391">
                  <c:v>7</c:v>
                </c:pt>
                <c:pt idx="1392">
                  <c:v>9</c:v>
                </c:pt>
                <c:pt idx="1393">
                  <c:v>13</c:v>
                </c:pt>
                <c:pt idx="1394">
                  <c:v>10</c:v>
                </c:pt>
                <c:pt idx="1395">
                  <c:v>10</c:v>
                </c:pt>
                <c:pt idx="1396">
                  <c:v>7</c:v>
                </c:pt>
                <c:pt idx="1397">
                  <c:v>6</c:v>
                </c:pt>
                <c:pt idx="1398">
                  <c:v>15</c:v>
                </c:pt>
                <c:pt idx="1399">
                  <c:v>11</c:v>
                </c:pt>
                <c:pt idx="1400">
                  <c:v>12</c:v>
                </c:pt>
                <c:pt idx="1401">
                  <c:v>12</c:v>
                </c:pt>
                <c:pt idx="1402">
                  <c:v>12</c:v>
                </c:pt>
                <c:pt idx="1403">
                  <c:v>13</c:v>
                </c:pt>
                <c:pt idx="1404">
                  <c:v>10</c:v>
                </c:pt>
                <c:pt idx="1405">
                  <c:v>8</c:v>
                </c:pt>
                <c:pt idx="1406">
                  <c:v>9</c:v>
                </c:pt>
                <c:pt idx="1407">
                  <c:v>10</c:v>
                </c:pt>
                <c:pt idx="1408">
                  <c:v>10</c:v>
                </c:pt>
                <c:pt idx="1409">
                  <c:v>11</c:v>
                </c:pt>
                <c:pt idx="1410">
                  <c:v>13</c:v>
                </c:pt>
                <c:pt idx="1411">
                  <c:v>14</c:v>
                </c:pt>
                <c:pt idx="1412">
                  <c:v>14</c:v>
                </c:pt>
                <c:pt idx="1413">
                  <c:v>16</c:v>
                </c:pt>
                <c:pt idx="1414">
                  <c:v>10</c:v>
                </c:pt>
                <c:pt idx="1415">
                  <c:v>8</c:v>
                </c:pt>
                <c:pt idx="1416">
                  <c:v>9</c:v>
                </c:pt>
                <c:pt idx="1417">
                  <c:v>9</c:v>
                </c:pt>
                <c:pt idx="1418">
                  <c:v>9</c:v>
                </c:pt>
                <c:pt idx="1419">
                  <c:v>5</c:v>
                </c:pt>
                <c:pt idx="1420">
                  <c:v>5</c:v>
                </c:pt>
                <c:pt idx="1421">
                  <c:v>6</c:v>
                </c:pt>
                <c:pt idx="1422">
                  <c:v>8</c:v>
                </c:pt>
                <c:pt idx="1423">
                  <c:v>7</c:v>
                </c:pt>
                <c:pt idx="1424">
                  <c:v>8</c:v>
                </c:pt>
                <c:pt idx="1425">
                  <c:v>11</c:v>
                </c:pt>
                <c:pt idx="1426">
                  <c:v>12</c:v>
                </c:pt>
                <c:pt idx="1427">
                  <c:v>8</c:v>
                </c:pt>
                <c:pt idx="1428">
                  <c:v>9</c:v>
                </c:pt>
                <c:pt idx="1429">
                  <c:v>13</c:v>
                </c:pt>
                <c:pt idx="1430">
                  <c:v>13</c:v>
                </c:pt>
                <c:pt idx="1431">
                  <c:v>5</c:v>
                </c:pt>
                <c:pt idx="1432">
                  <c:v>11</c:v>
                </c:pt>
                <c:pt idx="1433">
                  <c:v>9</c:v>
                </c:pt>
                <c:pt idx="1434">
                  <c:v>10</c:v>
                </c:pt>
                <c:pt idx="1435">
                  <c:v>8</c:v>
                </c:pt>
                <c:pt idx="1436">
                  <c:v>9</c:v>
                </c:pt>
                <c:pt idx="1437">
                  <c:v>6</c:v>
                </c:pt>
                <c:pt idx="1438">
                  <c:v>15</c:v>
                </c:pt>
                <c:pt idx="1439">
                  <c:v>8</c:v>
                </c:pt>
                <c:pt idx="1440">
                  <c:v>12</c:v>
                </c:pt>
                <c:pt idx="1441">
                  <c:v>14</c:v>
                </c:pt>
                <c:pt idx="1442">
                  <c:v>10</c:v>
                </c:pt>
                <c:pt idx="1443">
                  <c:v>9</c:v>
                </c:pt>
                <c:pt idx="1444">
                  <c:v>7</c:v>
                </c:pt>
                <c:pt idx="1445">
                  <c:v>9</c:v>
                </c:pt>
                <c:pt idx="1446">
                  <c:v>10</c:v>
                </c:pt>
                <c:pt idx="1447">
                  <c:v>7</c:v>
                </c:pt>
                <c:pt idx="1448">
                  <c:v>7</c:v>
                </c:pt>
                <c:pt idx="1449">
                  <c:v>9</c:v>
                </c:pt>
                <c:pt idx="1450">
                  <c:v>8</c:v>
                </c:pt>
                <c:pt idx="1451">
                  <c:v>6</c:v>
                </c:pt>
                <c:pt idx="1452">
                  <c:v>6</c:v>
                </c:pt>
                <c:pt idx="1453">
                  <c:v>11</c:v>
                </c:pt>
                <c:pt idx="1454">
                  <c:v>9</c:v>
                </c:pt>
                <c:pt idx="1455">
                  <c:v>11</c:v>
                </c:pt>
                <c:pt idx="1456">
                  <c:v>12</c:v>
                </c:pt>
                <c:pt idx="1457">
                  <c:v>11</c:v>
                </c:pt>
                <c:pt idx="1458">
                  <c:v>8</c:v>
                </c:pt>
                <c:pt idx="1459">
                  <c:v>9</c:v>
                </c:pt>
                <c:pt idx="1460">
                  <c:v>10</c:v>
                </c:pt>
                <c:pt idx="1461">
                  <c:v>10</c:v>
                </c:pt>
                <c:pt idx="1462">
                  <c:v>12</c:v>
                </c:pt>
                <c:pt idx="1463">
                  <c:v>14</c:v>
                </c:pt>
                <c:pt idx="1464">
                  <c:v>10</c:v>
                </c:pt>
                <c:pt idx="1465">
                  <c:v>10</c:v>
                </c:pt>
                <c:pt idx="1466">
                  <c:v>10</c:v>
                </c:pt>
                <c:pt idx="1467">
                  <c:v>10</c:v>
                </c:pt>
                <c:pt idx="1468">
                  <c:v>10</c:v>
                </c:pt>
                <c:pt idx="1469">
                  <c:v>9</c:v>
                </c:pt>
                <c:pt idx="1470">
                  <c:v>6</c:v>
                </c:pt>
                <c:pt idx="1471">
                  <c:v>7</c:v>
                </c:pt>
                <c:pt idx="1472">
                  <c:v>7</c:v>
                </c:pt>
                <c:pt idx="1473">
                  <c:v>7</c:v>
                </c:pt>
                <c:pt idx="1474">
                  <c:v>13</c:v>
                </c:pt>
                <c:pt idx="1475">
                  <c:v>11</c:v>
                </c:pt>
                <c:pt idx="1476">
                  <c:v>8</c:v>
                </c:pt>
                <c:pt idx="1477">
                  <c:v>12</c:v>
                </c:pt>
                <c:pt idx="1478">
                  <c:v>8</c:v>
                </c:pt>
                <c:pt idx="1479">
                  <c:v>7</c:v>
                </c:pt>
                <c:pt idx="1480">
                  <c:v>4</c:v>
                </c:pt>
                <c:pt idx="1481">
                  <c:v>9</c:v>
                </c:pt>
                <c:pt idx="1482">
                  <c:v>11</c:v>
                </c:pt>
                <c:pt idx="1483">
                  <c:v>8</c:v>
                </c:pt>
                <c:pt idx="1484">
                  <c:v>7</c:v>
                </c:pt>
                <c:pt idx="1485">
                  <c:v>19</c:v>
                </c:pt>
                <c:pt idx="1486">
                  <c:v>10</c:v>
                </c:pt>
                <c:pt idx="1487">
                  <c:v>11</c:v>
                </c:pt>
                <c:pt idx="1488">
                  <c:v>14</c:v>
                </c:pt>
                <c:pt idx="1489">
                  <c:v>9</c:v>
                </c:pt>
                <c:pt idx="1490">
                  <c:v>6</c:v>
                </c:pt>
                <c:pt idx="1491">
                  <c:v>8</c:v>
                </c:pt>
                <c:pt idx="1492">
                  <c:v>8</c:v>
                </c:pt>
                <c:pt idx="1493">
                  <c:v>5</c:v>
                </c:pt>
                <c:pt idx="1494">
                  <c:v>15</c:v>
                </c:pt>
                <c:pt idx="1495">
                  <c:v>9</c:v>
                </c:pt>
                <c:pt idx="1496">
                  <c:v>15</c:v>
                </c:pt>
                <c:pt idx="1497">
                  <c:v>10</c:v>
                </c:pt>
                <c:pt idx="1498">
                  <c:v>9</c:v>
                </c:pt>
                <c:pt idx="1499">
                  <c:v>6</c:v>
                </c:pt>
                <c:pt idx="1500">
                  <c:v>4</c:v>
                </c:pt>
                <c:pt idx="1501">
                  <c:v>16</c:v>
                </c:pt>
                <c:pt idx="1502">
                  <c:v>12</c:v>
                </c:pt>
                <c:pt idx="1503">
                  <c:v>9</c:v>
                </c:pt>
                <c:pt idx="1504">
                  <c:v>13</c:v>
                </c:pt>
                <c:pt idx="1505">
                  <c:v>11</c:v>
                </c:pt>
                <c:pt idx="1506">
                  <c:v>12</c:v>
                </c:pt>
                <c:pt idx="1507">
                  <c:v>7</c:v>
                </c:pt>
                <c:pt idx="1508">
                  <c:v>8</c:v>
                </c:pt>
                <c:pt idx="1509">
                  <c:v>9</c:v>
                </c:pt>
                <c:pt idx="1510">
                  <c:v>10</c:v>
                </c:pt>
                <c:pt idx="1511">
                  <c:v>12</c:v>
                </c:pt>
                <c:pt idx="1512">
                  <c:v>12</c:v>
                </c:pt>
                <c:pt idx="1513">
                  <c:v>12</c:v>
                </c:pt>
                <c:pt idx="1514">
                  <c:v>14</c:v>
                </c:pt>
                <c:pt idx="1515">
                  <c:v>15</c:v>
                </c:pt>
                <c:pt idx="1516">
                  <c:v>18</c:v>
                </c:pt>
                <c:pt idx="1517">
                  <c:v>10</c:v>
                </c:pt>
                <c:pt idx="1518">
                  <c:v>8</c:v>
                </c:pt>
                <c:pt idx="1519">
                  <c:v>8</c:v>
                </c:pt>
                <c:pt idx="1520">
                  <c:v>8</c:v>
                </c:pt>
                <c:pt idx="1521">
                  <c:v>9</c:v>
                </c:pt>
                <c:pt idx="1522">
                  <c:v>3</c:v>
                </c:pt>
                <c:pt idx="1523">
                  <c:v>5</c:v>
                </c:pt>
                <c:pt idx="1524">
                  <c:v>11</c:v>
                </c:pt>
                <c:pt idx="1525">
                  <c:v>15</c:v>
                </c:pt>
                <c:pt idx="1526">
                  <c:v>8</c:v>
                </c:pt>
                <c:pt idx="1527">
                  <c:v>10</c:v>
                </c:pt>
                <c:pt idx="1528">
                  <c:v>4</c:v>
                </c:pt>
                <c:pt idx="1529">
                  <c:v>12</c:v>
                </c:pt>
                <c:pt idx="1530">
                  <c:v>9</c:v>
                </c:pt>
                <c:pt idx="1531">
                  <c:v>10</c:v>
                </c:pt>
                <c:pt idx="1532">
                  <c:v>12</c:v>
                </c:pt>
                <c:pt idx="1533">
                  <c:v>10</c:v>
                </c:pt>
                <c:pt idx="1534">
                  <c:v>3</c:v>
                </c:pt>
                <c:pt idx="1535">
                  <c:v>10</c:v>
                </c:pt>
                <c:pt idx="1536">
                  <c:v>13</c:v>
                </c:pt>
                <c:pt idx="1537">
                  <c:v>13</c:v>
                </c:pt>
                <c:pt idx="1538">
                  <c:v>8</c:v>
                </c:pt>
                <c:pt idx="1539">
                  <c:v>13</c:v>
                </c:pt>
                <c:pt idx="1540">
                  <c:v>14</c:v>
                </c:pt>
                <c:pt idx="1541">
                  <c:v>14</c:v>
                </c:pt>
                <c:pt idx="1542">
                  <c:v>4</c:v>
                </c:pt>
                <c:pt idx="1543">
                  <c:v>9</c:v>
                </c:pt>
                <c:pt idx="1544">
                  <c:v>10</c:v>
                </c:pt>
                <c:pt idx="1545">
                  <c:v>4</c:v>
                </c:pt>
                <c:pt idx="1546">
                  <c:v>14</c:v>
                </c:pt>
                <c:pt idx="1547">
                  <c:v>9</c:v>
                </c:pt>
                <c:pt idx="1548">
                  <c:v>14</c:v>
                </c:pt>
                <c:pt idx="1549">
                  <c:v>20</c:v>
                </c:pt>
                <c:pt idx="1550">
                  <c:v>13</c:v>
                </c:pt>
                <c:pt idx="1551">
                  <c:v>11</c:v>
                </c:pt>
                <c:pt idx="1552">
                  <c:v>4</c:v>
                </c:pt>
                <c:pt idx="1553">
                  <c:v>15</c:v>
                </c:pt>
                <c:pt idx="1554">
                  <c:v>14</c:v>
                </c:pt>
                <c:pt idx="1555">
                  <c:v>9</c:v>
                </c:pt>
                <c:pt idx="1556">
                  <c:v>13</c:v>
                </c:pt>
                <c:pt idx="1557">
                  <c:v>8</c:v>
                </c:pt>
                <c:pt idx="1558">
                  <c:v>9</c:v>
                </c:pt>
                <c:pt idx="1559">
                  <c:v>9</c:v>
                </c:pt>
                <c:pt idx="1560">
                  <c:v>11</c:v>
                </c:pt>
                <c:pt idx="1561">
                  <c:v>13</c:v>
                </c:pt>
                <c:pt idx="1562">
                  <c:v>6</c:v>
                </c:pt>
                <c:pt idx="1563">
                  <c:v>12</c:v>
                </c:pt>
                <c:pt idx="1564">
                  <c:v>7</c:v>
                </c:pt>
                <c:pt idx="1565">
                  <c:v>12</c:v>
                </c:pt>
                <c:pt idx="1566">
                  <c:v>10</c:v>
                </c:pt>
                <c:pt idx="1567">
                  <c:v>6</c:v>
                </c:pt>
                <c:pt idx="1568">
                  <c:v>15</c:v>
                </c:pt>
                <c:pt idx="1569">
                  <c:v>8</c:v>
                </c:pt>
                <c:pt idx="1570">
                  <c:v>11</c:v>
                </c:pt>
                <c:pt idx="1571">
                  <c:v>11</c:v>
                </c:pt>
                <c:pt idx="1572">
                  <c:v>13</c:v>
                </c:pt>
                <c:pt idx="1573">
                  <c:v>9</c:v>
                </c:pt>
                <c:pt idx="1574">
                  <c:v>8</c:v>
                </c:pt>
                <c:pt idx="1575">
                  <c:v>16</c:v>
                </c:pt>
                <c:pt idx="1576">
                  <c:v>14</c:v>
                </c:pt>
                <c:pt idx="1577">
                  <c:v>10</c:v>
                </c:pt>
                <c:pt idx="1578">
                  <c:v>11</c:v>
                </c:pt>
                <c:pt idx="1579">
                  <c:v>6</c:v>
                </c:pt>
                <c:pt idx="1580">
                  <c:v>11</c:v>
                </c:pt>
                <c:pt idx="1581">
                  <c:v>6</c:v>
                </c:pt>
                <c:pt idx="1582">
                  <c:v>10</c:v>
                </c:pt>
                <c:pt idx="1583">
                  <c:v>13</c:v>
                </c:pt>
                <c:pt idx="1584">
                  <c:v>9</c:v>
                </c:pt>
                <c:pt idx="1585">
                  <c:v>14</c:v>
                </c:pt>
                <c:pt idx="1586">
                  <c:v>14</c:v>
                </c:pt>
                <c:pt idx="1587">
                  <c:v>12</c:v>
                </c:pt>
                <c:pt idx="1588">
                  <c:v>8</c:v>
                </c:pt>
                <c:pt idx="1589">
                  <c:v>13</c:v>
                </c:pt>
                <c:pt idx="1590">
                  <c:v>20</c:v>
                </c:pt>
                <c:pt idx="1591">
                  <c:v>6</c:v>
                </c:pt>
                <c:pt idx="1592">
                  <c:v>9</c:v>
                </c:pt>
                <c:pt idx="1593">
                  <c:v>7</c:v>
                </c:pt>
                <c:pt idx="1594">
                  <c:v>6</c:v>
                </c:pt>
                <c:pt idx="1595">
                  <c:v>9</c:v>
                </c:pt>
                <c:pt idx="1596">
                  <c:v>7</c:v>
                </c:pt>
                <c:pt idx="1597">
                  <c:v>14</c:v>
                </c:pt>
                <c:pt idx="1598">
                  <c:v>11</c:v>
                </c:pt>
                <c:pt idx="1599">
                  <c:v>8</c:v>
                </c:pt>
                <c:pt idx="1600">
                  <c:v>9</c:v>
                </c:pt>
                <c:pt idx="1601">
                  <c:v>10</c:v>
                </c:pt>
                <c:pt idx="1602">
                  <c:v>14</c:v>
                </c:pt>
                <c:pt idx="1603">
                  <c:v>13</c:v>
                </c:pt>
                <c:pt idx="1604">
                  <c:v>9</c:v>
                </c:pt>
                <c:pt idx="1605">
                  <c:v>6</c:v>
                </c:pt>
                <c:pt idx="1606">
                  <c:v>6</c:v>
                </c:pt>
                <c:pt idx="1607">
                  <c:v>6</c:v>
                </c:pt>
                <c:pt idx="1608">
                  <c:v>12</c:v>
                </c:pt>
                <c:pt idx="1609">
                  <c:v>12</c:v>
                </c:pt>
                <c:pt idx="1610">
                  <c:v>8</c:v>
                </c:pt>
                <c:pt idx="1611">
                  <c:v>13</c:v>
                </c:pt>
                <c:pt idx="1612">
                  <c:v>17</c:v>
                </c:pt>
                <c:pt idx="1613">
                  <c:v>11</c:v>
                </c:pt>
                <c:pt idx="1614">
                  <c:v>11</c:v>
                </c:pt>
                <c:pt idx="1615">
                  <c:v>5</c:v>
                </c:pt>
                <c:pt idx="1616">
                  <c:v>15</c:v>
                </c:pt>
                <c:pt idx="1617">
                  <c:v>11</c:v>
                </c:pt>
                <c:pt idx="1618">
                  <c:v>13</c:v>
                </c:pt>
                <c:pt idx="1619">
                  <c:v>8</c:v>
                </c:pt>
                <c:pt idx="1620">
                  <c:v>8</c:v>
                </c:pt>
                <c:pt idx="1621">
                  <c:v>11</c:v>
                </c:pt>
                <c:pt idx="1622">
                  <c:v>9</c:v>
                </c:pt>
                <c:pt idx="1623">
                  <c:v>11</c:v>
                </c:pt>
                <c:pt idx="1624">
                  <c:v>11</c:v>
                </c:pt>
                <c:pt idx="1625">
                  <c:v>14</c:v>
                </c:pt>
                <c:pt idx="1626">
                  <c:v>15</c:v>
                </c:pt>
                <c:pt idx="1627">
                  <c:v>8</c:v>
                </c:pt>
                <c:pt idx="1628">
                  <c:v>7</c:v>
                </c:pt>
                <c:pt idx="1629">
                  <c:v>8</c:v>
                </c:pt>
                <c:pt idx="1630">
                  <c:v>7</c:v>
                </c:pt>
                <c:pt idx="1631">
                  <c:v>10</c:v>
                </c:pt>
                <c:pt idx="1632">
                  <c:v>7</c:v>
                </c:pt>
                <c:pt idx="1633">
                  <c:v>12</c:v>
                </c:pt>
                <c:pt idx="1634">
                  <c:v>12</c:v>
                </c:pt>
                <c:pt idx="1635">
                  <c:v>8</c:v>
                </c:pt>
                <c:pt idx="1636">
                  <c:v>7</c:v>
                </c:pt>
                <c:pt idx="1637">
                  <c:v>13</c:v>
                </c:pt>
                <c:pt idx="1638">
                  <c:v>13</c:v>
                </c:pt>
                <c:pt idx="1639">
                  <c:v>8</c:v>
                </c:pt>
                <c:pt idx="1640">
                  <c:v>10</c:v>
                </c:pt>
                <c:pt idx="1641">
                  <c:v>15</c:v>
                </c:pt>
                <c:pt idx="1642">
                  <c:v>16</c:v>
                </c:pt>
                <c:pt idx="1643">
                  <c:v>6</c:v>
                </c:pt>
                <c:pt idx="1644">
                  <c:v>11</c:v>
                </c:pt>
                <c:pt idx="1645">
                  <c:v>11</c:v>
                </c:pt>
                <c:pt idx="1646">
                  <c:v>4</c:v>
                </c:pt>
                <c:pt idx="1647">
                  <c:v>10</c:v>
                </c:pt>
                <c:pt idx="1648">
                  <c:v>5</c:v>
                </c:pt>
                <c:pt idx="1649">
                  <c:v>20</c:v>
                </c:pt>
                <c:pt idx="1650">
                  <c:v>10</c:v>
                </c:pt>
                <c:pt idx="1651">
                  <c:v>13</c:v>
                </c:pt>
                <c:pt idx="1652">
                  <c:v>11</c:v>
                </c:pt>
                <c:pt idx="1653">
                  <c:v>10</c:v>
                </c:pt>
                <c:pt idx="1654">
                  <c:v>18</c:v>
                </c:pt>
                <c:pt idx="1655">
                  <c:v>11</c:v>
                </c:pt>
                <c:pt idx="1656">
                  <c:v>11</c:v>
                </c:pt>
                <c:pt idx="1657">
                  <c:v>7</c:v>
                </c:pt>
                <c:pt idx="1658">
                  <c:v>25</c:v>
                </c:pt>
                <c:pt idx="1659">
                  <c:v>12</c:v>
                </c:pt>
                <c:pt idx="1660">
                  <c:v>12</c:v>
                </c:pt>
                <c:pt idx="1661">
                  <c:v>8</c:v>
                </c:pt>
                <c:pt idx="1662">
                  <c:v>9</c:v>
                </c:pt>
                <c:pt idx="1663">
                  <c:v>15</c:v>
                </c:pt>
                <c:pt idx="1664">
                  <c:v>11</c:v>
                </c:pt>
                <c:pt idx="1665">
                  <c:v>4</c:v>
                </c:pt>
                <c:pt idx="1666">
                  <c:v>7</c:v>
                </c:pt>
                <c:pt idx="1667">
                  <c:v>6</c:v>
                </c:pt>
                <c:pt idx="1668">
                  <c:v>6</c:v>
                </c:pt>
                <c:pt idx="1669">
                  <c:v>6</c:v>
                </c:pt>
                <c:pt idx="1670">
                  <c:v>12</c:v>
                </c:pt>
                <c:pt idx="1671">
                  <c:v>10</c:v>
                </c:pt>
                <c:pt idx="1672">
                  <c:v>15</c:v>
                </c:pt>
                <c:pt idx="1673">
                  <c:v>11</c:v>
                </c:pt>
                <c:pt idx="1674">
                  <c:v>9</c:v>
                </c:pt>
                <c:pt idx="1675">
                  <c:v>10</c:v>
                </c:pt>
                <c:pt idx="1676">
                  <c:v>15</c:v>
                </c:pt>
                <c:pt idx="1677">
                  <c:v>8</c:v>
                </c:pt>
                <c:pt idx="1678">
                  <c:v>16</c:v>
                </c:pt>
                <c:pt idx="1679">
                  <c:v>20</c:v>
                </c:pt>
                <c:pt idx="1680">
                  <c:v>8</c:v>
                </c:pt>
                <c:pt idx="1681">
                  <c:v>13</c:v>
                </c:pt>
                <c:pt idx="1682">
                  <c:v>8</c:v>
                </c:pt>
                <c:pt idx="1683">
                  <c:v>9</c:v>
                </c:pt>
                <c:pt idx="1684">
                  <c:v>10</c:v>
                </c:pt>
                <c:pt idx="1685">
                  <c:v>10</c:v>
                </c:pt>
                <c:pt idx="1686">
                  <c:v>7</c:v>
                </c:pt>
                <c:pt idx="1687">
                  <c:v>7</c:v>
                </c:pt>
                <c:pt idx="1688">
                  <c:v>6</c:v>
                </c:pt>
                <c:pt idx="1689">
                  <c:v>10</c:v>
                </c:pt>
                <c:pt idx="1690">
                  <c:v>15</c:v>
                </c:pt>
                <c:pt idx="1691">
                  <c:v>10</c:v>
                </c:pt>
                <c:pt idx="1692">
                  <c:v>12</c:v>
                </c:pt>
                <c:pt idx="1693">
                  <c:v>14</c:v>
                </c:pt>
                <c:pt idx="1694">
                  <c:v>7</c:v>
                </c:pt>
                <c:pt idx="1695">
                  <c:v>8</c:v>
                </c:pt>
                <c:pt idx="1696">
                  <c:v>8</c:v>
                </c:pt>
                <c:pt idx="1697">
                  <c:v>12</c:v>
                </c:pt>
                <c:pt idx="1698">
                  <c:v>8</c:v>
                </c:pt>
                <c:pt idx="1699">
                  <c:v>8</c:v>
                </c:pt>
                <c:pt idx="1700">
                  <c:v>6</c:v>
                </c:pt>
                <c:pt idx="1701">
                  <c:v>14</c:v>
                </c:pt>
                <c:pt idx="1702">
                  <c:v>11</c:v>
                </c:pt>
                <c:pt idx="1703">
                  <c:v>11</c:v>
                </c:pt>
                <c:pt idx="1704">
                  <c:v>7</c:v>
                </c:pt>
                <c:pt idx="1705">
                  <c:v>12</c:v>
                </c:pt>
                <c:pt idx="1706">
                  <c:v>7</c:v>
                </c:pt>
                <c:pt idx="1707">
                  <c:v>13</c:v>
                </c:pt>
                <c:pt idx="1708">
                  <c:v>11</c:v>
                </c:pt>
                <c:pt idx="1709">
                  <c:v>10</c:v>
                </c:pt>
                <c:pt idx="1710">
                  <c:v>13</c:v>
                </c:pt>
                <c:pt idx="1711">
                  <c:v>5</c:v>
                </c:pt>
                <c:pt idx="1712">
                  <c:v>12</c:v>
                </c:pt>
                <c:pt idx="1713">
                  <c:v>15</c:v>
                </c:pt>
                <c:pt idx="1714">
                  <c:v>13</c:v>
                </c:pt>
                <c:pt idx="1715">
                  <c:v>10</c:v>
                </c:pt>
                <c:pt idx="1716">
                  <c:v>13</c:v>
                </c:pt>
                <c:pt idx="1717">
                  <c:v>6</c:v>
                </c:pt>
                <c:pt idx="1718">
                  <c:v>10</c:v>
                </c:pt>
                <c:pt idx="1719">
                  <c:v>9</c:v>
                </c:pt>
                <c:pt idx="1720">
                  <c:v>6</c:v>
                </c:pt>
                <c:pt idx="1721">
                  <c:v>9</c:v>
                </c:pt>
                <c:pt idx="1722">
                  <c:v>8</c:v>
                </c:pt>
                <c:pt idx="1723">
                  <c:v>19</c:v>
                </c:pt>
                <c:pt idx="1724">
                  <c:v>14</c:v>
                </c:pt>
                <c:pt idx="1725">
                  <c:v>11</c:v>
                </c:pt>
                <c:pt idx="1726">
                  <c:v>12</c:v>
                </c:pt>
                <c:pt idx="1727">
                  <c:v>6</c:v>
                </c:pt>
                <c:pt idx="1728">
                  <c:v>10</c:v>
                </c:pt>
                <c:pt idx="1729">
                  <c:v>11</c:v>
                </c:pt>
                <c:pt idx="1730">
                  <c:v>14</c:v>
                </c:pt>
                <c:pt idx="1731">
                  <c:v>9</c:v>
                </c:pt>
                <c:pt idx="1732">
                  <c:v>6</c:v>
                </c:pt>
                <c:pt idx="1733">
                  <c:v>9</c:v>
                </c:pt>
                <c:pt idx="1734">
                  <c:v>19</c:v>
                </c:pt>
                <c:pt idx="1735">
                  <c:v>13</c:v>
                </c:pt>
                <c:pt idx="1736">
                  <c:v>10</c:v>
                </c:pt>
                <c:pt idx="1737">
                  <c:v>8</c:v>
                </c:pt>
                <c:pt idx="1738">
                  <c:v>8</c:v>
                </c:pt>
                <c:pt idx="1739">
                  <c:v>7</c:v>
                </c:pt>
                <c:pt idx="1740">
                  <c:v>8</c:v>
                </c:pt>
                <c:pt idx="1741">
                  <c:v>10</c:v>
                </c:pt>
                <c:pt idx="1742">
                  <c:v>14</c:v>
                </c:pt>
                <c:pt idx="1743">
                  <c:v>13</c:v>
                </c:pt>
                <c:pt idx="1744">
                  <c:v>10</c:v>
                </c:pt>
                <c:pt idx="1745">
                  <c:v>11</c:v>
                </c:pt>
                <c:pt idx="1746">
                  <c:v>8</c:v>
                </c:pt>
                <c:pt idx="1747">
                  <c:v>10</c:v>
                </c:pt>
                <c:pt idx="1748">
                  <c:v>11</c:v>
                </c:pt>
                <c:pt idx="1749">
                  <c:v>4</c:v>
                </c:pt>
                <c:pt idx="1750">
                  <c:v>10</c:v>
                </c:pt>
                <c:pt idx="1751">
                  <c:v>7</c:v>
                </c:pt>
                <c:pt idx="1752">
                  <c:v>7</c:v>
                </c:pt>
                <c:pt idx="1753">
                  <c:v>6</c:v>
                </c:pt>
                <c:pt idx="1754">
                  <c:v>8</c:v>
                </c:pt>
                <c:pt idx="1755">
                  <c:v>6</c:v>
                </c:pt>
                <c:pt idx="1756">
                  <c:v>8</c:v>
                </c:pt>
                <c:pt idx="1757">
                  <c:v>9</c:v>
                </c:pt>
                <c:pt idx="1758">
                  <c:v>8</c:v>
                </c:pt>
                <c:pt idx="1759">
                  <c:v>14</c:v>
                </c:pt>
                <c:pt idx="1760">
                  <c:v>10</c:v>
                </c:pt>
                <c:pt idx="1761">
                  <c:v>8</c:v>
                </c:pt>
                <c:pt idx="1762">
                  <c:v>8</c:v>
                </c:pt>
                <c:pt idx="1763">
                  <c:v>11</c:v>
                </c:pt>
                <c:pt idx="1764">
                  <c:v>9</c:v>
                </c:pt>
                <c:pt idx="1765">
                  <c:v>7</c:v>
                </c:pt>
                <c:pt idx="1766">
                  <c:v>6</c:v>
                </c:pt>
                <c:pt idx="1767">
                  <c:v>6</c:v>
                </c:pt>
                <c:pt idx="1768">
                  <c:v>19</c:v>
                </c:pt>
                <c:pt idx="1769">
                  <c:v>7</c:v>
                </c:pt>
                <c:pt idx="1770">
                  <c:v>11</c:v>
                </c:pt>
                <c:pt idx="1771">
                  <c:v>12</c:v>
                </c:pt>
                <c:pt idx="1772">
                  <c:v>11</c:v>
                </c:pt>
                <c:pt idx="1773">
                  <c:v>8</c:v>
                </c:pt>
                <c:pt idx="1774">
                  <c:v>10</c:v>
                </c:pt>
                <c:pt idx="1775">
                  <c:v>10</c:v>
                </c:pt>
                <c:pt idx="1776">
                  <c:v>13</c:v>
                </c:pt>
                <c:pt idx="1777">
                  <c:v>9</c:v>
                </c:pt>
                <c:pt idx="1778">
                  <c:v>7</c:v>
                </c:pt>
                <c:pt idx="1779">
                  <c:v>14</c:v>
                </c:pt>
                <c:pt idx="1780">
                  <c:v>10</c:v>
                </c:pt>
                <c:pt idx="1781">
                  <c:v>12</c:v>
                </c:pt>
                <c:pt idx="1782">
                  <c:v>11</c:v>
                </c:pt>
                <c:pt idx="1783">
                  <c:v>16</c:v>
                </c:pt>
                <c:pt idx="1784">
                  <c:v>11</c:v>
                </c:pt>
                <c:pt idx="1785">
                  <c:v>9</c:v>
                </c:pt>
                <c:pt idx="1786">
                  <c:v>13</c:v>
                </c:pt>
                <c:pt idx="1787">
                  <c:v>7</c:v>
                </c:pt>
                <c:pt idx="1788">
                  <c:v>10</c:v>
                </c:pt>
                <c:pt idx="1789">
                  <c:v>17</c:v>
                </c:pt>
                <c:pt idx="1790">
                  <c:v>14</c:v>
                </c:pt>
                <c:pt idx="1791">
                  <c:v>10</c:v>
                </c:pt>
                <c:pt idx="1792">
                  <c:v>5</c:v>
                </c:pt>
                <c:pt idx="1793">
                  <c:v>8</c:v>
                </c:pt>
                <c:pt idx="1794">
                  <c:v>10</c:v>
                </c:pt>
                <c:pt idx="1795">
                  <c:v>14</c:v>
                </c:pt>
                <c:pt idx="1796">
                  <c:v>6</c:v>
                </c:pt>
                <c:pt idx="1797">
                  <c:v>17</c:v>
                </c:pt>
                <c:pt idx="1798">
                  <c:v>8</c:v>
                </c:pt>
                <c:pt idx="1799">
                  <c:v>10</c:v>
                </c:pt>
                <c:pt idx="1800">
                  <c:v>10</c:v>
                </c:pt>
                <c:pt idx="1801">
                  <c:v>7</c:v>
                </c:pt>
                <c:pt idx="1802">
                  <c:v>10</c:v>
                </c:pt>
                <c:pt idx="1803">
                  <c:v>10</c:v>
                </c:pt>
                <c:pt idx="1804">
                  <c:v>7</c:v>
                </c:pt>
                <c:pt idx="1805">
                  <c:v>15</c:v>
                </c:pt>
                <c:pt idx="1806">
                  <c:v>13</c:v>
                </c:pt>
                <c:pt idx="1807">
                  <c:v>11</c:v>
                </c:pt>
                <c:pt idx="1808">
                  <c:v>9</c:v>
                </c:pt>
                <c:pt idx="1809">
                  <c:v>10</c:v>
                </c:pt>
                <c:pt idx="1810">
                  <c:v>10</c:v>
                </c:pt>
                <c:pt idx="1811">
                  <c:v>6</c:v>
                </c:pt>
                <c:pt idx="1812">
                  <c:v>10</c:v>
                </c:pt>
                <c:pt idx="1813">
                  <c:v>22</c:v>
                </c:pt>
                <c:pt idx="1814">
                  <c:v>14</c:v>
                </c:pt>
                <c:pt idx="1815">
                  <c:v>13</c:v>
                </c:pt>
                <c:pt idx="1816">
                  <c:v>16</c:v>
                </c:pt>
                <c:pt idx="1817">
                  <c:v>7</c:v>
                </c:pt>
                <c:pt idx="1818">
                  <c:v>11</c:v>
                </c:pt>
                <c:pt idx="1819">
                  <c:v>7</c:v>
                </c:pt>
                <c:pt idx="1820">
                  <c:v>9</c:v>
                </c:pt>
                <c:pt idx="1821">
                  <c:v>18</c:v>
                </c:pt>
                <c:pt idx="1822">
                  <c:v>12</c:v>
                </c:pt>
                <c:pt idx="1823">
                  <c:v>5</c:v>
                </c:pt>
                <c:pt idx="1824">
                  <c:v>4</c:v>
                </c:pt>
                <c:pt idx="1825">
                  <c:v>11</c:v>
                </c:pt>
                <c:pt idx="1826">
                  <c:v>9</c:v>
                </c:pt>
                <c:pt idx="1827">
                  <c:v>12</c:v>
                </c:pt>
                <c:pt idx="1828">
                  <c:v>11</c:v>
                </c:pt>
                <c:pt idx="1829">
                  <c:v>14</c:v>
                </c:pt>
                <c:pt idx="1830">
                  <c:v>9</c:v>
                </c:pt>
                <c:pt idx="1831">
                  <c:v>12</c:v>
                </c:pt>
                <c:pt idx="1832">
                  <c:v>8</c:v>
                </c:pt>
                <c:pt idx="1833">
                  <c:v>10</c:v>
                </c:pt>
                <c:pt idx="1834">
                  <c:v>10</c:v>
                </c:pt>
                <c:pt idx="1835">
                  <c:v>8</c:v>
                </c:pt>
                <c:pt idx="1836">
                  <c:v>10</c:v>
                </c:pt>
                <c:pt idx="1837">
                  <c:v>17</c:v>
                </c:pt>
                <c:pt idx="1838">
                  <c:v>8</c:v>
                </c:pt>
                <c:pt idx="1839">
                  <c:v>7</c:v>
                </c:pt>
                <c:pt idx="1840">
                  <c:v>8</c:v>
                </c:pt>
                <c:pt idx="1841">
                  <c:v>10</c:v>
                </c:pt>
                <c:pt idx="1842">
                  <c:v>10</c:v>
                </c:pt>
                <c:pt idx="1843">
                  <c:v>10</c:v>
                </c:pt>
                <c:pt idx="1844">
                  <c:v>8</c:v>
                </c:pt>
                <c:pt idx="1845">
                  <c:v>9</c:v>
                </c:pt>
                <c:pt idx="1846">
                  <c:v>6</c:v>
                </c:pt>
                <c:pt idx="1847">
                  <c:v>7</c:v>
                </c:pt>
                <c:pt idx="1848">
                  <c:v>7</c:v>
                </c:pt>
                <c:pt idx="1849">
                  <c:v>9</c:v>
                </c:pt>
                <c:pt idx="1850">
                  <c:v>13</c:v>
                </c:pt>
                <c:pt idx="1851">
                  <c:v>13</c:v>
                </c:pt>
                <c:pt idx="1852">
                  <c:v>11</c:v>
                </c:pt>
                <c:pt idx="1853">
                  <c:v>8</c:v>
                </c:pt>
                <c:pt idx="1854">
                  <c:v>4</c:v>
                </c:pt>
                <c:pt idx="1855">
                  <c:v>4</c:v>
                </c:pt>
                <c:pt idx="1856">
                  <c:v>9</c:v>
                </c:pt>
                <c:pt idx="1857">
                  <c:v>15</c:v>
                </c:pt>
                <c:pt idx="1858">
                  <c:v>6</c:v>
                </c:pt>
                <c:pt idx="1859">
                  <c:v>5</c:v>
                </c:pt>
                <c:pt idx="1860">
                  <c:v>8</c:v>
                </c:pt>
                <c:pt idx="1861">
                  <c:v>12</c:v>
                </c:pt>
                <c:pt idx="1862">
                  <c:v>11</c:v>
                </c:pt>
                <c:pt idx="1863">
                  <c:v>15</c:v>
                </c:pt>
                <c:pt idx="1864">
                  <c:v>12</c:v>
                </c:pt>
                <c:pt idx="1865">
                  <c:v>17</c:v>
                </c:pt>
                <c:pt idx="1866">
                  <c:v>10</c:v>
                </c:pt>
                <c:pt idx="1867">
                  <c:v>6</c:v>
                </c:pt>
                <c:pt idx="1868">
                  <c:v>19</c:v>
                </c:pt>
                <c:pt idx="1869">
                  <c:v>7</c:v>
                </c:pt>
                <c:pt idx="1870">
                  <c:v>5</c:v>
                </c:pt>
                <c:pt idx="1871">
                  <c:v>13</c:v>
                </c:pt>
                <c:pt idx="1872">
                  <c:v>8</c:v>
                </c:pt>
                <c:pt idx="1873">
                  <c:v>12</c:v>
                </c:pt>
                <c:pt idx="1874">
                  <c:v>12</c:v>
                </c:pt>
                <c:pt idx="1875">
                  <c:v>8</c:v>
                </c:pt>
                <c:pt idx="1876">
                  <c:v>11</c:v>
                </c:pt>
                <c:pt idx="1877">
                  <c:v>7</c:v>
                </c:pt>
                <c:pt idx="1878">
                  <c:v>9</c:v>
                </c:pt>
                <c:pt idx="1879">
                  <c:v>4</c:v>
                </c:pt>
                <c:pt idx="1880">
                  <c:v>7</c:v>
                </c:pt>
                <c:pt idx="1881">
                  <c:v>10</c:v>
                </c:pt>
                <c:pt idx="1882">
                  <c:v>9</c:v>
                </c:pt>
                <c:pt idx="1883">
                  <c:v>7</c:v>
                </c:pt>
                <c:pt idx="1884">
                  <c:v>10</c:v>
                </c:pt>
                <c:pt idx="1885">
                  <c:v>7</c:v>
                </c:pt>
                <c:pt idx="1886">
                  <c:v>9</c:v>
                </c:pt>
                <c:pt idx="1887">
                  <c:v>10</c:v>
                </c:pt>
                <c:pt idx="1888">
                  <c:v>10</c:v>
                </c:pt>
                <c:pt idx="1889">
                  <c:v>10</c:v>
                </c:pt>
                <c:pt idx="1890">
                  <c:v>5</c:v>
                </c:pt>
                <c:pt idx="1891">
                  <c:v>6</c:v>
                </c:pt>
                <c:pt idx="1892">
                  <c:v>14</c:v>
                </c:pt>
                <c:pt idx="1893">
                  <c:v>10</c:v>
                </c:pt>
                <c:pt idx="1894">
                  <c:v>12</c:v>
                </c:pt>
                <c:pt idx="1895">
                  <c:v>12</c:v>
                </c:pt>
                <c:pt idx="1896">
                  <c:v>9</c:v>
                </c:pt>
                <c:pt idx="1897">
                  <c:v>8</c:v>
                </c:pt>
                <c:pt idx="1898">
                  <c:v>5</c:v>
                </c:pt>
                <c:pt idx="1899">
                  <c:v>13</c:v>
                </c:pt>
                <c:pt idx="1900">
                  <c:v>12</c:v>
                </c:pt>
                <c:pt idx="1901">
                  <c:v>8</c:v>
                </c:pt>
                <c:pt idx="1902">
                  <c:v>13</c:v>
                </c:pt>
                <c:pt idx="1903">
                  <c:v>14</c:v>
                </c:pt>
                <c:pt idx="1904">
                  <c:v>5</c:v>
                </c:pt>
                <c:pt idx="1905">
                  <c:v>11</c:v>
                </c:pt>
                <c:pt idx="1906">
                  <c:v>7</c:v>
                </c:pt>
                <c:pt idx="1907">
                  <c:v>7</c:v>
                </c:pt>
                <c:pt idx="1908">
                  <c:v>7</c:v>
                </c:pt>
                <c:pt idx="1909">
                  <c:v>9</c:v>
                </c:pt>
                <c:pt idx="1910">
                  <c:v>10</c:v>
                </c:pt>
                <c:pt idx="1911">
                  <c:v>10</c:v>
                </c:pt>
                <c:pt idx="1912">
                  <c:v>15</c:v>
                </c:pt>
                <c:pt idx="1913">
                  <c:v>6</c:v>
                </c:pt>
                <c:pt idx="1914">
                  <c:v>7</c:v>
                </c:pt>
                <c:pt idx="1915">
                  <c:v>11</c:v>
                </c:pt>
                <c:pt idx="1916">
                  <c:v>6</c:v>
                </c:pt>
                <c:pt idx="1917">
                  <c:v>17</c:v>
                </c:pt>
                <c:pt idx="1918">
                  <c:v>5</c:v>
                </c:pt>
                <c:pt idx="1919">
                  <c:v>8</c:v>
                </c:pt>
                <c:pt idx="1920">
                  <c:v>10</c:v>
                </c:pt>
                <c:pt idx="1921">
                  <c:v>11</c:v>
                </c:pt>
                <c:pt idx="1922">
                  <c:v>5</c:v>
                </c:pt>
                <c:pt idx="1923">
                  <c:v>7</c:v>
                </c:pt>
                <c:pt idx="1924">
                  <c:v>9</c:v>
                </c:pt>
                <c:pt idx="1925">
                  <c:v>7</c:v>
                </c:pt>
                <c:pt idx="1926">
                  <c:v>14</c:v>
                </c:pt>
                <c:pt idx="1927">
                  <c:v>9</c:v>
                </c:pt>
                <c:pt idx="1928">
                  <c:v>12</c:v>
                </c:pt>
                <c:pt idx="1929">
                  <c:v>16</c:v>
                </c:pt>
                <c:pt idx="1930">
                  <c:v>14</c:v>
                </c:pt>
                <c:pt idx="1931">
                  <c:v>7</c:v>
                </c:pt>
                <c:pt idx="1932">
                  <c:v>14</c:v>
                </c:pt>
                <c:pt idx="1933">
                  <c:v>13</c:v>
                </c:pt>
                <c:pt idx="1934">
                  <c:v>13</c:v>
                </c:pt>
                <c:pt idx="1935">
                  <c:v>7</c:v>
                </c:pt>
                <c:pt idx="1936">
                  <c:v>8</c:v>
                </c:pt>
                <c:pt idx="1937">
                  <c:v>9</c:v>
                </c:pt>
                <c:pt idx="1938">
                  <c:v>11</c:v>
                </c:pt>
                <c:pt idx="1939">
                  <c:v>11</c:v>
                </c:pt>
                <c:pt idx="1940">
                  <c:v>14</c:v>
                </c:pt>
                <c:pt idx="1941">
                  <c:v>12</c:v>
                </c:pt>
                <c:pt idx="1942">
                  <c:v>9</c:v>
                </c:pt>
                <c:pt idx="1943">
                  <c:v>8</c:v>
                </c:pt>
                <c:pt idx="1944">
                  <c:v>9</c:v>
                </c:pt>
                <c:pt idx="1945">
                  <c:v>5</c:v>
                </c:pt>
                <c:pt idx="1946">
                  <c:v>12</c:v>
                </c:pt>
                <c:pt idx="1947">
                  <c:v>7</c:v>
                </c:pt>
                <c:pt idx="1948">
                  <c:v>11</c:v>
                </c:pt>
                <c:pt idx="1949">
                  <c:v>15</c:v>
                </c:pt>
                <c:pt idx="1950">
                  <c:v>6</c:v>
                </c:pt>
                <c:pt idx="1951">
                  <c:v>14</c:v>
                </c:pt>
                <c:pt idx="1952">
                  <c:v>18</c:v>
                </c:pt>
                <c:pt idx="1953">
                  <c:v>15</c:v>
                </c:pt>
                <c:pt idx="1954">
                  <c:v>5</c:v>
                </c:pt>
                <c:pt idx="1955">
                  <c:v>5</c:v>
                </c:pt>
                <c:pt idx="1956">
                  <c:v>9</c:v>
                </c:pt>
                <c:pt idx="1957">
                  <c:v>10</c:v>
                </c:pt>
                <c:pt idx="1958">
                  <c:v>5</c:v>
                </c:pt>
                <c:pt idx="1959">
                  <c:v>6</c:v>
                </c:pt>
                <c:pt idx="1960">
                  <c:v>9</c:v>
                </c:pt>
                <c:pt idx="1961">
                  <c:v>7</c:v>
                </c:pt>
                <c:pt idx="1962">
                  <c:v>11</c:v>
                </c:pt>
                <c:pt idx="1963">
                  <c:v>9</c:v>
                </c:pt>
                <c:pt idx="1964">
                  <c:v>12</c:v>
                </c:pt>
                <c:pt idx="1965">
                  <c:v>10</c:v>
                </c:pt>
                <c:pt idx="1966">
                  <c:v>11</c:v>
                </c:pt>
                <c:pt idx="1967">
                  <c:v>8</c:v>
                </c:pt>
                <c:pt idx="1968">
                  <c:v>8</c:v>
                </c:pt>
                <c:pt idx="1969">
                  <c:v>11</c:v>
                </c:pt>
                <c:pt idx="1970">
                  <c:v>7</c:v>
                </c:pt>
                <c:pt idx="1971">
                  <c:v>7</c:v>
                </c:pt>
                <c:pt idx="1972">
                  <c:v>9</c:v>
                </c:pt>
                <c:pt idx="1973">
                  <c:v>5</c:v>
                </c:pt>
                <c:pt idx="1974">
                  <c:v>5</c:v>
                </c:pt>
                <c:pt idx="1975">
                  <c:v>13</c:v>
                </c:pt>
                <c:pt idx="1976">
                  <c:v>11</c:v>
                </c:pt>
                <c:pt idx="1977">
                  <c:v>14</c:v>
                </c:pt>
                <c:pt idx="1978">
                  <c:v>16</c:v>
                </c:pt>
                <c:pt idx="1979">
                  <c:v>9</c:v>
                </c:pt>
                <c:pt idx="1980">
                  <c:v>14</c:v>
                </c:pt>
                <c:pt idx="1981">
                  <c:v>10</c:v>
                </c:pt>
                <c:pt idx="1982">
                  <c:v>8</c:v>
                </c:pt>
                <c:pt idx="1983">
                  <c:v>12</c:v>
                </c:pt>
                <c:pt idx="1984">
                  <c:v>6</c:v>
                </c:pt>
                <c:pt idx="1985">
                  <c:v>12</c:v>
                </c:pt>
                <c:pt idx="1986">
                  <c:v>12</c:v>
                </c:pt>
                <c:pt idx="1987">
                  <c:v>12</c:v>
                </c:pt>
                <c:pt idx="1988">
                  <c:v>9</c:v>
                </c:pt>
                <c:pt idx="1989">
                  <c:v>10</c:v>
                </c:pt>
                <c:pt idx="1990">
                  <c:v>11</c:v>
                </c:pt>
                <c:pt idx="1991">
                  <c:v>14</c:v>
                </c:pt>
                <c:pt idx="1992">
                  <c:v>11</c:v>
                </c:pt>
                <c:pt idx="1993">
                  <c:v>9</c:v>
                </c:pt>
                <c:pt idx="1994">
                  <c:v>7</c:v>
                </c:pt>
                <c:pt idx="1995">
                  <c:v>8</c:v>
                </c:pt>
                <c:pt idx="1996">
                  <c:v>6</c:v>
                </c:pt>
                <c:pt idx="1997">
                  <c:v>10</c:v>
                </c:pt>
                <c:pt idx="1998">
                  <c:v>11</c:v>
                </c:pt>
                <c:pt idx="1999">
                  <c:v>5</c:v>
                </c:pt>
                <c:pt idx="2000">
                  <c:v>11</c:v>
                </c:pt>
                <c:pt idx="2001">
                  <c:v>9</c:v>
                </c:pt>
                <c:pt idx="2002">
                  <c:v>10</c:v>
                </c:pt>
                <c:pt idx="2003">
                  <c:v>5</c:v>
                </c:pt>
                <c:pt idx="2004">
                  <c:v>15</c:v>
                </c:pt>
                <c:pt idx="2005">
                  <c:v>11</c:v>
                </c:pt>
                <c:pt idx="2006">
                  <c:v>7</c:v>
                </c:pt>
                <c:pt idx="2007">
                  <c:v>8</c:v>
                </c:pt>
                <c:pt idx="2008">
                  <c:v>7</c:v>
                </c:pt>
                <c:pt idx="2009">
                  <c:v>10</c:v>
                </c:pt>
                <c:pt idx="2010">
                  <c:v>12</c:v>
                </c:pt>
                <c:pt idx="2011">
                  <c:v>14</c:v>
                </c:pt>
                <c:pt idx="2012">
                  <c:v>16</c:v>
                </c:pt>
                <c:pt idx="2013">
                  <c:v>10</c:v>
                </c:pt>
                <c:pt idx="2014">
                  <c:v>11</c:v>
                </c:pt>
                <c:pt idx="2015">
                  <c:v>8</c:v>
                </c:pt>
                <c:pt idx="2016">
                  <c:v>11</c:v>
                </c:pt>
                <c:pt idx="2017">
                  <c:v>9</c:v>
                </c:pt>
                <c:pt idx="2018">
                  <c:v>11</c:v>
                </c:pt>
                <c:pt idx="2019">
                  <c:v>11</c:v>
                </c:pt>
                <c:pt idx="2020">
                  <c:v>8</c:v>
                </c:pt>
                <c:pt idx="2021">
                  <c:v>6</c:v>
                </c:pt>
                <c:pt idx="2022">
                  <c:v>11</c:v>
                </c:pt>
                <c:pt idx="2023">
                  <c:v>16</c:v>
                </c:pt>
                <c:pt idx="2024">
                  <c:v>12</c:v>
                </c:pt>
                <c:pt idx="2025">
                  <c:v>11</c:v>
                </c:pt>
                <c:pt idx="2026">
                  <c:v>12</c:v>
                </c:pt>
                <c:pt idx="2027">
                  <c:v>10</c:v>
                </c:pt>
                <c:pt idx="2028">
                  <c:v>16</c:v>
                </c:pt>
                <c:pt idx="2029">
                  <c:v>11</c:v>
                </c:pt>
                <c:pt idx="2030">
                  <c:v>11</c:v>
                </c:pt>
                <c:pt idx="2031">
                  <c:v>9</c:v>
                </c:pt>
                <c:pt idx="2032">
                  <c:v>9</c:v>
                </c:pt>
                <c:pt idx="2033">
                  <c:v>5</c:v>
                </c:pt>
                <c:pt idx="2034">
                  <c:v>8</c:v>
                </c:pt>
                <c:pt idx="2035">
                  <c:v>6</c:v>
                </c:pt>
                <c:pt idx="2036">
                  <c:v>7</c:v>
                </c:pt>
                <c:pt idx="2037">
                  <c:v>7</c:v>
                </c:pt>
                <c:pt idx="2038">
                  <c:v>8</c:v>
                </c:pt>
                <c:pt idx="2039">
                  <c:v>8</c:v>
                </c:pt>
                <c:pt idx="2040">
                  <c:v>16</c:v>
                </c:pt>
                <c:pt idx="2041">
                  <c:v>7</c:v>
                </c:pt>
                <c:pt idx="2042">
                  <c:v>10</c:v>
                </c:pt>
                <c:pt idx="2043">
                  <c:v>1</c:v>
                </c:pt>
                <c:pt idx="2044">
                  <c:v>11</c:v>
                </c:pt>
                <c:pt idx="2045">
                  <c:v>7</c:v>
                </c:pt>
                <c:pt idx="2046">
                  <c:v>7</c:v>
                </c:pt>
                <c:pt idx="2047">
                  <c:v>13</c:v>
                </c:pt>
                <c:pt idx="2048">
                  <c:v>7</c:v>
                </c:pt>
                <c:pt idx="2049">
                  <c:v>11</c:v>
                </c:pt>
                <c:pt idx="2050">
                  <c:v>14</c:v>
                </c:pt>
                <c:pt idx="2051">
                  <c:v>5</c:v>
                </c:pt>
                <c:pt idx="2052">
                  <c:v>8</c:v>
                </c:pt>
                <c:pt idx="2053">
                  <c:v>7</c:v>
                </c:pt>
                <c:pt idx="2054">
                  <c:v>4</c:v>
                </c:pt>
                <c:pt idx="2055">
                  <c:v>8</c:v>
                </c:pt>
                <c:pt idx="2056">
                  <c:v>10</c:v>
                </c:pt>
                <c:pt idx="2057">
                  <c:v>6</c:v>
                </c:pt>
                <c:pt idx="2058">
                  <c:v>11</c:v>
                </c:pt>
                <c:pt idx="2059">
                  <c:v>6</c:v>
                </c:pt>
                <c:pt idx="2060">
                  <c:v>8</c:v>
                </c:pt>
                <c:pt idx="2061">
                  <c:v>5</c:v>
                </c:pt>
                <c:pt idx="2062">
                  <c:v>10</c:v>
                </c:pt>
                <c:pt idx="2063">
                  <c:v>12</c:v>
                </c:pt>
                <c:pt idx="2064">
                  <c:v>6</c:v>
                </c:pt>
                <c:pt idx="2065">
                  <c:v>6</c:v>
                </c:pt>
                <c:pt idx="2066">
                  <c:v>2</c:v>
                </c:pt>
                <c:pt idx="2067">
                  <c:v>6</c:v>
                </c:pt>
                <c:pt idx="2068">
                  <c:v>7</c:v>
                </c:pt>
                <c:pt idx="2069">
                  <c:v>4</c:v>
                </c:pt>
                <c:pt idx="2070">
                  <c:v>8</c:v>
                </c:pt>
                <c:pt idx="2071">
                  <c:v>4</c:v>
                </c:pt>
                <c:pt idx="2072">
                  <c:v>7</c:v>
                </c:pt>
                <c:pt idx="2073">
                  <c:v>12</c:v>
                </c:pt>
                <c:pt idx="2074">
                  <c:v>10</c:v>
                </c:pt>
                <c:pt idx="2075">
                  <c:v>6</c:v>
                </c:pt>
                <c:pt idx="2076">
                  <c:v>7</c:v>
                </c:pt>
                <c:pt idx="2077">
                  <c:v>8</c:v>
                </c:pt>
                <c:pt idx="2078">
                  <c:v>6</c:v>
                </c:pt>
                <c:pt idx="2079">
                  <c:v>6</c:v>
                </c:pt>
                <c:pt idx="2080">
                  <c:v>5</c:v>
                </c:pt>
                <c:pt idx="2081">
                  <c:v>7</c:v>
                </c:pt>
                <c:pt idx="2082">
                  <c:v>7</c:v>
                </c:pt>
                <c:pt idx="2083">
                  <c:v>6</c:v>
                </c:pt>
                <c:pt idx="2084">
                  <c:v>11</c:v>
                </c:pt>
                <c:pt idx="2085">
                  <c:v>10</c:v>
                </c:pt>
                <c:pt idx="2086">
                  <c:v>7</c:v>
                </c:pt>
                <c:pt idx="2087">
                  <c:v>7</c:v>
                </c:pt>
                <c:pt idx="2088">
                  <c:v>9</c:v>
                </c:pt>
                <c:pt idx="2089">
                  <c:v>7</c:v>
                </c:pt>
                <c:pt idx="2090">
                  <c:v>11</c:v>
                </c:pt>
                <c:pt idx="2091">
                  <c:v>8</c:v>
                </c:pt>
                <c:pt idx="2092">
                  <c:v>9</c:v>
                </c:pt>
                <c:pt idx="2093">
                  <c:v>7</c:v>
                </c:pt>
                <c:pt idx="2094">
                  <c:v>2</c:v>
                </c:pt>
                <c:pt idx="2095">
                  <c:v>9</c:v>
                </c:pt>
                <c:pt idx="2096">
                  <c:v>5</c:v>
                </c:pt>
                <c:pt idx="2097">
                  <c:v>8</c:v>
                </c:pt>
                <c:pt idx="2098">
                  <c:v>10</c:v>
                </c:pt>
                <c:pt idx="2099">
                  <c:v>4</c:v>
                </c:pt>
                <c:pt idx="2100">
                  <c:v>4</c:v>
                </c:pt>
                <c:pt idx="2101">
                  <c:v>3</c:v>
                </c:pt>
                <c:pt idx="2102">
                  <c:v>4</c:v>
                </c:pt>
                <c:pt idx="2103">
                  <c:v>8</c:v>
                </c:pt>
                <c:pt idx="2104">
                  <c:v>5</c:v>
                </c:pt>
                <c:pt idx="2105">
                  <c:v>4</c:v>
                </c:pt>
                <c:pt idx="2106">
                  <c:v>7</c:v>
                </c:pt>
                <c:pt idx="2107">
                  <c:v>6</c:v>
                </c:pt>
                <c:pt idx="2108">
                  <c:v>4</c:v>
                </c:pt>
                <c:pt idx="2109">
                  <c:v>4</c:v>
                </c:pt>
                <c:pt idx="2110">
                  <c:v>6</c:v>
                </c:pt>
                <c:pt idx="2111">
                  <c:v>7</c:v>
                </c:pt>
                <c:pt idx="2112">
                  <c:v>6</c:v>
                </c:pt>
                <c:pt idx="2113">
                  <c:v>4</c:v>
                </c:pt>
                <c:pt idx="2114">
                  <c:v>3</c:v>
                </c:pt>
                <c:pt idx="2115">
                  <c:v>5</c:v>
                </c:pt>
                <c:pt idx="2116">
                  <c:v>4</c:v>
                </c:pt>
                <c:pt idx="2117">
                  <c:v>4</c:v>
                </c:pt>
                <c:pt idx="2118">
                  <c:v>3</c:v>
                </c:pt>
                <c:pt idx="2119">
                  <c:v>7</c:v>
                </c:pt>
                <c:pt idx="2120">
                  <c:v>7</c:v>
                </c:pt>
                <c:pt idx="2121">
                  <c:v>11</c:v>
                </c:pt>
                <c:pt idx="2122">
                  <c:v>4</c:v>
                </c:pt>
                <c:pt idx="2123">
                  <c:v>4</c:v>
                </c:pt>
                <c:pt idx="2124">
                  <c:v>10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7</c:v>
                </c:pt>
                <c:pt idx="2130">
                  <c:v>7</c:v>
                </c:pt>
                <c:pt idx="2131">
                  <c:v>7</c:v>
                </c:pt>
                <c:pt idx="2132">
                  <c:v>7</c:v>
                </c:pt>
                <c:pt idx="2133">
                  <c:v>8</c:v>
                </c:pt>
                <c:pt idx="2134">
                  <c:v>10</c:v>
                </c:pt>
                <c:pt idx="2135">
                  <c:v>12</c:v>
                </c:pt>
                <c:pt idx="2136">
                  <c:v>8</c:v>
                </c:pt>
                <c:pt idx="2137">
                  <c:v>9</c:v>
                </c:pt>
                <c:pt idx="2138">
                  <c:v>9</c:v>
                </c:pt>
                <c:pt idx="2139">
                  <c:v>2</c:v>
                </c:pt>
                <c:pt idx="2140">
                  <c:v>2</c:v>
                </c:pt>
                <c:pt idx="2141">
                  <c:v>3</c:v>
                </c:pt>
                <c:pt idx="2142">
                  <c:v>3</c:v>
                </c:pt>
                <c:pt idx="2143">
                  <c:v>4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7</c:v>
                </c:pt>
                <c:pt idx="2148">
                  <c:v>7</c:v>
                </c:pt>
                <c:pt idx="2149">
                  <c:v>9</c:v>
                </c:pt>
                <c:pt idx="2150">
                  <c:v>4</c:v>
                </c:pt>
                <c:pt idx="2151">
                  <c:v>8</c:v>
                </c:pt>
                <c:pt idx="2152">
                  <c:v>4</c:v>
                </c:pt>
                <c:pt idx="2153">
                  <c:v>1</c:v>
                </c:pt>
                <c:pt idx="2154">
                  <c:v>5</c:v>
                </c:pt>
                <c:pt idx="2155">
                  <c:v>2</c:v>
                </c:pt>
                <c:pt idx="2156">
                  <c:v>0</c:v>
                </c:pt>
                <c:pt idx="2157">
                  <c:v>4</c:v>
                </c:pt>
                <c:pt idx="2158">
                  <c:v>1</c:v>
                </c:pt>
                <c:pt idx="2159">
                  <c:v>0</c:v>
                </c:pt>
                <c:pt idx="2160">
                  <c:v>2</c:v>
                </c:pt>
                <c:pt idx="2161">
                  <c:v>3</c:v>
                </c:pt>
                <c:pt idx="2162">
                  <c:v>0</c:v>
                </c:pt>
                <c:pt idx="2163">
                  <c:v>2</c:v>
                </c:pt>
                <c:pt idx="2164">
                  <c:v>1</c:v>
                </c:pt>
                <c:pt idx="2165">
                  <c:v>2</c:v>
                </c:pt>
                <c:pt idx="2166">
                  <c:v>1</c:v>
                </c:pt>
                <c:pt idx="2167">
                  <c:v>2</c:v>
                </c:pt>
                <c:pt idx="2168">
                  <c:v>1</c:v>
                </c:pt>
                <c:pt idx="2169">
                  <c:v>2</c:v>
                </c:pt>
                <c:pt idx="2170">
                  <c:v>0</c:v>
                </c:pt>
                <c:pt idx="2171">
                  <c:v>0</c:v>
                </c:pt>
                <c:pt idx="2172">
                  <c:v>3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1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</c:numCache>
            </c:numRef>
          </c:xVal>
          <c:yVal>
            <c:numRef>
              <c:f>voc!$F$2:$F$2270</c:f>
              <c:numCache>
                <c:formatCode>0.00</c:formatCode>
                <c:ptCount val="2269"/>
                <c:pt idx="0">
                  <c:v>0.777777777777778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-0.875</c:v>
                </c:pt>
                <c:pt idx="14">
                  <c:v>-0.875</c:v>
                </c:pt>
                <c:pt idx="15">
                  <c:v>-0.846153846153846</c:v>
                </c:pt>
                <c:pt idx="16">
                  <c:v>-0.75</c:v>
                </c:pt>
                <c:pt idx="17">
                  <c:v>-0.777777777777778</c:v>
                </c:pt>
                <c:pt idx="18">
                  <c:v>-0.6</c:v>
                </c:pt>
                <c:pt idx="19">
                  <c:v>-0.5</c:v>
                </c:pt>
                <c:pt idx="20">
                  <c:v>-0.5</c:v>
                </c:pt>
                <c:pt idx="21">
                  <c:v>-0.294117647058824</c:v>
                </c:pt>
                <c:pt idx="22">
                  <c:v>-0.2</c:v>
                </c:pt>
                <c:pt idx="23">
                  <c:v>-0.125</c:v>
                </c:pt>
                <c:pt idx="24">
                  <c:v>0</c:v>
                </c:pt>
                <c:pt idx="25">
                  <c:v>0</c:v>
                </c:pt>
                <c:pt idx="26">
                  <c:v>0.111111111111111</c:v>
                </c:pt>
                <c:pt idx="27">
                  <c:v>0.25</c:v>
                </c:pt>
                <c:pt idx="28">
                  <c:v>0.333333333333333</c:v>
                </c:pt>
                <c:pt idx="29">
                  <c:v>0.333333333333333</c:v>
                </c:pt>
                <c:pt idx="30">
                  <c:v>0.333333333333333</c:v>
                </c:pt>
                <c:pt idx="31">
                  <c:v>0.5</c:v>
                </c:pt>
                <c:pt idx="32">
                  <c:v>0.6</c:v>
                </c:pt>
                <c:pt idx="33">
                  <c:v>0.625</c:v>
                </c:pt>
                <c:pt idx="34">
                  <c:v>0.636363636363636</c:v>
                </c:pt>
                <c:pt idx="35">
                  <c:v>0.666666666666667</c:v>
                </c:pt>
                <c:pt idx="36">
                  <c:v>0.666666666666667</c:v>
                </c:pt>
                <c:pt idx="37">
                  <c:v>0.666666666666667</c:v>
                </c:pt>
                <c:pt idx="38">
                  <c:v>0.666666666666667</c:v>
                </c:pt>
                <c:pt idx="39">
                  <c:v>0.714285714285714</c:v>
                </c:pt>
                <c:pt idx="40">
                  <c:v>0.714285714285714</c:v>
                </c:pt>
                <c:pt idx="41">
                  <c:v>0.733333333333333</c:v>
                </c:pt>
                <c:pt idx="42">
                  <c:v>0.75</c:v>
                </c:pt>
                <c:pt idx="43">
                  <c:v>0.75</c:v>
                </c:pt>
                <c:pt idx="44">
                  <c:v>0.75</c:v>
                </c:pt>
                <c:pt idx="45">
                  <c:v>0.777777777777778</c:v>
                </c:pt>
                <c:pt idx="46">
                  <c:v>0.8</c:v>
                </c:pt>
                <c:pt idx="47">
                  <c:v>0.833333333333333</c:v>
                </c:pt>
                <c:pt idx="48">
                  <c:v>0.833333333333333</c:v>
                </c:pt>
                <c:pt idx="49">
                  <c:v>0.875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-1</c:v>
                </c:pt>
                <c:pt idx="64">
                  <c:v>-0.555555555555556</c:v>
                </c:pt>
                <c:pt idx="65">
                  <c:v>-0.25</c:v>
                </c:pt>
                <c:pt idx="66">
                  <c:v>0</c:v>
                </c:pt>
                <c:pt idx="67">
                  <c:v>-0.111111111111111</c:v>
                </c:pt>
                <c:pt idx="68">
                  <c:v>-0.111111111111111</c:v>
                </c:pt>
                <c:pt idx="69">
                  <c:v>-0.0909090909090909</c:v>
                </c:pt>
                <c:pt idx="70">
                  <c:v>-0.0666666666666667</c:v>
                </c:pt>
                <c:pt idx="71">
                  <c:v>0</c:v>
                </c:pt>
                <c:pt idx="72">
                  <c:v>0.166666666666667</c:v>
                </c:pt>
                <c:pt idx="73">
                  <c:v>0.2</c:v>
                </c:pt>
                <c:pt idx="74">
                  <c:v>0.333333333333333</c:v>
                </c:pt>
                <c:pt idx="75">
                  <c:v>0.333333333333333</c:v>
                </c:pt>
                <c:pt idx="76">
                  <c:v>0.384615384615385</c:v>
                </c:pt>
                <c:pt idx="77">
                  <c:v>0.4</c:v>
                </c:pt>
                <c:pt idx="78">
                  <c:v>0.4</c:v>
                </c:pt>
                <c:pt idx="79">
                  <c:v>0.416666666666667</c:v>
                </c:pt>
                <c:pt idx="80">
                  <c:v>0.428571428571429</c:v>
                </c:pt>
                <c:pt idx="81">
                  <c:v>0.5</c:v>
                </c:pt>
                <c:pt idx="82">
                  <c:v>0.555555555555556</c:v>
                </c:pt>
                <c:pt idx="83">
                  <c:v>0.615384615384615</c:v>
                </c:pt>
                <c:pt idx="84">
                  <c:v>0.636363636363636</c:v>
                </c:pt>
                <c:pt idx="85">
                  <c:v>0.714285714285714</c:v>
                </c:pt>
                <c:pt idx="86">
                  <c:v>0.714285714285714</c:v>
                </c:pt>
                <c:pt idx="87">
                  <c:v>0.777777777777778</c:v>
                </c:pt>
                <c:pt idx="88">
                  <c:v>0.8</c:v>
                </c:pt>
                <c:pt idx="89">
                  <c:v>0.818181818181818</c:v>
                </c:pt>
                <c:pt idx="90">
                  <c:v>0.833333333333333</c:v>
                </c:pt>
                <c:pt idx="91">
                  <c:v>0.9</c:v>
                </c:pt>
                <c:pt idx="92">
                  <c:v>0.923076923076923</c:v>
                </c:pt>
                <c:pt idx="93">
                  <c:v>0.9375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-0.666666666666667</c:v>
                </c:pt>
                <c:pt idx="124">
                  <c:v>-0.6</c:v>
                </c:pt>
                <c:pt idx="125">
                  <c:v>-0.5</c:v>
                </c:pt>
                <c:pt idx="126">
                  <c:v>-0.454545454545455</c:v>
                </c:pt>
                <c:pt idx="127">
                  <c:v>-0.333333333333333</c:v>
                </c:pt>
                <c:pt idx="128">
                  <c:v>-0.230769230769231</c:v>
                </c:pt>
                <c:pt idx="129">
                  <c:v>-0.230769230769231</c:v>
                </c:pt>
                <c:pt idx="130">
                  <c:v>0.0909090909090909</c:v>
                </c:pt>
                <c:pt idx="131">
                  <c:v>0.555555555555556</c:v>
                </c:pt>
                <c:pt idx="132">
                  <c:v>0.6</c:v>
                </c:pt>
                <c:pt idx="133">
                  <c:v>0.6</c:v>
                </c:pt>
                <c:pt idx="134">
                  <c:v>0.636363636363636</c:v>
                </c:pt>
                <c:pt idx="135">
                  <c:v>0.666666666666667</c:v>
                </c:pt>
                <c:pt idx="136">
                  <c:v>0.666666666666667</c:v>
                </c:pt>
                <c:pt idx="137">
                  <c:v>0.714285714285714</c:v>
                </c:pt>
                <c:pt idx="138">
                  <c:v>0.75</c:v>
                </c:pt>
                <c:pt idx="139">
                  <c:v>0.75</c:v>
                </c:pt>
                <c:pt idx="140">
                  <c:v>0.75</c:v>
                </c:pt>
                <c:pt idx="141">
                  <c:v>0.818181818181818</c:v>
                </c:pt>
                <c:pt idx="142">
                  <c:v>0.833333333333333</c:v>
                </c:pt>
                <c:pt idx="143">
                  <c:v>0.846153846153846</c:v>
                </c:pt>
                <c:pt idx="144">
                  <c:v>0.866666666666667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-1</c:v>
                </c:pt>
                <c:pt idx="158">
                  <c:v>-0.75</c:v>
                </c:pt>
                <c:pt idx="159">
                  <c:v>-0.733333333333333</c:v>
                </c:pt>
                <c:pt idx="160">
                  <c:v>-0.333333333333333</c:v>
                </c:pt>
                <c:pt idx="161">
                  <c:v>-0.2</c:v>
                </c:pt>
                <c:pt idx="162">
                  <c:v>-0.0769230769230769</c:v>
                </c:pt>
                <c:pt idx="163">
                  <c:v>-0.0476190476190476</c:v>
                </c:pt>
                <c:pt idx="164">
                  <c:v>0</c:v>
                </c:pt>
                <c:pt idx="165">
                  <c:v>0</c:v>
                </c:pt>
                <c:pt idx="166">
                  <c:v>0.142857142857143</c:v>
                </c:pt>
                <c:pt idx="167">
                  <c:v>0.222222222222222</c:v>
                </c:pt>
                <c:pt idx="168">
                  <c:v>0.333333333333333</c:v>
                </c:pt>
                <c:pt idx="169">
                  <c:v>0.647058823529412</c:v>
                </c:pt>
                <c:pt idx="170">
                  <c:v>0.666666666666667</c:v>
                </c:pt>
                <c:pt idx="171">
                  <c:v>0.666666666666667</c:v>
                </c:pt>
                <c:pt idx="172">
                  <c:v>0.714285714285714</c:v>
                </c:pt>
                <c:pt idx="173">
                  <c:v>0.714285714285714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0.818181818181818</c:v>
                </c:pt>
                <c:pt idx="178">
                  <c:v>0.833333333333333</c:v>
                </c:pt>
                <c:pt idx="179">
                  <c:v>0.846153846153846</c:v>
                </c:pt>
                <c:pt idx="180">
                  <c:v>0.85</c:v>
                </c:pt>
                <c:pt idx="181">
                  <c:v>0.909090909090909</c:v>
                </c:pt>
                <c:pt idx="182">
                  <c:v>0.909090909090909</c:v>
                </c:pt>
                <c:pt idx="183">
                  <c:v>0.923076923076923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-0.833333333333333</c:v>
                </c:pt>
                <c:pt idx="197">
                  <c:v>-0.666666666666667</c:v>
                </c:pt>
                <c:pt idx="198">
                  <c:v>-0.555555555555556</c:v>
                </c:pt>
                <c:pt idx="199">
                  <c:v>-0.5</c:v>
                </c:pt>
                <c:pt idx="200">
                  <c:v>-0.4</c:v>
                </c:pt>
                <c:pt idx="201">
                  <c:v>-0.4</c:v>
                </c:pt>
                <c:pt idx="202">
                  <c:v>-0.272727272727273</c:v>
                </c:pt>
                <c:pt idx="203">
                  <c:v>-0.142857142857143</c:v>
                </c:pt>
                <c:pt idx="204">
                  <c:v>-0.176470588235294</c:v>
                </c:pt>
                <c:pt idx="205">
                  <c:v>0</c:v>
                </c:pt>
                <c:pt idx="206">
                  <c:v>0</c:v>
                </c:pt>
                <c:pt idx="207">
                  <c:v>0.111111111111111</c:v>
                </c:pt>
                <c:pt idx="208">
                  <c:v>0.142857142857143</c:v>
                </c:pt>
                <c:pt idx="209">
                  <c:v>0.142857142857143</c:v>
                </c:pt>
                <c:pt idx="210">
                  <c:v>0.166666666666667</c:v>
                </c:pt>
                <c:pt idx="211">
                  <c:v>0.166666666666667</c:v>
                </c:pt>
                <c:pt idx="212">
                  <c:v>0.2</c:v>
                </c:pt>
                <c:pt idx="213">
                  <c:v>0.25</c:v>
                </c:pt>
                <c:pt idx="214">
                  <c:v>0.304347826086957</c:v>
                </c:pt>
                <c:pt idx="215">
                  <c:v>0.333333333333333</c:v>
                </c:pt>
                <c:pt idx="216">
                  <c:v>0.4</c:v>
                </c:pt>
                <c:pt idx="217">
                  <c:v>0.4</c:v>
                </c:pt>
                <c:pt idx="218">
                  <c:v>0.428571428571429</c:v>
                </c:pt>
                <c:pt idx="219">
                  <c:v>0.466666666666667</c:v>
                </c:pt>
                <c:pt idx="220">
                  <c:v>0.538461538461538</c:v>
                </c:pt>
                <c:pt idx="221">
                  <c:v>0.555555555555556</c:v>
                </c:pt>
                <c:pt idx="222">
                  <c:v>0.555555555555556</c:v>
                </c:pt>
                <c:pt idx="223">
                  <c:v>0.666666666666667</c:v>
                </c:pt>
                <c:pt idx="224">
                  <c:v>0.714285714285714</c:v>
                </c:pt>
                <c:pt idx="225">
                  <c:v>0.75</c:v>
                </c:pt>
                <c:pt idx="226">
                  <c:v>0.75</c:v>
                </c:pt>
                <c:pt idx="227">
                  <c:v>0.777777777777778</c:v>
                </c:pt>
                <c:pt idx="228">
                  <c:v>0.8</c:v>
                </c:pt>
                <c:pt idx="229">
                  <c:v>0.818181818181818</c:v>
                </c:pt>
                <c:pt idx="230">
                  <c:v>0.833333333333333</c:v>
                </c:pt>
                <c:pt idx="231">
                  <c:v>0.882352941176471</c:v>
                </c:pt>
                <c:pt idx="232">
                  <c:v>0.888888888888889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-1</c:v>
                </c:pt>
                <c:pt idx="256">
                  <c:v>-1</c:v>
                </c:pt>
                <c:pt idx="257">
                  <c:v>-0.666666666666667</c:v>
                </c:pt>
                <c:pt idx="258">
                  <c:v>-0.538461538461538</c:v>
                </c:pt>
                <c:pt idx="259">
                  <c:v>-0.428571428571429</c:v>
                </c:pt>
                <c:pt idx="260">
                  <c:v>-0.333333333333333</c:v>
                </c:pt>
                <c:pt idx="261">
                  <c:v>-0.333333333333333</c:v>
                </c:pt>
                <c:pt idx="262">
                  <c:v>-0.333333333333333</c:v>
                </c:pt>
                <c:pt idx="263">
                  <c:v>-0.230769230769231</c:v>
                </c:pt>
                <c:pt idx="264">
                  <c:v>0</c:v>
                </c:pt>
                <c:pt idx="265">
                  <c:v>0</c:v>
                </c:pt>
                <c:pt idx="266">
                  <c:v>0.0909090909090909</c:v>
                </c:pt>
                <c:pt idx="267">
                  <c:v>0.166666666666667</c:v>
                </c:pt>
                <c:pt idx="268">
                  <c:v>0.166666666666667</c:v>
                </c:pt>
                <c:pt idx="269">
                  <c:v>0.176470588235294</c:v>
                </c:pt>
                <c:pt idx="270">
                  <c:v>0.2</c:v>
                </c:pt>
                <c:pt idx="271">
                  <c:v>0.25</c:v>
                </c:pt>
                <c:pt idx="272">
                  <c:v>0.375</c:v>
                </c:pt>
                <c:pt idx="273">
                  <c:v>0.333333333333333</c:v>
                </c:pt>
                <c:pt idx="274">
                  <c:v>0.333333333333333</c:v>
                </c:pt>
                <c:pt idx="275">
                  <c:v>0.333333333333333</c:v>
                </c:pt>
                <c:pt idx="276">
                  <c:v>0.4</c:v>
                </c:pt>
                <c:pt idx="277">
                  <c:v>0.428571428571429</c:v>
                </c:pt>
                <c:pt idx="278">
                  <c:v>0.428571428571429</c:v>
                </c:pt>
                <c:pt idx="279">
                  <c:v>0.428571428571429</c:v>
                </c:pt>
                <c:pt idx="280">
                  <c:v>0.555555555555556</c:v>
                </c:pt>
                <c:pt idx="281">
                  <c:v>0.625</c:v>
                </c:pt>
                <c:pt idx="282">
                  <c:v>0.714285714285714</c:v>
                </c:pt>
                <c:pt idx="283">
                  <c:v>0.75</c:v>
                </c:pt>
                <c:pt idx="284">
                  <c:v>0.75</c:v>
                </c:pt>
                <c:pt idx="285">
                  <c:v>0.75</c:v>
                </c:pt>
                <c:pt idx="286">
                  <c:v>0.764705882352941</c:v>
                </c:pt>
                <c:pt idx="287">
                  <c:v>0.777777777777778</c:v>
                </c:pt>
                <c:pt idx="288">
                  <c:v>0.818181818181818</c:v>
                </c:pt>
                <c:pt idx="289">
                  <c:v>0.818181818181818</c:v>
                </c:pt>
                <c:pt idx="290">
                  <c:v>0.833333333333333</c:v>
                </c:pt>
                <c:pt idx="291">
                  <c:v>0.833333333333333</c:v>
                </c:pt>
                <c:pt idx="292">
                  <c:v>0.833333333333333</c:v>
                </c:pt>
                <c:pt idx="293">
                  <c:v>0.846153846153846</c:v>
                </c:pt>
                <c:pt idx="294">
                  <c:v>0.875</c:v>
                </c:pt>
                <c:pt idx="295">
                  <c:v>0.933333333333333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-0.75</c:v>
                </c:pt>
                <c:pt idx="320">
                  <c:v>-0.714285714285714</c:v>
                </c:pt>
                <c:pt idx="321">
                  <c:v>-0.666666666666667</c:v>
                </c:pt>
                <c:pt idx="322">
                  <c:v>-0.555555555555556</c:v>
                </c:pt>
                <c:pt idx="323">
                  <c:v>-0.363636363636364</c:v>
                </c:pt>
                <c:pt idx="324">
                  <c:v>-0.333333333333333</c:v>
                </c:pt>
                <c:pt idx="325">
                  <c:v>-0.333333333333333</c:v>
                </c:pt>
                <c:pt idx="326">
                  <c:v>-0.333333333333333</c:v>
                </c:pt>
                <c:pt idx="327">
                  <c:v>-0.272727272727273</c:v>
                </c:pt>
                <c:pt idx="328">
                  <c:v>-0.2</c:v>
                </c:pt>
                <c:pt idx="329">
                  <c:v>-0.2</c:v>
                </c:pt>
                <c:pt idx="330">
                  <c:v>-0.142857142857143</c:v>
                </c:pt>
                <c:pt idx="331">
                  <c:v>-0.0909090909090909</c:v>
                </c:pt>
                <c:pt idx="332">
                  <c:v>0.2</c:v>
                </c:pt>
                <c:pt idx="333">
                  <c:v>0</c:v>
                </c:pt>
                <c:pt idx="334">
                  <c:v>0.272727272727273</c:v>
                </c:pt>
                <c:pt idx="335">
                  <c:v>0.285714285714286</c:v>
                </c:pt>
                <c:pt idx="336">
                  <c:v>0.4</c:v>
                </c:pt>
                <c:pt idx="337">
                  <c:v>0.466666666666667</c:v>
                </c:pt>
                <c:pt idx="338">
                  <c:v>0.555555555555556</c:v>
                </c:pt>
                <c:pt idx="339">
                  <c:v>0.571428571428571</c:v>
                </c:pt>
                <c:pt idx="340">
                  <c:v>0.6</c:v>
                </c:pt>
                <c:pt idx="341">
                  <c:v>0.6</c:v>
                </c:pt>
                <c:pt idx="342">
                  <c:v>0.666666666666667</c:v>
                </c:pt>
                <c:pt idx="343">
                  <c:v>0.714285714285714</c:v>
                </c:pt>
                <c:pt idx="344">
                  <c:v>0.714285714285714</c:v>
                </c:pt>
                <c:pt idx="345">
                  <c:v>0.75</c:v>
                </c:pt>
                <c:pt idx="346">
                  <c:v>0.777777777777778</c:v>
                </c:pt>
                <c:pt idx="347">
                  <c:v>0.777777777777778</c:v>
                </c:pt>
                <c:pt idx="348">
                  <c:v>0.8</c:v>
                </c:pt>
                <c:pt idx="349">
                  <c:v>0.8</c:v>
                </c:pt>
                <c:pt idx="350">
                  <c:v>0.833333333333333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-1</c:v>
                </c:pt>
                <c:pt idx="371">
                  <c:v>-1</c:v>
                </c:pt>
                <c:pt idx="372">
                  <c:v>-1</c:v>
                </c:pt>
                <c:pt idx="373">
                  <c:v>-1</c:v>
                </c:pt>
                <c:pt idx="374">
                  <c:v>-1</c:v>
                </c:pt>
                <c:pt idx="375">
                  <c:v>-1</c:v>
                </c:pt>
                <c:pt idx="376">
                  <c:v>-1</c:v>
                </c:pt>
                <c:pt idx="377">
                  <c:v>-0.75</c:v>
                </c:pt>
                <c:pt idx="378">
                  <c:v>-0.666666666666667</c:v>
                </c:pt>
                <c:pt idx="379">
                  <c:v>-0.6</c:v>
                </c:pt>
                <c:pt idx="380">
                  <c:v>-0.416666666666667</c:v>
                </c:pt>
                <c:pt idx="381">
                  <c:v>-0.272727272727273</c:v>
                </c:pt>
                <c:pt idx="382">
                  <c:v>-0.272727272727273</c:v>
                </c:pt>
                <c:pt idx="383">
                  <c:v>0</c:v>
                </c:pt>
                <c:pt idx="384">
                  <c:v>0.2</c:v>
                </c:pt>
                <c:pt idx="385">
                  <c:v>0.230769230769231</c:v>
                </c:pt>
                <c:pt idx="386">
                  <c:v>0.230769230769231</c:v>
                </c:pt>
                <c:pt idx="387">
                  <c:v>0.285714285714286</c:v>
                </c:pt>
                <c:pt idx="388">
                  <c:v>0.333333333333333</c:v>
                </c:pt>
                <c:pt idx="389">
                  <c:v>0.333333333333333</c:v>
                </c:pt>
                <c:pt idx="390">
                  <c:v>0.466666666666667</c:v>
                </c:pt>
                <c:pt idx="391">
                  <c:v>0.5</c:v>
                </c:pt>
                <c:pt idx="392">
                  <c:v>0.538461538461538</c:v>
                </c:pt>
                <c:pt idx="393">
                  <c:v>0.555555555555556</c:v>
                </c:pt>
                <c:pt idx="394">
                  <c:v>0.555555555555556</c:v>
                </c:pt>
                <c:pt idx="395">
                  <c:v>0.714285714285714</c:v>
                </c:pt>
                <c:pt idx="396">
                  <c:v>0.714285714285714</c:v>
                </c:pt>
                <c:pt idx="397">
                  <c:v>0.733333333333333</c:v>
                </c:pt>
                <c:pt idx="398">
                  <c:v>0.75</c:v>
                </c:pt>
                <c:pt idx="399">
                  <c:v>0.75</c:v>
                </c:pt>
                <c:pt idx="400">
                  <c:v>0.846153846153846</c:v>
                </c:pt>
                <c:pt idx="401">
                  <c:v>0.916666666666667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-1</c:v>
                </c:pt>
                <c:pt idx="421">
                  <c:v>-1</c:v>
                </c:pt>
                <c:pt idx="422">
                  <c:v>-0.818181818181818</c:v>
                </c:pt>
                <c:pt idx="423">
                  <c:v>-0.538461538461538</c:v>
                </c:pt>
                <c:pt idx="424">
                  <c:v>-0.5</c:v>
                </c:pt>
                <c:pt idx="425">
                  <c:v>-0.5</c:v>
                </c:pt>
                <c:pt idx="426">
                  <c:v>-0.5</c:v>
                </c:pt>
                <c:pt idx="427">
                  <c:v>-0.454545454545455</c:v>
                </c:pt>
                <c:pt idx="428">
                  <c:v>-0.428571428571429</c:v>
                </c:pt>
                <c:pt idx="429">
                  <c:v>-0.5</c:v>
                </c:pt>
                <c:pt idx="430">
                  <c:v>-0.428571428571429</c:v>
                </c:pt>
                <c:pt idx="431">
                  <c:v>-0.4</c:v>
                </c:pt>
                <c:pt idx="432">
                  <c:v>-0.25</c:v>
                </c:pt>
                <c:pt idx="433">
                  <c:v>-0.25</c:v>
                </c:pt>
                <c:pt idx="434">
                  <c:v>-0.2</c:v>
                </c:pt>
                <c:pt idx="435">
                  <c:v>-0.142857142857143</c:v>
                </c:pt>
                <c:pt idx="436">
                  <c:v>-0.142857142857143</c:v>
                </c:pt>
                <c:pt idx="437">
                  <c:v>-0.0909090909090909</c:v>
                </c:pt>
                <c:pt idx="438">
                  <c:v>-0.0909090909090909</c:v>
                </c:pt>
                <c:pt idx="439">
                  <c:v>-0.0909090909090909</c:v>
                </c:pt>
                <c:pt idx="440">
                  <c:v>-0.111111111111111</c:v>
                </c:pt>
                <c:pt idx="441">
                  <c:v>0.166666666666667</c:v>
                </c:pt>
                <c:pt idx="442">
                  <c:v>0.166666666666667</c:v>
                </c:pt>
                <c:pt idx="443">
                  <c:v>0.2</c:v>
                </c:pt>
                <c:pt idx="444">
                  <c:v>0.2</c:v>
                </c:pt>
                <c:pt idx="445">
                  <c:v>0.294117647058824</c:v>
                </c:pt>
                <c:pt idx="446">
                  <c:v>0.333333333333333</c:v>
                </c:pt>
                <c:pt idx="447">
                  <c:v>0.4</c:v>
                </c:pt>
                <c:pt idx="448">
                  <c:v>0.666666666666667</c:v>
                </c:pt>
                <c:pt idx="449">
                  <c:v>0.714285714285714</c:v>
                </c:pt>
                <c:pt idx="450">
                  <c:v>0.75</c:v>
                </c:pt>
                <c:pt idx="451">
                  <c:v>0.764705882352941</c:v>
                </c:pt>
                <c:pt idx="452">
                  <c:v>0.777777777777778</c:v>
                </c:pt>
                <c:pt idx="453">
                  <c:v>0.818181818181818</c:v>
                </c:pt>
                <c:pt idx="454">
                  <c:v>0.818181818181818</c:v>
                </c:pt>
                <c:pt idx="455">
                  <c:v>0.833333333333333</c:v>
                </c:pt>
                <c:pt idx="456">
                  <c:v>0.833333333333333</c:v>
                </c:pt>
                <c:pt idx="457">
                  <c:v>0.846153846153846</c:v>
                </c:pt>
                <c:pt idx="458">
                  <c:v>0.866666666666667</c:v>
                </c:pt>
                <c:pt idx="459">
                  <c:v>0.9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-1</c:v>
                </c:pt>
                <c:pt idx="478">
                  <c:v>-1</c:v>
                </c:pt>
                <c:pt idx="479">
                  <c:v>-1</c:v>
                </c:pt>
                <c:pt idx="480">
                  <c:v>-1</c:v>
                </c:pt>
                <c:pt idx="481">
                  <c:v>-1</c:v>
                </c:pt>
                <c:pt idx="482">
                  <c:v>-1</c:v>
                </c:pt>
                <c:pt idx="483">
                  <c:v>-0.916666666666667</c:v>
                </c:pt>
                <c:pt idx="484">
                  <c:v>-0.818181818181818</c:v>
                </c:pt>
                <c:pt idx="485">
                  <c:v>-0.777777777777778</c:v>
                </c:pt>
                <c:pt idx="486">
                  <c:v>-0.714285714285714</c:v>
                </c:pt>
                <c:pt idx="487">
                  <c:v>-0.714285714285714</c:v>
                </c:pt>
                <c:pt idx="488">
                  <c:v>-0.7</c:v>
                </c:pt>
                <c:pt idx="489">
                  <c:v>-0.714285714285714</c:v>
                </c:pt>
                <c:pt idx="490">
                  <c:v>-0.666666666666667</c:v>
                </c:pt>
                <c:pt idx="491">
                  <c:v>-0.636363636363636</c:v>
                </c:pt>
                <c:pt idx="492">
                  <c:v>-0.625</c:v>
                </c:pt>
                <c:pt idx="493">
                  <c:v>-0.6</c:v>
                </c:pt>
                <c:pt idx="494">
                  <c:v>-0.555555555555556</c:v>
                </c:pt>
                <c:pt idx="495">
                  <c:v>-0.454545454545455</c:v>
                </c:pt>
                <c:pt idx="496">
                  <c:v>-0.428571428571429</c:v>
                </c:pt>
                <c:pt idx="497">
                  <c:v>-0.4</c:v>
                </c:pt>
                <c:pt idx="498">
                  <c:v>-0.363636363636364</c:v>
                </c:pt>
                <c:pt idx="499">
                  <c:v>-0.333333333333333</c:v>
                </c:pt>
                <c:pt idx="500">
                  <c:v>-0.272727272727273</c:v>
                </c:pt>
                <c:pt idx="501">
                  <c:v>-0.272727272727273</c:v>
                </c:pt>
                <c:pt idx="502">
                  <c:v>-0.142857142857143</c:v>
                </c:pt>
                <c:pt idx="503">
                  <c:v>-0.142857142857143</c:v>
                </c:pt>
                <c:pt idx="504">
                  <c:v>0.142857142857143</c:v>
                </c:pt>
                <c:pt idx="505">
                  <c:v>0.166666666666667</c:v>
                </c:pt>
                <c:pt idx="506">
                  <c:v>0.25</c:v>
                </c:pt>
                <c:pt idx="507">
                  <c:v>0.333333333333333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0.555555555555556</c:v>
                </c:pt>
                <c:pt idx="512">
                  <c:v>0.6</c:v>
                </c:pt>
                <c:pt idx="513">
                  <c:v>0.75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-0.0526315789473684</c:v>
                </c:pt>
                <c:pt idx="525">
                  <c:v>-1</c:v>
                </c:pt>
                <c:pt idx="526">
                  <c:v>-1</c:v>
                </c:pt>
                <c:pt idx="527">
                  <c:v>-1</c:v>
                </c:pt>
                <c:pt idx="528">
                  <c:v>-1</c:v>
                </c:pt>
                <c:pt idx="529">
                  <c:v>-1</c:v>
                </c:pt>
                <c:pt idx="530">
                  <c:v>-0.833333333333333</c:v>
                </c:pt>
                <c:pt idx="531">
                  <c:v>-0.818181818181818</c:v>
                </c:pt>
                <c:pt idx="532">
                  <c:v>-0.5</c:v>
                </c:pt>
                <c:pt idx="533">
                  <c:v>-0.5</c:v>
                </c:pt>
                <c:pt idx="534">
                  <c:v>-0.454545454545455</c:v>
                </c:pt>
                <c:pt idx="535">
                  <c:v>-0.333333333333333</c:v>
                </c:pt>
                <c:pt idx="536">
                  <c:v>-0.272727272727273</c:v>
                </c:pt>
                <c:pt idx="537">
                  <c:v>-0.25</c:v>
                </c:pt>
                <c:pt idx="538">
                  <c:v>-0.111111111111111</c:v>
                </c:pt>
                <c:pt idx="539">
                  <c:v>-0.2</c:v>
                </c:pt>
                <c:pt idx="540">
                  <c:v>-0.2</c:v>
                </c:pt>
                <c:pt idx="541">
                  <c:v>-0.111111111111111</c:v>
                </c:pt>
                <c:pt idx="542">
                  <c:v>-0.0909090909090909</c:v>
                </c:pt>
                <c:pt idx="543">
                  <c:v>0</c:v>
                </c:pt>
                <c:pt idx="544">
                  <c:v>0.111111111111111</c:v>
                </c:pt>
                <c:pt idx="545">
                  <c:v>0.111111111111111</c:v>
                </c:pt>
                <c:pt idx="546">
                  <c:v>0.142857142857143</c:v>
                </c:pt>
                <c:pt idx="547">
                  <c:v>0.166666666666667</c:v>
                </c:pt>
                <c:pt idx="548">
                  <c:v>0.333333333333333</c:v>
                </c:pt>
                <c:pt idx="549">
                  <c:v>0.428571428571429</c:v>
                </c:pt>
                <c:pt idx="550">
                  <c:v>0.428571428571429</c:v>
                </c:pt>
                <c:pt idx="551">
                  <c:v>0.428571428571429</c:v>
                </c:pt>
                <c:pt idx="552">
                  <c:v>0.5</c:v>
                </c:pt>
                <c:pt idx="553">
                  <c:v>0.565217391304348</c:v>
                </c:pt>
                <c:pt idx="554">
                  <c:v>0.6</c:v>
                </c:pt>
                <c:pt idx="555">
                  <c:v>0.666666666666667</c:v>
                </c:pt>
                <c:pt idx="556">
                  <c:v>0.714285714285714</c:v>
                </c:pt>
                <c:pt idx="557">
                  <c:v>0.727272727272727</c:v>
                </c:pt>
                <c:pt idx="558">
                  <c:v>0.733333333333333</c:v>
                </c:pt>
                <c:pt idx="559">
                  <c:v>0.75</c:v>
                </c:pt>
                <c:pt idx="560">
                  <c:v>0.777777777777778</c:v>
                </c:pt>
                <c:pt idx="561">
                  <c:v>0.826086956521739</c:v>
                </c:pt>
                <c:pt idx="562">
                  <c:v>0.857142857142857</c:v>
                </c:pt>
                <c:pt idx="563">
                  <c:v>0.882352941176471</c:v>
                </c:pt>
                <c:pt idx="564">
                  <c:v>0.9375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-1</c:v>
                </c:pt>
                <c:pt idx="579">
                  <c:v>-0.933333333333333</c:v>
                </c:pt>
                <c:pt idx="580">
                  <c:v>-0.875</c:v>
                </c:pt>
                <c:pt idx="581">
                  <c:v>-0.833333333333333</c:v>
                </c:pt>
                <c:pt idx="582">
                  <c:v>-0.636363636363636</c:v>
                </c:pt>
                <c:pt idx="583">
                  <c:v>-0.555555555555556</c:v>
                </c:pt>
                <c:pt idx="584">
                  <c:v>-0.333333333333333</c:v>
                </c:pt>
                <c:pt idx="585">
                  <c:v>-0.25</c:v>
                </c:pt>
                <c:pt idx="586">
                  <c:v>-0.0909090909090909</c:v>
                </c:pt>
                <c:pt idx="587">
                  <c:v>-0.142857142857143</c:v>
                </c:pt>
                <c:pt idx="588">
                  <c:v>0</c:v>
                </c:pt>
                <c:pt idx="589">
                  <c:v>0</c:v>
                </c:pt>
                <c:pt idx="590">
                  <c:v>0.166666666666667</c:v>
                </c:pt>
                <c:pt idx="591">
                  <c:v>0.2</c:v>
                </c:pt>
                <c:pt idx="592">
                  <c:v>0.230769230769231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0.428571428571429</c:v>
                </c:pt>
                <c:pt idx="597">
                  <c:v>0.454545454545455</c:v>
                </c:pt>
                <c:pt idx="598">
                  <c:v>0.411764705882353</c:v>
                </c:pt>
                <c:pt idx="599">
                  <c:v>0.666666666666667</c:v>
                </c:pt>
                <c:pt idx="600">
                  <c:v>0.714285714285714</c:v>
                </c:pt>
                <c:pt idx="601">
                  <c:v>0.75</c:v>
                </c:pt>
                <c:pt idx="602">
                  <c:v>0.75</c:v>
                </c:pt>
                <c:pt idx="603">
                  <c:v>0.8</c:v>
                </c:pt>
                <c:pt idx="604">
                  <c:v>0.818181818181818</c:v>
                </c:pt>
                <c:pt idx="605">
                  <c:v>0.818181818181818</c:v>
                </c:pt>
                <c:pt idx="606">
                  <c:v>0.846153846153846</c:v>
                </c:pt>
                <c:pt idx="607">
                  <c:v>0.846153846153846</c:v>
                </c:pt>
                <c:pt idx="608">
                  <c:v>0.857142857142857</c:v>
                </c:pt>
                <c:pt idx="609">
                  <c:v>0.857142857142857</c:v>
                </c:pt>
                <c:pt idx="610">
                  <c:v>0.857142857142857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-1</c:v>
                </c:pt>
                <c:pt idx="628">
                  <c:v>-1</c:v>
                </c:pt>
                <c:pt idx="629">
                  <c:v>-0.777777777777778</c:v>
                </c:pt>
                <c:pt idx="630">
                  <c:v>-0.777777777777778</c:v>
                </c:pt>
                <c:pt idx="631">
                  <c:v>-0.666666666666667</c:v>
                </c:pt>
                <c:pt idx="632">
                  <c:v>-0.6</c:v>
                </c:pt>
                <c:pt idx="633">
                  <c:v>-0.6</c:v>
                </c:pt>
                <c:pt idx="634">
                  <c:v>-0.555555555555556</c:v>
                </c:pt>
                <c:pt idx="635">
                  <c:v>-0.555555555555556</c:v>
                </c:pt>
                <c:pt idx="636">
                  <c:v>-0.5</c:v>
                </c:pt>
                <c:pt idx="637">
                  <c:v>-0.428571428571429</c:v>
                </c:pt>
                <c:pt idx="638">
                  <c:v>-0.384615384615385</c:v>
                </c:pt>
                <c:pt idx="639">
                  <c:v>-0.333333333333333</c:v>
                </c:pt>
                <c:pt idx="640">
                  <c:v>-0.333333333333333</c:v>
                </c:pt>
                <c:pt idx="641">
                  <c:v>-0.272727272727273</c:v>
                </c:pt>
                <c:pt idx="642">
                  <c:v>-0.2</c:v>
                </c:pt>
                <c:pt idx="643">
                  <c:v>-0.142857142857143</c:v>
                </c:pt>
                <c:pt idx="644">
                  <c:v>-0.142857142857143</c:v>
                </c:pt>
                <c:pt idx="645">
                  <c:v>-0.125</c:v>
                </c:pt>
                <c:pt idx="646">
                  <c:v>0.0909090909090909</c:v>
                </c:pt>
                <c:pt idx="647">
                  <c:v>0</c:v>
                </c:pt>
                <c:pt idx="648">
                  <c:v>0.125</c:v>
                </c:pt>
                <c:pt idx="649">
                  <c:v>0.142857142857143</c:v>
                </c:pt>
                <c:pt idx="650">
                  <c:v>0.142857142857143</c:v>
                </c:pt>
                <c:pt idx="651">
                  <c:v>0.230769230769231</c:v>
                </c:pt>
                <c:pt idx="652">
                  <c:v>0.272727272727273</c:v>
                </c:pt>
                <c:pt idx="653">
                  <c:v>0.285714285714286</c:v>
                </c:pt>
                <c:pt idx="654">
                  <c:v>0.333333333333333</c:v>
                </c:pt>
                <c:pt idx="655">
                  <c:v>0.384615384615385</c:v>
                </c:pt>
                <c:pt idx="656">
                  <c:v>0.4</c:v>
                </c:pt>
                <c:pt idx="657">
                  <c:v>0.428571428571429</c:v>
                </c:pt>
                <c:pt idx="658">
                  <c:v>0.428571428571429</c:v>
                </c:pt>
                <c:pt idx="659">
                  <c:v>0.428571428571429</c:v>
                </c:pt>
                <c:pt idx="660">
                  <c:v>0.555555555555556</c:v>
                </c:pt>
                <c:pt idx="661">
                  <c:v>0.571428571428571</c:v>
                </c:pt>
                <c:pt idx="662">
                  <c:v>0.6</c:v>
                </c:pt>
                <c:pt idx="663">
                  <c:v>0.6</c:v>
                </c:pt>
                <c:pt idx="664">
                  <c:v>0.6</c:v>
                </c:pt>
                <c:pt idx="665">
                  <c:v>0.625</c:v>
                </c:pt>
                <c:pt idx="666">
                  <c:v>0.666666666666667</c:v>
                </c:pt>
                <c:pt idx="667">
                  <c:v>0.636363636363636</c:v>
                </c:pt>
                <c:pt idx="668">
                  <c:v>0.636363636363636</c:v>
                </c:pt>
                <c:pt idx="669">
                  <c:v>0.666666666666667</c:v>
                </c:pt>
                <c:pt idx="670">
                  <c:v>0.666666666666667</c:v>
                </c:pt>
                <c:pt idx="671">
                  <c:v>0.7</c:v>
                </c:pt>
                <c:pt idx="672">
                  <c:v>0.7</c:v>
                </c:pt>
                <c:pt idx="673">
                  <c:v>0.714285714285714</c:v>
                </c:pt>
                <c:pt idx="674">
                  <c:v>0.714285714285714</c:v>
                </c:pt>
                <c:pt idx="675">
                  <c:v>0.75</c:v>
                </c:pt>
                <c:pt idx="676">
                  <c:v>0.764705882352941</c:v>
                </c:pt>
                <c:pt idx="677">
                  <c:v>0.833333333333333</c:v>
                </c:pt>
                <c:pt idx="678">
                  <c:v>0.833333333333333</c:v>
                </c:pt>
                <c:pt idx="679">
                  <c:v>0.833333333333333</c:v>
                </c:pt>
                <c:pt idx="680">
                  <c:v>0.846153846153846</c:v>
                </c:pt>
                <c:pt idx="681">
                  <c:v>0.846153846153846</c:v>
                </c:pt>
                <c:pt idx="682">
                  <c:v>0.866666666666667</c:v>
                </c:pt>
                <c:pt idx="683">
                  <c:v>0.875</c:v>
                </c:pt>
                <c:pt idx="684">
                  <c:v>0.875</c:v>
                </c:pt>
                <c:pt idx="685">
                  <c:v>0.882352941176471</c:v>
                </c:pt>
                <c:pt idx="686">
                  <c:v>0.882352941176471</c:v>
                </c:pt>
                <c:pt idx="687">
                  <c:v>0.9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-1</c:v>
                </c:pt>
                <c:pt idx="715">
                  <c:v>-0.857142857142857</c:v>
                </c:pt>
                <c:pt idx="716">
                  <c:v>-0.818181818181818</c:v>
                </c:pt>
                <c:pt idx="717">
                  <c:v>-0.777777777777778</c:v>
                </c:pt>
                <c:pt idx="718">
                  <c:v>-0.777777777777778</c:v>
                </c:pt>
                <c:pt idx="719">
                  <c:v>-0.666666666666667</c:v>
                </c:pt>
                <c:pt idx="720">
                  <c:v>-0.636363636363636</c:v>
                </c:pt>
                <c:pt idx="721">
                  <c:v>-0.6</c:v>
                </c:pt>
                <c:pt idx="722">
                  <c:v>-0.555555555555556</c:v>
                </c:pt>
                <c:pt idx="723">
                  <c:v>-0.428571428571429</c:v>
                </c:pt>
                <c:pt idx="724">
                  <c:v>-0.428571428571429</c:v>
                </c:pt>
                <c:pt idx="725">
                  <c:v>-0.2</c:v>
                </c:pt>
                <c:pt idx="726">
                  <c:v>0</c:v>
                </c:pt>
                <c:pt idx="727">
                  <c:v>-0.0909090909090909</c:v>
                </c:pt>
                <c:pt idx="728">
                  <c:v>-0.0909090909090909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0.0769230769230769</c:v>
                </c:pt>
                <c:pt idx="733">
                  <c:v>0.0909090909090909</c:v>
                </c:pt>
                <c:pt idx="734">
                  <c:v>0.272727272727273</c:v>
                </c:pt>
                <c:pt idx="735">
                  <c:v>0.272727272727273</c:v>
                </c:pt>
                <c:pt idx="736">
                  <c:v>0.272727272727273</c:v>
                </c:pt>
                <c:pt idx="737">
                  <c:v>0.333333333333333</c:v>
                </c:pt>
                <c:pt idx="738">
                  <c:v>0.333333333333333</c:v>
                </c:pt>
                <c:pt idx="739">
                  <c:v>0.384615384615385</c:v>
                </c:pt>
                <c:pt idx="740">
                  <c:v>0.428571428571429</c:v>
                </c:pt>
                <c:pt idx="741">
                  <c:v>0.428571428571429</c:v>
                </c:pt>
                <c:pt idx="742">
                  <c:v>0.454545454545455</c:v>
                </c:pt>
                <c:pt idx="743">
                  <c:v>0.454545454545455</c:v>
                </c:pt>
                <c:pt idx="744">
                  <c:v>0.5</c:v>
                </c:pt>
                <c:pt idx="745">
                  <c:v>0.6</c:v>
                </c:pt>
                <c:pt idx="746">
                  <c:v>0.625</c:v>
                </c:pt>
                <c:pt idx="747">
                  <c:v>0.666666666666667</c:v>
                </c:pt>
                <c:pt idx="748">
                  <c:v>0.68</c:v>
                </c:pt>
                <c:pt idx="749">
                  <c:v>0.714285714285714</c:v>
                </c:pt>
                <c:pt idx="750">
                  <c:v>0.714285714285714</c:v>
                </c:pt>
                <c:pt idx="751">
                  <c:v>0.727272727272727</c:v>
                </c:pt>
                <c:pt idx="752">
                  <c:v>0.75</c:v>
                </c:pt>
                <c:pt idx="753">
                  <c:v>0.75</c:v>
                </c:pt>
                <c:pt idx="754">
                  <c:v>0.8</c:v>
                </c:pt>
                <c:pt idx="755">
                  <c:v>0.8</c:v>
                </c:pt>
                <c:pt idx="756">
                  <c:v>0.818181818181818</c:v>
                </c:pt>
                <c:pt idx="757">
                  <c:v>0.846153846153846</c:v>
                </c:pt>
                <c:pt idx="758">
                  <c:v>0.875</c:v>
                </c:pt>
                <c:pt idx="759">
                  <c:v>0.888888888888889</c:v>
                </c:pt>
                <c:pt idx="760">
                  <c:v>0.9</c:v>
                </c:pt>
                <c:pt idx="761">
                  <c:v>0.9375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-1</c:v>
                </c:pt>
                <c:pt idx="786">
                  <c:v>-1</c:v>
                </c:pt>
                <c:pt idx="787">
                  <c:v>-0.666666666666667</c:v>
                </c:pt>
                <c:pt idx="788">
                  <c:v>-0.636363636363636</c:v>
                </c:pt>
                <c:pt idx="789">
                  <c:v>0.285714285714286</c:v>
                </c:pt>
                <c:pt idx="790">
                  <c:v>0.428571428571429</c:v>
                </c:pt>
                <c:pt idx="791">
                  <c:v>0.5</c:v>
                </c:pt>
                <c:pt idx="792">
                  <c:v>0.6</c:v>
                </c:pt>
                <c:pt idx="793">
                  <c:v>0.714285714285714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-1</c:v>
                </c:pt>
                <c:pt idx="806">
                  <c:v>-1</c:v>
                </c:pt>
                <c:pt idx="807">
                  <c:v>-1</c:v>
                </c:pt>
                <c:pt idx="808">
                  <c:v>-1</c:v>
                </c:pt>
                <c:pt idx="809">
                  <c:v>-1</c:v>
                </c:pt>
                <c:pt idx="810">
                  <c:v>-1</c:v>
                </c:pt>
                <c:pt idx="811">
                  <c:v>-0.833333333333333</c:v>
                </c:pt>
                <c:pt idx="812">
                  <c:v>-0.818181818181818</c:v>
                </c:pt>
                <c:pt idx="813">
                  <c:v>-0.75</c:v>
                </c:pt>
                <c:pt idx="814">
                  <c:v>-0.75</c:v>
                </c:pt>
                <c:pt idx="815">
                  <c:v>-0.714285714285714</c:v>
                </c:pt>
                <c:pt idx="816">
                  <c:v>-0.636363636363636</c:v>
                </c:pt>
                <c:pt idx="817">
                  <c:v>-0.636363636363636</c:v>
                </c:pt>
                <c:pt idx="818">
                  <c:v>-0.538461538461538</c:v>
                </c:pt>
                <c:pt idx="819">
                  <c:v>-0.5</c:v>
                </c:pt>
                <c:pt idx="820">
                  <c:v>-0.5</c:v>
                </c:pt>
                <c:pt idx="821">
                  <c:v>-0.5</c:v>
                </c:pt>
                <c:pt idx="822">
                  <c:v>-0.5</c:v>
                </c:pt>
                <c:pt idx="823">
                  <c:v>-0.428571428571429</c:v>
                </c:pt>
                <c:pt idx="824">
                  <c:v>-0.454545454545455</c:v>
                </c:pt>
                <c:pt idx="825">
                  <c:v>-0.333333333333333</c:v>
                </c:pt>
                <c:pt idx="826">
                  <c:v>-0.333333333333333</c:v>
                </c:pt>
                <c:pt idx="827">
                  <c:v>-0.333333333333333</c:v>
                </c:pt>
                <c:pt idx="828">
                  <c:v>-0.230769230769231</c:v>
                </c:pt>
                <c:pt idx="829">
                  <c:v>-0.111111111111111</c:v>
                </c:pt>
                <c:pt idx="830">
                  <c:v>-0.0909090909090909</c:v>
                </c:pt>
                <c:pt idx="831">
                  <c:v>-0.0909090909090909</c:v>
                </c:pt>
                <c:pt idx="832">
                  <c:v>0</c:v>
                </c:pt>
                <c:pt idx="833">
                  <c:v>0.0909090909090909</c:v>
                </c:pt>
                <c:pt idx="834">
                  <c:v>0.0909090909090909</c:v>
                </c:pt>
                <c:pt idx="835">
                  <c:v>0.142857142857143</c:v>
                </c:pt>
                <c:pt idx="836">
                  <c:v>0.166666666666667</c:v>
                </c:pt>
                <c:pt idx="837">
                  <c:v>0.2</c:v>
                </c:pt>
                <c:pt idx="838">
                  <c:v>0.222222222222222</c:v>
                </c:pt>
                <c:pt idx="839">
                  <c:v>0.333333333333333</c:v>
                </c:pt>
                <c:pt idx="840">
                  <c:v>0.333333333333333</c:v>
                </c:pt>
                <c:pt idx="841">
                  <c:v>0.333333333333333</c:v>
                </c:pt>
                <c:pt idx="842">
                  <c:v>0.333333333333333</c:v>
                </c:pt>
                <c:pt idx="843">
                  <c:v>0.428571428571429</c:v>
                </c:pt>
                <c:pt idx="844">
                  <c:v>0.454545454545455</c:v>
                </c:pt>
                <c:pt idx="845">
                  <c:v>0.454545454545455</c:v>
                </c:pt>
                <c:pt idx="846">
                  <c:v>0.5</c:v>
                </c:pt>
                <c:pt idx="847">
                  <c:v>0.6</c:v>
                </c:pt>
                <c:pt idx="848">
                  <c:v>0.6</c:v>
                </c:pt>
                <c:pt idx="849">
                  <c:v>0.6</c:v>
                </c:pt>
                <c:pt idx="850">
                  <c:v>0.6</c:v>
                </c:pt>
                <c:pt idx="851">
                  <c:v>0.666666666666667</c:v>
                </c:pt>
                <c:pt idx="852">
                  <c:v>0.666666666666667</c:v>
                </c:pt>
                <c:pt idx="853">
                  <c:v>0.666666666666667</c:v>
                </c:pt>
                <c:pt idx="854">
                  <c:v>0.5</c:v>
                </c:pt>
                <c:pt idx="855">
                  <c:v>0.714285714285714</c:v>
                </c:pt>
                <c:pt idx="856">
                  <c:v>0.714285714285714</c:v>
                </c:pt>
                <c:pt idx="857">
                  <c:v>0.75</c:v>
                </c:pt>
                <c:pt idx="858">
                  <c:v>0.777777777777778</c:v>
                </c:pt>
                <c:pt idx="859">
                  <c:v>0.777777777777778</c:v>
                </c:pt>
                <c:pt idx="860">
                  <c:v>0.777777777777778</c:v>
                </c:pt>
                <c:pt idx="861">
                  <c:v>0.777777777777778</c:v>
                </c:pt>
                <c:pt idx="862">
                  <c:v>0.777777777777778</c:v>
                </c:pt>
                <c:pt idx="863">
                  <c:v>0.8</c:v>
                </c:pt>
                <c:pt idx="864">
                  <c:v>0.8</c:v>
                </c:pt>
                <c:pt idx="865">
                  <c:v>0.818181818181818</c:v>
                </c:pt>
                <c:pt idx="866">
                  <c:v>0.818181818181818</c:v>
                </c:pt>
                <c:pt idx="867">
                  <c:v>0.833333333333333</c:v>
                </c:pt>
                <c:pt idx="868">
                  <c:v>0.846153846153846</c:v>
                </c:pt>
                <c:pt idx="869">
                  <c:v>0.866666666666667</c:v>
                </c:pt>
                <c:pt idx="870">
                  <c:v>0.9</c:v>
                </c:pt>
                <c:pt idx="871">
                  <c:v>0.909090909090909</c:v>
                </c:pt>
                <c:pt idx="872">
                  <c:v>0.923076923076923</c:v>
                </c:pt>
                <c:pt idx="873">
                  <c:v>0.9375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0.692307692307692</c:v>
                </c:pt>
                <c:pt idx="902">
                  <c:v>-0.714285714285714</c:v>
                </c:pt>
                <c:pt idx="903">
                  <c:v>0.6</c:v>
                </c:pt>
                <c:pt idx="904">
                  <c:v>0.4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-0.833333333333333</c:v>
                </c:pt>
                <c:pt idx="909">
                  <c:v>-0.777777777777778</c:v>
                </c:pt>
                <c:pt idx="910">
                  <c:v>-0.6</c:v>
                </c:pt>
                <c:pt idx="911">
                  <c:v>-1</c:v>
                </c:pt>
                <c:pt idx="912">
                  <c:v>0.75</c:v>
                </c:pt>
                <c:pt idx="913">
                  <c:v>-0.8</c:v>
                </c:pt>
                <c:pt idx="914">
                  <c:v>0.0666666666666667</c:v>
                </c:pt>
                <c:pt idx="915">
                  <c:v>0.25</c:v>
                </c:pt>
                <c:pt idx="916">
                  <c:v>0.5</c:v>
                </c:pt>
                <c:pt idx="917">
                  <c:v>0.555555555555556</c:v>
                </c:pt>
                <c:pt idx="918">
                  <c:v>0.714285714285714</c:v>
                </c:pt>
                <c:pt idx="919">
                  <c:v>0.833333333333333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-1</c:v>
                </c:pt>
                <c:pt idx="924">
                  <c:v>-0.5</c:v>
                </c:pt>
                <c:pt idx="925">
                  <c:v>-0.0909090909090909</c:v>
                </c:pt>
                <c:pt idx="926">
                  <c:v>0.111111111111111</c:v>
                </c:pt>
                <c:pt idx="927">
                  <c:v>0.272727272727273</c:v>
                </c:pt>
                <c:pt idx="928">
                  <c:v>0.8</c:v>
                </c:pt>
                <c:pt idx="929">
                  <c:v>0.882352941176471</c:v>
                </c:pt>
                <c:pt idx="930">
                  <c:v>1</c:v>
                </c:pt>
                <c:pt idx="931">
                  <c:v>-0.875</c:v>
                </c:pt>
                <c:pt idx="932">
                  <c:v>-1</c:v>
                </c:pt>
                <c:pt idx="933">
                  <c:v>-1</c:v>
                </c:pt>
                <c:pt idx="934">
                  <c:v>0.818181818181818</c:v>
                </c:pt>
                <c:pt idx="935">
                  <c:v>0.6</c:v>
                </c:pt>
                <c:pt idx="936">
                  <c:v>0.142857142857143</c:v>
                </c:pt>
                <c:pt idx="937">
                  <c:v>0.5</c:v>
                </c:pt>
                <c:pt idx="938">
                  <c:v>-1</c:v>
                </c:pt>
                <c:pt idx="939">
                  <c:v>0.2</c:v>
                </c:pt>
                <c:pt idx="940">
                  <c:v>0.666666666666667</c:v>
                </c:pt>
                <c:pt idx="941">
                  <c:v>0.818181818181818</c:v>
                </c:pt>
                <c:pt idx="942">
                  <c:v>0.857142857142857</c:v>
                </c:pt>
                <c:pt idx="943">
                  <c:v>-0.666666666666667</c:v>
                </c:pt>
                <c:pt idx="944">
                  <c:v>0.5</c:v>
                </c:pt>
                <c:pt idx="945">
                  <c:v>0.80952380952381</c:v>
                </c:pt>
                <c:pt idx="946">
                  <c:v>1</c:v>
                </c:pt>
                <c:pt idx="947">
                  <c:v>-1</c:v>
                </c:pt>
                <c:pt idx="948">
                  <c:v>-1</c:v>
                </c:pt>
                <c:pt idx="949">
                  <c:v>-1</c:v>
                </c:pt>
                <c:pt idx="950">
                  <c:v>-0.6</c:v>
                </c:pt>
                <c:pt idx="951">
                  <c:v>-0.5</c:v>
                </c:pt>
                <c:pt idx="952">
                  <c:v>-0.166666666666667</c:v>
                </c:pt>
                <c:pt idx="953">
                  <c:v>0</c:v>
                </c:pt>
                <c:pt idx="954">
                  <c:v>0.692307692307692</c:v>
                </c:pt>
                <c:pt idx="955">
                  <c:v>0.857142857142857</c:v>
                </c:pt>
                <c:pt idx="956">
                  <c:v>0.857142857142857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0.6</c:v>
                </c:pt>
                <c:pt idx="962">
                  <c:v>-0.0909090909090909</c:v>
                </c:pt>
                <c:pt idx="963">
                  <c:v>0.166666666666667</c:v>
                </c:pt>
                <c:pt idx="964">
                  <c:v>0.714285714285714</c:v>
                </c:pt>
                <c:pt idx="965">
                  <c:v>0.928571428571429</c:v>
                </c:pt>
                <c:pt idx="966">
                  <c:v>1</c:v>
                </c:pt>
                <c:pt idx="967">
                  <c:v>-0.454545454545455</c:v>
                </c:pt>
                <c:pt idx="968">
                  <c:v>-0.384615384615385</c:v>
                </c:pt>
                <c:pt idx="969">
                  <c:v>0.818181818181818</c:v>
                </c:pt>
                <c:pt idx="970">
                  <c:v>0.833333333333333</c:v>
                </c:pt>
                <c:pt idx="971">
                  <c:v>0.833333333333333</c:v>
                </c:pt>
                <c:pt idx="972">
                  <c:v>0.888888888888889</c:v>
                </c:pt>
                <c:pt idx="973">
                  <c:v>0.9</c:v>
                </c:pt>
                <c:pt idx="974">
                  <c:v>0.923076923076923</c:v>
                </c:pt>
                <c:pt idx="975">
                  <c:v>0.9375</c:v>
                </c:pt>
                <c:pt idx="976">
                  <c:v>1</c:v>
                </c:pt>
                <c:pt idx="977">
                  <c:v>1</c:v>
                </c:pt>
                <c:pt idx="978">
                  <c:v>0.384615384615385</c:v>
                </c:pt>
                <c:pt idx="979">
                  <c:v>0.75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-1</c:v>
                </c:pt>
                <c:pt idx="984">
                  <c:v>-0.846153846153846</c:v>
                </c:pt>
                <c:pt idx="985">
                  <c:v>-0.666666666666667</c:v>
                </c:pt>
                <c:pt idx="986">
                  <c:v>-0.555555555555556</c:v>
                </c:pt>
                <c:pt idx="987">
                  <c:v>-0.2</c:v>
                </c:pt>
                <c:pt idx="988">
                  <c:v>0.272727272727273</c:v>
                </c:pt>
                <c:pt idx="989">
                  <c:v>0.333333333333333</c:v>
                </c:pt>
                <c:pt idx="990">
                  <c:v>0.4</c:v>
                </c:pt>
                <c:pt idx="991">
                  <c:v>0.714285714285714</c:v>
                </c:pt>
                <c:pt idx="992">
                  <c:v>1</c:v>
                </c:pt>
                <c:pt idx="993">
                  <c:v>1</c:v>
                </c:pt>
                <c:pt idx="994">
                  <c:v>0</c:v>
                </c:pt>
                <c:pt idx="995">
                  <c:v>0.111111111111111</c:v>
                </c:pt>
                <c:pt idx="996">
                  <c:v>0.571428571428571</c:v>
                </c:pt>
                <c:pt idx="997">
                  <c:v>0.666666666666667</c:v>
                </c:pt>
                <c:pt idx="998">
                  <c:v>0.692307692307692</c:v>
                </c:pt>
                <c:pt idx="999">
                  <c:v>0.833333333333333</c:v>
                </c:pt>
                <c:pt idx="1000">
                  <c:v>0.857142857142857</c:v>
                </c:pt>
                <c:pt idx="1001">
                  <c:v>1</c:v>
                </c:pt>
                <c:pt idx="1002">
                  <c:v>-1</c:v>
                </c:pt>
                <c:pt idx="1003">
                  <c:v>-1</c:v>
                </c:pt>
                <c:pt idx="1004">
                  <c:v>-0.6</c:v>
                </c:pt>
                <c:pt idx="1005">
                  <c:v>-0.384615384615385</c:v>
                </c:pt>
                <c:pt idx="1006">
                  <c:v>0.2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-0.571428571428571</c:v>
                </c:pt>
                <c:pt idx="1011">
                  <c:v>-0.285714285714286</c:v>
                </c:pt>
                <c:pt idx="1012">
                  <c:v>0</c:v>
                </c:pt>
                <c:pt idx="1013">
                  <c:v>0.4</c:v>
                </c:pt>
                <c:pt idx="1014">
                  <c:v>0.833333333333333</c:v>
                </c:pt>
                <c:pt idx="1015">
                  <c:v>-1</c:v>
                </c:pt>
                <c:pt idx="1016">
                  <c:v>-0.846153846153846</c:v>
                </c:pt>
                <c:pt idx="1017">
                  <c:v>-0.6</c:v>
                </c:pt>
                <c:pt idx="1018">
                  <c:v>-0.555555555555556</c:v>
                </c:pt>
                <c:pt idx="1019">
                  <c:v>-0.25</c:v>
                </c:pt>
                <c:pt idx="1020">
                  <c:v>-0.125</c:v>
                </c:pt>
                <c:pt idx="1021">
                  <c:v>0.333333333333333</c:v>
                </c:pt>
                <c:pt idx="1022">
                  <c:v>0.714285714285714</c:v>
                </c:pt>
                <c:pt idx="1023">
                  <c:v>0.857142857142857</c:v>
                </c:pt>
                <c:pt idx="1024">
                  <c:v>-1</c:v>
                </c:pt>
                <c:pt idx="1025">
                  <c:v>-0.857142857142857</c:v>
                </c:pt>
                <c:pt idx="1026">
                  <c:v>-0.75</c:v>
                </c:pt>
                <c:pt idx="1027">
                  <c:v>-0.5</c:v>
                </c:pt>
                <c:pt idx="1028">
                  <c:v>0</c:v>
                </c:pt>
                <c:pt idx="1029">
                  <c:v>0</c:v>
                </c:pt>
                <c:pt idx="1030">
                  <c:v>0.0909090909090909</c:v>
                </c:pt>
                <c:pt idx="1031">
                  <c:v>0.2</c:v>
                </c:pt>
                <c:pt idx="1032">
                  <c:v>0.142857142857143</c:v>
                </c:pt>
                <c:pt idx="1033">
                  <c:v>0.272727272727273</c:v>
                </c:pt>
                <c:pt idx="1034">
                  <c:v>0.5</c:v>
                </c:pt>
                <c:pt idx="1035">
                  <c:v>0.666666666666667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-0.25</c:v>
                </c:pt>
                <c:pt idx="1040">
                  <c:v>0.230769230769231</c:v>
                </c:pt>
                <c:pt idx="1041">
                  <c:v>0.333333333333333</c:v>
                </c:pt>
                <c:pt idx="1042">
                  <c:v>0</c:v>
                </c:pt>
                <c:pt idx="1043">
                  <c:v>0.2</c:v>
                </c:pt>
                <c:pt idx="1044">
                  <c:v>0.272727272727273</c:v>
                </c:pt>
                <c:pt idx="1045">
                  <c:v>0.571428571428571</c:v>
                </c:pt>
                <c:pt idx="1046">
                  <c:v>0.733333333333333</c:v>
                </c:pt>
                <c:pt idx="1047">
                  <c:v>0.833333333333333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-1</c:v>
                </c:pt>
                <c:pt idx="1053">
                  <c:v>-0.714285714285714</c:v>
                </c:pt>
                <c:pt idx="1054">
                  <c:v>-0.333333333333333</c:v>
                </c:pt>
                <c:pt idx="1055">
                  <c:v>-0.222222222222222</c:v>
                </c:pt>
                <c:pt idx="1056">
                  <c:v>-0.2</c:v>
                </c:pt>
                <c:pt idx="1057">
                  <c:v>0.0909090909090909</c:v>
                </c:pt>
                <c:pt idx="1058">
                  <c:v>0.428571428571429</c:v>
                </c:pt>
                <c:pt idx="1059">
                  <c:v>0.5</c:v>
                </c:pt>
                <c:pt idx="1060">
                  <c:v>0.5</c:v>
                </c:pt>
                <c:pt idx="1061">
                  <c:v>0.6</c:v>
                </c:pt>
                <c:pt idx="1062">
                  <c:v>0.692307692307692</c:v>
                </c:pt>
                <c:pt idx="1063">
                  <c:v>0.714285714285714</c:v>
                </c:pt>
                <c:pt idx="1064">
                  <c:v>0.733333333333333</c:v>
                </c:pt>
                <c:pt idx="1065">
                  <c:v>0.826086956521739</c:v>
                </c:pt>
                <c:pt idx="1066">
                  <c:v>0.857142857142857</c:v>
                </c:pt>
                <c:pt idx="1067">
                  <c:v>0.909090909090909</c:v>
                </c:pt>
                <c:pt idx="1068">
                  <c:v>0.9375</c:v>
                </c:pt>
                <c:pt idx="1069">
                  <c:v>0.9375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-1</c:v>
                </c:pt>
                <c:pt idx="1082">
                  <c:v>-1</c:v>
                </c:pt>
                <c:pt idx="1083">
                  <c:v>-1</c:v>
                </c:pt>
                <c:pt idx="1084">
                  <c:v>-1</c:v>
                </c:pt>
                <c:pt idx="1085">
                  <c:v>-1</c:v>
                </c:pt>
                <c:pt idx="1086">
                  <c:v>-1</c:v>
                </c:pt>
                <c:pt idx="1087">
                  <c:v>-1</c:v>
                </c:pt>
                <c:pt idx="1088">
                  <c:v>-1</c:v>
                </c:pt>
                <c:pt idx="1089">
                  <c:v>-1</c:v>
                </c:pt>
                <c:pt idx="1090">
                  <c:v>-0.8</c:v>
                </c:pt>
                <c:pt idx="1091">
                  <c:v>-0.8</c:v>
                </c:pt>
                <c:pt idx="1092">
                  <c:v>-0.75</c:v>
                </c:pt>
                <c:pt idx="1093">
                  <c:v>-0.75</c:v>
                </c:pt>
                <c:pt idx="1094">
                  <c:v>-0.714285714285714</c:v>
                </c:pt>
                <c:pt idx="1095">
                  <c:v>-0.714285714285714</c:v>
                </c:pt>
                <c:pt idx="1096">
                  <c:v>-0.636363636363636</c:v>
                </c:pt>
                <c:pt idx="1097">
                  <c:v>-0.636363636363636</c:v>
                </c:pt>
                <c:pt idx="1098">
                  <c:v>-0.571428571428571</c:v>
                </c:pt>
                <c:pt idx="1099">
                  <c:v>-0.555555555555556</c:v>
                </c:pt>
                <c:pt idx="1100">
                  <c:v>-0.555555555555556</c:v>
                </c:pt>
                <c:pt idx="1101">
                  <c:v>-0.555555555555556</c:v>
                </c:pt>
                <c:pt idx="1102">
                  <c:v>-0.538461538461538</c:v>
                </c:pt>
                <c:pt idx="1103">
                  <c:v>-0.5</c:v>
                </c:pt>
                <c:pt idx="1104">
                  <c:v>-0.5</c:v>
                </c:pt>
                <c:pt idx="1105">
                  <c:v>-0.454545454545455</c:v>
                </c:pt>
                <c:pt idx="1106">
                  <c:v>-0.384615384615385</c:v>
                </c:pt>
                <c:pt idx="1107">
                  <c:v>-0.333333333333333</c:v>
                </c:pt>
                <c:pt idx="1108">
                  <c:v>-0.333333333333333</c:v>
                </c:pt>
                <c:pt idx="1109">
                  <c:v>-0.25</c:v>
                </c:pt>
                <c:pt idx="1110">
                  <c:v>-0.230769230769231</c:v>
                </c:pt>
                <c:pt idx="1111">
                  <c:v>-0.111111111111111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0.142857142857143</c:v>
                </c:pt>
                <c:pt idx="1116">
                  <c:v>0.142857142857143</c:v>
                </c:pt>
                <c:pt idx="1117">
                  <c:v>0.142857142857143</c:v>
                </c:pt>
                <c:pt idx="1118">
                  <c:v>0.2</c:v>
                </c:pt>
                <c:pt idx="1119">
                  <c:v>0.2</c:v>
                </c:pt>
                <c:pt idx="1120">
                  <c:v>0.230769230769231</c:v>
                </c:pt>
                <c:pt idx="1121">
                  <c:v>0.142857142857143</c:v>
                </c:pt>
                <c:pt idx="1122">
                  <c:v>0.25</c:v>
                </c:pt>
                <c:pt idx="1123">
                  <c:v>0.25</c:v>
                </c:pt>
                <c:pt idx="1124">
                  <c:v>0.333333333333333</c:v>
                </c:pt>
                <c:pt idx="1125">
                  <c:v>0.384615384615385</c:v>
                </c:pt>
                <c:pt idx="1126">
                  <c:v>0.4</c:v>
                </c:pt>
                <c:pt idx="1127">
                  <c:v>0.454545454545455</c:v>
                </c:pt>
                <c:pt idx="1128">
                  <c:v>0.5</c:v>
                </c:pt>
                <c:pt idx="1129">
                  <c:v>0.5</c:v>
                </c:pt>
                <c:pt idx="1130">
                  <c:v>0.538461538461538</c:v>
                </c:pt>
                <c:pt idx="1131">
                  <c:v>0.555555555555556</c:v>
                </c:pt>
                <c:pt idx="1132">
                  <c:v>0.571428571428571</c:v>
                </c:pt>
                <c:pt idx="1133">
                  <c:v>0.6</c:v>
                </c:pt>
                <c:pt idx="1134">
                  <c:v>0.6</c:v>
                </c:pt>
                <c:pt idx="1135">
                  <c:v>0.6</c:v>
                </c:pt>
                <c:pt idx="1136">
                  <c:v>0.666666666666667</c:v>
                </c:pt>
                <c:pt idx="1137">
                  <c:v>0.692307692307692</c:v>
                </c:pt>
                <c:pt idx="1138">
                  <c:v>0.692307692307692</c:v>
                </c:pt>
                <c:pt idx="1139">
                  <c:v>0.714285714285714</c:v>
                </c:pt>
                <c:pt idx="1140">
                  <c:v>0.555555555555556</c:v>
                </c:pt>
                <c:pt idx="1141">
                  <c:v>0.75</c:v>
                </c:pt>
                <c:pt idx="1142">
                  <c:v>0.75</c:v>
                </c:pt>
                <c:pt idx="1143">
                  <c:v>0.777777777777778</c:v>
                </c:pt>
                <c:pt idx="1144">
                  <c:v>0.777777777777778</c:v>
                </c:pt>
                <c:pt idx="1145">
                  <c:v>0.777777777777778</c:v>
                </c:pt>
                <c:pt idx="1146">
                  <c:v>0.8</c:v>
                </c:pt>
                <c:pt idx="1147">
                  <c:v>0.818181818181818</c:v>
                </c:pt>
                <c:pt idx="1148">
                  <c:v>0.818181818181818</c:v>
                </c:pt>
                <c:pt idx="1149">
                  <c:v>0.846153846153846</c:v>
                </c:pt>
                <c:pt idx="1150">
                  <c:v>0.846153846153846</c:v>
                </c:pt>
                <c:pt idx="1151">
                  <c:v>0.857142857142857</c:v>
                </c:pt>
                <c:pt idx="1152">
                  <c:v>0.857142857142857</c:v>
                </c:pt>
                <c:pt idx="1153">
                  <c:v>0.866666666666667</c:v>
                </c:pt>
                <c:pt idx="1154">
                  <c:v>0.888888888888889</c:v>
                </c:pt>
                <c:pt idx="1155">
                  <c:v>0.9</c:v>
                </c:pt>
                <c:pt idx="1156">
                  <c:v>0.933333333333333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-1</c:v>
                </c:pt>
                <c:pt idx="1170">
                  <c:v>-1</c:v>
                </c:pt>
                <c:pt idx="1171">
                  <c:v>-1</c:v>
                </c:pt>
                <c:pt idx="1172">
                  <c:v>-0.9375</c:v>
                </c:pt>
                <c:pt idx="1173">
                  <c:v>-0.818181818181818</c:v>
                </c:pt>
                <c:pt idx="1174">
                  <c:v>-0.714285714285714</c:v>
                </c:pt>
                <c:pt idx="1175">
                  <c:v>-0.666666666666667</c:v>
                </c:pt>
                <c:pt idx="1176">
                  <c:v>-0.6</c:v>
                </c:pt>
                <c:pt idx="1177">
                  <c:v>-0.6</c:v>
                </c:pt>
                <c:pt idx="1178">
                  <c:v>-0.5</c:v>
                </c:pt>
                <c:pt idx="1179">
                  <c:v>-0.5</c:v>
                </c:pt>
                <c:pt idx="1180">
                  <c:v>-0.5</c:v>
                </c:pt>
                <c:pt idx="1181">
                  <c:v>-0.333333333333333</c:v>
                </c:pt>
                <c:pt idx="1182">
                  <c:v>-0.285714285714286</c:v>
                </c:pt>
                <c:pt idx="1183">
                  <c:v>-0.272727272727273</c:v>
                </c:pt>
                <c:pt idx="1184">
                  <c:v>0</c:v>
                </c:pt>
                <c:pt idx="1185">
                  <c:v>0.2</c:v>
                </c:pt>
                <c:pt idx="1186">
                  <c:v>0.230769230769231</c:v>
                </c:pt>
                <c:pt idx="1187">
                  <c:v>0.333333333333333</c:v>
                </c:pt>
                <c:pt idx="1188">
                  <c:v>0.454545454545455</c:v>
                </c:pt>
                <c:pt idx="1189">
                  <c:v>0.4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0.555555555555556</c:v>
                </c:pt>
                <c:pt idx="1194">
                  <c:v>0.6</c:v>
                </c:pt>
                <c:pt idx="1195">
                  <c:v>0.636363636363636</c:v>
                </c:pt>
                <c:pt idx="1196">
                  <c:v>0.636363636363636</c:v>
                </c:pt>
                <c:pt idx="1197">
                  <c:v>0.666666666666667</c:v>
                </c:pt>
                <c:pt idx="1198">
                  <c:v>0.714285714285714</c:v>
                </c:pt>
                <c:pt idx="1199">
                  <c:v>0.75</c:v>
                </c:pt>
                <c:pt idx="1200">
                  <c:v>0.714285714285714</c:v>
                </c:pt>
                <c:pt idx="1201">
                  <c:v>0.733333333333333</c:v>
                </c:pt>
                <c:pt idx="1202">
                  <c:v>0.75</c:v>
                </c:pt>
                <c:pt idx="1203">
                  <c:v>0.75</c:v>
                </c:pt>
                <c:pt idx="1204">
                  <c:v>0.75</c:v>
                </c:pt>
                <c:pt idx="1205">
                  <c:v>0.75</c:v>
                </c:pt>
                <c:pt idx="1206">
                  <c:v>0.764705882352941</c:v>
                </c:pt>
                <c:pt idx="1207">
                  <c:v>0.777777777777778</c:v>
                </c:pt>
                <c:pt idx="1208">
                  <c:v>0.157894736842105</c:v>
                </c:pt>
                <c:pt idx="1209">
                  <c:v>0.8</c:v>
                </c:pt>
                <c:pt idx="1210">
                  <c:v>0.846153846153846</c:v>
                </c:pt>
                <c:pt idx="1211">
                  <c:v>0.846153846153846</c:v>
                </c:pt>
                <c:pt idx="1212">
                  <c:v>0.888888888888889</c:v>
                </c:pt>
                <c:pt idx="1213">
                  <c:v>0.888888888888889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0.789473684210526</c:v>
                </c:pt>
                <c:pt idx="1222">
                  <c:v>-1</c:v>
                </c:pt>
                <c:pt idx="1223">
                  <c:v>-1</c:v>
                </c:pt>
                <c:pt idx="1224">
                  <c:v>-0.818181818181818</c:v>
                </c:pt>
                <c:pt idx="1225">
                  <c:v>-0.666666666666667</c:v>
                </c:pt>
                <c:pt idx="1226">
                  <c:v>-0.6</c:v>
                </c:pt>
                <c:pt idx="1227">
                  <c:v>-0.4</c:v>
                </c:pt>
                <c:pt idx="1228">
                  <c:v>-0.272727272727273</c:v>
                </c:pt>
                <c:pt idx="1229">
                  <c:v>-0.2</c:v>
                </c:pt>
                <c:pt idx="1230">
                  <c:v>-0.2</c:v>
                </c:pt>
                <c:pt idx="1231">
                  <c:v>-0.142857142857143</c:v>
                </c:pt>
                <c:pt idx="1232">
                  <c:v>-0.0769230769230769</c:v>
                </c:pt>
                <c:pt idx="1233">
                  <c:v>0.142857142857143</c:v>
                </c:pt>
                <c:pt idx="1234">
                  <c:v>0.333333333333333</c:v>
                </c:pt>
                <c:pt idx="1235">
                  <c:v>0.571428571428571</c:v>
                </c:pt>
                <c:pt idx="1236">
                  <c:v>0.636363636363636</c:v>
                </c:pt>
                <c:pt idx="1237">
                  <c:v>0.8</c:v>
                </c:pt>
                <c:pt idx="1238">
                  <c:v>0.846153846153846</c:v>
                </c:pt>
                <c:pt idx="1239">
                  <c:v>0.857142857142857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-1</c:v>
                </c:pt>
                <c:pt idx="1247">
                  <c:v>-1</c:v>
                </c:pt>
                <c:pt idx="1248">
                  <c:v>-0.818181818181818</c:v>
                </c:pt>
                <c:pt idx="1249">
                  <c:v>-0.818181818181818</c:v>
                </c:pt>
                <c:pt idx="1250">
                  <c:v>-0.777777777777778</c:v>
                </c:pt>
                <c:pt idx="1251">
                  <c:v>-0.714285714285714</c:v>
                </c:pt>
                <c:pt idx="1252">
                  <c:v>-0.666666666666667</c:v>
                </c:pt>
                <c:pt idx="1253">
                  <c:v>-0.666666666666667</c:v>
                </c:pt>
                <c:pt idx="1254">
                  <c:v>-0.5</c:v>
                </c:pt>
                <c:pt idx="1255">
                  <c:v>-0.111111111111111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0.111111111111111</c:v>
                </c:pt>
                <c:pt idx="1260">
                  <c:v>0.111111111111111</c:v>
                </c:pt>
                <c:pt idx="1261">
                  <c:v>0.142857142857143</c:v>
                </c:pt>
                <c:pt idx="1262">
                  <c:v>0.142857142857143</c:v>
                </c:pt>
                <c:pt idx="1263">
                  <c:v>0.333333333333333</c:v>
                </c:pt>
                <c:pt idx="1264">
                  <c:v>0.333333333333333</c:v>
                </c:pt>
                <c:pt idx="1265">
                  <c:v>0.384615384615385</c:v>
                </c:pt>
                <c:pt idx="1266">
                  <c:v>0.4</c:v>
                </c:pt>
                <c:pt idx="1267">
                  <c:v>0.454545454545455</c:v>
                </c:pt>
                <c:pt idx="1268">
                  <c:v>0.5</c:v>
                </c:pt>
                <c:pt idx="1269">
                  <c:v>0.666666666666667</c:v>
                </c:pt>
                <c:pt idx="1270">
                  <c:v>0.75</c:v>
                </c:pt>
                <c:pt idx="1271">
                  <c:v>0.777777777777778</c:v>
                </c:pt>
                <c:pt idx="1272">
                  <c:v>0.818181818181818</c:v>
                </c:pt>
                <c:pt idx="1273">
                  <c:v>0.823529411764706</c:v>
                </c:pt>
                <c:pt idx="1274">
                  <c:v>0.823529411764706</c:v>
                </c:pt>
                <c:pt idx="1275">
                  <c:v>0.916666666666667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-1</c:v>
                </c:pt>
                <c:pt idx="1281">
                  <c:v>-1</c:v>
                </c:pt>
                <c:pt idx="1282">
                  <c:v>-1</c:v>
                </c:pt>
                <c:pt idx="1283">
                  <c:v>-0.8</c:v>
                </c:pt>
                <c:pt idx="1284">
                  <c:v>-0.538461538461538</c:v>
                </c:pt>
                <c:pt idx="1285">
                  <c:v>-0.5</c:v>
                </c:pt>
                <c:pt idx="1286">
                  <c:v>-0.384615384615385</c:v>
                </c:pt>
                <c:pt idx="1287">
                  <c:v>-0.333333333333333</c:v>
                </c:pt>
                <c:pt idx="1288">
                  <c:v>-0.333333333333333</c:v>
                </c:pt>
                <c:pt idx="1289">
                  <c:v>-0.2</c:v>
                </c:pt>
                <c:pt idx="1290">
                  <c:v>-0.111111111111111</c:v>
                </c:pt>
                <c:pt idx="1291">
                  <c:v>-0.0769230769230769</c:v>
                </c:pt>
                <c:pt idx="1292">
                  <c:v>0</c:v>
                </c:pt>
                <c:pt idx="1293">
                  <c:v>0</c:v>
                </c:pt>
                <c:pt idx="1294">
                  <c:v>0.2</c:v>
                </c:pt>
                <c:pt idx="1295">
                  <c:v>0.25</c:v>
                </c:pt>
                <c:pt idx="1296">
                  <c:v>0.263157894736842</c:v>
                </c:pt>
                <c:pt idx="1297">
                  <c:v>0.333333333333333</c:v>
                </c:pt>
                <c:pt idx="1298">
                  <c:v>0.428571428571429</c:v>
                </c:pt>
                <c:pt idx="1299">
                  <c:v>0.333333333333333</c:v>
                </c:pt>
                <c:pt idx="1300">
                  <c:v>0.333333333333333</c:v>
                </c:pt>
                <c:pt idx="1301">
                  <c:v>0.428571428571429</c:v>
                </c:pt>
                <c:pt idx="1302">
                  <c:v>0.5</c:v>
                </c:pt>
                <c:pt idx="1303">
                  <c:v>0.571428571428571</c:v>
                </c:pt>
                <c:pt idx="1304">
                  <c:v>0.6</c:v>
                </c:pt>
                <c:pt idx="1305">
                  <c:v>0.6</c:v>
                </c:pt>
                <c:pt idx="1306">
                  <c:v>0.692307692307692</c:v>
                </c:pt>
                <c:pt idx="1307">
                  <c:v>0.692307692307692</c:v>
                </c:pt>
                <c:pt idx="1308">
                  <c:v>0.777777777777778</c:v>
                </c:pt>
                <c:pt idx="1309">
                  <c:v>0.833333333333333</c:v>
                </c:pt>
                <c:pt idx="1310">
                  <c:v>0.866666666666667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-1</c:v>
                </c:pt>
                <c:pt idx="1319">
                  <c:v>0.0769230769230769</c:v>
                </c:pt>
                <c:pt idx="1320">
                  <c:v>0.2</c:v>
                </c:pt>
                <c:pt idx="1321">
                  <c:v>1</c:v>
                </c:pt>
                <c:pt idx="1322">
                  <c:v>-0.272727272727273</c:v>
                </c:pt>
                <c:pt idx="1323">
                  <c:v>0.692307692307692</c:v>
                </c:pt>
                <c:pt idx="1324">
                  <c:v>0.714285714285714</c:v>
                </c:pt>
                <c:pt idx="1325">
                  <c:v>-1</c:v>
                </c:pt>
                <c:pt idx="1326">
                  <c:v>-1</c:v>
                </c:pt>
                <c:pt idx="1327">
                  <c:v>-0.833333333333333</c:v>
                </c:pt>
                <c:pt idx="1328">
                  <c:v>-0.8</c:v>
                </c:pt>
                <c:pt idx="1329">
                  <c:v>-0.5</c:v>
                </c:pt>
                <c:pt idx="1330">
                  <c:v>-0.384615384615385</c:v>
                </c:pt>
                <c:pt idx="1331">
                  <c:v>-0.333333333333333</c:v>
                </c:pt>
                <c:pt idx="1332">
                  <c:v>-0.2</c:v>
                </c:pt>
                <c:pt idx="1333">
                  <c:v>0</c:v>
                </c:pt>
                <c:pt idx="1334">
                  <c:v>0.0666666666666667</c:v>
                </c:pt>
                <c:pt idx="1335">
                  <c:v>0.25</c:v>
                </c:pt>
                <c:pt idx="1336">
                  <c:v>0.333333333333333</c:v>
                </c:pt>
                <c:pt idx="1337">
                  <c:v>0.333333333333333</c:v>
                </c:pt>
                <c:pt idx="1338">
                  <c:v>0.375</c:v>
                </c:pt>
                <c:pt idx="1339">
                  <c:v>0.384615384615385</c:v>
                </c:pt>
                <c:pt idx="1340">
                  <c:v>0.555555555555556</c:v>
                </c:pt>
                <c:pt idx="1341">
                  <c:v>0.555555555555556</c:v>
                </c:pt>
                <c:pt idx="1342">
                  <c:v>0.636363636363636</c:v>
                </c:pt>
                <c:pt idx="1343">
                  <c:v>0.692307692307692</c:v>
                </c:pt>
                <c:pt idx="1344">
                  <c:v>0.714285714285714</c:v>
                </c:pt>
                <c:pt idx="1345">
                  <c:v>0.733333333333333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-1</c:v>
                </c:pt>
                <c:pt idx="1355">
                  <c:v>-0.2</c:v>
                </c:pt>
                <c:pt idx="1356">
                  <c:v>0.111111111111111</c:v>
                </c:pt>
                <c:pt idx="1357">
                  <c:v>0.5</c:v>
                </c:pt>
                <c:pt idx="1358">
                  <c:v>0.75</c:v>
                </c:pt>
                <c:pt idx="1359">
                  <c:v>0.75</c:v>
                </c:pt>
                <c:pt idx="1360">
                  <c:v>0.75</c:v>
                </c:pt>
                <c:pt idx="1361">
                  <c:v>0.818181818181818</c:v>
                </c:pt>
                <c:pt idx="1362">
                  <c:v>0.875</c:v>
                </c:pt>
                <c:pt idx="1363">
                  <c:v>1</c:v>
                </c:pt>
                <c:pt idx="1364">
                  <c:v>1</c:v>
                </c:pt>
                <c:pt idx="1365">
                  <c:v>-1</c:v>
                </c:pt>
                <c:pt idx="1366">
                  <c:v>-1</c:v>
                </c:pt>
                <c:pt idx="1367">
                  <c:v>-1</c:v>
                </c:pt>
                <c:pt idx="1368">
                  <c:v>-1</c:v>
                </c:pt>
                <c:pt idx="1369">
                  <c:v>-1</c:v>
                </c:pt>
                <c:pt idx="1370">
                  <c:v>-1</c:v>
                </c:pt>
                <c:pt idx="1371">
                  <c:v>-1</c:v>
                </c:pt>
                <c:pt idx="1372">
                  <c:v>-1</c:v>
                </c:pt>
                <c:pt idx="1373">
                  <c:v>-0.846153846153846</c:v>
                </c:pt>
                <c:pt idx="1374">
                  <c:v>-0.833333333333333</c:v>
                </c:pt>
                <c:pt idx="1375">
                  <c:v>-0.785714285714286</c:v>
                </c:pt>
                <c:pt idx="1376">
                  <c:v>-0.777777777777778</c:v>
                </c:pt>
                <c:pt idx="1377">
                  <c:v>-0.6</c:v>
                </c:pt>
                <c:pt idx="1378">
                  <c:v>-0.75</c:v>
                </c:pt>
                <c:pt idx="1379">
                  <c:v>-0.75</c:v>
                </c:pt>
                <c:pt idx="1380">
                  <c:v>-0.714285714285714</c:v>
                </c:pt>
                <c:pt idx="1381">
                  <c:v>-0.636363636363636</c:v>
                </c:pt>
                <c:pt idx="1382">
                  <c:v>-0.636363636363636</c:v>
                </c:pt>
                <c:pt idx="1383">
                  <c:v>-0.6</c:v>
                </c:pt>
                <c:pt idx="1384">
                  <c:v>-0.555555555555556</c:v>
                </c:pt>
                <c:pt idx="1385">
                  <c:v>-0.444444444444444</c:v>
                </c:pt>
                <c:pt idx="1386">
                  <c:v>-0.428571428571429</c:v>
                </c:pt>
                <c:pt idx="1387">
                  <c:v>0</c:v>
                </c:pt>
                <c:pt idx="1388">
                  <c:v>0.125</c:v>
                </c:pt>
                <c:pt idx="1389">
                  <c:v>0.2</c:v>
                </c:pt>
                <c:pt idx="1390">
                  <c:v>0.222222222222222</c:v>
                </c:pt>
                <c:pt idx="1391">
                  <c:v>0.285714285714286</c:v>
                </c:pt>
                <c:pt idx="1392">
                  <c:v>0.333333333333333</c:v>
                </c:pt>
                <c:pt idx="1393">
                  <c:v>0.384615384615385</c:v>
                </c:pt>
                <c:pt idx="1394">
                  <c:v>0.4</c:v>
                </c:pt>
                <c:pt idx="1395">
                  <c:v>0.4</c:v>
                </c:pt>
                <c:pt idx="1396">
                  <c:v>0.428571428571429</c:v>
                </c:pt>
                <c:pt idx="1397">
                  <c:v>0.5</c:v>
                </c:pt>
                <c:pt idx="1398">
                  <c:v>0.6</c:v>
                </c:pt>
                <c:pt idx="1399">
                  <c:v>0.636363636363636</c:v>
                </c:pt>
                <c:pt idx="1400">
                  <c:v>0.666666666666667</c:v>
                </c:pt>
                <c:pt idx="1401">
                  <c:v>0.666666666666667</c:v>
                </c:pt>
                <c:pt idx="1402">
                  <c:v>0.666666666666667</c:v>
                </c:pt>
                <c:pt idx="1403">
                  <c:v>0.692307692307692</c:v>
                </c:pt>
                <c:pt idx="1404">
                  <c:v>0.7</c:v>
                </c:pt>
                <c:pt idx="1405">
                  <c:v>0.75</c:v>
                </c:pt>
                <c:pt idx="1406">
                  <c:v>0.777777777777778</c:v>
                </c:pt>
                <c:pt idx="1407">
                  <c:v>0.8</c:v>
                </c:pt>
                <c:pt idx="1408">
                  <c:v>0.8</c:v>
                </c:pt>
                <c:pt idx="1409">
                  <c:v>0.818181818181818</c:v>
                </c:pt>
                <c:pt idx="1410">
                  <c:v>0.846153846153846</c:v>
                </c:pt>
                <c:pt idx="1411">
                  <c:v>0.857142857142857</c:v>
                </c:pt>
                <c:pt idx="1412">
                  <c:v>0.857142857142857</c:v>
                </c:pt>
                <c:pt idx="1413">
                  <c:v>0.875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-0.75</c:v>
                </c:pt>
                <c:pt idx="1425">
                  <c:v>-0.272727272727273</c:v>
                </c:pt>
                <c:pt idx="1426">
                  <c:v>0</c:v>
                </c:pt>
                <c:pt idx="1427">
                  <c:v>0.25</c:v>
                </c:pt>
                <c:pt idx="1428">
                  <c:v>0.333333333333333</c:v>
                </c:pt>
                <c:pt idx="1429">
                  <c:v>0.692307692307692</c:v>
                </c:pt>
                <c:pt idx="1430">
                  <c:v>-0.692307692307692</c:v>
                </c:pt>
                <c:pt idx="1431">
                  <c:v>-0.6</c:v>
                </c:pt>
                <c:pt idx="1432">
                  <c:v>0.636363636363636</c:v>
                </c:pt>
                <c:pt idx="1433">
                  <c:v>0.555555555555556</c:v>
                </c:pt>
                <c:pt idx="1434">
                  <c:v>0.4</c:v>
                </c:pt>
                <c:pt idx="1435">
                  <c:v>-1</c:v>
                </c:pt>
                <c:pt idx="1436">
                  <c:v>-1</c:v>
                </c:pt>
                <c:pt idx="1437">
                  <c:v>-1</c:v>
                </c:pt>
                <c:pt idx="1438">
                  <c:v>-1</c:v>
                </c:pt>
                <c:pt idx="1439">
                  <c:v>-0.75</c:v>
                </c:pt>
                <c:pt idx="1440">
                  <c:v>-0.333333333333333</c:v>
                </c:pt>
                <c:pt idx="1441">
                  <c:v>0</c:v>
                </c:pt>
                <c:pt idx="1442">
                  <c:v>0.2</c:v>
                </c:pt>
                <c:pt idx="1443">
                  <c:v>0.333333333333333</c:v>
                </c:pt>
                <c:pt idx="1444">
                  <c:v>0.714285714285714</c:v>
                </c:pt>
                <c:pt idx="1445">
                  <c:v>0.777777777777778</c:v>
                </c:pt>
                <c:pt idx="1446">
                  <c:v>1</c:v>
                </c:pt>
                <c:pt idx="1447">
                  <c:v>1</c:v>
                </c:pt>
                <c:pt idx="1448">
                  <c:v>-1</c:v>
                </c:pt>
                <c:pt idx="1449">
                  <c:v>-0.555555555555556</c:v>
                </c:pt>
                <c:pt idx="1450">
                  <c:v>-0.5</c:v>
                </c:pt>
                <c:pt idx="1451">
                  <c:v>0</c:v>
                </c:pt>
                <c:pt idx="1452">
                  <c:v>0</c:v>
                </c:pt>
                <c:pt idx="1453">
                  <c:v>0.272727272727273</c:v>
                </c:pt>
                <c:pt idx="1454">
                  <c:v>0.333333333333333</c:v>
                </c:pt>
                <c:pt idx="1455">
                  <c:v>0.636363636363636</c:v>
                </c:pt>
                <c:pt idx="1456">
                  <c:v>0.666666666666667</c:v>
                </c:pt>
                <c:pt idx="1457">
                  <c:v>0.636363636363636</c:v>
                </c:pt>
                <c:pt idx="1458">
                  <c:v>0.75</c:v>
                </c:pt>
                <c:pt idx="1459">
                  <c:v>0.777777777777778</c:v>
                </c:pt>
                <c:pt idx="1460">
                  <c:v>0.8</c:v>
                </c:pt>
                <c:pt idx="1461">
                  <c:v>0.8</c:v>
                </c:pt>
                <c:pt idx="1462">
                  <c:v>0.833333333333333</c:v>
                </c:pt>
                <c:pt idx="1463">
                  <c:v>0.857142857142857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-1</c:v>
                </c:pt>
                <c:pt idx="1476">
                  <c:v>-1</c:v>
                </c:pt>
                <c:pt idx="1477">
                  <c:v>-0.25</c:v>
                </c:pt>
                <c:pt idx="1478">
                  <c:v>-0.25</c:v>
                </c:pt>
                <c:pt idx="1479">
                  <c:v>-0.142857142857143</c:v>
                </c:pt>
                <c:pt idx="1480">
                  <c:v>0</c:v>
                </c:pt>
                <c:pt idx="1481">
                  <c:v>0.111111111111111</c:v>
                </c:pt>
                <c:pt idx="1482">
                  <c:v>0.272727272727273</c:v>
                </c:pt>
                <c:pt idx="1483">
                  <c:v>0.75</c:v>
                </c:pt>
                <c:pt idx="1484">
                  <c:v>0.857142857142857</c:v>
                </c:pt>
                <c:pt idx="1485">
                  <c:v>-0.526315789473684</c:v>
                </c:pt>
                <c:pt idx="1486">
                  <c:v>-0.8</c:v>
                </c:pt>
                <c:pt idx="1487">
                  <c:v>0.909090909090909</c:v>
                </c:pt>
                <c:pt idx="1488">
                  <c:v>1</c:v>
                </c:pt>
                <c:pt idx="1489">
                  <c:v>-1</c:v>
                </c:pt>
                <c:pt idx="1490">
                  <c:v>-1</c:v>
                </c:pt>
                <c:pt idx="1491">
                  <c:v>-1</c:v>
                </c:pt>
                <c:pt idx="1492">
                  <c:v>-0.75</c:v>
                </c:pt>
                <c:pt idx="1493">
                  <c:v>-0.6</c:v>
                </c:pt>
                <c:pt idx="1494">
                  <c:v>-0.6</c:v>
                </c:pt>
                <c:pt idx="1495">
                  <c:v>-0.333333333333333</c:v>
                </c:pt>
                <c:pt idx="1496">
                  <c:v>-0.2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0.25</c:v>
                </c:pt>
                <c:pt idx="1502">
                  <c:v>0.333333333333333</c:v>
                </c:pt>
                <c:pt idx="1503">
                  <c:v>0.333333333333333</c:v>
                </c:pt>
                <c:pt idx="1504">
                  <c:v>0.538461538461538</c:v>
                </c:pt>
                <c:pt idx="1505">
                  <c:v>0.636363636363636</c:v>
                </c:pt>
                <c:pt idx="1506">
                  <c:v>0.666666666666667</c:v>
                </c:pt>
                <c:pt idx="1507">
                  <c:v>0.714285714285714</c:v>
                </c:pt>
                <c:pt idx="1508">
                  <c:v>0.75</c:v>
                </c:pt>
                <c:pt idx="1509">
                  <c:v>0.777777777777778</c:v>
                </c:pt>
                <c:pt idx="1510">
                  <c:v>0.8</c:v>
                </c:pt>
                <c:pt idx="1511">
                  <c:v>0.833333333333333</c:v>
                </c:pt>
                <c:pt idx="1512">
                  <c:v>0.833333333333333</c:v>
                </c:pt>
                <c:pt idx="1513">
                  <c:v>0.833333333333333</c:v>
                </c:pt>
                <c:pt idx="1514">
                  <c:v>0.857142857142857</c:v>
                </c:pt>
                <c:pt idx="1515">
                  <c:v>0.866666666666667</c:v>
                </c:pt>
                <c:pt idx="1516">
                  <c:v>0.888888888888889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-0.818181818181818</c:v>
                </c:pt>
                <c:pt idx="1525">
                  <c:v>-0.733333333333333</c:v>
                </c:pt>
                <c:pt idx="1526">
                  <c:v>-0.5</c:v>
                </c:pt>
                <c:pt idx="1527">
                  <c:v>-0.4</c:v>
                </c:pt>
                <c:pt idx="1528">
                  <c:v>0</c:v>
                </c:pt>
                <c:pt idx="1529">
                  <c:v>0</c:v>
                </c:pt>
                <c:pt idx="1530">
                  <c:v>0.555555555555556</c:v>
                </c:pt>
                <c:pt idx="1531">
                  <c:v>0.6</c:v>
                </c:pt>
                <c:pt idx="1532">
                  <c:v>0.666666666666667</c:v>
                </c:pt>
                <c:pt idx="1533">
                  <c:v>0.8</c:v>
                </c:pt>
                <c:pt idx="1534">
                  <c:v>1</c:v>
                </c:pt>
                <c:pt idx="1535">
                  <c:v>-0.4</c:v>
                </c:pt>
                <c:pt idx="1536">
                  <c:v>-0.230769230769231</c:v>
                </c:pt>
                <c:pt idx="1537">
                  <c:v>0.230769230769231</c:v>
                </c:pt>
                <c:pt idx="1538">
                  <c:v>-1</c:v>
                </c:pt>
                <c:pt idx="1539">
                  <c:v>-0.846153846153846</c:v>
                </c:pt>
                <c:pt idx="1540">
                  <c:v>-0.571428571428571</c:v>
                </c:pt>
                <c:pt idx="1541">
                  <c:v>-0.428571428571429</c:v>
                </c:pt>
                <c:pt idx="1542">
                  <c:v>0</c:v>
                </c:pt>
                <c:pt idx="1543">
                  <c:v>1</c:v>
                </c:pt>
                <c:pt idx="1544">
                  <c:v>-1</c:v>
                </c:pt>
                <c:pt idx="1545">
                  <c:v>-1</c:v>
                </c:pt>
                <c:pt idx="1546">
                  <c:v>-0.857142857142857</c:v>
                </c:pt>
                <c:pt idx="1547">
                  <c:v>-0.777777777777778</c:v>
                </c:pt>
                <c:pt idx="1548">
                  <c:v>-0.714285714285714</c:v>
                </c:pt>
                <c:pt idx="1549">
                  <c:v>-0.1</c:v>
                </c:pt>
                <c:pt idx="1550">
                  <c:v>0.384615384615385</c:v>
                </c:pt>
                <c:pt idx="1551">
                  <c:v>0.454545454545455</c:v>
                </c:pt>
                <c:pt idx="1552">
                  <c:v>0.5</c:v>
                </c:pt>
                <c:pt idx="1553">
                  <c:v>0.6</c:v>
                </c:pt>
                <c:pt idx="1554">
                  <c:v>0.714285714285714</c:v>
                </c:pt>
                <c:pt idx="1555">
                  <c:v>0.777777777777778</c:v>
                </c:pt>
                <c:pt idx="1556">
                  <c:v>0.846153846153846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-0.0909090909090909</c:v>
                </c:pt>
                <c:pt idx="1561">
                  <c:v>0.846153846153846</c:v>
                </c:pt>
                <c:pt idx="1562">
                  <c:v>0.333333333333333</c:v>
                </c:pt>
                <c:pt idx="1563">
                  <c:v>0.666666666666667</c:v>
                </c:pt>
                <c:pt idx="1564">
                  <c:v>-0.714285714285714</c:v>
                </c:pt>
                <c:pt idx="1565">
                  <c:v>-0.666666666666667</c:v>
                </c:pt>
                <c:pt idx="1566">
                  <c:v>0.4</c:v>
                </c:pt>
                <c:pt idx="1567">
                  <c:v>-0.666666666666667</c:v>
                </c:pt>
                <c:pt idx="1568">
                  <c:v>0.6</c:v>
                </c:pt>
                <c:pt idx="1569">
                  <c:v>0.75</c:v>
                </c:pt>
                <c:pt idx="1570">
                  <c:v>0.818181818181818</c:v>
                </c:pt>
                <c:pt idx="1571">
                  <c:v>0.818181818181818</c:v>
                </c:pt>
                <c:pt idx="1572">
                  <c:v>0.846153846153846</c:v>
                </c:pt>
                <c:pt idx="1573">
                  <c:v>1</c:v>
                </c:pt>
                <c:pt idx="1574">
                  <c:v>-1</c:v>
                </c:pt>
                <c:pt idx="1575">
                  <c:v>0.375</c:v>
                </c:pt>
                <c:pt idx="1576">
                  <c:v>0.857142857142857</c:v>
                </c:pt>
                <c:pt idx="1577">
                  <c:v>-0.2</c:v>
                </c:pt>
                <c:pt idx="1578">
                  <c:v>0.636363636363636</c:v>
                </c:pt>
                <c:pt idx="1579">
                  <c:v>1</c:v>
                </c:pt>
                <c:pt idx="1580">
                  <c:v>-1</c:v>
                </c:pt>
                <c:pt idx="1581">
                  <c:v>-1</c:v>
                </c:pt>
                <c:pt idx="1582">
                  <c:v>-0.8</c:v>
                </c:pt>
                <c:pt idx="1583">
                  <c:v>-0.769230769230769</c:v>
                </c:pt>
                <c:pt idx="1584">
                  <c:v>-0.666666666666667</c:v>
                </c:pt>
                <c:pt idx="1585">
                  <c:v>-0.571428571428571</c:v>
                </c:pt>
                <c:pt idx="1586">
                  <c:v>-0.571428571428571</c:v>
                </c:pt>
                <c:pt idx="1587">
                  <c:v>-0.5</c:v>
                </c:pt>
                <c:pt idx="1588">
                  <c:v>-0.25</c:v>
                </c:pt>
                <c:pt idx="1589">
                  <c:v>-0.230769230769231</c:v>
                </c:pt>
                <c:pt idx="1590">
                  <c:v>-0.2</c:v>
                </c:pt>
                <c:pt idx="1591">
                  <c:v>0</c:v>
                </c:pt>
                <c:pt idx="1592">
                  <c:v>0</c:v>
                </c:pt>
                <c:pt idx="1593">
                  <c:v>0.142857142857143</c:v>
                </c:pt>
                <c:pt idx="1594">
                  <c:v>0.333333333333333</c:v>
                </c:pt>
                <c:pt idx="1595">
                  <c:v>0.333333333333333</c:v>
                </c:pt>
                <c:pt idx="1596">
                  <c:v>0.428571428571429</c:v>
                </c:pt>
                <c:pt idx="1597">
                  <c:v>0.571428571428571</c:v>
                </c:pt>
                <c:pt idx="1598">
                  <c:v>0.636363636363636</c:v>
                </c:pt>
                <c:pt idx="1599">
                  <c:v>0.75</c:v>
                </c:pt>
                <c:pt idx="1600">
                  <c:v>0.777777777777778</c:v>
                </c:pt>
                <c:pt idx="1601">
                  <c:v>0.8</c:v>
                </c:pt>
                <c:pt idx="1602">
                  <c:v>0.857142857142857</c:v>
                </c:pt>
                <c:pt idx="1603">
                  <c:v>0.923076923076923</c:v>
                </c:pt>
                <c:pt idx="1604">
                  <c:v>1</c:v>
                </c:pt>
                <c:pt idx="1605">
                  <c:v>1</c:v>
                </c:pt>
                <c:pt idx="1606">
                  <c:v>-1</c:v>
                </c:pt>
                <c:pt idx="1607">
                  <c:v>-1</c:v>
                </c:pt>
                <c:pt idx="1608">
                  <c:v>-1</c:v>
                </c:pt>
                <c:pt idx="1609">
                  <c:v>-0.833333333333333</c:v>
                </c:pt>
                <c:pt idx="1610">
                  <c:v>-0.75</c:v>
                </c:pt>
                <c:pt idx="1611">
                  <c:v>-0.692307692307692</c:v>
                </c:pt>
                <c:pt idx="1612">
                  <c:v>-0.529411764705882</c:v>
                </c:pt>
                <c:pt idx="1613">
                  <c:v>-0.272727272727273</c:v>
                </c:pt>
                <c:pt idx="1614">
                  <c:v>0.0909090909090909</c:v>
                </c:pt>
                <c:pt idx="1615">
                  <c:v>0.2</c:v>
                </c:pt>
                <c:pt idx="1616">
                  <c:v>0.2</c:v>
                </c:pt>
                <c:pt idx="1617">
                  <c:v>0.272727272727273</c:v>
                </c:pt>
                <c:pt idx="1618">
                  <c:v>0.384615384615385</c:v>
                </c:pt>
                <c:pt idx="1619">
                  <c:v>0.5</c:v>
                </c:pt>
                <c:pt idx="1620">
                  <c:v>0.5</c:v>
                </c:pt>
                <c:pt idx="1621">
                  <c:v>0.636363636363636</c:v>
                </c:pt>
                <c:pt idx="1622">
                  <c:v>0.777777777777778</c:v>
                </c:pt>
                <c:pt idx="1623">
                  <c:v>0.818181818181818</c:v>
                </c:pt>
                <c:pt idx="1624">
                  <c:v>0.818181818181818</c:v>
                </c:pt>
                <c:pt idx="1625">
                  <c:v>0.857142857142857</c:v>
                </c:pt>
                <c:pt idx="1626">
                  <c:v>0.866666666666667</c:v>
                </c:pt>
                <c:pt idx="1627">
                  <c:v>1</c:v>
                </c:pt>
                <c:pt idx="1628">
                  <c:v>1</c:v>
                </c:pt>
                <c:pt idx="1629">
                  <c:v>-1</c:v>
                </c:pt>
                <c:pt idx="1630">
                  <c:v>-0.428571428571429</c:v>
                </c:pt>
                <c:pt idx="1631">
                  <c:v>-0.2</c:v>
                </c:pt>
                <c:pt idx="1632">
                  <c:v>0.142857142857143</c:v>
                </c:pt>
                <c:pt idx="1633">
                  <c:v>0.333333333333333</c:v>
                </c:pt>
                <c:pt idx="1634">
                  <c:v>0.833333333333333</c:v>
                </c:pt>
                <c:pt idx="1635">
                  <c:v>-1</c:v>
                </c:pt>
                <c:pt idx="1636">
                  <c:v>-1</c:v>
                </c:pt>
                <c:pt idx="1637">
                  <c:v>-0.846153846153846</c:v>
                </c:pt>
                <c:pt idx="1638">
                  <c:v>-0.538461538461538</c:v>
                </c:pt>
                <c:pt idx="1639">
                  <c:v>-0.5</c:v>
                </c:pt>
                <c:pt idx="1640">
                  <c:v>0.4</c:v>
                </c:pt>
                <c:pt idx="1641">
                  <c:v>0.466666666666667</c:v>
                </c:pt>
                <c:pt idx="1642">
                  <c:v>0.5</c:v>
                </c:pt>
                <c:pt idx="1643">
                  <c:v>1</c:v>
                </c:pt>
                <c:pt idx="1644">
                  <c:v>-1</c:v>
                </c:pt>
                <c:pt idx="1645">
                  <c:v>-1</c:v>
                </c:pt>
                <c:pt idx="1646">
                  <c:v>-1</c:v>
                </c:pt>
                <c:pt idx="1647">
                  <c:v>-1</c:v>
                </c:pt>
                <c:pt idx="1648">
                  <c:v>-0.6</c:v>
                </c:pt>
                <c:pt idx="1649">
                  <c:v>-0.45</c:v>
                </c:pt>
                <c:pt idx="1650">
                  <c:v>-0.4</c:v>
                </c:pt>
                <c:pt idx="1651">
                  <c:v>-0.384615384615385</c:v>
                </c:pt>
                <c:pt idx="1652">
                  <c:v>-0.272727272727273</c:v>
                </c:pt>
                <c:pt idx="1653">
                  <c:v>-0.2</c:v>
                </c:pt>
                <c:pt idx="1654">
                  <c:v>-0.111111111111111</c:v>
                </c:pt>
                <c:pt idx="1655">
                  <c:v>0.454545454545455</c:v>
                </c:pt>
                <c:pt idx="1656">
                  <c:v>0.636363636363636</c:v>
                </c:pt>
                <c:pt idx="1657">
                  <c:v>0.714285714285714</c:v>
                </c:pt>
                <c:pt idx="1658">
                  <c:v>0.76</c:v>
                </c:pt>
                <c:pt idx="1659">
                  <c:v>0.833333333333333</c:v>
                </c:pt>
                <c:pt idx="1660">
                  <c:v>0.833333333333333</c:v>
                </c:pt>
                <c:pt idx="1661">
                  <c:v>1</c:v>
                </c:pt>
                <c:pt idx="1662">
                  <c:v>0.333333333333333</c:v>
                </c:pt>
                <c:pt idx="1663">
                  <c:v>-0.0666666666666667</c:v>
                </c:pt>
                <c:pt idx="1664">
                  <c:v>0.0909090909090909</c:v>
                </c:pt>
                <c:pt idx="1665">
                  <c:v>-1</c:v>
                </c:pt>
                <c:pt idx="1666">
                  <c:v>-1</c:v>
                </c:pt>
                <c:pt idx="1667">
                  <c:v>-1</c:v>
                </c:pt>
                <c:pt idx="1668">
                  <c:v>-1</c:v>
                </c:pt>
                <c:pt idx="1669">
                  <c:v>-1</c:v>
                </c:pt>
                <c:pt idx="1670">
                  <c:v>-0.5</c:v>
                </c:pt>
                <c:pt idx="1671">
                  <c:v>-0.4</c:v>
                </c:pt>
                <c:pt idx="1672">
                  <c:v>-0.0666666666666667</c:v>
                </c:pt>
                <c:pt idx="1673">
                  <c:v>0.0909090909090909</c:v>
                </c:pt>
                <c:pt idx="1674">
                  <c:v>0.111111111111111</c:v>
                </c:pt>
                <c:pt idx="1675">
                  <c:v>0.2</c:v>
                </c:pt>
                <c:pt idx="1676">
                  <c:v>0.2</c:v>
                </c:pt>
                <c:pt idx="1677">
                  <c:v>0.25</c:v>
                </c:pt>
                <c:pt idx="1678">
                  <c:v>0.375</c:v>
                </c:pt>
                <c:pt idx="1679">
                  <c:v>0.4</c:v>
                </c:pt>
                <c:pt idx="1680">
                  <c:v>0.5</c:v>
                </c:pt>
                <c:pt idx="1681">
                  <c:v>0.538461538461538</c:v>
                </c:pt>
                <c:pt idx="1682">
                  <c:v>0.75</c:v>
                </c:pt>
                <c:pt idx="1683">
                  <c:v>0.777777777777778</c:v>
                </c:pt>
                <c:pt idx="1684">
                  <c:v>0.8</c:v>
                </c:pt>
                <c:pt idx="1685">
                  <c:v>1</c:v>
                </c:pt>
                <c:pt idx="1686">
                  <c:v>1</c:v>
                </c:pt>
                <c:pt idx="1687">
                  <c:v>-1</c:v>
                </c:pt>
                <c:pt idx="1688">
                  <c:v>-0.666666666666667</c:v>
                </c:pt>
                <c:pt idx="1689">
                  <c:v>-0.6</c:v>
                </c:pt>
                <c:pt idx="1690">
                  <c:v>-0.466666666666667</c:v>
                </c:pt>
                <c:pt idx="1691">
                  <c:v>0.1</c:v>
                </c:pt>
                <c:pt idx="1692">
                  <c:v>0.333333333333333</c:v>
                </c:pt>
                <c:pt idx="1693">
                  <c:v>0.857142857142857</c:v>
                </c:pt>
                <c:pt idx="1694">
                  <c:v>0.857142857142857</c:v>
                </c:pt>
                <c:pt idx="1695">
                  <c:v>1</c:v>
                </c:pt>
                <c:pt idx="1696">
                  <c:v>1</c:v>
                </c:pt>
                <c:pt idx="1697">
                  <c:v>0.5</c:v>
                </c:pt>
                <c:pt idx="1698">
                  <c:v>0.625</c:v>
                </c:pt>
                <c:pt idx="1699">
                  <c:v>-1</c:v>
                </c:pt>
                <c:pt idx="1700">
                  <c:v>-1</c:v>
                </c:pt>
                <c:pt idx="1701">
                  <c:v>-0.571428571428571</c:v>
                </c:pt>
                <c:pt idx="1702">
                  <c:v>0.272727272727273</c:v>
                </c:pt>
                <c:pt idx="1703">
                  <c:v>0.909090909090909</c:v>
                </c:pt>
                <c:pt idx="1704">
                  <c:v>1</c:v>
                </c:pt>
                <c:pt idx="1705">
                  <c:v>-0.833333333333333</c:v>
                </c:pt>
                <c:pt idx="1706">
                  <c:v>-0.714285714285714</c:v>
                </c:pt>
                <c:pt idx="1707">
                  <c:v>-0.538461538461538</c:v>
                </c:pt>
                <c:pt idx="1708">
                  <c:v>0</c:v>
                </c:pt>
                <c:pt idx="1709">
                  <c:v>-1</c:v>
                </c:pt>
                <c:pt idx="1710">
                  <c:v>0.538461538461538</c:v>
                </c:pt>
                <c:pt idx="1711">
                  <c:v>-1</c:v>
                </c:pt>
                <c:pt idx="1712">
                  <c:v>0.333333333333333</c:v>
                </c:pt>
                <c:pt idx="1713">
                  <c:v>-0.466666666666667</c:v>
                </c:pt>
                <c:pt idx="1714">
                  <c:v>0.692307692307692</c:v>
                </c:pt>
                <c:pt idx="1715">
                  <c:v>-0.6</c:v>
                </c:pt>
                <c:pt idx="1716">
                  <c:v>-0.384615384615385</c:v>
                </c:pt>
                <c:pt idx="1717">
                  <c:v>0</c:v>
                </c:pt>
                <c:pt idx="1718">
                  <c:v>0.2</c:v>
                </c:pt>
                <c:pt idx="1719">
                  <c:v>0.555555555555556</c:v>
                </c:pt>
                <c:pt idx="1720">
                  <c:v>1</c:v>
                </c:pt>
                <c:pt idx="1721">
                  <c:v>-0.333333333333333</c:v>
                </c:pt>
                <c:pt idx="1722">
                  <c:v>0.25</c:v>
                </c:pt>
                <c:pt idx="1723">
                  <c:v>0.368421052631579</c:v>
                </c:pt>
                <c:pt idx="1724">
                  <c:v>-1</c:v>
                </c:pt>
                <c:pt idx="1725">
                  <c:v>-0.818181818181818</c:v>
                </c:pt>
                <c:pt idx="1726">
                  <c:v>-0.666666666666667</c:v>
                </c:pt>
                <c:pt idx="1727">
                  <c:v>-0.333333333333333</c:v>
                </c:pt>
                <c:pt idx="1728">
                  <c:v>-0.2</c:v>
                </c:pt>
                <c:pt idx="1729">
                  <c:v>-0.0909090909090909</c:v>
                </c:pt>
                <c:pt idx="1730">
                  <c:v>0.142857142857143</c:v>
                </c:pt>
                <c:pt idx="1731">
                  <c:v>0.333333333333333</c:v>
                </c:pt>
                <c:pt idx="1732">
                  <c:v>0.333333333333333</c:v>
                </c:pt>
                <c:pt idx="1733">
                  <c:v>0.333333333333333</c:v>
                </c:pt>
                <c:pt idx="1734">
                  <c:v>0.68421052631579</c:v>
                </c:pt>
                <c:pt idx="1735">
                  <c:v>0.538461538461538</c:v>
                </c:pt>
                <c:pt idx="1736">
                  <c:v>0.6</c:v>
                </c:pt>
                <c:pt idx="1737">
                  <c:v>1</c:v>
                </c:pt>
                <c:pt idx="1738">
                  <c:v>1</c:v>
                </c:pt>
                <c:pt idx="1739">
                  <c:v>0.714285714285714</c:v>
                </c:pt>
                <c:pt idx="1740">
                  <c:v>-1</c:v>
                </c:pt>
                <c:pt idx="1741">
                  <c:v>-0.8</c:v>
                </c:pt>
                <c:pt idx="1742">
                  <c:v>-0.714285714285714</c:v>
                </c:pt>
                <c:pt idx="1743">
                  <c:v>0.384615384615385</c:v>
                </c:pt>
                <c:pt idx="1744">
                  <c:v>0.8</c:v>
                </c:pt>
                <c:pt idx="1745">
                  <c:v>0.818181818181818</c:v>
                </c:pt>
                <c:pt idx="1746">
                  <c:v>-1</c:v>
                </c:pt>
                <c:pt idx="1747">
                  <c:v>0.2</c:v>
                </c:pt>
                <c:pt idx="1748">
                  <c:v>1</c:v>
                </c:pt>
                <c:pt idx="1749">
                  <c:v>-1</c:v>
                </c:pt>
                <c:pt idx="1750">
                  <c:v>-0.2</c:v>
                </c:pt>
                <c:pt idx="1751">
                  <c:v>-1</c:v>
                </c:pt>
                <c:pt idx="1752">
                  <c:v>-1</c:v>
                </c:pt>
                <c:pt idx="1753">
                  <c:v>-1</c:v>
                </c:pt>
                <c:pt idx="1754">
                  <c:v>-1</c:v>
                </c:pt>
                <c:pt idx="1755">
                  <c:v>-0.333333333333333</c:v>
                </c:pt>
                <c:pt idx="1756">
                  <c:v>-0.25</c:v>
                </c:pt>
                <c:pt idx="1757">
                  <c:v>0.111111111111111</c:v>
                </c:pt>
                <c:pt idx="1758">
                  <c:v>0.625</c:v>
                </c:pt>
                <c:pt idx="1759">
                  <c:v>0.714285714285714</c:v>
                </c:pt>
                <c:pt idx="1760">
                  <c:v>0.8</c:v>
                </c:pt>
                <c:pt idx="1761">
                  <c:v>-1</c:v>
                </c:pt>
                <c:pt idx="1762">
                  <c:v>-1</c:v>
                </c:pt>
                <c:pt idx="1763">
                  <c:v>-0.454545454545455</c:v>
                </c:pt>
                <c:pt idx="1764">
                  <c:v>-0.111111111111111</c:v>
                </c:pt>
                <c:pt idx="1765">
                  <c:v>0.142857142857143</c:v>
                </c:pt>
                <c:pt idx="1766">
                  <c:v>1</c:v>
                </c:pt>
                <c:pt idx="1767">
                  <c:v>0.666666666666667</c:v>
                </c:pt>
                <c:pt idx="1768">
                  <c:v>-0.578947368421053</c:v>
                </c:pt>
                <c:pt idx="1769">
                  <c:v>-0.142857142857143</c:v>
                </c:pt>
                <c:pt idx="1770">
                  <c:v>-0.0909090909090909</c:v>
                </c:pt>
                <c:pt idx="1771">
                  <c:v>0</c:v>
                </c:pt>
                <c:pt idx="1772">
                  <c:v>0.454545454545455</c:v>
                </c:pt>
                <c:pt idx="1773">
                  <c:v>0.5</c:v>
                </c:pt>
                <c:pt idx="1774">
                  <c:v>-0.8</c:v>
                </c:pt>
                <c:pt idx="1775">
                  <c:v>0</c:v>
                </c:pt>
                <c:pt idx="1776">
                  <c:v>-0.846153846153846</c:v>
                </c:pt>
                <c:pt idx="1777">
                  <c:v>-0.777777777777778</c:v>
                </c:pt>
                <c:pt idx="1778">
                  <c:v>0.714285714285714</c:v>
                </c:pt>
                <c:pt idx="1779">
                  <c:v>0.857142857142857</c:v>
                </c:pt>
                <c:pt idx="1780">
                  <c:v>1</c:v>
                </c:pt>
                <c:pt idx="1781">
                  <c:v>-0.166666666666667</c:v>
                </c:pt>
                <c:pt idx="1782">
                  <c:v>0.636363636363636</c:v>
                </c:pt>
                <c:pt idx="1783">
                  <c:v>-0.875</c:v>
                </c:pt>
                <c:pt idx="1784">
                  <c:v>-0.636363636363636</c:v>
                </c:pt>
                <c:pt idx="1785">
                  <c:v>-0.333333333333333</c:v>
                </c:pt>
                <c:pt idx="1786">
                  <c:v>0.0769230769230769</c:v>
                </c:pt>
                <c:pt idx="1787">
                  <c:v>0.428571428571429</c:v>
                </c:pt>
                <c:pt idx="1788">
                  <c:v>0.6</c:v>
                </c:pt>
                <c:pt idx="1789">
                  <c:v>0.647058823529412</c:v>
                </c:pt>
                <c:pt idx="1790">
                  <c:v>0.857142857142857</c:v>
                </c:pt>
                <c:pt idx="1791">
                  <c:v>-1</c:v>
                </c:pt>
                <c:pt idx="1792">
                  <c:v>-1</c:v>
                </c:pt>
                <c:pt idx="1793">
                  <c:v>-1</c:v>
                </c:pt>
                <c:pt idx="1794">
                  <c:v>-0.4</c:v>
                </c:pt>
                <c:pt idx="1795">
                  <c:v>-0.357142857142857</c:v>
                </c:pt>
                <c:pt idx="1796">
                  <c:v>0</c:v>
                </c:pt>
                <c:pt idx="1797">
                  <c:v>0.411764705882353</c:v>
                </c:pt>
                <c:pt idx="1798">
                  <c:v>0.75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-1</c:v>
                </c:pt>
                <c:pt idx="1803">
                  <c:v>-0.8</c:v>
                </c:pt>
                <c:pt idx="1804">
                  <c:v>-0.714285714285714</c:v>
                </c:pt>
                <c:pt idx="1805">
                  <c:v>-0.6</c:v>
                </c:pt>
                <c:pt idx="1806">
                  <c:v>-0.307692307692308</c:v>
                </c:pt>
                <c:pt idx="1807">
                  <c:v>0.0909090909090909</c:v>
                </c:pt>
                <c:pt idx="1808">
                  <c:v>0.333333333333333</c:v>
                </c:pt>
                <c:pt idx="1809">
                  <c:v>0.9</c:v>
                </c:pt>
                <c:pt idx="1810">
                  <c:v>-1</c:v>
                </c:pt>
                <c:pt idx="1811">
                  <c:v>0.666666666666667</c:v>
                </c:pt>
                <c:pt idx="1812">
                  <c:v>1</c:v>
                </c:pt>
                <c:pt idx="1813">
                  <c:v>-0.5</c:v>
                </c:pt>
                <c:pt idx="1814">
                  <c:v>0.714285714285714</c:v>
                </c:pt>
                <c:pt idx="1815">
                  <c:v>0.384615384615385</c:v>
                </c:pt>
                <c:pt idx="1816">
                  <c:v>0.875</c:v>
                </c:pt>
                <c:pt idx="1817">
                  <c:v>-1</c:v>
                </c:pt>
                <c:pt idx="1818">
                  <c:v>-0.818181818181818</c:v>
                </c:pt>
                <c:pt idx="1819">
                  <c:v>-0.428571428571429</c:v>
                </c:pt>
                <c:pt idx="1820">
                  <c:v>-0.111111111111111</c:v>
                </c:pt>
                <c:pt idx="1821">
                  <c:v>0.0555555555555556</c:v>
                </c:pt>
                <c:pt idx="1822">
                  <c:v>0.166666666666667</c:v>
                </c:pt>
                <c:pt idx="1823">
                  <c:v>-1</c:v>
                </c:pt>
                <c:pt idx="1824">
                  <c:v>-1</c:v>
                </c:pt>
                <c:pt idx="1825">
                  <c:v>-0.636363636363636</c:v>
                </c:pt>
                <c:pt idx="1826">
                  <c:v>0.333333333333333</c:v>
                </c:pt>
                <c:pt idx="1827">
                  <c:v>0.5</c:v>
                </c:pt>
                <c:pt idx="1828">
                  <c:v>0.636363636363636</c:v>
                </c:pt>
                <c:pt idx="1829">
                  <c:v>0.714285714285714</c:v>
                </c:pt>
                <c:pt idx="1830">
                  <c:v>1</c:v>
                </c:pt>
                <c:pt idx="1831">
                  <c:v>-0.666666666666667</c:v>
                </c:pt>
                <c:pt idx="1832">
                  <c:v>-1</c:v>
                </c:pt>
                <c:pt idx="1833">
                  <c:v>0.4</c:v>
                </c:pt>
                <c:pt idx="1834">
                  <c:v>1</c:v>
                </c:pt>
                <c:pt idx="1835">
                  <c:v>-0.75</c:v>
                </c:pt>
                <c:pt idx="1836">
                  <c:v>0.4</c:v>
                </c:pt>
                <c:pt idx="1837">
                  <c:v>0.411764705882353</c:v>
                </c:pt>
                <c:pt idx="1838">
                  <c:v>0.5</c:v>
                </c:pt>
                <c:pt idx="1839">
                  <c:v>0.714285714285714</c:v>
                </c:pt>
                <c:pt idx="1840">
                  <c:v>0.75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0.692307692307692</c:v>
                </c:pt>
                <c:pt idx="1851">
                  <c:v>-0.846153846153846</c:v>
                </c:pt>
                <c:pt idx="1852">
                  <c:v>-0.818181818181818</c:v>
                </c:pt>
                <c:pt idx="1853">
                  <c:v>-0.75</c:v>
                </c:pt>
                <c:pt idx="1854">
                  <c:v>-0.5</c:v>
                </c:pt>
                <c:pt idx="1855">
                  <c:v>0</c:v>
                </c:pt>
                <c:pt idx="1856">
                  <c:v>0.111111111111111</c:v>
                </c:pt>
                <c:pt idx="1857">
                  <c:v>0.2</c:v>
                </c:pt>
                <c:pt idx="1858">
                  <c:v>0.666666666666667</c:v>
                </c:pt>
                <c:pt idx="1859">
                  <c:v>-1</c:v>
                </c:pt>
                <c:pt idx="1860">
                  <c:v>-1</c:v>
                </c:pt>
                <c:pt idx="1861">
                  <c:v>-0.833333333333333</c:v>
                </c:pt>
                <c:pt idx="1862">
                  <c:v>-0.636363636363636</c:v>
                </c:pt>
                <c:pt idx="1863">
                  <c:v>-0.2</c:v>
                </c:pt>
                <c:pt idx="1864">
                  <c:v>0</c:v>
                </c:pt>
                <c:pt idx="1865">
                  <c:v>0.529411764705882</c:v>
                </c:pt>
                <c:pt idx="1866">
                  <c:v>0.8</c:v>
                </c:pt>
                <c:pt idx="1867">
                  <c:v>1</c:v>
                </c:pt>
                <c:pt idx="1868">
                  <c:v>-0.263157894736842</c:v>
                </c:pt>
                <c:pt idx="1869">
                  <c:v>-1</c:v>
                </c:pt>
                <c:pt idx="1870">
                  <c:v>-1</c:v>
                </c:pt>
                <c:pt idx="1871">
                  <c:v>-1</c:v>
                </c:pt>
                <c:pt idx="1872">
                  <c:v>-0.5</c:v>
                </c:pt>
                <c:pt idx="1873">
                  <c:v>-0.333333333333333</c:v>
                </c:pt>
                <c:pt idx="1874">
                  <c:v>-0.166666666666667</c:v>
                </c:pt>
                <c:pt idx="1875">
                  <c:v>0.25</c:v>
                </c:pt>
                <c:pt idx="1876">
                  <c:v>-1</c:v>
                </c:pt>
                <c:pt idx="1877">
                  <c:v>-1</c:v>
                </c:pt>
                <c:pt idx="1878">
                  <c:v>-0.777777777777778</c:v>
                </c:pt>
                <c:pt idx="1879">
                  <c:v>-0.5</c:v>
                </c:pt>
                <c:pt idx="1880">
                  <c:v>-0.142857142857143</c:v>
                </c:pt>
                <c:pt idx="1881">
                  <c:v>0</c:v>
                </c:pt>
                <c:pt idx="1882">
                  <c:v>-0.111111111111111</c:v>
                </c:pt>
                <c:pt idx="1883">
                  <c:v>0.142857142857143</c:v>
                </c:pt>
                <c:pt idx="1884">
                  <c:v>0.4</c:v>
                </c:pt>
                <c:pt idx="1885">
                  <c:v>0.714285714285714</c:v>
                </c:pt>
                <c:pt idx="1886">
                  <c:v>-0.333333333333333</c:v>
                </c:pt>
                <c:pt idx="1887">
                  <c:v>-0.2</c:v>
                </c:pt>
                <c:pt idx="1888">
                  <c:v>-0.2</c:v>
                </c:pt>
                <c:pt idx="1889">
                  <c:v>-0.2</c:v>
                </c:pt>
                <c:pt idx="1890">
                  <c:v>0.2</c:v>
                </c:pt>
                <c:pt idx="1891">
                  <c:v>0.333333333333333</c:v>
                </c:pt>
                <c:pt idx="1892">
                  <c:v>0.428571428571429</c:v>
                </c:pt>
                <c:pt idx="1893">
                  <c:v>0.8</c:v>
                </c:pt>
                <c:pt idx="1894">
                  <c:v>-1</c:v>
                </c:pt>
                <c:pt idx="1895">
                  <c:v>-1</c:v>
                </c:pt>
                <c:pt idx="1896">
                  <c:v>-0.777777777777778</c:v>
                </c:pt>
                <c:pt idx="1897">
                  <c:v>-0.5</c:v>
                </c:pt>
                <c:pt idx="1898">
                  <c:v>-0.2</c:v>
                </c:pt>
                <c:pt idx="1899">
                  <c:v>0.0769230769230769</c:v>
                </c:pt>
                <c:pt idx="1900">
                  <c:v>0.5</c:v>
                </c:pt>
                <c:pt idx="1901">
                  <c:v>0.5</c:v>
                </c:pt>
                <c:pt idx="1902">
                  <c:v>0.846153846153846</c:v>
                </c:pt>
                <c:pt idx="1903">
                  <c:v>0.857142857142857</c:v>
                </c:pt>
                <c:pt idx="1904">
                  <c:v>-0.2</c:v>
                </c:pt>
                <c:pt idx="1905">
                  <c:v>-0.0909090909090909</c:v>
                </c:pt>
                <c:pt idx="1906">
                  <c:v>0</c:v>
                </c:pt>
                <c:pt idx="1907">
                  <c:v>0.142857142857143</c:v>
                </c:pt>
                <c:pt idx="1908">
                  <c:v>0.428571428571429</c:v>
                </c:pt>
                <c:pt idx="1909">
                  <c:v>0.555555555555556</c:v>
                </c:pt>
                <c:pt idx="1910">
                  <c:v>0.8</c:v>
                </c:pt>
                <c:pt idx="1911">
                  <c:v>0.9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-0.818181818181818</c:v>
                </c:pt>
                <c:pt idx="1916">
                  <c:v>-0.333333333333333</c:v>
                </c:pt>
                <c:pt idx="1917">
                  <c:v>0.352941176470588</c:v>
                </c:pt>
                <c:pt idx="1918">
                  <c:v>-0.6</c:v>
                </c:pt>
                <c:pt idx="1919">
                  <c:v>0.75</c:v>
                </c:pt>
                <c:pt idx="1920">
                  <c:v>0.8</c:v>
                </c:pt>
                <c:pt idx="1921">
                  <c:v>-1</c:v>
                </c:pt>
                <c:pt idx="1922">
                  <c:v>-1</c:v>
                </c:pt>
                <c:pt idx="1923">
                  <c:v>-1</c:v>
                </c:pt>
                <c:pt idx="1924">
                  <c:v>-0.777777777777778</c:v>
                </c:pt>
                <c:pt idx="1925">
                  <c:v>-0.714285714285714</c:v>
                </c:pt>
                <c:pt idx="1926">
                  <c:v>-0.428571428571429</c:v>
                </c:pt>
                <c:pt idx="1927">
                  <c:v>-0.333333333333333</c:v>
                </c:pt>
                <c:pt idx="1928">
                  <c:v>-0.166666666666667</c:v>
                </c:pt>
                <c:pt idx="1929">
                  <c:v>0.25</c:v>
                </c:pt>
                <c:pt idx="1930">
                  <c:v>0.428571428571429</c:v>
                </c:pt>
                <c:pt idx="1931">
                  <c:v>0.428571428571429</c:v>
                </c:pt>
                <c:pt idx="1932">
                  <c:v>0.571428571428571</c:v>
                </c:pt>
                <c:pt idx="1933">
                  <c:v>0.692307692307692</c:v>
                </c:pt>
                <c:pt idx="1934">
                  <c:v>0.692307692307692</c:v>
                </c:pt>
                <c:pt idx="1935">
                  <c:v>0.714285714285714</c:v>
                </c:pt>
                <c:pt idx="1936">
                  <c:v>0.75</c:v>
                </c:pt>
                <c:pt idx="1937">
                  <c:v>0.777777777777778</c:v>
                </c:pt>
                <c:pt idx="1938">
                  <c:v>0.818181818181818</c:v>
                </c:pt>
                <c:pt idx="1939">
                  <c:v>0.818181818181818</c:v>
                </c:pt>
                <c:pt idx="1940">
                  <c:v>0.857142857142857</c:v>
                </c:pt>
                <c:pt idx="1941">
                  <c:v>0.916666666666667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-1</c:v>
                </c:pt>
                <c:pt idx="1947">
                  <c:v>-1</c:v>
                </c:pt>
                <c:pt idx="1948">
                  <c:v>-0.818181818181818</c:v>
                </c:pt>
                <c:pt idx="1949">
                  <c:v>0.0666666666666667</c:v>
                </c:pt>
                <c:pt idx="1950">
                  <c:v>0.333333333333333</c:v>
                </c:pt>
                <c:pt idx="1951">
                  <c:v>0.714285714285714</c:v>
                </c:pt>
                <c:pt idx="1952">
                  <c:v>0.888888888888889</c:v>
                </c:pt>
                <c:pt idx="1953">
                  <c:v>-1</c:v>
                </c:pt>
                <c:pt idx="1954">
                  <c:v>-0.6</c:v>
                </c:pt>
                <c:pt idx="1955">
                  <c:v>0.2</c:v>
                </c:pt>
                <c:pt idx="1956">
                  <c:v>0.555555555555556</c:v>
                </c:pt>
                <c:pt idx="1957">
                  <c:v>0.8</c:v>
                </c:pt>
                <c:pt idx="1958">
                  <c:v>1</c:v>
                </c:pt>
                <c:pt idx="1959">
                  <c:v>1</c:v>
                </c:pt>
                <c:pt idx="1960">
                  <c:v>-1</c:v>
                </c:pt>
                <c:pt idx="1961">
                  <c:v>-0.714285714285714</c:v>
                </c:pt>
                <c:pt idx="1962">
                  <c:v>-0.636363636363636</c:v>
                </c:pt>
                <c:pt idx="1963">
                  <c:v>-0.333333333333333</c:v>
                </c:pt>
                <c:pt idx="1964">
                  <c:v>-0.166666666666667</c:v>
                </c:pt>
                <c:pt idx="1965">
                  <c:v>0</c:v>
                </c:pt>
                <c:pt idx="1966">
                  <c:v>0.454545454545455</c:v>
                </c:pt>
                <c:pt idx="1967">
                  <c:v>0.5</c:v>
                </c:pt>
                <c:pt idx="1968">
                  <c:v>0.5</c:v>
                </c:pt>
                <c:pt idx="1969">
                  <c:v>-1</c:v>
                </c:pt>
                <c:pt idx="1970">
                  <c:v>-1</c:v>
                </c:pt>
                <c:pt idx="1971">
                  <c:v>-1</c:v>
                </c:pt>
                <c:pt idx="1972">
                  <c:v>-1</c:v>
                </c:pt>
                <c:pt idx="1973">
                  <c:v>-1</c:v>
                </c:pt>
                <c:pt idx="1974">
                  <c:v>-1</c:v>
                </c:pt>
                <c:pt idx="1975">
                  <c:v>-0.846153846153846</c:v>
                </c:pt>
                <c:pt idx="1976">
                  <c:v>-0.818181818181818</c:v>
                </c:pt>
                <c:pt idx="1977">
                  <c:v>-0.571428571428571</c:v>
                </c:pt>
                <c:pt idx="1978">
                  <c:v>-0.375</c:v>
                </c:pt>
                <c:pt idx="1979">
                  <c:v>-0.333333333333333</c:v>
                </c:pt>
                <c:pt idx="1980">
                  <c:v>-0.142857142857143</c:v>
                </c:pt>
                <c:pt idx="1981">
                  <c:v>0.4</c:v>
                </c:pt>
                <c:pt idx="1982">
                  <c:v>0.5</c:v>
                </c:pt>
                <c:pt idx="1983">
                  <c:v>0.833333333333333</c:v>
                </c:pt>
                <c:pt idx="1984">
                  <c:v>1</c:v>
                </c:pt>
                <c:pt idx="1985">
                  <c:v>-0.833333333333333</c:v>
                </c:pt>
                <c:pt idx="1986">
                  <c:v>-0.333333333333333</c:v>
                </c:pt>
                <c:pt idx="1987">
                  <c:v>-0.166666666666667</c:v>
                </c:pt>
                <c:pt idx="1988">
                  <c:v>-0.111111111111111</c:v>
                </c:pt>
                <c:pt idx="1989">
                  <c:v>0.6</c:v>
                </c:pt>
                <c:pt idx="1990">
                  <c:v>0.818181818181818</c:v>
                </c:pt>
                <c:pt idx="1991">
                  <c:v>0.857142857142857</c:v>
                </c:pt>
                <c:pt idx="1992">
                  <c:v>-1</c:v>
                </c:pt>
                <c:pt idx="1993">
                  <c:v>-1</c:v>
                </c:pt>
                <c:pt idx="1994">
                  <c:v>-1</c:v>
                </c:pt>
                <c:pt idx="1995">
                  <c:v>-1</c:v>
                </c:pt>
                <c:pt idx="1996">
                  <c:v>-1</c:v>
                </c:pt>
                <c:pt idx="1997">
                  <c:v>-0.6</c:v>
                </c:pt>
                <c:pt idx="1998">
                  <c:v>0.636363636363636</c:v>
                </c:pt>
                <c:pt idx="1999">
                  <c:v>-1</c:v>
                </c:pt>
                <c:pt idx="2000">
                  <c:v>-0.818181818181818</c:v>
                </c:pt>
                <c:pt idx="2001">
                  <c:v>0.333333333333333</c:v>
                </c:pt>
                <c:pt idx="2002">
                  <c:v>-1</c:v>
                </c:pt>
                <c:pt idx="2003">
                  <c:v>-1</c:v>
                </c:pt>
                <c:pt idx="2004">
                  <c:v>-0.0666666666666667</c:v>
                </c:pt>
                <c:pt idx="2005">
                  <c:v>0.0909090909090909</c:v>
                </c:pt>
                <c:pt idx="2006">
                  <c:v>0.142857142857143</c:v>
                </c:pt>
                <c:pt idx="2007">
                  <c:v>0.75</c:v>
                </c:pt>
                <c:pt idx="2008">
                  <c:v>0.428571428571429</c:v>
                </c:pt>
                <c:pt idx="2009">
                  <c:v>0.8</c:v>
                </c:pt>
                <c:pt idx="2010">
                  <c:v>-1</c:v>
                </c:pt>
                <c:pt idx="2011">
                  <c:v>-0.571428571428571</c:v>
                </c:pt>
                <c:pt idx="2012">
                  <c:v>0.6875</c:v>
                </c:pt>
                <c:pt idx="2013">
                  <c:v>0.8</c:v>
                </c:pt>
                <c:pt idx="2014">
                  <c:v>0.818181818181818</c:v>
                </c:pt>
                <c:pt idx="2015">
                  <c:v>1</c:v>
                </c:pt>
                <c:pt idx="2016">
                  <c:v>-1</c:v>
                </c:pt>
                <c:pt idx="2017">
                  <c:v>-1</c:v>
                </c:pt>
                <c:pt idx="2018">
                  <c:v>-0.909090909090909</c:v>
                </c:pt>
                <c:pt idx="2019">
                  <c:v>-0.909090909090909</c:v>
                </c:pt>
                <c:pt idx="2020">
                  <c:v>-0.75</c:v>
                </c:pt>
                <c:pt idx="2021">
                  <c:v>-0.666666666666667</c:v>
                </c:pt>
                <c:pt idx="2022">
                  <c:v>-0.636363636363636</c:v>
                </c:pt>
                <c:pt idx="2023">
                  <c:v>-0.5</c:v>
                </c:pt>
                <c:pt idx="2024">
                  <c:v>-0.333333333333333</c:v>
                </c:pt>
                <c:pt idx="2025">
                  <c:v>-0.0909090909090909</c:v>
                </c:pt>
                <c:pt idx="2026">
                  <c:v>0.0833333333333333</c:v>
                </c:pt>
                <c:pt idx="2027">
                  <c:v>0.2</c:v>
                </c:pt>
                <c:pt idx="2028">
                  <c:v>0.25</c:v>
                </c:pt>
                <c:pt idx="2029">
                  <c:v>0.545454545454545</c:v>
                </c:pt>
                <c:pt idx="2030">
                  <c:v>-0.272727272727273</c:v>
                </c:pt>
                <c:pt idx="2031">
                  <c:v>1</c:v>
                </c:pt>
                <c:pt idx="2032">
                  <c:v>-1</c:v>
                </c:pt>
                <c:pt idx="2033">
                  <c:v>-0.6</c:v>
                </c:pt>
                <c:pt idx="2034">
                  <c:v>-0.5</c:v>
                </c:pt>
                <c:pt idx="2035">
                  <c:v>1</c:v>
                </c:pt>
                <c:pt idx="2036">
                  <c:v>-1</c:v>
                </c:pt>
                <c:pt idx="2037">
                  <c:v>-0.428571428571429</c:v>
                </c:pt>
                <c:pt idx="2038">
                  <c:v>0.75</c:v>
                </c:pt>
                <c:pt idx="2039">
                  <c:v>0.5</c:v>
                </c:pt>
                <c:pt idx="2040">
                  <c:v>-0.5</c:v>
                </c:pt>
                <c:pt idx="2041">
                  <c:v>0.714285714285714</c:v>
                </c:pt>
                <c:pt idx="2042">
                  <c:v>-1</c:v>
                </c:pt>
                <c:pt idx="2043">
                  <c:v>-1</c:v>
                </c:pt>
                <c:pt idx="2044">
                  <c:v>-0.636363636363636</c:v>
                </c:pt>
                <c:pt idx="2045">
                  <c:v>0.142857142857143</c:v>
                </c:pt>
                <c:pt idx="2046">
                  <c:v>1</c:v>
                </c:pt>
                <c:pt idx="2047">
                  <c:v>-0.846153846153846</c:v>
                </c:pt>
                <c:pt idx="2048">
                  <c:v>-0.714285714285714</c:v>
                </c:pt>
                <c:pt idx="2049">
                  <c:v>0.636363636363636</c:v>
                </c:pt>
                <c:pt idx="2050">
                  <c:v>0.714285714285714</c:v>
                </c:pt>
                <c:pt idx="2051">
                  <c:v>-1</c:v>
                </c:pt>
                <c:pt idx="2052">
                  <c:v>0</c:v>
                </c:pt>
                <c:pt idx="2053">
                  <c:v>-1</c:v>
                </c:pt>
                <c:pt idx="2054">
                  <c:v>-1</c:v>
                </c:pt>
                <c:pt idx="2055">
                  <c:v>-1</c:v>
                </c:pt>
                <c:pt idx="2056">
                  <c:v>-0.8</c:v>
                </c:pt>
                <c:pt idx="2057">
                  <c:v>-0.666666666666667</c:v>
                </c:pt>
                <c:pt idx="2058">
                  <c:v>-0.454545454545455</c:v>
                </c:pt>
                <c:pt idx="2059">
                  <c:v>-0.333333333333333</c:v>
                </c:pt>
                <c:pt idx="2060">
                  <c:v>-0.25</c:v>
                </c:pt>
                <c:pt idx="2061">
                  <c:v>-0.2</c:v>
                </c:pt>
                <c:pt idx="2062">
                  <c:v>0</c:v>
                </c:pt>
                <c:pt idx="2063">
                  <c:v>1</c:v>
                </c:pt>
                <c:pt idx="2064">
                  <c:v>-1</c:v>
                </c:pt>
                <c:pt idx="2065">
                  <c:v>-0.333333333333333</c:v>
                </c:pt>
                <c:pt idx="2066">
                  <c:v>1</c:v>
                </c:pt>
                <c:pt idx="2067">
                  <c:v>1</c:v>
                </c:pt>
                <c:pt idx="2068">
                  <c:v>-1</c:v>
                </c:pt>
                <c:pt idx="2069">
                  <c:v>-1</c:v>
                </c:pt>
                <c:pt idx="2070">
                  <c:v>0</c:v>
                </c:pt>
                <c:pt idx="2071">
                  <c:v>0.5</c:v>
                </c:pt>
                <c:pt idx="2072">
                  <c:v>-0.428571428571429</c:v>
                </c:pt>
                <c:pt idx="2073">
                  <c:v>0</c:v>
                </c:pt>
                <c:pt idx="2074">
                  <c:v>-0.8</c:v>
                </c:pt>
                <c:pt idx="2075">
                  <c:v>1</c:v>
                </c:pt>
                <c:pt idx="2076">
                  <c:v>1</c:v>
                </c:pt>
                <c:pt idx="2077">
                  <c:v>0.75</c:v>
                </c:pt>
                <c:pt idx="2078">
                  <c:v>-1</c:v>
                </c:pt>
                <c:pt idx="2079">
                  <c:v>1</c:v>
                </c:pt>
                <c:pt idx="2080">
                  <c:v>-0.2</c:v>
                </c:pt>
                <c:pt idx="2081">
                  <c:v>-0.142857142857143</c:v>
                </c:pt>
                <c:pt idx="2082">
                  <c:v>-1</c:v>
                </c:pt>
                <c:pt idx="2083">
                  <c:v>0.666666666666667</c:v>
                </c:pt>
                <c:pt idx="2084">
                  <c:v>-0.818181818181818</c:v>
                </c:pt>
                <c:pt idx="2085">
                  <c:v>-0.4</c:v>
                </c:pt>
                <c:pt idx="2086">
                  <c:v>-1</c:v>
                </c:pt>
                <c:pt idx="2087">
                  <c:v>-1</c:v>
                </c:pt>
                <c:pt idx="2088">
                  <c:v>-1</c:v>
                </c:pt>
                <c:pt idx="2089">
                  <c:v>-0.428571428571429</c:v>
                </c:pt>
                <c:pt idx="2090">
                  <c:v>0.454545454545455</c:v>
                </c:pt>
                <c:pt idx="2091">
                  <c:v>-0.75</c:v>
                </c:pt>
                <c:pt idx="2092">
                  <c:v>-0.333333333333333</c:v>
                </c:pt>
                <c:pt idx="2093">
                  <c:v>-0.142857142857143</c:v>
                </c:pt>
                <c:pt idx="2094">
                  <c:v>-1</c:v>
                </c:pt>
                <c:pt idx="2095">
                  <c:v>-1</c:v>
                </c:pt>
                <c:pt idx="2096">
                  <c:v>1</c:v>
                </c:pt>
                <c:pt idx="2097">
                  <c:v>-1</c:v>
                </c:pt>
                <c:pt idx="2098">
                  <c:v>-0.2</c:v>
                </c:pt>
                <c:pt idx="2099">
                  <c:v>-1</c:v>
                </c:pt>
                <c:pt idx="2100">
                  <c:v>1</c:v>
                </c:pt>
                <c:pt idx="2101">
                  <c:v>-1</c:v>
                </c:pt>
                <c:pt idx="2102">
                  <c:v>-1</c:v>
                </c:pt>
                <c:pt idx="2103">
                  <c:v>0.75</c:v>
                </c:pt>
                <c:pt idx="2104">
                  <c:v>-1</c:v>
                </c:pt>
                <c:pt idx="2105">
                  <c:v>-1</c:v>
                </c:pt>
                <c:pt idx="2106">
                  <c:v>-0.714285714285714</c:v>
                </c:pt>
                <c:pt idx="2107">
                  <c:v>-1</c:v>
                </c:pt>
                <c:pt idx="2108">
                  <c:v>0.5</c:v>
                </c:pt>
                <c:pt idx="2109">
                  <c:v>-1</c:v>
                </c:pt>
                <c:pt idx="2110">
                  <c:v>-1</c:v>
                </c:pt>
                <c:pt idx="2111">
                  <c:v>-0.714285714285714</c:v>
                </c:pt>
                <c:pt idx="2112">
                  <c:v>-0.666666666666667</c:v>
                </c:pt>
                <c:pt idx="2113">
                  <c:v>-0.5</c:v>
                </c:pt>
                <c:pt idx="2114">
                  <c:v>-0.333333333333333</c:v>
                </c:pt>
                <c:pt idx="2115">
                  <c:v>-0.2</c:v>
                </c:pt>
                <c:pt idx="2116">
                  <c:v>0</c:v>
                </c:pt>
                <c:pt idx="2117">
                  <c:v>0</c:v>
                </c:pt>
                <c:pt idx="2118">
                  <c:v>-0.333333333333333</c:v>
                </c:pt>
                <c:pt idx="2119">
                  <c:v>0.142857142857143</c:v>
                </c:pt>
                <c:pt idx="2120">
                  <c:v>0.428571428571429</c:v>
                </c:pt>
                <c:pt idx="2121">
                  <c:v>0.454545454545455</c:v>
                </c:pt>
                <c:pt idx="2122">
                  <c:v>0.5</c:v>
                </c:pt>
                <c:pt idx="2123">
                  <c:v>0.5</c:v>
                </c:pt>
                <c:pt idx="2124">
                  <c:v>0.6</c:v>
                </c:pt>
                <c:pt idx="2125">
                  <c:v>0.6</c:v>
                </c:pt>
                <c:pt idx="2126">
                  <c:v>0.6</c:v>
                </c:pt>
                <c:pt idx="2127">
                  <c:v>0.6</c:v>
                </c:pt>
                <c:pt idx="2128">
                  <c:v>0.6</c:v>
                </c:pt>
                <c:pt idx="2129">
                  <c:v>0.714285714285714</c:v>
                </c:pt>
                <c:pt idx="2130">
                  <c:v>0.714285714285714</c:v>
                </c:pt>
                <c:pt idx="2131">
                  <c:v>0.714285714285714</c:v>
                </c:pt>
                <c:pt idx="2132">
                  <c:v>0.714285714285714</c:v>
                </c:pt>
                <c:pt idx="2133">
                  <c:v>0.75</c:v>
                </c:pt>
                <c:pt idx="2134">
                  <c:v>0.8</c:v>
                </c:pt>
                <c:pt idx="2135">
                  <c:v>0.833333333333333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0.5</c:v>
                </c:pt>
                <c:pt idx="2151">
                  <c:v>-1</c:v>
                </c:pt>
                <c:pt idx="2152">
                  <c:v>1</c:v>
                </c:pt>
                <c:pt idx="2153">
                  <c:v>-1</c:v>
                </c:pt>
                <c:pt idx="2154">
                  <c:v>1</c:v>
                </c:pt>
                <c:pt idx="2155">
                  <c:v>0</c:v>
                </c:pt>
                <c:pt idx="2156">
                  <c:v>0</c:v>
                </c:pt>
                <c:pt idx="2157">
                  <c:v>-0.5</c:v>
                </c:pt>
                <c:pt idx="2158">
                  <c:v>-1</c:v>
                </c:pt>
                <c:pt idx="2159">
                  <c:v>0</c:v>
                </c:pt>
                <c:pt idx="2160">
                  <c:v>-1</c:v>
                </c:pt>
                <c:pt idx="2161">
                  <c:v>-0.333333333333333</c:v>
                </c:pt>
                <c:pt idx="2162">
                  <c:v>0</c:v>
                </c:pt>
                <c:pt idx="2163">
                  <c:v>-1</c:v>
                </c:pt>
                <c:pt idx="2164">
                  <c:v>-1</c:v>
                </c:pt>
                <c:pt idx="2165">
                  <c:v>-1</c:v>
                </c:pt>
                <c:pt idx="2166">
                  <c:v>-1</c:v>
                </c:pt>
                <c:pt idx="2167">
                  <c:v>-1</c:v>
                </c:pt>
                <c:pt idx="2168">
                  <c:v>-1</c:v>
                </c:pt>
                <c:pt idx="2169">
                  <c:v>-1</c:v>
                </c:pt>
                <c:pt idx="2170">
                  <c:v>0</c:v>
                </c:pt>
                <c:pt idx="2171">
                  <c:v>0</c:v>
                </c:pt>
                <c:pt idx="2172">
                  <c:v>-0.333333333333333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1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</c:numCache>
            </c:numRef>
          </c:yVal>
          <c:smooth val="0"/>
        </c:ser>
        <c:axId val="11185213"/>
        <c:axId val="10567932"/>
      </c:scatterChart>
      <c:valAx>
        <c:axId val="11185213"/>
        <c:scaling>
          <c:orientation val="minMax"/>
          <c:max val="50"/>
        </c:scaling>
        <c:delete val="0"/>
        <c:axPos val="b"/>
        <c:majorGridlines>
          <c:spPr>
            <a:ln w="9360">
              <a:solidFill>
                <a:srgbClr val="595959">
                  <a:alpha val="75000"/>
                </a:srgbClr>
              </a:solidFill>
              <a:round/>
            </a:ln>
          </c:spPr>
        </c:majorGridlines>
        <c:minorGridlines>
          <c:spPr>
            <a:ln w="9360">
              <a:solidFill>
                <a:srgbClr val="595959">
                  <a:alpha val="25000"/>
                </a:srgbClr>
              </a:solidFill>
              <a:round/>
            </a:ln>
          </c:spPr>
        </c:minorGridlines>
        <c:title>
          <c:tx>
            <c:rich>
              <a:bodyPr rot="0"/>
              <a:lstStyle/>
              <a:p>
                <a:pPr>
                  <a:defRPr b="1" lang="fr-FR" sz="900" spc="-1" strike="noStrike">
                    <a:solidFill>
                      <a:srgbClr val="bfbfbf"/>
                    </a:solidFill>
                    <a:latin typeface="Calibri"/>
                  </a:defRPr>
                </a:pPr>
                <a:r>
                  <a:rPr b="1" lang="fr-FR" sz="900" spc="-1" strike="noStrike">
                    <a:solidFill>
                      <a:srgbClr val="bfbfbf"/>
                    </a:solidFill>
                    <a:latin typeface="Calibri"/>
                  </a:rPr>
                  <a:t>Nombre de demandes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bfbfbf"/>
                </a:solidFill>
                <a:latin typeface="Calibri"/>
              </a:defRPr>
            </a:pPr>
          </a:p>
        </c:txPr>
        <c:crossAx val="10567932"/>
        <c:crosses val="autoZero"/>
        <c:crossBetween val="midCat"/>
        <c:majorUnit val="10"/>
        <c:minorUnit val="5"/>
      </c:valAx>
      <c:valAx>
        <c:axId val="10567932"/>
        <c:scaling>
          <c:orientation val="minMax"/>
          <c:max val="1"/>
          <c:min val="-1"/>
        </c:scaling>
        <c:delete val="0"/>
        <c:axPos val="l"/>
        <c:majorGridlines>
          <c:spPr>
            <a:ln w="9360">
              <a:solidFill>
                <a:srgbClr val="595959">
                  <a:alpha val="75000"/>
                </a:srgbClr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lang="fr-FR" sz="900" spc="-1" strike="noStrike">
                    <a:solidFill>
                      <a:srgbClr val="bfbfbf"/>
                    </a:solidFill>
                    <a:latin typeface="Calibri"/>
                  </a:defRPr>
                </a:pPr>
                <a:r>
                  <a:rPr b="1" lang="fr-FR" sz="900" spc="-1" strike="noStrike">
                    <a:solidFill>
                      <a:srgbClr val="bfbfbf"/>
                    </a:solidFill>
                    <a:latin typeface="Calibri"/>
                  </a:rPr>
                  <a:t>Taux de bonnes réponses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08080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bfbfbf"/>
                </a:solidFill>
                <a:latin typeface="Calibri"/>
              </a:defRPr>
            </a:pPr>
          </a:p>
        </c:txPr>
        <c:crossAx val="11185213"/>
        <c:crosses val="autoZero"/>
        <c:crossBetween val="midCat"/>
        <c:majorUnit val="0.5"/>
      </c:valAx>
      <c:spPr>
        <a:noFill/>
        <a:ln w="0">
          <a:noFill/>
        </a:ln>
      </c:spPr>
    </c:plotArea>
    <c:plotVisOnly val="1"/>
    <c:dispBlanksAs val="gap"/>
  </c:chart>
  <c:spPr>
    <a:solidFill>
      <a:srgbClr val="404040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000000"/>
                </a:solidFill>
                <a:latin typeface="Arial"/>
              </a:defRPr>
            </a:pPr>
            <a:r>
              <a:rPr b="0" lang="en-US" sz="1400" spc="-1" strike="noStrike">
                <a:solidFill>
                  <a:srgbClr val="000000"/>
                </a:solidFill>
                <a:latin typeface="Arial"/>
              </a:rPr>
              <a:t>Evolution du nombre de mots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version_wörter!$B$16</c:f>
              <c:strCache>
                <c:ptCount val="1"/>
                <c:pt idx="0">
                  <c:v>Nombre de mots</c:v>
                </c:pt>
              </c:strCache>
            </c:strRef>
          </c:tx>
          <c:spPr>
            <a:solidFill>
              <a:srgbClr val="000000"/>
            </a:solidFill>
            <a:ln cap="rnd" w="3240">
              <a:solidFill>
                <a:srgbClr val="000000"/>
              </a:solidFill>
              <a:round/>
            </a:ln>
          </c:spPr>
          <c:marker>
            <c:symbol val="circle"/>
            <c:size val="7"/>
            <c:spPr>
              <a:solidFill>
                <a:srgbClr val="0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version_wörter!$A$17:$A$20</c:f>
              <c:numCache>
                <c:formatCode>m/d/yyyy</c:formatCode>
                <c:ptCount val="4"/>
                <c:pt idx="0">
                  <c:v>44976</c:v>
                </c:pt>
                <c:pt idx="1">
                  <c:v>44983</c:v>
                </c:pt>
                <c:pt idx="2">
                  <c:v>45009</c:v>
                </c:pt>
                <c:pt idx="3">
                  <c:v>45213</c:v>
                </c:pt>
              </c:numCache>
            </c:numRef>
          </c:xVal>
          <c:yVal>
            <c:numRef>
              <c:f>version_wörter!$B$17:$B$20</c:f>
              <c:numCache>
                <c:formatCode>General</c:formatCode>
                <c:ptCount val="4"/>
                <c:pt idx="0">
                  <c:v>2319</c:v>
                </c:pt>
                <c:pt idx="1">
                  <c:v>2188</c:v>
                </c:pt>
                <c:pt idx="2">
                  <c:v>2251</c:v>
                </c:pt>
                <c:pt idx="3">
                  <c:v>2258</c:v>
                </c:pt>
              </c:numCache>
            </c:numRef>
          </c:yVal>
          <c:smooth val="0"/>
        </c:ser>
        <c:axId val="12281873"/>
        <c:axId val="17411618"/>
      </c:scatterChart>
      <c:valAx>
        <c:axId val="12281873"/>
        <c:scaling>
          <c:orientation val="minMax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m/d/yyyy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7411618"/>
        <c:crossBetween val="midCat"/>
      </c:valAx>
      <c:valAx>
        <c:axId val="1741161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2281873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000000"/>
                </a:solidFill>
                <a:latin typeface="Arial"/>
              </a:defRPr>
            </a:pPr>
            <a:r>
              <a:rPr b="0" lang="en-US" sz="1400" spc="-1" strike="noStrike">
                <a:solidFill>
                  <a:srgbClr val="000000"/>
                </a:solidFill>
                <a:latin typeface="Arial"/>
              </a:rPr>
              <a:t>Evolution du nombre de mots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theme_wörter!$B$16</c:f>
              <c:strCache>
                <c:ptCount val="1"/>
                <c:pt idx="0">
                  <c:v>Nombre de mots</c:v>
                </c:pt>
              </c:strCache>
            </c:strRef>
          </c:tx>
          <c:spPr>
            <a:solidFill>
              <a:srgbClr val="000000"/>
            </a:solidFill>
            <a:ln cap="rnd" w="3240">
              <a:solidFill>
                <a:srgbClr val="000000"/>
              </a:solidFill>
              <a:round/>
            </a:ln>
          </c:spPr>
          <c:marker>
            <c:symbol val="circle"/>
            <c:size val="7"/>
            <c:spPr>
              <a:solidFill>
                <a:srgbClr val="0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theme_wörter!$A$17:$A$18</c:f>
              <c:numCache>
                <c:formatCode>m/d/yyyy</c:formatCode>
                <c:ptCount val="2"/>
                <c:pt idx="0">
                  <c:v>44976</c:v>
                </c:pt>
                <c:pt idx="1">
                  <c:v>44983</c:v>
                </c:pt>
              </c:numCache>
            </c:numRef>
          </c:xVal>
          <c:yVal>
            <c:numRef>
              <c:f>theme_wörter!$B$17:$B$18</c:f>
              <c:numCache>
                <c:formatCode>General</c:formatCode>
                <c:ptCount val="2"/>
                <c:pt idx="0">
                  <c:v>0</c:v>
                </c:pt>
                <c:pt idx="1">
                  <c:v>88</c:v>
                </c:pt>
              </c:numCache>
            </c:numRef>
          </c:yVal>
          <c:smooth val="0"/>
        </c:ser>
        <c:axId val="39862606"/>
        <c:axId val="10870487"/>
      </c:scatterChart>
      <c:valAx>
        <c:axId val="39862606"/>
        <c:scaling>
          <c:orientation val="minMax"/>
        </c:scaling>
        <c:delete val="1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m/d/yyyy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0870487"/>
        <c:crossBetween val="midCat"/>
      </c:valAx>
      <c:valAx>
        <c:axId val="1087048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39862606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jpe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image" Target="../media/image4.gif"/><Relationship Id="rId7" Type="http://schemas.openxmlformats.org/officeDocument/2006/relationships/image" Target="../media/image5.png"/><Relationship Id="rId8" Type="http://schemas.openxmlformats.org/officeDocument/2006/relationships/image" Target="../media/image6.png"/><Relationship Id="rId9" Type="http://schemas.openxmlformats.org/officeDocument/2006/relationships/image" Target="../media/image7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278280</xdr:colOff>
      <xdr:row>0</xdr:row>
      <xdr:rowOff>124920</xdr:rowOff>
    </xdr:from>
    <xdr:to>
      <xdr:col>10</xdr:col>
      <xdr:colOff>383760</xdr:colOff>
      <xdr:row>9</xdr:row>
      <xdr:rowOff>495360</xdr:rowOff>
    </xdr:to>
    <xdr:graphicFrame>
      <xdr:nvGraphicFramePr>
        <xdr:cNvPr id="0" name="Graphique 1"/>
        <xdr:cNvGraphicFramePr/>
      </xdr:nvGraphicFramePr>
      <xdr:xfrm>
        <a:off x="2705760" y="124920"/>
        <a:ext cx="7342200" cy="53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529560</xdr:colOff>
      <xdr:row>0</xdr:row>
      <xdr:rowOff>124920</xdr:rowOff>
    </xdr:from>
    <xdr:to>
      <xdr:col>17</xdr:col>
      <xdr:colOff>635040</xdr:colOff>
      <xdr:row>9</xdr:row>
      <xdr:rowOff>495360</xdr:rowOff>
    </xdr:to>
    <xdr:graphicFrame>
      <xdr:nvGraphicFramePr>
        <xdr:cNvPr id="1" name="Graphique 4"/>
        <xdr:cNvGraphicFramePr/>
      </xdr:nvGraphicFramePr>
      <xdr:xfrm>
        <a:off x="10193760" y="124920"/>
        <a:ext cx="7341840" cy="53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119160</xdr:colOff>
      <xdr:row>0</xdr:row>
      <xdr:rowOff>145800</xdr:rowOff>
    </xdr:from>
    <xdr:to>
      <xdr:col>1</xdr:col>
      <xdr:colOff>41400</xdr:colOff>
      <xdr:row>1</xdr:row>
      <xdr:rowOff>283680</xdr:rowOff>
    </xdr:to>
    <xdr:pic>
      <xdr:nvPicPr>
        <xdr:cNvPr id="2" name="Image 5" descr="Die EU: Steckbrief Deutschland - Wissen - SWR Kindernetz"/>
        <xdr:cNvPicPr/>
      </xdr:nvPicPr>
      <xdr:blipFill>
        <a:blip r:embed="rId3"/>
        <a:stretch/>
      </xdr:blipFill>
      <xdr:spPr>
        <a:xfrm>
          <a:off x="119160" y="145800"/>
          <a:ext cx="956160" cy="51876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2</xdr:row>
      <xdr:rowOff>82080</xdr:rowOff>
    </xdr:from>
    <xdr:to>
      <xdr:col>1</xdr:col>
      <xdr:colOff>41400</xdr:colOff>
      <xdr:row>3</xdr:row>
      <xdr:rowOff>324720</xdr:rowOff>
    </xdr:to>
    <xdr:pic>
      <xdr:nvPicPr>
        <xdr:cNvPr id="3" name="Image 6" descr="Flag of Austria - Flagge von Österreich - NationalFlags.shop - your Flag  webshop"/>
        <xdr:cNvPicPr/>
      </xdr:nvPicPr>
      <xdr:blipFill>
        <a:blip r:embed="rId4"/>
        <a:stretch/>
      </xdr:blipFill>
      <xdr:spPr>
        <a:xfrm>
          <a:off x="119160" y="844200"/>
          <a:ext cx="956160" cy="62352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3</xdr:row>
      <xdr:rowOff>497160</xdr:rowOff>
    </xdr:from>
    <xdr:to>
      <xdr:col>0</xdr:col>
      <xdr:colOff>730800</xdr:colOff>
      <xdr:row>4</xdr:row>
      <xdr:rowOff>464760</xdr:rowOff>
    </xdr:to>
    <xdr:pic>
      <xdr:nvPicPr>
        <xdr:cNvPr id="4" name="Image 7" descr=""/>
        <xdr:cNvPicPr/>
      </xdr:nvPicPr>
      <xdr:blipFill>
        <a:blip r:embed="rId5"/>
        <a:stretch/>
      </xdr:blipFill>
      <xdr:spPr>
        <a:xfrm>
          <a:off x="119160" y="1640160"/>
          <a:ext cx="611640" cy="6152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4</xdr:row>
      <xdr:rowOff>633240</xdr:rowOff>
    </xdr:from>
    <xdr:to>
      <xdr:col>1</xdr:col>
      <xdr:colOff>41400</xdr:colOff>
      <xdr:row>5</xdr:row>
      <xdr:rowOff>554400</xdr:rowOff>
    </xdr:to>
    <xdr:pic>
      <xdr:nvPicPr>
        <xdr:cNvPr id="5" name="Image 8" descr="Liechtenstein"/>
        <xdr:cNvPicPr/>
      </xdr:nvPicPr>
      <xdr:blipFill>
        <a:blip r:embed="rId6"/>
        <a:stretch/>
      </xdr:blipFill>
      <xdr:spPr>
        <a:xfrm>
          <a:off x="119160" y="2423880"/>
          <a:ext cx="956160" cy="5688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7</xdr:row>
      <xdr:rowOff>158400</xdr:rowOff>
    </xdr:from>
    <xdr:to>
      <xdr:col>1</xdr:col>
      <xdr:colOff>41400</xdr:colOff>
      <xdr:row>8</xdr:row>
      <xdr:rowOff>322920</xdr:rowOff>
    </xdr:to>
    <xdr:pic>
      <xdr:nvPicPr>
        <xdr:cNvPr id="6" name="Image 9" descr="Drapeau de la Belgique — Wikipédia"/>
        <xdr:cNvPicPr/>
      </xdr:nvPicPr>
      <xdr:blipFill>
        <a:blip r:embed="rId7"/>
        <a:stretch/>
      </xdr:blipFill>
      <xdr:spPr>
        <a:xfrm>
          <a:off x="119160" y="3892320"/>
          <a:ext cx="956160" cy="81216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6</xdr:row>
      <xdr:rowOff>71280</xdr:rowOff>
    </xdr:from>
    <xdr:to>
      <xdr:col>1</xdr:col>
      <xdr:colOff>41400</xdr:colOff>
      <xdr:row>6</xdr:row>
      <xdr:rowOff>626400</xdr:rowOff>
    </xdr:to>
    <xdr:pic>
      <xdr:nvPicPr>
        <xdr:cNvPr id="7" name="Image 10" descr="Drapeau du Luxembourg — Wikipédia"/>
        <xdr:cNvPicPr/>
      </xdr:nvPicPr>
      <xdr:blipFill>
        <a:blip r:embed="rId8"/>
        <a:stretch/>
      </xdr:blipFill>
      <xdr:spPr>
        <a:xfrm>
          <a:off x="119160" y="3157560"/>
          <a:ext cx="956160" cy="55512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119160</xdr:colOff>
      <xdr:row>8</xdr:row>
      <xdr:rowOff>495360</xdr:rowOff>
    </xdr:from>
    <xdr:to>
      <xdr:col>1</xdr:col>
      <xdr:colOff>41400</xdr:colOff>
      <xdr:row>9</xdr:row>
      <xdr:rowOff>473400</xdr:rowOff>
    </xdr:to>
    <xdr:pic>
      <xdr:nvPicPr>
        <xdr:cNvPr id="8" name="Image 11" descr="Drapeau de la Namibie — Wikipédia"/>
        <xdr:cNvPicPr/>
      </xdr:nvPicPr>
      <xdr:blipFill>
        <a:blip r:embed="rId9"/>
        <a:stretch/>
      </xdr:blipFill>
      <xdr:spPr>
        <a:xfrm>
          <a:off x="119160" y="4876920"/>
          <a:ext cx="956160" cy="62568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Interro !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Interro !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175320</xdr:colOff>
      <xdr:row>0</xdr:row>
      <xdr:rowOff>87480</xdr:rowOff>
    </xdr:from>
    <xdr:to>
      <xdr:col>12</xdr:col>
      <xdr:colOff>150480</xdr:colOff>
      <xdr:row>16</xdr:row>
      <xdr:rowOff>23760</xdr:rowOff>
    </xdr:to>
    <xdr:graphicFrame>
      <xdr:nvGraphicFramePr>
        <xdr:cNvPr id="9" name="Graphique 1"/>
        <xdr:cNvGraphicFramePr/>
      </xdr:nvGraphicFramePr>
      <xdr:xfrm>
        <a:off x="175320" y="87480"/>
        <a:ext cx="13226400" cy="3898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0</xdr:colOff>
      <xdr:row>1</xdr:row>
      <xdr:rowOff>0</xdr:rowOff>
    </xdr:from>
    <xdr:to>
      <xdr:col>14</xdr:col>
      <xdr:colOff>104400</xdr:colOff>
      <xdr:row>18</xdr:row>
      <xdr:rowOff>131400</xdr:rowOff>
    </xdr:to>
    <xdr:graphicFrame>
      <xdr:nvGraphicFramePr>
        <xdr:cNvPr id="10" name="Graphique 1"/>
        <xdr:cNvGraphicFramePr/>
      </xdr:nvGraphicFramePr>
      <xdr:xfrm>
        <a:off x="399240" y="247680"/>
        <a:ext cx="5297040" cy="4341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twoCell">
    <xdr:from>
      <xdr:col>4</xdr:col>
      <xdr:colOff>357840</xdr:colOff>
      <xdr:row>1</xdr:row>
      <xdr:rowOff>137880</xdr:rowOff>
    </xdr:from>
    <xdr:to>
      <xdr:col>13</xdr:col>
      <xdr:colOff>292680</xdr:colOff>
      <xdr:row>5</xdr:row>
      <xdr:rowOff>120240</xdr:rowOff>
    </xdr:to>
    <xdr:cxnSp>
      <xdr:nvCxnSpPr>
        <xdr:cNvPr id="11" name="Connecteur droit 2"/>
        <xdr:cNvCxnSpPr/>
      </xdr:nvCxnSpPr>
      <xdr:spPr>
        <a:xfrm flipH="1" flipV="1">
          <a:off x="1955520" y="385560"/>
          <a:ext cx="3529800" cy="973440"/>
        </a:xfrm>
        <a:prstGeom prst="straightConnector1">
          <a:avLst/>
        </a:prstGeom>
        <a:ln w="6350">
          <a:solidFill>
            <a:srgbClr val="ed7d31"/>
          </a:solidFill>
          <a:miter/>
        </a:ln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53280</xdr:colOff>
      <xdr:row>0</xdr:row>
      <xdr:rowOff>57240</xdr:rowOff>
    </xdr:from>
    <xdr:to>
      <xdr:col>8</xdr:col>
      <xdr:colOff>280800</xdr:colOff>
      <xdr:row>14</xdr:row>
      <xdr:rowOff>136440</xdr:rowOff>
    </xdr:to>
    <xdr:graphicFrame>
      <xdr:nvGraphicFramePr>
        <xdr:cNvPr id="12" name="Graphique 1"/>
        <xdr:cNvGraphicFramePr/>
      </xdr:nvGraphicFramePr>
      <xdr:xfrm>
        <a:off x="53280" y="57240"/>
        <a:ext cx="7402320" cy="3546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53280</xdr:colOff>
      <xdr:row>0</xdr:row>
      <xdr:rowOff>57240</xdr:rowOff>
    </xdr:from>
    <xdr:to>
      <xdr:col>8</xdr:col>
      <xdr:colOff>280800</xdr:colOff>
      <xdr:row>14</xdr:row>
      <xdr:rowOff>136440</xdr:rowOff>
    </xdr:to>
    <xdr:graphicFrame>
      <xdr:nvGraphicFramePr>
        <xdr:cNvPr id="13" name="Graphique 1"/>
        <xdr:cNvGraphicFramePr/>
      </xdr:nvGraphicFramePr>
      <xdr:xfrm>
        <a:off x="53280" y="57240"/>
        <a:ext cx="7402320" cy="3546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1:F2270" headerRowCount="1" totalsRowCount="0" totalsRowShown="0">
  <autoFilter ref="A1:F2270"/>
  <tableColumns count="6">
    <tableColumn id="1" name="deutsch"/>
    <tableColumn id="2" name="français"/>
    <tableColumn id="3" name="Date"/>
    <tableColumn id="4" name="Nb"/>
    <tableColumn id="5" name="Score"/>
    <tableColumn id="6" name="Taux"/>
  </tableColumns>
</table>
</file>

<file path=xl/tables/table2.xml><?xml version="1.0" encoding="utf-8"?>
<table xmlns="http://schemas.openxmlformats.org/spreadsheetml/2006/main" id="2" name="Tableau3" displayName="Tableau3" ref="A18:B271" headerRowCount="1" totalsRowCount="0" totalsRowShown="0">
  <autoFilter ref="A18:B271"/>
  <tableColumns count="2">
    <tableColumn id="1" name="Corrections"/>
    <tableColumn id="2" name="Cumul"/>
  </tableColumns>
</table>
</file>

<file path=xl/tables/table3.xml><?xml version="1.0" encoding="utf-8"?>
<table xmlns="http://schemas.openxmlformats.org/spreadsheetml/2006/main" id="3" name="Tableau4" displayName="Tableau4" ref="A16:B20" headerRowCount="1" totalsRowCount="0" totalsRowShown="0">
  <autoFilter ref="A16:B20"/>
  <tableColumns count="2">
    <tableColumn id="1" name="Date"/>
    <tableColumn id="2" name="Nombre de mots"/>
  </tableColumns>
</table>
</file>

<file path=xl/tables/table4.xml><?xml version="1.0" encoding="utf-8"?>
<table xmlns="http://schemas.openxmlformats.org/spreadsheetml/2006/main" id="4" name="Tableau46" displayName="Tableau46" ref="A16:B18" headerRowCount="1" totalsRowCount="0" totalsRowShown="0">
  <autoFilter ref="A16:B18"/>
  <tableColumns count="2">
    <tableColumn id="1" name="Date"/>
    <tableColumn id="2" name="Nombre de mots"/>
  </tableColumns>
</table>
</file>

<file path=xl/tables/table5.xml><?xml version="1.0" encoding="utf-8"?>
<table xmlns="http://schemas.openxmlformats.org/spreadsheetml/2006/main" id="5" name="Tableau5" displayName="Tableau5" ref="A1:F135" headerRowCount="1" totalsRowCount="0" totalsRowShown="0">
  <autoFilter ref="A1:F135"/>
  <tableColumns count="6">
    <tableColumn id="1" name="Deutsch"/>
    <tableColumn id="2" name="Français"/>
    <tableColumn id="3" name="Date"/>
    <tableColumn id="4" name="Nb"/>
    <tableColumn id="5" name="Score"/>
    <tableColumn id="6" name="Taux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3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270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249" activePane="bottomLeft" state="frozen"/>
      <selection pane="topLeft" activeCell="A1" activeCellId="0" sqref="A1"/>
      <selection pane="bottomLeft" activeCell="A2271" activeCellId="0" sqref="A2271"/>
    </sheetView>
  </sheetViews>
  <sheetFormatPr defaultColWidth="11.4453125" defaultRowHeight="30" zeroHeight="false" outlineLevelRow="0" outlineLevelCol="0"/>
  <cols>
    <col collapsed="false" customWidth="true" hidden="false" outlineLevel="0" max="1" min="1" style="1" width="60.67"/>
    <col collapsed="false" customWidth="true" hidden="false" outlineLevel="0" max="2" min="2" style="2" width="60.67"/>
    <col collapsed="false" customWidth="true" hidden="false" outlineLevel="0" max="3" min="3" style="1" width="12.67"/>
    <col collapsed="false" customWidth="true" hidden="false" outlineLevel="0" max="5" min="4" style="3" width="12.67"/>
    <col collapsed="false" customWidth="true" hidden="false" outlineLevel="0" max="6" min="6" style="1" width="12.67"/>
    <col collapsed="false" customWidth="false" hidden="false" outlineLevel="0" max="16384" min="7" style="1" width="11.44"/>
  </cols>
  <sheetData>
    <row r="1" customFormat="false" ht="19.5" hidden="false" customHeight="true" outlineLevel="0" collapsed="false">
      <c r="A1" s="4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customFormat="false" ht="30" hidden="false" customHeight="true" outlineLevel="0" collapsed="false">
      <c r="A2" s="1" t="s">
        <v>6</v>
      </c>
      <c r="B2" s="2" t="s">
        <v>7</v>
      </c>
      <c r="C2" s="6" t="n">
        <v>41310</v>
      </c>
      <c r="D2" s="3" t="n">
        <v>9</v>
      </c>
      <c r="E2" s="3" t="n">
        <v>7</v>
      </c>
      <c r="F2" s="7" t="n">
        <f aca="false">IFERROR(Tableau1[[#This Row],[Score]]/Tableau1[[#This Row],[Nb]],0)</f>
        <v>0.777777777777778</v>
      </c>
    </row>
    <row r="3" customFormat="false" ht="30" hidden="false" customHeight="true" outlineLevel="0" collapsed="false">
      <c r="A3" s="1" t="s">
        <v>8</v>
      </c>
      <c r="B3" s="2" t="s">
        <v>9</v>
      </c>
      <c r="C3" s="6" t="n">
        <v>41310</v>
      </c>
      <c r="D3" s="3" t="n">
        <v>5</v>
      </c>
      <c r="E3" s="3" t="n">
        <v>5</v>
      </c>
      <c r="F3" s="7" t="n">
        <f aca="false">IFERROR(Tableau1[[#This Row],[Score]]/Tableau1[[#This Row],[Nb]],0)</f>
        <v>1</v>
      </c>
    </row>
    <row r="4" customFormat="false" ht="30" hidden="false" customHeight="true" outlineLevel="0" collapsed="false">
      <c r="A4" s="1" t="s">
        <v>10</v>
      </c>
      <c r="B4" s="2" t="s">
        <v>11</v>
      </c>
      <c r="C4" s="6" t="n">
        <v>41310</v>
      </c>
      <c r="D4" s="3" t="n">
        <v>6</v>
      </c>
      <c r="E4" s="3" t="n">
        <v>6</v>
      </c>
      <c r="F4" s="7" t="n">
        <f aca="false">IFERROR(Tableau1[[#This Row],[Score]]/Tableau1[[#This Row],[Nb]],0)</f>
        <v>1</v>
      </c>
    </row>
    <row r="5" customFormat="false" ht="30" hidden="false" customHeight="true" outlineLevel="0" collapsed="false">
      <c r="A5" s="1" t="s">
        <v>12</v>
      </c>
      <c r="B5" s="2" t="s">
        <v>13</v>
      </c>
      <c r="C5" s="6" t="n">
        <v>41310</v>
      </c>
      <c r="D5" s="3" t="n">
        <v>8</v>
      </c>
      <c r="E5" s="3" t="n">
        <v>8</v>
      </c>
      <c r="F5" s="7" t="n">
        <f aca="false">IFERROR(Tableau1[[#This Row],[Score]]/Tableau1[[#This Row],[Nb]],0)</f>
        <v>1</v>
      </c>
    </row>
    <row r="6" customFormat="false" ht="30" hidden="false" customHeight="true" outlineLevel="0" collapsed="false">
      <c r="A6" s="1" t="s">
        <v>14</v>
      </c>
      <c r="B6" s="2" t="s">
        <v>15</v>
      </c>
      <c r="C6" s="6" t="n">
        <v>41310</v>
      </c>
      <c r="D6" s="3" t="n">
        <v>9</v>
      </c>
      <c r="E6" s="3" t="n">
        <v>9</v>
      </c>
      <c r="F6" s="7" t="n">
        <f aca="false">IFERROR(Tableau1[[#This Row],[Score]]/Tableau1[[#This Row],[Nb]],0)</f>
        <v>1</v>
      </c>
    </row>
    <row r="7" customFormat="false" ht="30" hidden="false" customHeight="true" outlineLevel="0" collapsed="false">
      <c r="A7" s="8" t="s">
        <v>16</v>
      </c>
      <c r="B7" s="9" t="s">
        <v>17</v>
      </c>
      <c r="C7" s="6" t="n">
        <v>41310</v>
      </c>
      <c r="D7" s="3" t="n">
        <v>13</v>
      </c>
      <c r="E7" s="3" t="n">
        <v>13</v>
      </c>
      <c r="F7" s="7" t="n">
        <f aca="false">IFERROR(Tableau1[[#This Row],[Score]]/Tableau1[[#This Row],[Nb]],0)</f>
        <v>1</v>
      </c>
    </row>
    <row r="8" customFormat="false" ht="30" hidden="false" customHeight="true" outlineLevel="0" collapsed="false">
      <c r="A8" s="1" t="s">
        <v>18</v>
      </c>
      <c r="B8" s="2" t="s">
        <v>19</v>
      </c>
      <c r="C8" s="6" t="n">
        <v>41325</v>
      </c>
      <c r="D8" s="3" t="n">
        <v>7</v>
      </c>
      <c r="E8" s="3" t="n">
        <v>-7</v>
      </c>
      <c r="F8" s="7" t="n">
        <f aca="false">IFERROR(Tableau1[[#This Row],[Score]]/Tableau1[[#This Row],[Nb]],0)</f>
        <v>-1</v>
      </c>
    </row>
    <row r="9" customFormat="false" ht="30" hidden="false" customHeight="true" outlineLevel="0" collapsed="false">
      <c r="A9" s="1" t="s">
        <v>20</v>
      </c>
      <c r="B9" s="2" t="s">
        <v>21</v>
      </c>
      <c r="C9" s="6" t="n">
        <v>41325</v>
      </c>
      <c r="D9" s="3" t="n">
        <v>10</v>
      </c>
      <c r="E9" s="3" t="n">
        <v>-10</v>
      </c>
      <c r="F9" s="7" t="n">
        <f aca="false">IFERROR(Tableau1[[#This Row],[Score]]/Tableau1[[#This Row],[Nb]],0)</f>
        <v>-1</v>
      </c>
    </row>
    <row r="10" customFormat="false" ht="30" hidden="false" customHeight="true" outlineLevel="0" collapsed="false">
      <c r="A10" s="1" t="s">
        <v>22</v>
      </c>
      <c r="B10" s="2" t="s">
        <v>23</v>
      </c>
      <c r="C10" s="6" t="n">
        <v>41325</v>
      </c>
      <c r="D10" s="3" t="n">
        <v>10</v>
      </c>
      <c r="E10" s="3" t="n">
        <v>-10</v>
      </c>
      <c r="F10" s="7" t="n">
        <f aca="false">IFERROR(Tableau1[[#This Row],[Score]]/Tableau1[[#This Row],[Nb]],0)</f>
        <v>-1</v>
      </c>
    </row>
    <row r="11" customFormat="false" ht="30" hidden="false" customHeight="true" outlineLevel="0" collapsed="false">
      <c r="A11" s="1" t="s">
        <v>24</v>
      </c>
      <c r="B11" s="2" t="s">
        <v>25</v>
      </c>
      <c r="C11" s="6" t="n">
        <v>41325</v>
      </c>
      <c r="D11" s="3" t="n">
        <v>8</v>
      </c>
      <c r="E11" s="3" t="n">
        <v>-8</v>
      </c>
      <c r="F11" s="7" t="n">
        <f aca="false">IFERROR(Tableau1[[#This Row],[Score]]/Tableau1[[#This Row],[Nb]],0)</f>
        <v>-1</v>
      </c>
    </row>
    <row r="12" customFormat="false" ht="30" hidden="false" customHeight="true" outlineLevel="0" collapsed="false">
      <c r="A12" s="1" t="s">
        <v>26</v>
      </c>
      <c r="B12" s="2" t="s">
        <v>27</v>
      </c>
      <c r="C12" s="6" t="n">
        <v>41325</v>
      </c>
      <c r="D12" s="3" t="n">
        <v>9</v>
      </c>
      <c r="E12" s="3" t="n">
        <v>-9</v>
      </c>
      <c r="F12" s="7" t="n">
        <f aca="false">IFERROR(Tableau1[[#This Row],[Score]]/Tableau1[[#This Row],[Nb]],0)</f>
        <v>-1</v>
      </c>
    </row>
    <row r="13" customFormat="false" ht="30" hidden="false" customHeight="true" outlineLevel="0" collapsed="false">
      <c r="A13" s="1" t="s">
        <v>28</v>
      </c>
      <c r="B13" s="2" t="s">
        <v>29</v>
      </c>
      <c r="C13" s="6" t="n">
        <v>41325</v>
      </c>
      <c r="D13" s="3" t="n">
        <v>1</v>
      </c>
      <c r="E13" s="3" t="n">
        <v>-1</v>
      </c>
      <c r="F13" s="7" t="n">
        <f aca="false">IFERROR(Tableau1[[#This Row],[Score]]/Tableau1[[#This Row],[Nb]],0)</f>
        <v>-1</v>
      </c>
    </row>
    <row r="14" customFormat="false" ht="30" hidden="false" customHeight="true" outlineLevel="0" collapsed="false">
      <c r="A14" s="1" t="s">
        <v>30</v>
      </c>
      <c r="B14" s="2" t="s">
        <v>31</v>
      </c>
      <c r="C14" s="6" t="n">
        <v>41325</v>
      </c>
      <c r="D14" s="3" t="n">
        <v>17</v>
      </c>
      <c r="E14" s="3" t="n">
        <v>-17</v>
      </c>
      <c r="F14" s="7" t="n">
        <f aca="false">IFERROR(Tableau1[[#This Row],[Score]]/Tableau1[[#This Row],[Nb]],0)</f>
        <v>-1</v>
      </c>
    </row>
    <row r="15" customFormat="false" ht="30" hidden="false" customHeight="true" outlineLevel="0" collapsed="false">
      <c r="A15" s="1" t="s">
        <v>32</v>
      </c>
      <c r="B15" s="2" t="s">
        <v>33</v>
      </c>
      <c r="C15" s="6" t="n">
        <v>41325</v>
      </c>
      <c r="D15" s="3" t="n">
        <v>16</v>
      </c>
      <c r="E15" s="3" t="n">
        <v>-14</v>
      </c>
      <c r="F15" s="7" t="n">
        <f aca="false">IFERROR(Tableau1[[#This Row],[Score]]/Tableau1[[#This Row],[Nb]],0)</f>
        <v>-0.875</v>
      </c>
    </row>
    <row r="16" customFormat="false" ht="30" hidden="false" customHeight="true" outlineLevel="0" collapsed="false">
      <c r="A16" s="1" t="s">
        <v>34</v>
      </c>
      <c r="B16" s="2" t="s">
        <v>35</v>
      </c>
      <c r="C16" s="6" t="n">
        <v>41325</v>
      </c>
      <c r="D16" s="3" t="n">
        <v>16</v>
      </c>
      <c r="E16" s="3" t="n">
        <v>-14</v>
      </c>
      <c r="F16" s="7" t="n">
        <f aca="false">IFERROR(Tableau1[[#This Row],[Score]]/Tableau1[[#This Row],[Nb]],0)</f>
        <v>-0.875</v>
      </c>
    </row>
    <row r="17" customFormat="false" ht="30" hidden="false" customHeight="true" outlineLevel="0" collapsed="false">
      <c r="A17" s="1" t="s">
        <v>36</v>
      </c>
      <c r="B17" s="2" t="s">
        <v>37</v>
      </c>
      <c r="C17" s="6" t="n">
        <v>41325</v>
      </c>
      <c r="D17" s="3" t="n">
        <v>13</v>
      </c>
      <c r="E17" s="3" t="n">
        <v>-11</v>
      </c>
      <c r="F17" s="7" t="n">
        <f aca="false">IFERROR(Tableau1[[#This Row],[Score]]/Tableau1[[#This Row],[Nb]],0)</f>
        <v>-0.846153846153846</v>
      </c>
    </row>
    <row r="18" customFormat="false" ht="30" hidden="false" customHeight="true" outlineLevel="0" collapsed="false">
      <c r="A18" s="1" t="s">
        <v>38</v>
      </c>
      <c r="B18" s="2" t="s">
        <v>39</v>
      </c>
      <c r="C18" s="6" t="n">
        <v>41325</v>
      </c>
      <c r="D18" s="3" t="n">
        <v>8</v>
      </c>
      <c r="E18" s="3" t="n">
        <v>-6</v>
      </c>
      <c r="F18" s="7" t="n">
        <f aca="false">IFERROR(Tableau1[[#This Row],[Score]]/Tableau1[[#This Row],[Nb]],0)</f>
        <v>-0.75</v>
      </c>
    </row>
    <row r="19" customFormat="false" ht="30" hidden="false" customHeight="true" outlineLevel="0" collapsed="false">
      <c r="A19" s="1" t="s">
        <v>40</v>
      </c>
      <c r="B19" s="2" t="s">
        <v>41</v>
      </c>
      <c r="C19" s="6" t="n">
        <v>41325</v>
      </c>
      <c r="D19" s="3" t="n">
        <v>9</v>
      </c>
      <c r="E19" s="3" t="n">
        <v>-7</v>
      </c>
      <c r="F19" s="7" t="n">
        <f aca="false">IFERROR(Tableau1[[#This Row],[Score]]/Tableau1[[#This Row],[Nb]],0)</f>
        <v>-0.777777777777778</v>
      </c>
    </row>
    <row r="20" customFormat="false" ht="30" hidden="false" customHeight="true" outlineLevel="0" collapsed="false">
      <c r="A20" s="1" t="s">
        <v>42</v>
      </c>
      <c r="B20" s="2" t="s">
        <v>43</v>
      </c>
      <c r="C20" s="6" t="n">
        <v>41325</v>
      </c>
      <c r="D20" s="3" t="n">
        <v>10</v>
      </c>
      <c r="E20" s="3" t="n">
        <v>-6</v>
      </c>
      <c r="F20" s="7" t="n">
        <f aca="false">IFERROR(Tableau1[[#This Row],[Score]]/Tableau1[[#This Row],[Nb]],0)</f>
        <v>-0.6</v>
      </c>
    </row>
    <row r="21" customFormat="false" ht="30" hidden="false" customHeight="true" outlineLevel="0" collapsed="false">
      <c r="A21" s="1" t="s">
        <v>44</v>
      </c>
      <c r="B21" s="2" t="s">
        <v>45</v>
      </c>
      <c r="C21" s="6" t="n">
        <v>41325</v>
      </c>
      <c r="D21" s="3" t="n">
        <v>8</v>
      </c>
      <c r="E21" s="3" t="n">
        <v>-4</v>
      </c>
      <c r="F21" s="7" t="n">
        <f aca="false">IFERROR(Tableau1[[#This Row],[Score]]/Tableau1[[#This Row],[Nb]],0)</f>
        <v>-0.5</v>
      </c>
    </row>
    <row r="22" customFormat="false" ht="30" hidden="false" customHeight="true" outlineLevel="0" collapsed="false">
      <c r="A22" s="1" t="s">
        <v>46</v>
      </c>
      <c r="B22" s="2" t="s">
        <v>47</v>
      </c>
      <c r="C22" s="6" t="n">
        <v>41325</v>
      </c>
      <c r="D22" s="3" t="n">
        <v>4</v>
      </c>
      <c r="E22" s="3" t="n">
        <v>-2</v>
      </c>
      <c r="F22" s="7" t="n">
        <f aca="false">IFERROR(Tableau1[[#This Row],[Score]]/Tableau1[[#This Row],[Nb]],0)</f>
        <v>-0.5</v>
      </c>
    </row>
    <row r="23" customFormat="false" ht="30" hidden="false" customHeight="true" outlineLevel="0" collapsed="false">
      <c r="A23" s="1" t="s">
        <v>48</v>
      </c>
      <c r="B23" s="2" t="s">
        <v>49</v>
      </c>
      <c r="C23" s="6" t="n">
        <v>41325</v>
      </c>
      <c r="D23" s="3" t="n">
        <v>17</v>
      </c>
      <c r="E23" s="3" t="n">
        <v>-5</v>
      </c>
      <c r="F23" s="7" t="n">
        <f aca="false">IFERROR(Tableau1[[#This Row],[Score]]/Tableau1[[#This Row],[Nb]],0)</f>
        <v>-0.294117647058824</v>
      </c>
    </row>
    <row r="24" customFormat="false" ht="30" hidden="false" customHeight="true" outlineLevel="0" collapsed="false">
      <c r="A24" s="1" t="s">
        <v>50</v>
      </c>
      <c r="B24" s="2" t="s">
        <v>51</v>
      </c>
      <c r="C24" s="6" t="n">
        <v>41325</v>
      </c>
      <c r="D24" s="3" t="n">
        <v>5</v>
      </c>
      <c r="E24" s="3" t="n">
        <v>-1</v>
      </c>
      <c r="F24" s="7" t="n">
        <f aca="false">IFERROR(Tableau1[[#This Row],[Score]]/Tableau1[[#This Row],[Nb]],0)</f>
        <v>-0.2</v>
      </c>
    </row>
    <row r="25" customFormat="false" ht="30" hidden="false" customHeight="true" outlineLevel="0" collapsed="false">
      <c r="A25" s="1" t="s">
        <v>52</v>
      </c>
      <c r="B25" s="2" t="s">
        <v>53</v>
      </c>
      <c r="C25" s="6" t="n">
        <v>41325</v>
      </c>
      <c r="D25" s="3" t="n">
        <v>16</v>
      </c>
      <c r="E25" s="3" t="n">
        <v>-2</v>
      </c>
      <c r="F25" s="7" t="n">
        <f aca="false">IFERROR(Tableau1[[#This Row],[Score]]/Tableau1[[#This Row],[Nb]],0)</f>
        <v>-0.125</v>
      </c>
    </row>
    <row r="26" customFormat="false" ht="30" hidden="false" customHeight="true" outlineLevel="0" collapsed="false">
      <c r="A26" s="1" t="s">
        <v>54</v>
      </c>
      <c r="B26" s="2" t="s">
        <v>55</v>
      </c>
      <c r="C26" s="6" t="n">
        <v>41325</v>
      </c>
      <c r="D26" s="3" t="n">
        <v>8</v>
      </c>
      <c r="E26" s="3" t="n">
        <v>0</v>
      </c>
      <c r="F26" s="7" t="n">
        <f aca="false">IFERROR(Tableau1[[#This Row],[Score]]/Tableau1[[#This Row],[Nb]],0)</f>
        <v>0</v>
      </c>
    </row>
    <row r="27" customFormat="false" ht="30" hidden="false" customHeight="true" outlineLevel="0" collapsed="false">
      <c r="A27" s="1" t="s">
        <v>56</v>
      </c>
      <c r="B27" s="2" t="s">
        <v>57</v>
      </c>
      <c r="C27" s="6" t="n">
        <v>41325</v>
      </c>
      <c r="D27" s="3" t="n">
        <v>8</v>
      </c>
      <c r="E27" s="3" t="n">
        <v>0</v>
      </c>
      <c r="F27" s="7" t="n">
        <f aca="false">IFERROR(Tableau1[[#This Row],[Score]]/Tableau1[[#This Row],[Nb]],0)</f>
        <v>0</v>
      </c>
    </row>
    <row r="28" customFormat="false" ht="30" hidden="false" customHeight="true" outlineLevel="0" collapsed="false">
      <c r="A28" s="1" t="s">
        <v>58</v>
      </c>
      <c r="B28" s="2" t="s">
        <v>59</v>
      </c>
      <c r="C28" s="6" t="n">
        <v>41325</v>
      </c>
      <c r="D28" s="3" t="n">
        <v>9</v>
      </c>
      <c r="E28" s="3" t="n">
        <v>1</v>
      </c>
      <c r="F28" s="7" t="n">
        <f aca="false">IFERROR(Tableau1[[#This Row],[Score]]/Tableau1[[#This Row],[Nb]],0)</f>
        <v>0.111111111111111</v>
      </c>
    </row>
    <row r="29" customFormat="false" ht="30" hidden="false" customHeight="true" outlineLevel="0" collapsed="false">
      <c r="A29" s="1" t="s">
        <v>60</v>
      </c>
      <c r="B29" s="2" t="s">
        <v>61</v>
      </c>
      <c r="C29" s="6" t="n">
        <v>41325</v>
      </c>
      <c r="D29" s="3" t="n">
        <v>8</v>
      </c>
      <c r="E29" s="3" t="n">
        <v>2</v>
      </c>
      <c r="F29" s="7" t="n">
        <f aca="false">IFERROR(Tableau1[[#This Row],[Score]]/Tableau1[[#This Row],[Nb]],0)</f>
        <v>0.25</v>
      </c>
    </row>
    <row r="30" customFormat="false" ht="30" hidden="false" customHeight="true" outlineLevel="0" collapsed="false">
      <c r="A30" s="1" t="s">
        <v>62</v>
      </c>
      <c r="B30" s="2" t="s">
        <v>63</v>
      </c>
      <c r="C30" s="6" t="n">
        <v>41325</v>
      </c>
      <c r="D30" s="3" t="n">
        <v>12</v>
      </c>
      <c r="E30" s="3" t="n">
        <v>4</v>
      </c>
      <c r="F30" s="7" t="n">
        <f aca="false">IFERROR(Tableau1[[#This Row],[Score]]/Tableau1[[#This Row],[Nb]],0)</f>
        <v>0.333333333333333</v>
      </c>
    </row>
    <row r="31" customFormat="false" ht="30" hidden="false" customHeight="true" outlineLevel="0" collapsed="false">
      <c r="A31" s="1" t="s">
        <v>64</v>
      </c>
      <c r="B31" s="2" t="s">
        <v>65</v>
      </c>
      <c r="C31" s="6" t="n">
        <v>41325</v>
      </c>
      <c r="D31" s="3" t="n">
        <v>9</v>
      </c>
      <c r="E31" s="3" t="n">
        <v>3</v>
      </c>
      <c r="F31" s="7" t="n">
        <f aca="false">IFERROR(Tableau1[[#This Row],[Score]]/Tableau1[[#This Row],[Nb]],0)</f>
        <v>0.333333333333333</v>
      </c>
    </row>
    <row r="32" customFormat="false" ht="30" hidden="false" customHeight="true" outlineLevel="0" collapsed="false">
      <c r="A32" s="1" t="s">
        <v>66</v>
      </c>
      <c r="B32" s="2" t="s">
        <v>67</v>
      </c>
      <c r="C32" s="6" t="n">
        <v>41325</v>
      </c>
      <c r="D32" s="3" t="n">
        <v>15</v>
      </c>
      <c r="E32" s="3" t="n">
        <v>5</v>
      </c>
      <c r="F32" s="7" t="n">
        <f aca="false">IFERROR(Tableau1[[#This Row],[Score]]/Tableau1[[#This Row],[Nb]],0)</f>
        <v>0.333333333333333</v>
      </c>
    </row>
    <row r="33" customFormat="false" ht="30" hidden="false" customHeight="true" outlineLevel="0" collapsed="false">
      <c r="A33" s="1" t="s">
        <v>68</v>
      </c>
      <c r="B33" s="2" t="s">
        <v>69</v>
      </c>
      <c r="C33" s="6" t="n">
        <v>41325</v>
      </c>
      <c r="D33" s="3" t="n">
        <v>4</v>
      </c>
      <c r="E33" s="3" t="n">
        <v>2</v>
      </c>
      <c r="F33" s="7" t="n">
        <f aca="false">IFERROR(Tableau1[[#This Row],[Score]]/Tableau1[[#This Row],[Nb]],0)</f>
        <v>0.5</v>
      </c>
    </row>
    <row r="34" customFormat="false" ht="30" hidden="false" customHeight="true" outlineLevel="0" collapsed="false">
      <c r="A34" s="1" t="s">
        <v>70</v>
      </c>
      <c r="B34" s="2" t="s">
        <v>71</v>
      </c>
      <c r="C34" s="6" t="n">
        <v>41325</v>
      </c>
      <c r="D34" s="3" t="n">
        <v>5</v>
      </c>
      <c r="E34" s="3" t="n">
        <v>3</v>
      </c>
      <c r="F34" s="7" t="n">
        <f aca="false">IFERROR(Tableau1[[#This Row],[Score]]/Tableau1[[#This Row],[Nb]],0)</f>
        <v>0.6</v>
      </c>
    </row>
    <row r="35" customFormat="false" ht="30" hidden="false" customHeight="true" outlineLevel="0" collapsed="false">
      <c r="A35" s="1" t="s">
        <v>72</v>
      </c>
      <c r="B35" s="2" t="s">
        <v>73</v>
      </c>
      <c r="C35" s="6" t="n">
        <v>41325</v>
      </c>
      <c r="D35" s="3" t="n">
        <v>16</v>
      </c>
      <c r="E35" s="3" t="n">
        <v>10</v>
      </c>
      <c r="F35" s="7" t="n">
        <f aca="false">IFERROR(Tableau1[[#This Row],[Score]]/Tableau1[[#This Row],[Nb]],0)</f>
        <v>0.625</v>
      </c>
    </row>
    <row r="36" customFormat="false" ht="30" hidden="false" customHeight="true" outlineLevel="0" collapsed="false">
      <c r="A36" s="1" t="s">
        <v>74</v>
      </c>
      <c r="B36" s="2" t="s">
        <v>75</v>
      </c>
      <c r="C36" s="6" t="n">
        <v>41325</v>
      </c>
      <c r="D36" s="3" t="n">
        <v>11</v>
      </c>
      <c r="E36" s="3" t="n">
        <v>7</v>
      </c>
      <c r="F36" s="7" t="n">
        <f aca="false">IFERROR(Tableau1[[#This Row],[Score]]/Tableau1[[#This Row],[Nb]],0)</f>
        <v>0.636363636363636</v>
      </c>
    </row>
    <row r="37" customFormat="false" ht="30" hidden="false" customHeight="true" outlineLevel="0" collapsed="false">
      <c r="A37" s="1" t="s">
        <v>76</v>
      </c>
      <c r="B37" s="2" t="s">
        <v>77</v>
      </c>
      <c r="C37" s="6" t="n">
        <v>41325</v>
      </c>
      <c r="D37" s="3" t="n">
        <v>12</v>
      </c>
      <c r="E37" s="3" t="n">
        <v>8</v>
      </c>
      <c r="F37" s="7" t="n">
        <f aca="false">IFERROR(Tableau1[[#This Row],[Score]]/Tableau1[[#This Row],[Nb]],0)</f>
        <v>0.666666666666667</v>
      </c>
    </row>
    <row r="38" customFormat="false" ht="30" hidden="false" customHeight="true" outlineLevel="0" collapsed="false">
      <c r="A38" s="1" t="s">
        <v>78</v>
      </c>
      <c r="B38" s="2" t="s">
        <v>79</v>
      </c>
      <c r="C38" s="6" t="n">
        <v>41325</v>
      </c>
      <c r="D38" s="3" t="n">
        <v>6</v>
      </c>
      <c r="E38" s="3" t="n">
        <v>4</v>
      </c>
      <c r="F38" s="7" t="n">
        <f aca="false">IFERROR(Tableau1[[#This Row],[Score]]/Tableau1[[#This Row],[Nb]],0)</f>
        <v>0.666666666666667</v>
      </c>
    </row>
    <row r="39" customFormat="false" ht="30" hidden="false" customHeight="true" outlineLevel="0" collapsed="false">
      <c r="A39" s="1" t="s">
        <v>80</v>
      </c>
      <c r="B39" s="2" t="s">
        <v>81</v>
      </c>
      <c r="C39" s="6" t="n">
        <v>41325</v>
      </c>
      <c r="D39" s="3" t="n">
        <v>12</v>
      </c>
      <c r="E39" s="3" t="n">
        <v>8</v>
      </c>
      <c r="F39" s="7" t="n">
        <f aca="false">IFERROR(Tableau1[[#This Row],[Score]]/Tableau1[[#This Row],[Nb]],0)</f>
        <v>0.666666666666667</v>
      </c>
    </row>
    <row r="40" customFormat="false" ht="30" hidden="false" customHeight="true" outlineLevel="0" collapsed="false">
      <c r="A40" s="1" t="s">
        <v>82</v>
      </c>
      <c r="B40" s="2" t="s">
        <v>83</v>
      </c>
      <c r="C40" s="6" t="n">
        <v>41325</v>
      </c>
      <c r="D40" s="3" t="n">
        <v>18</v>
      </c>
      <c r="E40" s="3" t="n">
        <v>12</v>
      </c>
      <c r="F40" s="7" t="n">
        <f aca="false">IFERROR(Tableau1[[#This Row],[Score]]/Tableau1[[#This Row],[Nb]],0)</f>
        <v>0.666666666666667</v>
      </c>
    </row>
    <row r="41" customFormat="false" ht="30" hidden="false" customHeight="true" outlineLevel="0" collapsed="false">
      <c r="A41" s="1" t="s">
        <v>84</v>
      </c>
      <c r="B41" s="2" t="s">
        <v>85</v>
      </c>
      <c r="C41" s="6" t="n">
        <v>41325</v>
      </c>
      <c r="D41" s="3" t="n">
        <v>7</v>
      </c>
      <c r="E41" s="3" t="n">
        <v>5</v>
      </c>
      <c r="F41" s="7" t="n">
        <f aca="false">IFERROR(Tableau1[[#This Row],[Score]]/Tableau1[[#This Row],[Nb]],0)</f>
        <v>0.714285714285714</v>
      </c>
    </row>
    <row r="42" customFormat="false" ht="30" hidden="false" customHeight="true" outlineLevel="0" collapsed="false">
      <c r="A42" s="1" t="s">
        <v>86</v>
      </c>
      <c r="B42" s="2" t="s">
        <v>87</v>
      </c>
      <c r="C42" s="6" t="n">
        <v>41325</v>
      </c>
      <c r="D42" s="3" t="n">
        <v>7</v>
      </c>
      <c r="E42" s="3" t="n">
        <v>5</v>
      </c>
      <c r="F42" s="7" t="n">
        <f aca="false">IFERROR(Tableau1[[#This Row],[Score]]/Tableau1[[#This Row],[Nb]],0)</f>
        <v>0.714285714285714</v>
      </c>
    </row>
    <row r="43" customFormat="false" ht="30" hidden="false" customHeight="true" outlineLevel="0" collapsed="false">
      <c r="A43" s="1" t="s">
        <v>88</v>
      </c>
      <c r="B43" s="2" t="s">
        <v>89</v>
      </c>
      <c r="C43" s="6" t="n">
        <v>41325</v>
      </c>
      <c r="D43" s="3" t="n">
        <v>15</v>
      </c>
      <c r="E43" s="3" t="n">
        <v>11</v>
      </c>
      <c r="F43" s="7" t="n">
        <f aca="false">IFERROR(Tableau1[[#This Row],[Score]]/Tableau1[[#This Row],[Nb]],0)</f>
        <v>0.733333333333333</v>
      </c>
    </row>
    <row r="44" customFormat="false" ht="30" hidden="false" customHeight="true" outlineLevel="0" collapsed="false">
      <c r="A44" s="1" t="s">
        <v>90</v>
      </c>
      <c r="B44" s="2" t="s">
        <v>91</v>
      </c>
      <c r="C44" s="6" t="n">
        <v>41325</v>
      </c>
      <c r="D44" s="3" t="n">
        <v>8</v>
      </c>
      <c r="E44" s="3" t="n">
        <v>6</v>
      </c>
      <c r="F44" s="7" t="n">
        <f aca="false">IFERROR(Tableau1[[#This Row],[Score]]/Tableau1[[#This Row],[Nb]],0)</f>
        <v>0.75</v>
      </c>
    </row>
    <row r="45" customFormat="false" ht="30" hidden="false" customHeight="true" outlineLevel="0" collapsed="false">
      <c r="A45" s="1" t="s">
        <v>92</v>
      </c>
      <c r="B45" s="2" t="s">
        <v>93</v>
      </c>
      <c r="C45" s="6" t="n">
        <v>41325</v>
      </c>
      <c r="D45" s="3" t="n">
        <v>8</v>
      </c>
      <c r="E45" s="3" t="n">
        <v>6</v>
      </c>
      <c r="F45" s="7" t="n">
        <f aca="false">IFERROR(Tableau1[[#This Row],[Score]]/Tableau1[[#This Row],[Nb]],0)</f>
        <v>0.75</v>
      </c>
    </row>
    <row r="46" customFormat="false" ht="30" hidden="false" customHeight="true" outlineLevel="0" collapsed="false">
      <c r="A46" s="1" t="s">
        <v>94</v>
      </c>
      <c r="B46" s="2" t="s">
        <v>95</v>
      </c>
      <c r="C46" s="6" t="n">
        <v>41325</v>
      </c>
      <c r="D46" s="3" t="n">
        <v>16</v>
      </c>
      <c r="E46" s="3" t="n">
        <v>12</v>
      </c>
      <c r="F46" s="7" t="n">
        <f aca="false">IFERROR(Tableau1[[#This Row],[Score]]/Tableau1[[#This Row],[Nb]],0)</f>
        <v>0.75</v>
      </c>
    </row>
    <row r="47" customFormat="false" ht="30" hidden="false" customHeight="true" outlineLevel="0" collapsed="false">
      <c r="A47" s="1" t="s">
        <v>96</v>
      </c>
      <c r="B47" s="2" t="s">
        <v>97</v>
      </c>
      <c r="C47" s="6" t="n">
        <v>41325</v>
      </c>
      <c r="D47" s="3" t="n">
        <v>9</v>
      </c>
      <c r="E47" s="3" t="n">
        <v>7</v>
      </c>
      <c r="F47" s="7" t="n">
        <f aca="false">IFERROR(Tableau1[[#This Row],[Score]]/Tableau1[[#This Row],[Nb]],0)</f>
        <v>0.777777777777778</v>
      </c>
    </row>
    <row r="48" customFormat="false" ht="30" hidden="false" customHeight="true" outlineLevel="0" collapsed="false">
      <c r="A48" s="1" t="s">
        <v>98</v>
      </c>
      <c r="B48" s="2" t="s">
        <v>99</v>
      </c>
      <c r="C48" s="6" t="n">
        <v>41325</v>
      </c>
      <c r="D48" s="3" t="n">
        <v>10</v>
      </c>
      <c r="E48" s="3" t="n">
        <v>8</v>
      </c>
      <c r="F48" s="7" t="n">
        <f aca="false">IFERROR(Tableau1[[#This Row],[Score]]/Tableau1[[#This Row],[Nb]],0)</f>
        <v>0.8</v>
      </c>
    </row>
    <row r="49" customFormat="false" ht="30" hidden="false" customHeight="true" outlineLevel="0" collapsed="false">
      <c r="A49" s="1" t="s">
        <v>100</v>
      </c>
      <c r="B49" s="2" t="s">
        <v>101</v>
      </c>
      <c r="C49" s="6" t="n">
        <v>41325</v>
      </c>
      <c r="D49" s="3" t="n">
        <v>12</v>
      </c>
      <c r="E49" s="3" t="n">
        <v>10</v>
      </c>
      <c r="F49" s="7" t="n">
        <f aca="false">IFERROR(Tableau1[[#This Row],[Score]]/Tableau1[[#This Row],[Nb]],0)</f>
        <v>0.833333333333333</v>
      </c>
    </row>
    <row r="50" customFormat="false" ht="30" hidden="false" customHeight="true" outlineLevel="0" collapsed="false">
      <c r="A50" s="1" t="s">
        <v>102</v>
      </c>
      <c r="B50" s="2" t="s">
        <v>103</v>
      </c>
      <c r="C50" s="6" t="n">
        <v>41325</v>
      </c>
      <c r="D50" s="3" t="n">
        <v>12</v>
      </c>
      <c r="E50" s="3" t="n">
        <v>10</v>
      </c>
      <c r="F50" s="7" t="n">
        <f aca="false">IFERROR(Tableau1[[#This Row],[Score]]/Tableau1[[#This Row],[Nb]],0)</f>
        <v>0.833333333333333</v>
      </c>
    </row>
    <row r="51" customFormat="false" ht="30" hidden="false" customHeight="true" outlineLevel="0" collapsed="false">
      <c r="A51" s="1" t="s">
        <v>104</v>
      </c>
      <c r="B51" s="2" t="s">
        <v>105</v>
      </c>
      <c r="C51" s="6" t="n">
        <v>41325</v>
      </c>
      <c r="D51" s="3" t="n">
        <v>16</v>
      </c>
      <c r="E51" s="3" t="n">
        <v>14</v>
      </c>
      <c r="F51" s="7" t="n">
        <f aca="false">IFERROR(Tableau1[[#This Row],[Score]]/Tableau1[[#This Row],[Nb]],0)</f>
        <v>0.875</v>
      </c>
    </row>
    <row r="52" customFormat="false" ht="30" hidden="false" customHeight="true" outlineLevel="0" collapsed="false">
      <c r="A52" s="1" t="s">
        <v>106</v>
      </c>
      <c r="B52" s="2" t="s">
        <v>107</v>
      </c>
      <c r="C52" s="6" t="n">
        <v>41325</v>
      </c>
      <c r="D52" s="3" t="n">
        <v>8</v>
      </c>
      <c r="E52" s="3" t="n">
        <v>8</v>
      </c>
      <c r="F52" s="7" t="n">
        <f aca="false">IFERROR(Tableau1[[#This Row],[Score]]/Tableau1[[#This Row],[Nb]],0)</f>
        <v>1</v>
      </c>
    </row>
    <row r="53" customFormat="false" ht="30" hidden="false" customHeight="true" outlineLevel="0" collapsed="false">
      <c r="A53" s="1" t="s">
        <v>108</v>
      </c>
      <c r="B53" s="2" t="s">
        <v>109</v>
      </c>
      <c r="C53" s="6" t="n">
        <v>41325</v>
      </c>
      <c r="D53" s="3" t="n">
        <v>4</v>
      </c>
      <c r="E53" s="3" t="n">
        <v>4</v>
      </c>
      <c r="F53" s="7" t="n">
        <f aca="false">IFERROR(Tableau1[[#This Row],[Score]]/Tableau1[[#This Row],[Nb]],0)</f>
        <v>1</v>
      </c>
    </row>
    <row r="54" customFormat="false" ht="30" hidden="false" customHeight="true" outlineLevel="0" collapsed="false">
      <c r="A54" s="1" t="s">
        <v>110</v>
      </c>
      <c r="B54" s="2" t="s">
        <v>111</v>
      </c>
      <c r="C54" s="6" t="n">
        <v>41325</v>
      </c>
      <c r="D54" s="3" t="n">
        <v>4</v>
      </c>
      <c r="E54" s="3" t="n">
        <v>4</v>
      </c>
      <c r="F54" s="7" t="n">
        <f aca="false">IFERROR(Tableau1[[#This Row],[Score]]/Tableau1[[#This Row],[Nb]],0)</f>
        <v>1</v>
      </c>
    </row>
    <row r="55" customFormat="false" ht="30" hidden="false" customHeight="true" outlineLevel="0" collapsed="false">
      <c r="A55" s="1" t="s">
        <v>112</v>
      </c>
      <c r="B55" s="2" t="s">
        <v>113</v>
      </c>
      <c r="C55" s="6" t="n">
        <v>41325</v>
      </c>
      <c r="D55" s="3" t="n">
        <v>5</v>
      </c>
      <c r="E55" s="3" t="n">
        <v>5</v>
      </c>
      <c r="F55" s="7" t="n">
        <f aca="false">IFERROR(Tableau1[[#This Row],[Score]]/Tableau1[[#This Row],[Nb]],0)</f>
        <v>1</v>
      </c>
    </row>
    <row r="56" customFormat="false" ht="30" hidden="false" customHeight="true" outlineLevel="0" collapsed="false">
      <c r="A56" s="1" t="s">
        <v>114</v>
      </c>
      <c r="B56" s="2" t="s">
        <v>115</v>
      </c>
      <c r="C56" s="6" t="n">
        <v>41325</v>
      </c>
      <c r="D56" s="3" t="n">
        <v>5</v>
      </c>
      <c r="E56" s="3" t="n">
        <v>5</v>
      </c>
      <c r="F56" s="7" t="n">
        <f aca="false">IFERROR(Tableau1[[#This Row],[Score]]/Tableau1[[#This Row],[Nb]],0)</f>
        <v>1</v>
      </c>
    </row>
    <row r="57" customFormat="false" ht="30" hidden="false" customHeight="true" outlineLevel="0" collapsed="false">
      <c r="A57" s="1" t="s">
        <v>116</v>
      </c>
      <c r="B57" s="2" t="s">
        <v>117</v>
      </c>
      <c r="C57" s="6" t="n">
        <v>41325</v>
      </c>
      <c r="D57" s="3" t="n">
        <v>6</v>
      </c>
      <c r="E57" s="3" t="n">
        <v>6</v>
      </c>
      <c r="F57" s="7" t="n">
        <f aca="false">IFERROR(Tableau1[[#This Row],[Score]]/Tableau1[[#This Row],[Nb]],0)</f>
        <v>1</v>
      </c>
    </row>
    <row r="58" customFormat="false" ht="30" hidden="false" customHeight="true" outlineLevel="0" collapsed="false">
      <c r="A58" s="1" t="s">
        <v>118</v>
      </c>
      <c r="B58" s="2" t="s">
        <v>119</v>
      </c>
      <c r="C58" s="6" t="n">
        <v>41325</v>
      </c>
      <c r="D58" s="3" t="n">
        <v>6</v>
      </c>
      <c r="E58" s="3" t="n">
        <v>6</v>
      </c>
      <c r="F58" s="7" t="n">
        <f aca="false">IFERROR(Tableau1[[#This Row],[Score]]/Tableau1[[#This Row],[Nb]],0)</f>
        <v>1</v>
      </c>
    </row>
    <row r="59" customFormat="false" ht="30" hidden="false" customHeight="true" outlineLevel="0" collapsed="false">
      <c r="A59" s="1" t="s">
        <v>120</v>
      </c>
      <c r="B59" s="2" t="s">
        <v>121</v>
      </c>
      <c r="C59" s="6" t="n">
        <v>41325</v>
      </c>
      <c r="D59" s="3" t="n">
        <v>6</v>
      </c>
      <c r="E59" s="3" t="n">
        <v>6</v>
      </c>
      <c r="F59" s="7" t="n">
        <f aca="false">IFERROR(Tableau1[[#This Row],[Score]]/Tableau1[[#This Row],[Nb]],0)</f>
        <v>1</v>
      </c>
    </row>
    <row r="60" customFormat="false" ht="30" hidden="false" customHeight="true" outlineLevel="0" collapsed="false">
      <c r="A60" s="1" t="s">
        <v>122</v>
      </c>
      <c r="B60" s="2" t="s">
        <v>123</v>
      </c>
      <c r="C60" s="6" t="n">
        <v>41325</v>
      </c>
      <c r="D60" s="3" t="n">
        <v>6</v>
      </c>
      <c r="E60" s="3" t="n">
        <v>6</v>
      </c>
      <c r="F60" s="7" t="n">
        <f aca="false">IFERROR(Tableau1[[#This Row],[Score]]/Tableau1[[#This Row],[Nb]],0)</f>
        <v>1</v>
      </c>
    </row>
    <row r="61" customFormat="false" ht="30" hidden="false" customHeight="true" outlineLevel="0" collapsed="false">
      <c r="A61" s="1" t="s">
        <v>124</v>
      </c>
      <c r="B61" s="2" t="s">
        <v>125</v>
      </c>
      <c r="C61" s="6" t="n">
        <v>41325</v>
      </c>
      <c r="D61" s="3" t="n">
        <v>8</v>
      </c>
      <c r="E61" s="3" t="n">
        <v>8</v>
      </c>
      <c r="F61" s="7" t="n">
        <f aca="false">IFERROR(Tableau1[[#This Row],[Score]]/Tableau1[[#This Row],[Nb]],0)</f>
        <v>1</v>
      </c>
    </row>
    <row r="62" customFormat="false" ht="30" hidden="false" customHeight="true" outlineLevel="0" collapsed="false">
      <c r="A62" s="1" t="s">
        <v>126</v>
      </c>
      <c r="B62" s="2" t="s">
        <v>127</v>
      </c>
      <c r="C62" s="6" t="n">
        <v>41325</v>
      </c>
      <c r="D62" s="3" t="n">
        <v>8</v>
      </c>
      <c r="E62" s="3" t="n">
        <v>8</v>
      </c>
      <c r="F62" s="7" t="n">
        <f aca="false">IFERROR(Tableau1[[#This Row],[Score]]/Tableau1[[#This Row],[Nb]],0)</f>
        <v>1</v>
      </c>
    </row>
    <row r="63" customFormat="false" ht="30" hidden="false" customHeight="true" outlineLevel="0" collapsed="false">
      <c r="A63" s="1" t="s">
        <v>128</v>
      </c>
      <c r="B63" s="2" t="s">
        <v>129</v>
      </c>
      <c r="C63" s="6" t="n">
        <v>41325</v>
      </c>
      <c r="D63" s="3" t="n">
        <v>9</v>
      </c>
      <c r="E63" s="3" t="n">
        <v>9</v>
      </c>
      <c r="F63" s="7" t="n">
        <f aca="false">IFERROR(Tableau1[[#This Row],[Score]]/Tableau1[[#This Row],[Nb]],0)</f>
        <v>1</v>
      </c>
    </row>
    <row r="64" customFormat="false" ht="30" hidden="false" customHeight="true" outlineLevel="0" collapsed="false">
      <c r="A64" s="1" t="s">
        <v>130</v>
      </c>
      <c r="B64" s="2" t="s">
        <v>131</v>
      </c>
      <c r="C64" s="6" t="n">
        <v>41325</v>
      </c>
      <c r="D64" s="3" t="n">
        <v>8</v>
      </c>
      <c r="E64" s="3" t="n">
        <v>8</v>
      </c>
      <c r="F64" s="7" t="n">
        <f aca="false">IFERROR(Tableau1[[#This Row],[Score]]/Tableau1[[#This Row],[Nb]],0)</f>
        <v>1</v>
      </c>
    </row>
    <row r="65" customFormat="false" ht="30" hidden="false" customHeight="true" outlineLevel="0" collapsed="false">
      <c r="A65" s="1" t="s">
        <v>132</v>
      </c>
      <c r="B65" s="2" t="s">
        <v>133</v>
      </c>
      <c r="C65" s="6" t="n">
        <v>41419</v>
      </c>
      <c r="D65" s="3" t="n">
        <v>7</v>
      </c>
      <c r="E65" s="3" t="n">
        <v>-7</v>
      </c>
      <c r="F65" s="7" t="n">
        <f aca="false">IFERROR(Tableau1[[#This Row],[Score]]/Tableau1[[#This Row],[Nb]],0)</f>
        <v>-1</v>
      </c>
    </row>
    <row r="66" customFormat="false" ht="30" hidden="false" customHeight="true" outlineLevel="0" collapsed="false">
      <c r="A66" s="1" t="s">
        <v>134</v>
      </c>
      <c r="B66" s="2" t="s">
        <v>135</v>
      </c>
      <c r="C66" s="6" t="n">
        <v>41419</v>
      </c>
      <c r="D66" s="3" t="n">
        <v>9</v>
      </c>
      <c r="E66" s="3" t="n">
        <v>-5</v>
      </c>
      <c r="F66" s="7" t="n">
        <f aca="false">IFERROR(Tableau1[[#This Row],[Score]]/Tableau1[[#This Row],[Nb]],0)</f>
        <v>-0.555555555555556</v>
      </c>
    </row>
    <row r="67" customFormat="false" ht="30" hidden="false" customHeight="true" outlineLevel="0" collapsed="false">
      <c r="A67" s="1" t="s">
        <v>136</v>
      </c>
      <c r="B67" s="2" t="s">
        <v>137</v>
      </c>
      <c r="C67" s="6" t="n">
        <v>41419</v>
      </c>
      <c r="D67" s="3" t="n">
        <v>8</v>
      </c>
      <c r="E67" s="3" t="n">
        <v>-2</v>
      </c>
      <c r="F67" s="7" t="n">
        <f aca="false">IFERROR(Tableau1[[#This Row],[Score]]/Tableau1[[#This Row],[Nb]],0)</f>
        <v>-0.25</v>
      </c>
    </row>
    <row r="68" customFormat="false" ht="30" hidden="false" customHeight="true" outlineLevel="0" collapsed="false">
      <c r="A68" s="1" t="s">
        <v>138</v>
      </c>
      <c r="B68" s="2" t="s">
        <v>139</v>
      </c>
      <c r="C68" s="6" t="n">
        <v>41419</v>
      </c>
      <c r="D68" s="3" t="n">
        <v>8</v>
      </c>
      <c r="E68" s="3" t="n">
        <v>0</v>
      </c>
      <c r="F68" s="7" t="n">
        <f aca="false">IFERROR(Tableau1[[#This Row],[Score]]/Tableau1[[#This Row],[Nb]],0)</f>
        <v>0</v>
      </c>
    </row>
    <row r="69" customFormat="false" ht="30" hidden="false" customHeight="true" outlineLevel="0" collapsed="false">
      <c r="A69" s="1" t="s">
        <v>140</v>
      </c>
      <c r="B69" s="2" t="s">
        <v>141</v>
      </c>
      <c r="C69" s="6" t="n">
        <v>41419</v>
      </c>
      <c r="D69" s="3" t="n">
        <v>9</v>
      </c>
      <c r="E69" s="3" t="n">
        <v>-1</v>
      </c>
      <c r="F69" s="7" t="n">
        <f aca="false">IFERROR(Tableau1[[#This Row],[Score]]/Tableau1[[#This Row],[Nb]],0)</f>
        <v>-0.111111111111111</v>
      </c>
    </row>
    <row r="70" customFormat="false" ht="30" hidden="false" customHeight="true" outlineLevel="0" collapsed="false">
      <c r="A70" s="1" t="s">
        <v>142</v>
      </c>
      <c r="B70" s="2" t="s">
        <v>143</v>
      </c>
      <c r="C70" s="6" t="n">
        <v>41419</v>
      </c>
      <c r="D70" s="3" t="n">
        <v>9</v>
      </c>
      <c r="E70" s="3" t="n">
        <v>-1</v>
      </c>
      <c r="F70" s="7" t="n">
        <f aca="false">IFERROR(Tableau1[[#This Row],[Score]]/Tableau1[[#This Row],[Nb]],0)</f>
        <v>-0.111111111111111</v>
      </c>
    </row>
    <row r="71" customFormat="false" ht="30" hidden="false" customHeight="true" outlineLevel="0" collapsed="false">
      <c r="A71" s="1" t="s">
        <v>144</v>
      </c>
      <c r="B71" s="2" t="s">
        <v>145</v>
      </c>
      <c r="C71" s="6" t="n">
        <v>41419</v>
      </c>
      <c r="D71" s="3" t="n">
        <v>11</v>
      </c>
      <c r="E71" s="3" t="n">
        <v>-1</v>
      </c>
      <c r="F71" s="7" t="n">
        <f aca="false">IFERROR(Tableau1[[#This Row],[Score]]/Tableau1[[#This Row],[Nb]],0)</f>
        <v>-0.0909090909090909</v>
      </c>
    </row>
    <row r="72" customFormat="false" ht="30" hidden="false" customHeight="true" outlineLevel="0" collapsed="false">
      <c r="A72" s="1" t="s">
        <v>146</v>
      </c>
      <c r="B72" s="2" t="s">
        <v>147</v>
      </c>
      <c r="C72" s="6" t="n">
        <v>41419</v>
      </c>
      <c r="D72" s="3" t="n">
        <v>15</v>
      </c>
      <c r="E72" s="3" t="n">
        <v>-1</v>
      </c>
      <c r="F72" s="7" t="n">
        <f aca="false">IFERROR(Tableau1[[#This Row],[Score]]/Tableau1[[#This Row],[Nb]],0)</f>
        <v>-0.0666666666666667</v>
      </c>
    </row>
    <row r="73" customFormat="false" ht="30" hidden="false" customHeight="true" outlineLevel="0" collapsed="false">
      <c r="A73" s="1" t="s">
        <v>148</v>
      </c>
      <c r="B73" s="2" t="s">
        <v>149</v>
      </c>
      <c r="C73" s="6" t="n">
        <v>41419</v>
      </c>
      <c r="D73" s="3" t="n">
        <v>6</v>
      </c>
      <c r="E73" s="3" t="n">
        <v>0</v>
      </c>
      <c r="F73" s="7" t="n">
        <f aca="false">IFERROR(Tableau1[[#This Row],[Score]]/Tableau1[[#This Row],[Nb]],0)</f>
        <v>0</v>
      </c>
    </row>
    <row r="74" customFormat="false" ht="30" hidden="false" customHeight="true" outlineLevel="0" collapsed="false">
      <c r="A74" s="1" t="s">
        <v>150</v>
      </c>
      <c r="B74" s="2" t="s">
        <v>151</v>
      </c>
      <c r="C74" s="6" t="n">
        <v>41419</v>
      </c>
      <c r="D74" s="3" t="n">
        <v>12</v>
      </c>
      <c r="E74" s="3" t="n">
        <v>2</v>
      </c>
      <c r="F74" s="7" t="n">
        <f aca="false">IFERROR(Tableau1[[#This Row],[Score]]/Tableau1[[#This Row],[Nb]],0)</f>
        <v>0.166666666666667</v>
      </c>
    </row>
    <row r="75" customFormat="false" ht="30" hidden="false" customHeight="true" outlineLevel="0" collapsed="false">
      <c r="A75" s="1" t="s">
        <v>152</v>
      </c>
      <c r="B75" s="2" t="s">
        <v>153</v>
      </c>
      <c r="C75" s="6" t="n">
        <v>41419</v>
      </c>
      <c r="D75" s="3" t="n">
        <v>10</v>
      </c>
      <c r="E75" s="3" t="n">
        <v>2</v>
      </c>
      <c r="F75" s="7" t="n">
        <f aca="false">IFERROR(Tableau1[[#This Row],[Score]]/Tableau1[[#This Row],[Nb]],0)</f>
        <v>0.2</v>
      </c>
    </row>
    <row r="76" customFormat="false" ht="30" hidden="false" customHeight="true" outlineLevel="0" collapsed="false">
      <c r="A76" s="1" t="s">
        <v>154</v>
      </c>
      <c r="B76" s="2" t="s">
        <v>155</v>
      </c>
      <c r="C76" s="6" t="n">
        <v>41419</v>
      </c>
      <c r="D76" s="3" t="n">
        <v>3</v>
      </c>
      <c r="E76" s="3" t="n">
        <v>1</v>
      </c>
      <c r="F76" s="7" t="n">
        <f aca="false">IFERROR(Tableau1[[#This Row],[Score]]/Tableau1[[#This Row],[Nb]],0)</f>
        <v>0.333333333333333</v>
      </c>
    </row>
    <row r="77" customFormat="false" ht="30" hidden="false" customHeight="true" outlineLevel="0" collapsed="false">
      <c r="A77" s="1" t="s">
        <v>156</v>
      </c>
      <c r="B77" s="2" t="s">
        <v>157</v>
      </c>
      <c r="C77" s="6" t="n">
        <v>41419</v>
      </c>
      <c r="D77" s="3" t="n">
        <v>15</v>
      </c>
      <c r="E77" s="3" t="n">
        <v>5</v>
      </c>
      <c r="F77" s="7" t="n">
        <f aca="false">IFERROR(Tableau1[[#This Row],[Score]]/Tableau1[[#This Row],[Nb]],0)</f>
        <v>0.333333333333333</v>
      </c>
    </row>
    <row r="78" customFormat="false" ht="30" hidden="false" customHeight="true" outlineLevel="0" collapsed="false">
      <c r="A78" s="1" t="s">
        <v>158</v>
      </c>
      <c r="B78" s="2" t="s">
        <v>159</v>
      </c>
      <c r="C78" s="6" t="n">
        <v>41419</v>
      </c>
      <c r="D78" s="3" t="n">
        <v>13</v>
      </c>
      <c r="E78" s="3" t="n">
        <v>5</v>
      </c>
      <c r="F78" s="7" t="n">
        <f aca="false">IFERROR(Tableau1[[#This Row],[Score]]/Tableau1[[#This Row],[Nb]],0)</f>
        <v>0.384615384615385</v>
      </c>
    </row>
    <row r="79" customFormat="false" ht="30" hidden="false" customHeight="true" outlineLevel="0" collapsed="false">
      <c r="A79" s="1" t="s">
        <v>160</v>
      </c>
      <c r="B79" s="2" t="s">
        <v>161</v>
      </c>
      <c r="C79" s="6" t="n">
        <v>41419</v>
      </c>
      <c r="D79" s="3" t="n">
        <v>10</v>
      </c>
      <c r="E79" s="3" t="n">
        <v>4</v>
      </c>
      <c r="F79" s="7" t="n">
        <f aca="false">IFERROR(Tableau1[[#This Row],[Score]]/Tableau1[[#This Row],[Nb]],0)</f>
        <v>0.4</v>
      </c>
    </row>
    <row r="80" customFormat="false" ht="30" hidden="false" customHeight="true" outlineLevel="0" collapsed="false">
      <c r="A80" s="1" t="s">
        <v>162</v>
      </c>
      <c r="B80" s="2" t="s">
        <v>163</v>
      </c>
      <c r="C80" s="6" t="n">
        <v>41419</v>
      </c>
      <c r="D80" s="3" t="n">
        <v>10</v>
      </c>
      <c r="E80" s="3" t="n">
        <v>4</v>
      </c>
      <c r="F80" s="7" t="n">
        <f aca="false">IFERROR(Tableau1[[#This Row],[Score]]/Tableau1[[#This Row],[Nb]],0)</f>
        <v>0.4</v>
      </c>
    </row>
    <row r="81" customFormat="false" ht="30" hidden="false" customHeight="true" outlineLevel="0" collapsed="false">
      <c r="A81" s="1" t="s">
        <v>164</v>
      </c>
      <c r="B81" s="2" t="s">
        <v>165</v>
      </c>
      <c r="C81" s="6" t="n">
        <v>41419</v>
      </c>
      <c r="D81" s="3" t="n">
        <v>12</v>
      </c>
      <c r="E81" s="3" t="n">
        <v>5</v>
      </c>
      <c r="F81" s="7" t="n">
        <f aca="false">IFERROR(Tableau1[[#This Row],[Score]]/Tableau1[[#This Row],[Nb]],0)</f>
        <v>0.416666666666667</v>
      </c>
    </row>
    <row r="82" customFormat="false" ht="30" hidden="false" customHeight="true" outlineLevel="0" collapsed="false">
      <c r="A82" s="1" t="s">
        <v>166</v>
      </c>
      <c r="B82" s="2" t="s">
        <v>167</v>
      </c>
      <c r="C82" s="6" t="n">
        <v>41419</v>
      </c>
      <c r="D82" s="3" t="n">
        <v>7</v>
      </c>
      <c r="E82" s="3" t="n">
        <v>3</v>
      </c>
      <c r="F82" s="7" t="n">
        <f aca="false">IFERROR(Tableau1[[#This Row],[Score]]/Tableau1[[#This Row],[Nb]],0)</f>
        <v>0.428571428571429</v>
      </c>
    </row>
    <row r="83" customFormat="false" ht="30" hidden="false" customHeight="true" outlineLevel="0" collapsed="false">
      <c r="A83" s="1" t="s">
        <v>168</v>
      </c>
      <c r="B83" s="2" t="s">
        <v>169</v>
      </c>
      <c r="C83" s="6" t="n">
        <v>41419</v>
      </c>
      <c r="D83" s="3" t="n">
        <v>4</v>
      </c>
      <c r="E83" s="3" t="n">
        <v>2</v>
      </c>
      <c r="F83" s="7" t="n">
        <f aca="false">IFERROR(Tableau1[[#This Row],[Score]]/Tableau1[[#This Row],[Nb]],0)</f>
        <v>0.5</v>
      </c>
    </row>
    <row r="84" customFormat="false" ht="30" hidden="false" customHeight="true" outlineLevel="0" collapsed="false">
      <c r="A84" s="1" t="s">
        <v>170</v>
      </c>
      <c r="B84" s="2" t="s">
        <v>171</v>
      </c>
      <c r="C84" s="6" t="n">
        <v>41419</v>
      </c>
      <c r="D84" s="3" t="n">
        <v>9</v>
      </c>
      <c r="E84" s="3" t="n">
        <v>5</v>
      </c>
      <c r="F84" s="7" t="n">
        <f aca="false">IFERROR(Tableau1[[#This Row],[Score]]/Tableau1[[#This Row],[Nb]],0)</f>
        <v>0.555555555555556</v>
      </c>
    </row>
    <row r="85" customFormat="false" ht="30" hidden="false" customHeight="true" outlineLevel="0" collapsed="false">
      <c r="A85" s="1" t="s">
        <v>172</v>
      </c>
      <c r="B85" s="2" t="s">
        <v>173</v>
      </c>
      <c r="C85" s="6" t="n">
        <v>41419</v>
      </c>
      <c r="D85" s="3" t="n">
        <v>13</v>
      </c>
      <c r="E85" s="3" t="n">
        <v>8</v>
      </c>
      <c r="F85" s="7" t="n">
        <f aca="false">IFERROR(Tableau1[[#This Row],[Score]]/Tableau1[[#This Row],[Nb]],0)</f>
        <v>0.615384615384615</v>
      </c>
    </row>
    <row r="86" customFormat="false" ht="30" hidden="false" customHeight="true" outlineLevel="0" collapsed="false">
      <c r="A86" s="1" t="s">
        <v>174</v>
      </c>
      <c r="B86" s="2" t="s">
        <v>175</v>
      </c>
      <c r="C86" s="6" t="n">
        <v>41419</v>
      </c>
      <c r="D86" s="3" t="n">
        <v>11</v>
      </c>
      <c r="E86" s="3" t="n">
        <v>7</v>
      </c>
      <c r="F86" s="7" t="n">
        <f aca="false">IFERROR(Tableau1[[#This Row],[Score]]/Tableau1[[#This Row],[Nb]],0)</f>
        <v>0.636363636363636</v>
      </c>
    </row>
    <row r="87" customFormat="false" ht="30" hidden="false" customHeight="true" outlineLevel="0" collapsed="false">
      <c r="A87" s="1" t="s">
        <v>176</v>
      </c>
      <c r="B87" s="2" t="s">
        <v>177</v>
      </c>
      <c r="C87" s="6" t="n">
        <v>41419</v>
      </c>
      <c r="D87" s="3" t="n">
        <v>21</v>
      </c>
      <c r="E87" s="3" t="n">
        <v>15</v>
      </c>
      <c r="F87" s="7" t="n">
        <f aca="false">IFERROR(Tableau1[[#This Row],[Score]]/Tableau1[[#This Row],[Nb]],0)</f>
        <v>0.714285714285714</v>
      </c>
    </row>
    <row r="88" customFormat="false" ht="30" hidden="false" customHeight="true" outlineLevel="0" collapsed="false">
      <c r="A88" s="1" t="s">
        <v>178</v>
      </c>
      <c r="B88" s="2" t="s">
        <v>179</v>
      </c>
      <c r="C88" s="6" t="n">
        <v>41419</v>
      </c>
      <c r="D88" s="3" t="n">
        <v>7</v>
      </c>
      <c r="E88" s="3" t="n">
        <v>5</v>
      </c>
      <c r="F88" s="7" t="n">
        <f aca="false">IFERROR(Tableau1[[#This Row],[Score]]/Tableau1[[#This Row],[Nb]],0)</f>
        <v>0.714285714285714</v>
      </c>
    </row>
    <row r="89" customFormat="false" ht="30" hidden="false" customHeight="true" outlineLevel="0" collapsed="false">
      <c r="A89" s="1" t="s">
        <v>180</v>
      </c>
      <c r="B89" s="2" t="s">
        <v>181</v>
      </c>
      <c r="C89" s="6" t="n">
        <v>41419</v>
      </c>
      <c r="D89" s="3" t="n">
        <v>9</v>
      </c>
      <c r="E89" s="3" t="n">
        <v>7</v>
      </c>
      <c r="F89" s="7" t="n">
        <f aca="false">IFERROR(Tableau1[[#This Row],[Score]]/Tableau1[[#This Row],[Nb]],0)</f>
        <v>0.777777777777778</v>
      </c>
    </row>
    <row r="90" customFormat="false" ht="30" hidden="false" customHeight="true" outlineLevel="0" collapsed="false">
      <c r="A90" s="1" t="s">
        <v>182</v>
      </c>
      <c r="B90" s="2" t="s">
        <v>183</v>
      </c>
      <c r="C90" s="6" t="n">
        <v>41419</v>
      </c>
      <c r="D90" s="3" t="n">
        <v>10</v>
      </c>
      <c r="E90" s="3" t="n">
        <v>8</v>
      </c>
      <c r="F90" s="7" t="n">
        <f aca="false">IFERROR(Tableau1[[#This Row],[Score]]/Tableau1[[#This Row],[Nb]],0)</f>
        <v>0.8</v>
      </c>
    </row>
    <row r="91" customFormat="false" ht="30" hidden="false" customHeight="true" outlineLevel="0" collapsed="false">
      <c r="A91" s="1" t="s">
        <v>184</v>
      </c>
      <c r="B91" s="2" t="s">
        <v>185</v>
      </c>
      <c r="C91" s="6" t="n">
        <v>41419</v>
      </c>
      <c r="D91" s="3" t="n">
        <v>11</v>
      </c>
      <c r="E91" s="3" t="n">
        <v>9</v>
      </c>
      <c r="F91" s="7" t="n">
        <f aca="false">IFERROR(Tableau1[[#This Row],[Score]]/Tableau1[[#This Row],[Nb]],0)</f>
        <v>0.818181818181818</v>
      </c>
    </row>
    <row r="92" customFormat="false" ht="30" hidden="false" customHeight="true" outlineLevel="0" collapsed="false">
      <c r="A92" s="1" t="s">
        <v>186</v>
      </c>
      <c r="B92" s="2" t="s">
        <v>187</v>
      </c>
      <c r="C92" s="6" t="n">
        <v>41419</v>
      </c>
      <c r="D92" s="3" t="n">
        <v>12</v>
      </c>
      <c r="E92" s="3" t="n">
        <v>10</v>
      </c>
      <c r="F92" s="7" t="n">
        <f aca="false">IFERROR(Tableau1[[#This Row],[Score]]/Tableau1[[#This Row],[Nb]],0)</f>
        <v>0.833333333333333</v>
      </c>
    </row>
    <row r="93" customFormat="false" ht="30" hidden="false" customHeight="true" outlineLevel="0" collapsed="false">
      <c r="A93" s="1" t="s">
        <v>188</v>
      </c>
      <c r="B93" s="2" t="s">
        <v>189</v>
      </c>
      <c r="C93" s="6" t="n">
        <v>41419</v>
      </c>
      <c r="D93" s="3" t="n">
        <v>10</v>
      </c>
      <c r="E93" s="3" t="n">
        <v>9</v>
      </c>
      <c r="F93" s="7" t="n">
        <f aca="false">IFERROR(Tableau1[[#This Row],[Score]]/Tableau1[[#This Row],[Nb]],0)</f>
        <v>0.9</v>
      </c>
    </row>
    <row r="94" customFormat="false" ht="30" hidden="false" customHeight="true" outlineLevel="0" collapsed="false">
      <c r="A94" s="1" t="s">
        <v>190</v>
      </c>
      <c r="B94" s="2" t="s">
        <v>191</v>
      </c>
      <c r="C94" s="6" t="n">
        <v>41419</v>
      </c>
      <c r="D94" s="3" t="n">
        <v>13</v>
      </c>
      <c r="E94" s="3" t="n">
        <v>12</v>
      </c>
      <c r="F94" s="7" t="n">
        <f aca="false">IFERROR(Tableau1[[#This Row],[Score]]/Tableau1[[#This Row],[Nb]],0)</f>
        <v>0.923076923076923</v>
      </c>
    </row>
    <row r="95" customFormat="false" ht="30" hidden="false" customHeight="true" outlineLevel="0" collapsed="false">
      <c r="A95" s="1" t="s">
        <v>192</v>
      </c>
      <c r="B95" s="2" t="s">
        <v>193</v>
      </c>
      <c r="C95" s="6" t="n">
        <v>41419</v>
      </c>
      <c r="D95" s="3" t="n">
        <v>16</v>
      </c>
      <c r="E95" s="3" t="n">
        <v>15</v>
      </c>
      <c r="F95" s="7" t="n">
        <f aca="false">IFERROR(Tableau1[[#This Row],[Score]]/Tableau1[[#This Row],[Nb]],0)</f>
        <v>0.9375</v>
      </c>
    </row>
    <row r="96" customFormat="false" ht="30" hidden="false" customHeight="true" outlineLevel="0" collapsed="false">
      <c r="A96" s="8" t="s">
        <v>194</v>
      </c>
      <c r="B96" s="9" t="s">
        <v>195</v>
      </c>
      <c r="C96" s="6" t="n">
        <v>41419</v>
      </c>
      <c r="D96" s="3" t="n">
        <v>10</v>
      </c>
      <c r="E96" s="3" t="n">
        <v>10</v>
      </c>
      <c r="F96" s="7" t="n">
        <f aca="false">IFERROR(Tableau1[[#This Row],[Score]]/Tableau1[[#This Row],[Nb]],0)</f>
        <v>1</v>
      </c>
    </row>
    <row r="97" customFormat="false" ht="30" hidden="false" customHeight="true" outlineLevel="0" collapsed="false">
      <c r="A97" s="8" t="s">
        <v>196</v>
      </c>
      <c r="B97" s="9" t="s">
        <v>197</v>
      </c>
      <c r="C97" s="6" t="n">
        <v>41419</v>
      </c>
      <c r="D97" s="3" t="n">
        <v>10</v>
      </c>
      <c r="E97" s="3" t="n">
        <v>10</v>
      </c>
      <c r="F97" s="7" t="n">
        <f aca="false">IFERROR(Tableau1[[#This Row],[Score]]/Tableau1[[#This Row],[Nb]],0)</f>
        <v>1</v>
      </c>
    </row>
    <row r="98" customFormat="false" ht="30" hidden="false" customHeight="true" outlineLevel="0" collapsed="false">
      <c r="A98" s="1" t="s">
        <v>198</v>
      </c>
      <c r="B98" s="2" t="s">
        <v>199</v>
      </c>
      <c r="C98" s="6" t="n">
        <v>41419</v>
      </c>
      <c r="D98" s="3" t="n">
        <v>9</v>
      </c>
      <c r="E98" s="3" t="n">
        <v>9</v>
      </c>
      <c r="F98" s="7" t="n">
        <f aca="false">IFERROR(Tableau1[[#This Row],[Score]]/Tableau1[[#This Row],[Nb]],0)</f>
        <v>1</v>
      </c>
    </row>
    <row r="99" customFormat="false" ht="30" hidden="false" customHeight="true" outlineLevel="0" collapsed="false">
      <c r="A99" s="1" t="s">
        <v>200</v>
      </c>
      <c r="B99" s="2" t="s">
        <v>201</v>
      </c>
      <c r="C99" s="6" t="n">
        <v>41419</v>
      </c>
      <c r="D99" s="3" t="n">
        <v>9</v>
      </c>
      <c r="E99" s="3" t="n">
        <v>9</v>
      </c>
      <c r="F99" s="7" t="n">
        <f aca="false">IFERROR(Tableau1[[#This Row],[Score]]/Tableau1[[#This Row],[Nb]],0)</f>
        <v>1</v>
      </c>
    </row>
    <row r="100" customFormat="false" ht="30" hidden="false" customHeight="true" outlineLevel="0" collapsed="false">
      <c r="A100" s="1" t="s">
        <v>202</v>
      </c>
      <c r="B100" s="2" t="s">
        <v>203</v>
      </c>
      <c r="C100" s="6" t="n">
        <v>41419</v>
      </c>
      <c r="D100" s="3" t="n">
        <v>8</v>
      </c>
      <c r="E100" s="3" t="n">
        <v>8</v>
      </c>
      <c r="F100" s="7" t="n">
        <f aca="false">IFERROR(Tableau1[[#This Row],[Score]]/Tableau1[[#This Row],[Nb]],0)</f>
        <v>1</v>
      </c>
    </row>
    <row r="101" customFormat="false" ht="30" hidden="false" customHeight="true" outlineLevel="0" collapsed="false">
      <c r="A101" s="1" t="s">
        <v>204</v>
      </c>
      <c r="B101" s="2" t="s">
        <v>205</v>
      </c>
      <c r="C101" s="6" t="n">
        <v>41419</v>
      </c>
      <c r="D101" s="3" t="n">
        <v>8</v>
      </c>
      <c r="E101" s="3" t="n">
        <v>8</v>
      </c>
      <c r="F101" s="7" t="n">
        <f aca="false">IFERROR(Tableau1[[#This Row],[Score]]/Tableau1[[#This Row],[Nb]],0)</f>
        <v>1</v>
      </c>
    </row>
    <row r="102" customFormat="false" ht="30" hidden="false" customHeight="true" outlineLevel="0" collapsed="false">
      <c r="A102" s="1" t="s">
        <v>206</v>
      </c>
      <c r="B102" s="2" t="s">
        <v>207</v>
      </c>
      <c r="C102" s="6" t="n">
        <v>41419</v>
      </c>
      <c r="D102" s="3" t="n">
        <v>10</v>
      </c>
      <c r="E102" s="3" t="n">
        <v>10</v>
      </c>
      <c r="F102" s="7" t="n">
        <f aca="false">IFERROR(Tableau1[[#This Row],[Score]]/Tableau1[[#This Row],[Nb]],0)</f>
        <v>1</v>
      </c>
    </row>
    <row r="103" customFormat="false" ht="30" hidden="false" customHeight="true" outlineLevel="0" collapsed="false">
      <c r="A103" s="1" t="s">
        <v>208</v>
      </c>
      <c r="B103" s="2" t="s">
        <v>209</v>
      </c>
      <c r="C103" s="6" t="n">
        <v>41419</v>
      </c>
      <c r="D103" s="3" t="n">
        <v>3</v>
      </c>
      <c r="E103" s="3" t="n">
        <v>3</v>
      </c>
      <c r="F103" s="7" t="n">
        <f aca="false">IFERROR(Tableau1[[#This Row],[Score]]/Tableau1[[#This Row],[Nb]],0)</f>
        <v>1</v>
      </c>
    </row>
    <row r="104" customFormat="false" ht="30" hidden="false" customHeight="true" outlineLevel="0" collapsed="false">
      <c r="A104" s="1" t="s">
        <v>210</v>
      </c>
      <c r="B104" s="2" t="s">
        <v>211</v>
      </c>
      <c r="C104" s="6" t="n">
        <v>41419</v>
      </c>
      <c r="D104" s="3" t="n">
        <v>4</v>
      </c>
      <c r="E104" s="3" t="n">
        <v>4</v>
      </c>
      <c r="F104" s="7" t="n">
        <f aca="false">IFERROR(Tableau1[[#This Row],[Score]]/Tableau1[[#This Row],[Nb]],0)</f>
        <v>1</v>
      </c>
    </row>
    <row r="105" customFormat="false" ht="30" hidden="false" customHeight="true" outlineLevel="0" collapsed="false">
      <c r="A105" s="1" t="s">
        <v>212</v>
      </c>
      <c r="B105" s="2" t="s">
        <v>213</v>
      </c>
      <c r="C105" s="6" t="n">
        <v>41419</v>
      </c>
      <c r="D105" s="3" t="n">
        <v>4</v>
      </c>
      <c r="E105" s="3" t="n">
        <v>4</v>
      </c>
      <c r="F105" s="7" t="n">
        <f aca="false">IFERROR(Tableau1[[#This Row],[Score]]/Tableau1[[#This Row],[Nb]],0)</f>
        <v>1</v>
      </c>
    </row>
    <row r="106" customFormat="false" ht="30" hidden="false" customHeight="true" outlineLevel="0" collapsed="false">
      <c r="A106" s="1" t="s">
        <v>214</v>
      </c>
      <c r="B106" s="2" t="s">
        <v>215</v>
      </c>
      <c r="C106" s="6" t="n">
        <v>41419</v>
      </c>
      <c r="D106" s="3" t="n">
        <v>5</v>
      </c>
      <c r="E106" s="3" t="n">
        <v>5</v>
      </c>
      <c r="F106" s="7" t="n">
        <f aca="false">IFERROR(Tableau1[[#This Row],[Score]]/Tableau1[[#This Row],[Nb]],0)</f>
        <v>1</v>
      </c>
    </row>
    <row r="107" customFormat="false" ht="30" hidden="false" customHeight="true" outlineLevel="0" collapsed="false">
      <c r="A107" s="1" t="s">
        <v>216</v>
      </c>
      <c r="B107" s="2" t="s">
        <v>217</v>
      </c>
      <c r="C107" s="6" t="n">
        <v>41419</v>
      </c>
      <c r="D107" s="3" t="n">
        <v>4</v>
      </c>
      <c r="E107" s="3" t="n">
        <v>4</v>
      </c>
      <c r="F107" s="7" t="n">
        <f aca="false">IFERROR(Tableau1[[#This Row],[Score]]/Tableau1[[#This Row],[Nb]],0)</f>
        <v>1</v>
      </c>
    </row>
    <row r="108" customFormat="false" ht="30" hidden="false" customHeight="true" outlineLevel="0" collapsed="false">
      <c r="A108" s="1" t="s">
        <v>218</v>
      </c>
      <c r="B108" s="2" t="s">
        <v>219</v>
      </c>
      <c r="C108" s="6" t="n">
        <v>41419</v>
      </c>
      <c r="D108" s="3" t="n">
        <v>6</v>
      </c>
      <c r="E108" s="3" t="n">
        <v>6</v>
      </c>
      <c r="F108" s="7" t="n">
        <f aca="false">IFERROR(Tableau1[[#This Row],[Score]]/Tableau1[[#This Row],[Nb]],0)</f>
        <v>1</v>
      </c>
    </row>
    <row r="109" customFormat="false" ht="30" hidden="false" customHeight="true" outlineLevel="0" collapsed="false">
      <c r="A109" s="1" t="s">
        <v>220</v>
      </c>
      <c r="B109" s="2" t="s">
        <v>221</v>
      </c>
      <c r="C109" s="6" t="n">
        <v>41419</v>
      </c>
      <c r="D109" s="3" t="n">
        <v>6</v>
      </c>
      <c r="E109" s="3" t="n">
        <v>6</v>
      </c>
      <c r="F109" s="7" t="n">
        <f aca="false">IFERROR(Tableau1[[#This Row],[Score]]/Tableau1[[#This Row],[Nb]],0)</f>
        <v>1</v>
      </c>
    </row>
    <row r="110" customFormat="false" ht="30" hidden="false" customHeight="true" outlineLevel="0" collapsed="false">
      <c r="A110" s="1" t="s">
        <v>222</v>
      </c>
      <c r="B110" s="2" t="s">
        <v>223</v>
      </c>
      <c r="C110" s="6" t="n">
        <v>41419</v>
      </c>
      <c r="D110" s="3" t="n">
        <v>6</v>
      </c>
      <c r="E110" s="3" t="n">
        <v>6</v>
      </c>
      <c r="F110" s="7" t="n">
        <f aca="false">IFERROR(Tableau1[[#This Row],[Score]]/Tableau1[[#This Row],[Nb]],0)</f>
        <v>1</v>
      </c>
    </row>
    <row r="111" customFormat="false" ht="30" hidden="false" customHeight="true" outlineLevel="0" collapsed="false">
      <c r="A111" s="1" t="s">
        <v>224</v>
      </c>
      <c r="B111" s="2" t="s">
        <v>225</v>
      </c>
      <c r="C111" s="6" t="n">
        <v>41419</v>
      </c>
      <c r="D111" s="3" t="n">
        <v>6</v>
      </c>
      <c r="E111" s="3" t="n">
        <v>6</v>
      </c>
      <c r="F111" s="7" t="n">
        <f aca="false">IFERROR(Tableau1[[#This Row],[Score]]/Tableau1[[#This Row],[Nb]],0)</f>
        <v>1</v>
      </c>
    </row>
    <row r="112" customFormat="false" ht="30" hidden="false" customHeight="true" outlineLevel="0" collapsed="false">
      <c r="A112" s="1" t="s">
        <v>226</v>
      </c>
      <c r="B112" s="2" t="s">
        <v>227</v>
      </c>
      <c r="C112" s="6" t="n">
        <v>41419</v>
      </c>
      <c r="D112" s="3" t="n">
        <v>6</v>
      </c>
      <c r="E112" s="3" t="n">
        <v>6</v>
      </c>
      <c r="F112" s="7" t="n">
        <f aca="false">IFERROR(Tableau1[[#This Row],[Score]]/Tableau1[[#This Row],[Nb]],0)</f>
        <v>1</v>
      </c>
    </row>
    <row r="113" customFormat="false" ht="30" hidden="false" customHeight="true" outlineLevel="0" collapsed="false">
      <c r="A113" s="1" t="s">
        <v>228</v>
      </c>
      <c r="B113" s="2" t="s">
        <v>229</v>
      </c>
      <c r="C113" s="6" t="n">
        <v>41419</v>
      </c>
      <c r="D113" s="3" t="n">
        <v>7</v>
      </c>
      <c r="E113" s="3" t="n">
        <v>7</v>
      </c>
      <c r="F113" s="7" t="n">
        <f aca="false">IFERROR(Tableau1[[#This Row],[Score]]/Tableau1[[#This Row],[Nb]],0)</f>
        <v>1</v>
      </c>
    </row>
    <row r="114" customFormat="false" ht="30" hidden="false" customHeight="true" outlineLevel="0" collapsed="false">
      <c r="A114" s="1" t="s">
        <v>230</v>
      </c>
      <c r="B114" s="2" t="s">
        <v>231</v>
      </c>
      <c r="C114" s="6" t="n">
        <v>41419</v>
      </c>
      <c r="D114" s="3" t="n">
        <v>7</v>
      </c>
      <c r="E114" s="3" t="n">
        <v>7</v>
      </c>
      <c r="F114" s="7" t="n">
        <f aca="false">IFERROR(Tableau1[[#This Row],[Score]]/Tableau1[[#This Row],[Nb]],0)</f>
        <v>1</v>
      </c>
    </row>
    <row r="115" customFormat="false" ht="30" hidden="false" customHeight="true" outlineLevel="0" collapsed="false">
      <c r="A115" s="1" t="s">
        <v>232</v>
      </c>
      <c r="B115" s="2" t="s">
        <v>233</v>
      </c>
      <c r="C115" s="6" t="n">
        <v>41419</v>
      </c>
      <c r="D115" s="3" t="n">
        <v>7</v>
      </c>
      <c r="E115" s="3" t="n">
        <v>7</v>
      </c>
      <c r="F115" s="7" t="n">
        <f aca="false">IFERROR(Tableau1[[#This Row],[Score]]/Tableau1[[#This Row],[Nb]],0)</f>
        <v>1</v>
      </c>
    </row>
    <row r="116" customFormat="false" ht="30" hidden="false" customHeight="true" outlineLevel="0" collapsed="false">
      <c r="A116" s="1" t="s">
        <v>234</v>
      </c>
      <c r="B116" s="2" t="s">
        <v>235</v>
      </c>
      <c r="C116" s="6" t="n">
        <v>41419</v>
      </c>
      <c r="D116" s="3" t="n">
        <v>7</v>
      </c>
      <c r="E116" s="3" t="n">
        <v>7</v>
      </c>
      <c r="F116" s="7" t="n">
        <f aca="false">IFERROR(Tableau1[[#This Row],[Score]]/Tableau1[[#This Row],[Nb]],0)</f>
        <v>1</v>
      </c>
    </row>
    <row r="117" customFormat="false" ht="30" hidden="false" customHeight="true" outlineLevel="0" collapsed="false">
      <c r="A117" s="1" t="s">
        <v>236</v>
      </c>
      <c r="B117" s="2" t="s">
        <v>237</v>
      </c>
      <c r="C117" s="6" t="n">
        <v>41419</v>
      </c>
      <c r="D117" s="3" t="n">
        <v>9</v>
      </c>
      <c r="E117" s="3" t="n">
        <v>9</v>
      </c>
      <c r="F117" s="7" t="n">
        <f aca="false">IFERROR(Tableau1[[#This Row],[Score]]/Tableau1[[#This Row],[Nb]],0)</f>
        <v>1</v>
      </c>
    </row>
    <row r="118" customFormat="false" ht="30" hidden="false" customHeight="true" outlineLevel="0" collapsed="false">
      <c r="A118" s="1" t="s">
        <v>238</v>
      </c>
      <c r="B118" s="2" t="s">
        <v>239</v>
      </c>
      <c r="C118" s="6" t="n">
        <v>41419</v>
      </c>
      <c r="D118" s="3" t="n">
        <v>9</v>
      </c>
      <c r="E118" s="3" t="n">
        <v>9</v>
      </c>
      <c r="F118" s="7" t="n">
        <f aca="false">IFERROR(Tableau1[[#This Row],[Score]]/Tableau1[[#This Row],[Nb]],0)</f>
        <v>1</v>
      </c>
    </row>
    <row r="119" customFormat="false" ht="30" hidden="false" customHeight="true" outlineLevel="0" collapsed="false">
      <c r="A119" s="1" t="s">
        <v>240</v>
      </c>
      <c r="B119" s="2" t="s">
        <v>241</v>
      </c>
      <c r="C119" s="6" t="n">
        <v>41419</v>
      </c>
      <c r="D119" s="3" t="n">
        <v>9</v>
      </c>
      <c r="E119" s="3" t="n">
        <v>9</v>
      </c>
      <c r="F119" s="7" t="n">
        <f aca="false">IFERROR(Tableau1[[#This Row],[Score]]/Tableau1[[#This Row],[Nb]],0)</f>
        <v>1</v>
      </c>
    </row>
    <row r="120" customFormat="false" ht="30" hidden="false" customHeight="true" outlineLevel="0" collapsed="false">
      <c r="A120" s="1" t="s">
        <v>242</v>
      </c>
      <c r="B120" s="2" t="s">
        <v>243</v>
      </c>
      <c r="C120" s="6" t="n">
        <v>41419</v>
      </c>
      <c r="D120" s="3" t="n">
        <v>9</v>
      </c>
      <c r="E120" s="3" t="n">
        <v>9</v>
      </c>
      <c r="F120" s="7" t="n">
        <f aca="false">IFERROR(Tableau1[[#This Row],[Score]]/Tableau1[[#This Row],[Nb]],0)</f>
        <v>1</v>
      </c>
    </row>
    <row r="121" customFormat="false" ht="30" hidden="false" customHeight="true" outlineLevel="0" collapsed="false">
      <c r="A121" s="1" t="s">
        <v>244</v>
      </c>
      <c r="B121" s="2" t="s">
        <v>245</v>
      </c>
      <c r="C121" s="6" t="n">
        <v>41419</v>
      </c>
      <c r="D121" s="3" t="n">
        <v>9</v>
      </c>
      <c r="E121" s="3" t="n">
        <v>9</v>
      </c>
      <c r="F121" s="7" t="n">
        <f aca="false">IFERROR(Tableau1[[#This Row],[Score]]/Tableau1[[#This Row],[Nb]],0)</f>
        <v>1</v>
      </c>
    </row>
    <row r="122" customFormat="false" ht="30" hidden="false" customHeight="true" outlineLevel="0" collapsed="false">
      <c r="A122" s="1" t="s">
        <v>246</v>
      </c>
      <c r="B122" s="2" t="s">
        <v>247</v>
      </c>
      <c r="C122" s="6" t="n">
        <v>41420</v>
      </c>
      <c r="D122" s="3" t="n">
        <v>10</v>
      </c>
      <c r="E122" s="3" t="n">
        <v>-10</v>
      </c>
      <c r="F122" s="7" t="n">
        <f aca="false">IFERROR(Tableau1[[#This Row],[Score]]/Tableau1[[#This Row],[Nb]],0)</f>
        <v>-1</v>
      </c>
    </row>
    <row r="123" customFormat="false" ht="30" hidden="false" customHeight="true" outlineLevel="0" collapsed="false">
      <c r="A123" s="1" t="s">
        <v>248</v>
      </c>
      <c r="B123" s="2" t="s">
        <v>249</v>
      </c>
      <c r="C123" s="6" t="n">
        <v>41420</v>
      </c>
      <c r="D123" s="3" t="n">
        <v>9</v>
      </c>
      <c r="E123" s="3" t="n">
        <v>-9</v>
      </c>
      <c r="F123" s="7" t="n">
        <f aca="false">IFERROR(Tableau1[[#This Row],[Score]]/Tableau1[[#This Row],[Nb]],0)</f>
        <v>-1</v>
      </c>
    </row>
    <row r="124" customFormat="false" ht="30" hidden="false" customHeight="true" outlineLevel="0" collapsed="false">
      <c r="A124" s="1" t="s">
        <v>250</v>
      </c>
      <c r="B124" s="2" t="s">
        <v>251</v>
      </c>
      <c r="C124" s="6" t="n">
        <v>41420</v>
      </c>
      <c r="D124" s="3" t="n">
        <v>8</v>
      </c>
      <c r="E124" s="3" t="n">
        <v>-8</v>
      </c>
      <c r="F124" s="7" t="n">
        <f aca="false">IFERROR(Tableau1[[#This Row],[Score]]/Tableau1[[#This Row],[Nb]],0)</f>
        <v>-1</v>
      </c>
    </row>
    <row r="125" customFormat="false" ht="30" hidden="false" customHeight="true" outlineLevel="0" collapsed="false">
      <c r="A125" s="1" t="s">
        <v>252</v>
      </c>
      <c r="B125" s="2" t="s">
        <v>253</v>
      </c>
      <c r="C125" s="6" t="n">
        <v>41420</v>
      </c>
      <c r="D125" s="3" t="n">
        <v>12</v>
      </c>
      <c r="E125" s="3" t="n">
        <v>-8</v>
      </c>
      <c r="F125" s="7" t="n">
        <f aca="false">IFERROR(Tableau1[[#This Row],[Score]]/Tableau1[[#This Row],[Nb]],0)</f>
        <v>-0.666666666666667</v>
      </c>
    </row>
    <row r="126" customFormat="false" ht="30" hidden="false" customHeight="true" outlineLevel="0" collapsed="false">
      <c r="A126" s="1" t="s">
        <v>254</v>
      </c>
      <c r="B126" s="2" t="s">
        <v>255</v>
      </c>
      <c r="C126" s="6" t="n">
        <v>41420</v>
      </c>
      <c r="D126" s="3" t="n">
        <v>10</v>
      </c>
      <c r="E126" s="3" t="n">
        <v>-6</v>
      </c>
      <c r="F126" s="7" t="n">
        <f aca="false">IFERROR(Tableau1[[#This Row],[Score]]/Tableau1[[#This Row],[Nb]],0)</f>
        <v>-0.6</v>
      </c>
    </row>
    <row r="127" customFormat="false" ht="30" hidden="false" customHeight="true" outlineLevel="0" collapsed="false">
      <c r="A127" s="1" t="s">
        <v>256</v>
      </c>
      <c r="B127" s="2" t="s">
        <v>257</v>
      </c>
      <c r="C127" s="6" t="n">
        <v>41420</v>
      </c>
      <c r="D127" s="3" t="n">
        <v>8</v>
      </c>
      <c r="E127" s="3" t="n">
        <v>-4</v>
      </c>
      <c r="F127" s="7" t="n">
        <f aca="false">IFERROR(Tableau1[[#This Row],[Score]]/Tableau1[[#This Row],[Nb]],0)</f>
        <v>-0.5</v>
      </c>
    </row>
    <row r="128" customFormat="false" ht="30" hidden="false" customHeight="true" outlineLevel="0" collapsed="false">
      <c r="A128" s="1" t="s">
        <v>258</v>
      </c>
      <c r="B128" s="2" t="s">
        <v>259</v>
      </c>
      <c r="C128" s="6" t="n">
        <v>41420</v>
      </c>
      <c r="D128" s="3" t="n">
        <v>11</v>
      </c>
      <c r="E128" s="3" t="n">
        <v>-5</v>
      </c>
      <c r="F128" s="7" t="n">
        <f aca="false">IFERROR(Tableau1[[#This Row],[Score]]/Tableau1[[#This Row],[Nb]],0)</f>
        <v>-0.454545454545455</v>
      </c>
    </row>
    <row r="129" customFormat="false" ht="30" hidden="false" customHeight="true" outlineLevel="0" collapsed="false">
      <c r="A129" s="1" t="s">
        <v>260</v>
      </c>
      <c r="B129" s="2" t="s">
        <v>261</v>
      </c>
      <c r="C129" s="6" t="n">
        <v>41420</v>
      </c>
      <c r="D129" s="3" t="n">
        <v>6</v>
      </c>
      <c r="E129" s="3" t="n">
        <v>-2</v>
      </c>
      <c r="F129" s="7" t="n">
        <f aca="false">IFERROR(Tableau1[[#This Row],[Score]]/Tableau1[[#This Row],[Nb]],0)</f>
        <v>-0.333333333333333</v>
      </c>
    </row>
    <row r="130" customFormat="false" ht="30" hidden="false" customHeight="true" outlineLevel="0" collapsed="false">
      <c r="A130" s="1" t="s">
        <v>262</v>
      </c>
      <c r="B130" s="2" t="s">
        <v>263</v>
      </c>
      <c r="C130" s="6" t="n">
        <v>41420</v>
      </c>
      <c r="D130" s="3" t="n">
        <v>13</v>
      </c>
      <c r="E130" s="3" t="n">
        <v>-3</v>
      </c>
      <c r="F130" s="7" t="n">
        <f aca="false">IFERROR(Tableau1[[#This Row],[Score]]/Tableau1[[#This Row],[Nb]],0)</f>
        <v>-0.230769230769231</v>
      </c>
    </row>
    <row r="131" customFormat="false" ht="30" hidden="false" customHeight="true" outlineLevel="0" collapsed="false">
      <c r="A131" s="1" t="s">
        <v>264</v>
      </c>
      <c r="B131" s="2" t="s">
        <v>265</v>
      </c>
      <c r="C131" s="6" t="n">
        <v>41420</v>
      </c>
      <c r="D131" s="3" t="n">
        <v>13</v>
      </c>
      <c r="E131" s="3" t="n">
        <v>-3</v>
      </c>
      <c r="F131" s="7" t="n">
        <f aca="false">IFERROR(Tableau1[[#This Row],[Score]]/Tableau1[[#This Row],[Nb]],0)</f>
        <v>-0.230769230769231</v>
      </c>
    </row>
    <row r="132" customFormat="false" ht="30" hidden="false" customHeight="true" outlineLevel="0" collapsed="false">
      <c r="A132" s="1" t="s">
        <v>266</v>
      </c>
      <c r="B132" s="2" t="s">
        <v>267</v>
      </c>
      <c r="C132" s="6" t="n">
        <v>41420</v>
      </c>
      <c r="D132" s="3" t="n">
        <v>11</v>
      </c>
      <c r="E132" s="3" t="n">
        <v>1</v>
      </c>
      <c r="F132" s="7" t="n">
        <f aca="false">IFERROR(Tableau1[[#This Row],[Score]]/Tableau1[[#This Row],[Nb]],0)</f>
        <v>0.0909090909090909</v>
      </c>
    </row>
    <row r="133" customFormat="false" ht="30" hidden="false" customHeight="true" outlineLevel="0" collapsed="false">
      <c r="A133" s="1" t="s">
        <v>268</v>
      </c>
      <c r="B133" s="2" t="s">
        <v>269</v>
      </c>
      <c r="C133" s="6" t="n">
        <v>41420</v>
      </c>
      <c r="D133" s="3" t="n">
        <v>9</v>
      </c>
      <c r="E133" s="3" t="n">
        <v>5</v>
      </c>
      <c r="F133" s="7" t="n">
        <f aca="false">IFERROR(Tableau1[[#This Row],[Score]]/Tableau1[[#This Row],[Nb]],0)</f>
        <v>0.555555555555556</v>
      </c>
    </row>
    <row r="134" customFormat="false" ht="30" hidden="false" customHeight="true" outlineLevel="0" collapsed="false">
      <c r="A134" s="1" t="s">
        <v>270</v>
      </c>
      <c r="B134" s="2" t="s">
        <v>271</v>
      </c>
      <c r="C134" s="6" t="n">
        <v>41420</v>
      </c>
      <c r="D134" s="3" t="n">
        <v>10</v>
      </c>
      <c r="E134" s="3" t="n">
        <v>6</v>
      </c>
      <c r="F134" s="7" t="n">
        <f aca="false">IFERROR(Tableau1[[#This Row],[Score]]/Tableau1[[#This Row],[Nb]],0)</f>
        <v>0.6</v>
      </c>
    </row>
    <row r="135" customFormat="false" ht="30" hidden="false" customHeight="true" outlineLevel="0" collapsed="false">
      <c r="A135" s="1" t="s">
        <v>272</v>
      </c>
      <c r="B135" s="2" t="s">
        <v>273</v>
      </c>
      <c r="C135" s="6" t="n">
        <v>41420</v>
      </c>
      <c r="D135" s="3" t="n">
        <v>15</v>
      </c>
      <c r="E135" s="3" t="n">
        <v>9</v>
      </c>
      <c r="F135" s="7" t="n">
        <f aca="false">IFERROR(Tableau1[[#This Row],[Score]]/Tableau1[[#This Row],[Nb]],0)</f>
        <v>0.6</v>
      </c>
    </row>
    <row r="136" customFormat="false" ht="30" hidden="false" customHeight="true" outlineLevel="0" collapsed="false">
      <c r="A136" s="1" t="s">
        <v>274</v>
      </c>
      <c r="B136" s="2" t="s">
        <v>275</v>
      </c>
      <c r="C136" s="6" t="n">
        <v>41420</v>
      </c>
      <c r="D136" s="3" t="n">
        <v>11</v>
      </c>
      <c r="E136" s="3" t="n">
        <v>7</v>
      </c>
      <c r="F136" s="7" t="n">
        <f aca="false">IFERROR(Tableau1[[#This Row],[Score]]/Tableau1[[#This Row],[Nb]],0)</f>
        <v>0.636363636363636</v>
      </c>
    </row>
    <row r="137" customFormat="false" ht="30" hidden="false" customHeight="true" outlineLevel="0" collapsed="false">
      <c r="A137" s="1" t="s">
        <v>276</v>
      </c>
      <c r="B137" s="2" t="s">
        <v>277</v>
      </c>
      <c r="C137" s="6" t="n">
        <v>41420</v>
      </c>
      <c r="D137" s="3" t="n">
        <v>6</v>
      </c>
      <c r="E137" s="3" t="n">
        <v>4</v>
      </c>
      <c r="F137" s="7" t="n">
        <f aca="false">IFERROR(Tableau1[[#This Row],[Score]]/Tableau1[[#This Row],[Nb]],0)</f>
        <v>0.666666666666667</v>
      </c>
    </row>
    <row r="138" customFormat="false" ht="30" hidden="false" customHeight="true" outlineLevel="0" collapsed="false">
      <c r="A138" s="1" t="s">
        <v>278</v>
      </c>
      <c r="B138" s="2" t="s">
        <v>279</v>
      </c>
      <c r="C138" s="6" t="n">
        <v>41420</v>
      </c>
      <c r="D138" s="3" t="n">
        <v>12</v>
      </c>
      <c r="E138" s="3" t="n">
        <v>8</v>
      </c>
      <c r="F138" s="7" t="n">
        <f aca="false">IFERROR(Tableau1[[#This Row],[Score]]/Tableau1[[#This Row],[Nb]],0)</f>
        <v>0.666666666666667</v>
      </c>
    </row>
    <row r="139" customFormat="false" ht="30" hidden="false" customHeight="true" outlineLevel="0" collapsed="false">
      <c r="A139" s="1" t="s">
        <v>280</v>
      </c>
      <c r="B139" s="2" t="s">
        <v>281</v>
      </c>
      <c r="C139" s="6" t="n">
        <v>41420</v>
      </c>
      <c r="D139" s="3" t="n">
        <v>7</v>
      </c>
      <c r="E139" s="3" t="n">
        <v>5</v>
      </c>
      <c r="F139" s="7" t="n">
        <f aca="false">IFERROR(Tableau1[[#This Row],[Score]]/Tableau1[[#This Row],[Nb]],0)</f>
        <v>0.714285714285714</v>
      </c>
    </row>
    <row r="140" customFormat="false" ht="30" hidden="false" customHeight="true" outlineLevel="0" collapsed="false">
      <c r="A140" s="1" t="s">
        <v>282</v>
      </c>
      <c r="B140" s="2" t="s">
        <v>283</v>
      </c>
      <c r="C140" s="6" t="n">
        <v>41420</v>
      </c>
      <c r="D140" s="3" t="n">
        <v>8</v>
      </c>
      <c r="E140" s="3" t="n">
        <v>6</v>
      </c>
      <c r="F140" s="7" t="n">
        <f aca="false">IFERROR(Tableau1[[#This Row],[Score]]/Tableau1[[#This Row],[Nb]],0)</f>
        <v>0.75</v>
      </c>
    </row>
    <row r="141" customFormat="false" ht="30" hidden="false" customHeight="true" outlineLevel="0" collapsed="false">
      <c r="A141" s="1" t="s">
        <v>284</v>
      </c>
      <c r="B141" s="2" t="s">
        <v>285</v>
      </c>
      <c r="C141" s="6" t="n">
        <v>41420</v>
      </c>
      <c r="D141" s="3" t="n">
        <v>8</v>
      </c>
      <c r="E141" s="3" t="n">
        <v>6</v>
      </c>
      <c r="F141" s="7" t="n">
        <f aca="false">IFERROR(Tableau1[[#This Row],[Score]]/Tableau1[[#This Row],[Nb]],0)</f>
        <v>0.75</v>
      </c>
    </row>
    <row r="142" customFormat="false" ht="30" hidden="false" customHeight="true" outlineLevel="0" collapsed="false">
      <c r="A142" s="1" t="s">
        <v>286</v>
      </c>
      <c r="B142" s="2" t="s">
        <v>287</v>
      </c>
      <c r="C142" s="6" t="n">
        <v>41420</v>
      </c>
      <c r="D142" s="3" t="n">
        <v>8</v>
      </c>
      <c r="E142" s="3" t="n">
        <v>6</v>
      </c>
      <c r="F142" s="7" t="n">
        <f aca="false">IFERROR(Tableau1[[#This Row],[Score]]/Tableau1[[#This Row],[Nb]],0)</f>
        <v>0.75</v>
      </c>
    </row>
    <row r="143" customFormat="false" ht="30" hidden="false" customHeight="true" outlineLevel="0" collapsed="false">
      <c r="A143" s="1" t="s">
        <v>288</v>
      </c>
      <c r="B143" s="2" t="s">
        <v>289</v>
      </c>
      <c r="C143" s="6" t="n">
        <v>41420</v>
      </c>
      <c r="D143" s="3" t="n">
        <v>11</v>
      </c>
      <c r="E143" s="3" t="n">
        <v>9</v>
      </c>
      <c r="F143" s="7" t="n">
        <f aca="false">IFERROR(Tableau1[[#This Row],[Score]]/Tableau1[[#This Row],[Nb]],0)</f>
        <v>0.818181818181818</v>
      </c>
    </row>
    <row r="144" customFormat="false" ht="30" hidden="false" customHeight="true" outlineLevel="0" collapsed="false">
      <c r="A144" s="1" t="s">
        <v>290</v>
      </c>
      <c r="B144" s="2" t="s">
        <v>291</v>
      </c>
      <c r="C144" s="6" t="n">
        <v>41420</v>
      </c>
      <c r="D144" s="3" t="n">
        <v>12</v>
      </c>
      <c r="E144" s="3" t="n">
        <v>10</v>
      </c>
      <c r="F144" s="7" t="n">
        <f aca="false">IFERROR(Tableau1[[#This Row],[Score]]/Tableau1[[#This Row],[Nb]],0)</f>
        <v>0.833333333333333</v>
      </c>
    </row>
    <row r="145" customFormat="false" ht="30" hidden="false" customHeight="true" outlineLevel="0" collapsed="false">
      <c r="A145" s="1" t="s">
        <v>292</v>
      </c>
      <c r="B145" s="2" t="s">
        <v>293</v>
      </c>
      <c r="C145" s="6" t="n">
        <v>41420</v>
      </c>
      <c r="D145" s="3" t="n">
        <v>13</v>
      </c>
      <c r="E145" s="3" t="n">
        <v>11</v>
      </c>
      <c r="F145" s="7" t="n">
        <f aca="false">IFERROR(Tableau1[[#This Row],[Score]]/Tableau1[[#This Row],[Nb]],0)</f>
        <v>0.846153846153846</v>
      </c>
    </row>
    <row r="146" customFormat="false" ht="30" hidden="false" customHeight="true" outlineLevel="0" collapsed="false">
      <c r="A146" s="1" t="s">
        <v>294</v>
      </c>
      <c r="B146" s="2" t="s">
        <v>295</v>
      </c>
      <c r="C146" s="6" t="n">
        <v>41420</v>
      </c>
      <c r="D146" s="3" t="n">
        <v>15</v>
      </c>
      <c r="E146" s="3" t="n">
        <v>13</v>
      </c>
      <c r="F146" s="7" t="n">
        <f aca="false">IFERROR(Tableau1[[#This Row],[Score]]/Tableau1[[#This Row],[Nb]],0)</f>
        <v>0.866666666666667</v>
      </c>
    </row>
    <row r="147" customFormat="false" ht="30" hidden="false" customHeight="true" outlineLevel="0" collapsed="false">
      <c r="A147" s="8" t="s">
        <v>296</v>
      </c>
      <c r="B147" s="9" t="s">
        <v>297</v>
      </c>
      <c r="C147" s="6" t="n">
        <v>41420</v>
      </c>
      <c r="D147" s="3" t="n">
        <v>10</v>
      </c>
      <c r="E147" s="3" t="n">
        <v>10</v>
      </c>
      <c r="F147" s="7" t="n">
        <f aca="false">IFERROR(Tableau1[[#This Row],[Score]]/Tableau1[[#This Row],[Nb]],0)</f>
        <v>1</v>
      </c>
    </row>
    <row r="148" customFormat="false" ht="30" hidden="false" customHeight="true" outlineLevel="0" collapsed="false">
      <c r="A148" s="8" t="s">
        <v>298</v>
      </c>
      <c r="B148" s="9" t="s">
        <v>299</v>
      </c>
      <c r="C148" s="6" t="n">
        <v>41420</v>
      </c>
      <c r="D148" s="3" t="n">
        <v>10</v>
      </c>
      <c r="E148" s="3" t="n">
        <v>10</v>
      </c>
      <c r="F148" s="7" t="n">
        <f aca="false">IFERROR(Tableau1[[#This Row],[Score]]/Tableau1[[#This Row],[Nb]],0)</f>
        <v>1</v>
      </c>
    </row>
    <row r="149" customFormat="false" ht="30" hidden="false" customHeight="true" outlineLevel="0" collapsed="false">
      <c r="A149" s="1" t="s">
        <v>300</v>
      </c>
      <c r="B149" s="2" t="s">
        <v>301</v>
      </c>
      <c r="C149" s="6" t="n">
        <v>41420</v>
      </c>
      <c r="D149" s="3" t="n">
        <v>8</v>
      </c>
      <c r="E149" s="3" t="n">
        <v>8</v>
      </c>
      <c r="F149" s="7" t="n">
        <f aca="false">IFERROR(Tableau1[[#This Row],[Score]]/Tableau1[[#This Row],[Nb]],0)</f>
        <v>1</v>
      </c>
    </row>
    <row r="150" customFormat="false" ht="30" hidden="false" customHeight="true" outlineLevel="0" collapsed="false">
      <c r="A150" s="1" t="s">
        <v>302</v>
      </c>
      <c r="B150" s="2" t="s">
        <v>303</v>
      </c>
      <c r="C150" s="6" t="n">
        <v>41420</v>
      </c>
      <c r="D150" s="3" t="n">
        <v>9</v>
      </c>
      <c r="E150" s="3" t="n">
        <v>9</v>
      </c>
      <c r="F150" s="7" t="n">
        <f aca="false">IFERROR(Tableau1[[#This Row],[Score]]/Tableau1[[#This Row],[Nb]],0)</f>
        <v>1</v>
      </c>
    </row>
    <row r="151" customFormat="false" ht="30" hidden="false" customHeight="true" outlineLevel="0" collapsed="false">
      <c r="A151" s="1" t="s">
        <v>304</v>
      </c>
      <c r="B151" s="2" t="s">
        <v>305</v>
      </c>
      <c r="C151" s="6" t="n">
        <v>41420</v>
      </c>
      <c r="D151" s="3" t="n">
        <v>5</v>
      </c>
      <c r="E151" s="3" t="n">
        <v>5</v>
      </c>
      <c r="F151" s="7" t="n">
        <f aca="false">IFERROR(Tableau1[[#This Row],[Score]]/Tableau1[[#This Row],[Nb]],0)</f>
        <v>1</v>
      </c>
    </row>
    <row r="152" customFormat="false" ht="30" hidden="false" customHeight="true" outlineLevel="0" collapsed="false">
      <c r="A152" s="1" t="s">
        <v>306</v>
      </c>
      <c r="B152" s="2" t="s">
        <v>307</v>
      </c>
      <c r="C152" s="6" t="n">
        <v>41420</v>
      </c>
      <c r="D152" s="3" t="n">
        <v>5</v>
      </c>
      <c r="E152" s="3" t="n">
        <v>5</v>
      </c>
      <c r="F152" s="7" t="n">
        <f aca="false">IFERROR(Tableau1[[#This Row],[Score]]/Tableau1[[#This Row],[Nb]],0)</f>
        <v>1</v>
      </c>
    </row>
    <row r="153" customFormat="false" ht="30" hidden="false" customHeight="true" outlineLevel="0" collapsed="false">
      <c r="A153" s="1" t="s">
        <v>308</v>
      </c>
      <c r="B153" s="2" t="s">
        <v>309</v>
      </c>
      <c r="C153" s="6" t="n">
        <v>41420</v>
      </c>
      <c r="D153" s="3" t="n">
        <v>5</v>
      </c>
      <c r="E153" s="3" t="n">
        <v>5</v>
      </c>
      <c r="F153" s="7" t="n">
        <f aca="false">IFERROR(Tableau1[[#This Row],[Score]]/Tableau1[[#This Row],[Nb]],0)</f>
        <v>1</v>
      </c>
    </row>
    <row r="154" customFormat="false" ht="30" hidden="false" customHeight="true" outlineLevel="0" collapsed="false">
      <c r="A154" s="1" t="s">
        <v>310</v>
      </c>
      <c r="B154" s="2" t="s">
        <v>311</v>
      </c>
      <c r="C154" s="6" t="n">
        <v>41420</v>
      </c>
      <c r="D154" s="3" t="n">
        <v>5</v>
      </c>
      <c r="E154" s="3" t="n">
        <v>5</v>
      </c>
      <c r="F154" s="7" t="n">
        <f aca="false">IFERROR(Tableau1[[#This Row],[Score]]/Tableau1[[#This Row],[Nb]],0)</f>
        <v>1</v>
      </c>
    </row>
    <row r="155" customFormat="false" ht="30" hidden="false" customHeight="true" outlineLevel="0" collapsed="false">
      <c r="A155" s="1" t="s">
        <v>312</v>
      </c>
      <c r="B155" s="2" t="s">
        <v>313</v>
      </c>
      <c r="C155" s="6" t="n">
        <v>41420</v>
      </c>
      <c r="D155" s="3" t="n">
        <v>5</v>
      </c>
      <c r="E155" s="3" t="n">
        <v>5</v>
      </c>
      <c r="F155" s="7" t="n">
        <f aca="false">IFERROR(Tableau1[[#This Row],[Score]]/Tableau1[[#This Row],[Nb]],0)</f>
        <v>1</v>
      </c>
    </row>
    <row r="156" customFormat="false" ht="30" hidden="false" customHeight="true" outlineLevel="0" collapsed="false">
      <c r="A156" s="1" t="s">
        <v>314</v>
      </c>
      <c r="B156" s="2" t="s">
        <v>315</v>
      </c>
      <c r="C156" s="6" t="n">
        <v>41420</v>
      </c>
      <c r="D156" s="3" t="n">
        <v>7</v>
      </c>
      <c r="E156" s="3" t="n">
        <v>7</v>
      </c>
      <c r="F156" s="7" t="n">
        <f aca="false">IFERROR(Tableau1[[#This Row],[Score]]/Tableau1[[#This Row],[Nb]],0)</f>
        <v>1</v>
      </c>
    </row>
    <row r="157" customFormat="false" ht="30" hidden="false" customHeight="true" outlineLevel="0" collapsed="false">
      <c r="A157" s="1" t="s">
        <v>316</v>
      </c>
      <c r="B157" s="2" t="s">
        <v>317</v>
      </c>
      <c r="C157" s="6" t="n">
        <v>41420</v>
      </c>
      <c r="D157" s="3" t="n">
        <v>9</v>
      </c>
      <c r="E157" s="3" t="n">
        <v>9</v>
      </c>
      <c r="F157" s="7" t="n">
        <f aca="false">IFERROR(Tableau1[[#This Row],[Score]]/Tableau1[[#This Row],[Nb]],0)</f>
        <v>1</v>
      </c>
    </row>
    <row r="158" customFormat="false" ht="30" hidden="false" customHeight="true" outlineLevel="0" collapsed="false">
      <c r="A158" s="1" t="s">
        <v>318</v>
      </c>
      <c r="B158" s="2" t="s">
        <v>319</v>
      </c>
      <c r="C158" s="6" t="n">
        <v>41420</v>
      </c>
      <c r="D158" s="3" t="n">
        <v>9</v>
      </c>
      <c r="E158" s="3" t="n">
        <v>9</v>
      </c>
      <c r="F158" s="7" t="n">
        <f aca="false">IFERROR(Tableau1[[#This Row],[Score]]/Tableau1[[#This Row],[Nb]],0)</f>
        <v>1</v>
      </c>
    </row>
    <row r="159" customFormat="false" ht="30" hidden="false" customHeight="true" outlineLevel="0" collapsed="false">
      <c r="A159" s="1" t="s">
        <v>320</v>
      </c>
      <c r="B159" s="2" t="s">
        <v>321</v>
      </c>
      <c r="C159" s="6" t="n">
        <v>41422</v>
      </c>
      <c r="D159" s="3" t="n">
        <v>7</v>
      </c>
      <c r="E159" s="3" t="n">
        <v>-7</v>
      </c>
      <c r="F159" s="7" t="n">
        <f aca="false">IFERROR(Tableau1[[#This Row],[Score]]/Tableau1[[#This Row],[Nb]],0)</f>
        <v>-1</v>
      </c>
    </row>
    <row r="160" customFormat="false" ht="30" hidden="false" customHeight="true" outlineLevel="0" collapsed="false">
      <c r="A160" s="1" t="s">
        <v>322</v>
      </c>
      <c r="B160" s="2" t="s">
        <v>323</v>
      </c>
      <c r="C160" s="6" t="n">
        <v>41422</v>
      </c>
      <c r="D160" s="3" t="n">
        <v>8</v>
      </c>
      <c r="E160" s="3" t="n">
        <v>-6</v>
      </c>
      <c r="F160" s="7" t="n">
        <f aca="false">IFERROR(Tableau1[[#This Row],[Score]]/Tableau1[[#This Row],[Nb]],0)</f>
        <v>-0.75</v>
      </c>
    </row>
    <row r="161" customFormat="false" ht="30" hidden="false" customHeight="true" outlineLevel="0" collapsed="false">
      <c r="A161" s="1" t="s">
        <v>324</v>
      </c>
      <c r="B161" s="2" t="s">
        <v>325</v>
      </c>
      <c r="C161" s="6" t="n">
        <v>41422</v>
      </c>
      <c r="D161" s="3" t="n">
        <v>15</v>
      </c>
      <c r="E161" s="3" t="n">
        <v>-11</v>
      </c>
      <c r="F161" s="7" t="n">
        <f aca="false">IFERROR(Tableau1[[#This Row],[Score]]/Tableau1[[#This Row],[Nb]],0)</f>
        <v>-0.733333333333333</v>
      </c>
    </row>
    <row r="162" customFormat="false" ht="30" hidden="false" customHeight="true" outlineLevel="0" collapsed="false">
      <c r="A162" s="1" t="s">
        <v>326</v>
      </c>
      <c r="B162" s="2" t="s">
        <v>327</v>
      </c>
      <c r="C162" s="6" t="n">
        <v>41422</v>
      </c>
      <c r="D162" s="3" t="n">
        <v>15</v>
      </c>
      <c r="E162" s="3" t="n">
        <v>-5</v>
      </c>
      <c r="F162" s="7" t="n">
        <f aca="false">IFERROR(Tableau1[[#This Row],[Score]]/Tableau1[[#This Row],[Nb]],0)</f>
        <v>-0.333333333333333</v>
      </c>
    </row>
    <row r="163" customFormat="false" ht="30" hidden="false" customHeight="true" outlineLevel="0" collapsed="false">
      <c r="A163" s="1" t="s">
        <v>328</v>
      </c>
      <c r="B163" s="2" t="s">
        <v>329</v>
      </c>
      <c r="C163" s="6" t="n">
        <v>41422</v>
      </c>
      <c r="D163" s="3" t="n">
        <v>5</v>
      </c>
      <c r="E163" s="3" t="n">
        <v>-1</v>
      </c>
      <c r="F163" s="7" t="n">
        <f aca="false">IFERROR(Tableau1[[#This Row],[Score]]/Tableau1[[#This Row],[Nb]],0)</f>
        <v>-0.2</v>
      </c>
    </row>
    <row r="164" customFormat="false" ht="30" hidden="false" customHeight="true" outlineLevel="0" collapsed="false">
      <c r="A164" s="1" t="s">
        <v>330</v>
      </c>
      <c r="B164" s="2" t="s">
        <v>331</v>
      </c>
      <c r="C164" s="6" t="n">
        <v>41422</v>
      </c>
      <c r="D164" s="3" t="n">
        <v>13</v>
      </c>
      <c r="E164" s="3" t="n">
        <v>-1</v>
      </c>
      <c r="F164" s="7" t="n">
        <f aca="false">IFERROR(Tableau1[[#This Row],[Score]]/Tableau1[[#This Row],[Nb]],0)</f>
        <v>-0.0769230769230769</v>
      </c>
    </row>
    <row r="165" customFormat="false" ht="30" hidden="false" customHeight="true" outlineLevel="0" collapsed="false">
      <c r="A165" s="1" t="s">
        <v>332</v>
      </c>
      <c r="B165" s="2" t="s">
        <v>333</v>
      </c>
      <c r="C165" s="6" t="n">
        <v>41422</v>
      </c>
      <c r="D165" s="3" t="n">
        <v>21</v>
      </c>
      <c r="E165" s="3" t="n">
        <v>-1</v>
      </c>
      <c r="F165" s="7" t="n">
        <f aca="false">IFERROR(Tableau1[[#This Row],[Score]]/Tableau1[[#This Row],[Nb]],0)</f>
        <v>-0.0476190476190476</v>
      </c>
    </row>
    <row r="166" customFormat="false" ht="30" hidden="false" customHeight="true" outlineLevel="0" collapsed="false">
      <c r="A166" s="1" t="s">
        <v>334</v>
      </c>
      <c r="B166" s="2" t="s">
        <v>335</v>
      </c>
      <c r="C166" s="6" t="n">
        <v>41422</v>
      </c>
      <c r="D166" s="3" t="n">
        <v>4</v>
      </c>
      <c r="E166" s="3" t="n">
        <v>0</v>
      </c>
      <c r="F166" s="7" t="n">
        <f aca="false">IFERROR(Tableau1[[#This Row],[Score]]/Tableau1[[#This Row],[Nb]],0)</f>
        <v>0</v>
      </c>
    </row>
    <row r="167" customFormat="false" ht="30" hidden="false" customHeight="true" outlineLevel="0" collapsed="false">
      <c r="A167" s="1" t="s">
        <v>336</v>
      </c>
      <c r="B167" s="2" t="s">
        <v>337</v>
      </c>
      <c r="C167" s="6" t="n">
        <v>41422</v>
      </c>
      <c r="D167" s="3" t="n">
        <v>10</v>
      </c>
      <c r="E167" s="3" t="n">
        <v>0</v>
      </c>
      <c r="F167" s="7" t="n">
        <f aca="false">IFERROR(Tableau1[[#This Row],[Score]]/Tableau1[[#This Row],[Nb]],0)</f>
        <v>0</v>
      </c>
    </row>
    <row r="168" customFormat="false" ht="30" hidden="false" customHeight="true" outlineLevel="0" collapsed="false">
      <c r="A168" s="1" t="s">
        <v>338</v>
      </c>
      <c r="B168" s="2" t="s">
        <v>339</v>
      </c>
      <c r="C168" s="6" t="n">
        <v>41422</v>
      </c>
      <c r="D168" s="3" t="n">
        <v>7</v>
      </c>
      <c r="E168" s="3" t="n">
        <v>1</v>
      </c>
      <c r="F168" s="7" t="n">
        <f aca="false">IFERROR(Tableau1[[#This Row],[Score]]/Tableau1[[#This Row],[Nb]],0)</f>
        <v>0.142857142857143</v>
      </c>
    </row>
    <row r="169" customFormat="false" ht="30" hidden="false" customHeight="true" outlineLevel="0" collapsed="false">
      <c r="A169" s="1" t="s">
        <v>340</v>
      </c>
      <c r="B169" s="2" t="s">
        <v>341</v>
      </c>
      <c r="C169" s="6" t="n">
        <v>41422</v>
      </c>
      <c r="D169" s="3" t="n">
        <v>18</v>
      </c>
      <c r="E169" s="3" t="n">
        <v>4</v>
      </c>
      <c r="F169" s="7" t="n">
        <f aca="false">IFERROR(Tableau1[[#This Row],[Score]]/Tableau1[[#This Row],[Nb]],0)</f>
        <v>0.222222222222222</v>
      </c>
    </row>
    <row r="170" customFormat="false" ht="30" hidden="false" customHeight="true" outlineLevel="0" collapsed="false">
      <c r="A170" s="1" t="s">
        <v>342</v>
      </c>
      <c r="B170" s="2" t="s">
        <v>343</v>
      </c>
      <c r="C170" s="6" t="n">
        <v>41422</v>
      </c>
      <c r="D170" s="3" t="n">
        <v>6</v>
      </c>
      <c r="E170" s="3" t="n">
        <v>2</v>
      </c>
      <c r="F170" s="7" t="n">
        <f aca="false">IFERROR(Tableau1[[#This Row],[Score]]/Tableau1[[#This Row],[Nb]],0)</f>
        <v>0.333333333333333</v>
      </c>
    </row>
    <row r="171" customFormat="false" ht="30" hidden="false" customHeight="true" outlineLevel="0" collapsed="false">
      <c r="A171" s="1" t="s">
        <v>344</v>
      </c>
      <c r="B171" s="2" t="s">
        <v>345</v>
      </c>
      <c r="C171" s="6" t="n">
        <v>41422</v>
      </c>
      <c r="D171" s="3" t="n">
        <v>17</v>
      </c>
      <c r="E171" s="3" t="n">
        <v>11</v>
      </c>
      <c r="F171" s="7" t="n">
        <f aca="false">IFERROR(Tableau1[[#This Row],[Score]]/Tableau1[[#This Row],[Nb]],0)</f>
        <v>0.647058823529412</v>
      </c>
    </row>
    <row r="172" customFormat="false" ht="30" hidden="false" customHeight="true" outlineLevel="0" collapsed="false">
      <c r="A172" s="1" t="s">
        <v>346</v>
      </c>
      <c r="B172" s="2" t="s">
        <v>347</v>
      </c>
      <c r="C172" s="6" t="n">
        <v>41422</v>
      </c>
      <c r="D172" s="3" t="n">
        <v>6</v>
      </c>
      <c r="E172" s="3" t="n">
        <v>4</v>
      </c>
      <c r="F172" s="7" t="n">
        <f aca="false">IFERROR(Tableau1[[#This Row],[Score]]/Tableau1[[#This Row],[Nb]],0)</f>
        <v>0.666666666666667</v>
      </c>
    </row>
    <row r="173" customFormat="false" ht="30" hidden="false" customHeight="true" outlineLevel="0" collapsed="false">
      <c r="A173" s="1" t="s">
        <v>348</v>
      </c>
      <c r="B173" s="2" t="s">
        <v>349</v>
      </c>
      <c r="C173" s="6" t="n">
        <v>41422</v>
      </c>
      <c r="D173" s="3" t="n">
        <v>6</v>
      </c>
      <c r="E173" s="3" t="n">
        <v>4</v>
      </c>
      <c r="F173" s="7" t="n">
        <f aca="false">IFERROR(Tableau1[[#This Row],[Score]]/Tableau1[[#This Row],[Nb]],0)</f>
        <v>0.666666666666667</v>
      </c>
    </row>
    <row r="174" customFormat="false" ht="30" hidden="false" customHeight="true" outlineLevel="0" collapsed="false">
      <c r="A174" s="1" t="s">
        <v>350</v>
      </c>
      <c r="B174" s="2" t="s">
        <v>351</v>
      </c>
      <c r="C174" s="6" t="n">
        <v>41422</v>
      </c>
      <c r="D174" s="3" t="n">
        <v>7</v>
      </c>
      <c r="E174" s="3" t="n">
        <v>5</v>
      </c>
      <c r="F174" s="7" t="n">
        <f aca="false">IFERROR(Tableau1[[#This Row],[Score]]/Tableau1[[#This Row],[Nb]],0)</f>
        <v>0.714285714285714</v>
      </c>
    </row>
    <row r="175" customFormat="false" ht="30" hidden="false" customHeight="true" outlineLevel="0" collapsed="false">
      <c r="A175" s="1" t="s">
        <v>352</v>
      </c>
      <c r="B175" s="2" t="s">
        <v>353</v>
      </c>
      <c r="C175" s="6" t="n">
        <v>41422</v>
      </c>
      <c r="D175" s="3" t="n">
        <v>7</v>
      </c>
      <c r="E175" s="3" t="n">
        <v>5</v>
      </c>
      <c r="F175" s="7" t="n">
        <f aca="false">IFERROR(Tableau1[[#This Row],[Score]]/Tableau1[[#This Row],[Nb]],0)</f>
        <v>0.714285714285714</v>
      </c>
    </row>
    <row r="176" customFormat="false" ht="30" hidden="false" customHeight="true" outlineLevel="0" collapsed="false">
      <c r="A176" s="1" t="s">
        <v>354</v>
      </c>
      <c r="B176" s="2" t="s">
        <v>355</v>
      </c>
      <c r="C176" s="6" t="n">
        <v>41422</v>
      </c>
      <c r="D176" s="3" t="n">
        <v>10</v>
      </c>
      <c r="E176" s="3" t="n">
        <v>8</v>
      </c>
      <c r="F176" s="7" t="n">
        <f aca="false">IFERROR(Tableau1[[#This Row],[Score]]/Tableau1[[#This Row],[Nb]],0)</f>
        <v>0.8</v>
      </c>
    </row>
    <row r="177" customFormat="false" ht="30" hidden="false" customHeight="true" outlineLevel="0" collapsed="false">
      <c r="A177" s="1" t="s">
        <v>356</v>
      </c>
      <c r="B177" s="2" t="s">
        <v>357</v>
      </c>
      <c r="C177" s="6" t="n">
        <v>41422</v>
      </c>
      <c r="D177" s="3" t="n">
        <v>10</v>
      </c>
      <c r="E177" s="3" t="n">
        <v>8</v>
      </c>
      <c r="F177" s="7" t="n">
        <f aca="false">IFERROR(Tableau1[[#This Row],[Score]]/Tableau1[[#This Row],[Nb]],0)</f>
        <v>0.8</v>
      </c>
    </row>
    <row r="178" customFormat="false" ht="30" hidden="false" customHeight="true" outlineLevel="0" collapsed="false">
      <c r="A178" s="1" t="s">
        <v>358</v>
      </c>
      <c r="B178" s="2" t="s">
        <v>359</v>
      </c>
      <c r="C178" s="6" t="n">
        <v>41422</v>
      </c>
      <c r="D178" s="3" t="n">
        <v>15</v>
      </c>
      <c r="E178" s="3" t="n">
        <v>12</v>
      </c>
      <c r="F178" s="7" t="n">
        <f aca="false">IFERROR(Tableau1[[#This Row],[Score]]/Tableau1[[#This Row],[Nb]],0)</f>
        <v>0.8</v>
      </c>
    </row>
    <row r="179" customFormat="false" ht="30" hidden="false" customHeight="true" outlineLevel="0" collapsed="false">
      <c r="A179" s="1" t="s">
        <v>360</v>
      </c>
      <c r="B179" s="2" t="s">
        <v>361</v>
      </c>
      <c r="C179" s="6" t="n">
        <v>41422</v>
      </c>
      <c r="D179" s="3" t="n">
        <v>11</v>
      </c>
      <c r="E179" s="3" t="n">
        <v>9</v>
      </c>
      <c r="F179" s="7" t="n">
        <f aca="false">IFERROR(Tableau1[[#This Row],[Score]]/Tableau1[[#This Row],[Nb]],0)</f>
        <v>0.818181818181818</v>
      </c>
    </row>
    <row r="180" customFormat="false" ht="30" hidden="false" customHeight="true" outlineLevel="0" collapsed="false">
      <c r="A180" s="1" t="s">
        <v>362</v>
      </c>
      <c r="B180" s="2" t="s">
        <v>363</v>
      </c>
      <c r="C180" s="6" t="n">
        <v>41422</v>
      </c>
      <c r="D180" s="3" t="n">
        <v>12</v>
      </c>
      <c r="E180" s="3" t="n">
        <v>10</v>
      </c>
      <c r="F180" s="7" t="n">
        <f aca="false">IFERROR(Tableau1[[#This Row],[Score]]/Tableau1[[#This Row],[Nb]],0)</f>
        <v>0.833333333333333</v>
      </c>
    </row>
    <row r="181" customFormat="false" ht="30" hidden="false" customHeight="true" outlineLevel="0" collapsed="false">
      <c r="A181" s="1" t="s">
        <v>364</v>
      </c>
      <c r="B181" s="2" t="s">
        <v>365</v>
      </c>
      <c r="C181" s="6" t="n">
        <v>41422</v>
      </c>
      <c r="D181" s="3" t="n">
        <v>13</v>
      </c>
      <c r="E181" s="3" t="n">
        <v>11</v>
      </c>
      <c r="F181" s="7" t="n">
        <f aca="false">IFERROR(Tableau1[[#This Row],[Score]]/Tableau1[[#This Row],[Nb]],0)</f>
        <v>0.846153846153846</v>
      </c>
    </row>
    <row r="182" customFormat="false" ht="30" hidden="false" customHeight="true" outlineLevel="0" collapsed="false">
      <c r="A182" s="1" t="s">
        <v>366</v>
      </c>
      <c r="B182" s="2" t="s">
        <v>367</v>
      </c>
      <c r="C182" s="6" t="n">
        <v>41422</v>
      </c>
      <c r="D182" s="3" t="n">
        <v>20</v>
      </c>
      <c r="E182" s="3" t="n">
        <v>17</v>
      </c>
      <c r="F182" s="7" t="n">
        <f aca="false">IFERROR(Tableau1[[#This Row],[Score]]/Tableau1[[#This Row],[Nb]],0)</f>
        <v>0.85</v>
      </c>
    </row>
    <row r="183" customFormat="false" ht="30" hidden="false" customHeight="true" outlineLevel="0" collapsed="false">
      <c r="A183" s="1" t="s">
        <v>368</v>
      </c>
      <c r="B183" s="2" t="s">
        <v>369</v>
      </c>
      <c r="C183" s="6" t="n">
        <v>41422</v>
      </c>
      <c r="D183" s="3" t="n">
        <v>11</v>
      </c>
      <c r="E183" s="3" t="n">
        <v>10</v>
      </c>
      <c r="F183" s="7" t="n">
        <f aca="false">IFERROR(Tableau1[[#This Row],[Score]]/Tableau1[[#This Row],[Nb]],0)</f>
        <v>0.909090909090909</v>
      </c>
    </row>
    <row r="184" customFormat="false" ht="30" hidden="false" customHeight="true" outlineLevel="0" collapsed="false">
      <c r="A184" s="1" t="s">
        <v>370</v>
      </c>
      <c r="B184" s="2" t="s">
        <v>371</v>
      </c>
      <c r="C184" s="6" t="n">
        <v>41422</v>
      </c>
      <c r="D184" s="3" t="n">
        <v>11</v>
      </c>
      <c r="E184" s="3" t="n">
        <v>10</v>
      </c>
      <c r="F184" s="7" t="n">
        <f aca="false">IFERROR(Tableau1[[#This Row],[Score]]/Tableau1[[#This Row],[Nb]],0)</f>
        <v>0.909090909090909</v>
      </c>
    </row>
    <row r="185" customFormat="false" ht="30" hidden="false" customHeight="true" outlineLevel="0" collapsed="false">
      <c r="A185" s="1" t="s">
        <v>372</v>
      </c>
      <c r="B185" s="2" t="s">
        <v>373</v>
      </c>
      <c r="C185" s="6" t="n">
        <v>41422</v>
      </c>
      <c r="D185" s="3" t="n">
        <v>13</v>
      </c>
      <c r="E185" s="3" t="n">
        <v>12</v>
      </c>
      <c r="F185" s="7" t="n">
        <f aca="false">IFERROR(Tableau1[[#This Row],[Score]]/Tableau1[[#This Row],[Nb]],0)</f>
        <v>0.923076923076923</v>
      </c>
    </row>
    <row r="186" customFormat="false" ht="30" hidden="false" customHeight="true" outlineLevel="0" collapsed="false">
      <c r="A186" s="8" t="s">
        <v>374</v>
      </c>
      <c r="B186" s="9" t="s">
        <v>375</v>
      </c>
      <c r="C186" s="6" t="n">
        <v>41422</v>
      </c>
      <c r="D186" s="3" t="n">
        <v>10</v>
      </c>
      <c r="E186" s="3" t="n">
        <v>10</v>
      </c>
      <c r="F186" s="7" t="n">
        <f aca="false">IFERROR(Tableau1[[#This Row],[Score]]/Tableau1[[#This Row],[Nb]],0)</f>
        <v>1</v>
      </c>
    </row>
    <row r="187" customFormat="false" ht="30" hidden="false" customHeight="true" outlineLevel="0" collapsed="false">
      <c r="A187" s="8" t="s">
        <v>376</v>
      </c>
      <c r="B187" s="9" t="s">
        <v>377</v>
      </c>
      <c r="C187" s="6" t="n">
        <v>41422</v>
      </c>
      <c r="D187" s="3" t="n">
        <v>10</v>
      </c>
      <c r="E187" s="3" t="n">
        <v>10</v>
      </c>
      <c r="F187" s="7" t="n">
        <f aca="false">IFERROR(Tableau1[[#This Row],[Score]]/Tableau1[[#This Row],[Nb]],0)</f>
        <v>1</v>
      </c>
    </row>
    <row r="188" customFormat="false" ht="30" hidden="false" customHeight="true" outlineLevel="0" collapsed="false">
      <c r="A188" s="1" t="s">
        <v>378</v>
      </c>
      <c r="B188" s="2" t="s">
        <v>379</v>
      </c>
      <c r="C188" s="6" t="n">
        <v>41422</v>
      </c>
      <c r="D188" s="3" t="n">
        <v>1</v>
      </c>
      <c r="E188" s="3" t="n">
        <v>1</v>
      </c>
      <c r="F188" s="7" t="n">
        <f aca="false">IFERROR(Tableau1[[#This Row],[Score]]/Tableau1[[#This Row],[Nb]],0)</f>
        <v>1</v>
      </c>
    </row>
    <row r="189" customFormat="false" ht="30" hidden="false" customHeight="true" outlineLevel="0" collapsed="false">
      <c r="A189" s="1" t="s">
        <v>380</v>
      </c>
      <c r="B189" s="2" t="s">
        <v>381</v>
      </c>
      <c r="C189" s="6" t="n">
        <v>41422</v>
      </c>
      <c r="D189" s="3" t="n">
        <v>5</v>
      </c>
      <c r="E189" s="3" t="n">
        <v>5</v>
      </c>
      <c r="F189" s="7" t="n">
        <f aca="false">IFERROR(Tableau1[[#This Row],[Score]]/Tableau1[[#This Row],[Nb]],0)</f>
        <v>1</v>
      </c>
    </row>
    <row r="190" customFormat="false" ht="30" hidden="false" customHeight="true" outlineLevel="0" collapsed="false">
      <c r="A190" s="1" t="s">
        <v>382</v>
      </c>
      <c r="B190" s="2" t="s">
        <v>383</v>
      </c>
      <c r="C190" s="6" t="n">
        <v>41422</v>
      </c>
      <c r="D190" s="3" t="n">
        <v>6</v>
      </c>
      <c r="E190" s="3" t="n">
        <v>6</v>
      </c>
      <c r="F190" s="7" t="n">
        <f aca="false">IFERROR(Tableau1[[#This Row],[Score]]/Tableau1[[#This Row],[Nb]],0)</f>
        <v>1</v>
      </c>
    </row>
    <row r="191" customFormat="false" ht="30" hidden="false" customHeight="true" outlineLevel="0" collapsed="false">
      <c r="A191" s="1" t="s">
        <v>384</v>
      </c>
      <c r="B191" s="2" t="s">
        <v>385</v>
      </c>
      <c r="C191" s="6" t="n">
        <v>41422</v>
      </c>
      <c r="D191" s="3" t="n">
        <v>7</v>
      </c>
      <c r="E191" s="3" t="n">
        <v>7</v>
      </c>
      <c r="F191" s="7" t="n">
        <f aca="false">IFERROR(Tableau1[[#This Row],[Score]]/Tableau1[[#This Row],[Nb]],0)</f>
        <v>1</v>
      </c>
    </row>
    <row r="192" customFormat="false" ht="30" hidden="false" customHeight="true" outlineLevel="0" collapsed="false">
      <c r="A192" s="1" t="s">
        <v>386</v>
      </c>
      <c r="B192" s="2" t="s">
        <v>387</v>
      </c>
      <c r="C192" s="6" t="n">
        <v>41422</v>
      </c>
      <c r="D192" s="3" t="n">
        <v>9</v>
      </c>
      <c r="E192" s="3" t="n">
        <v>9</v>
      </c>
      <c r="F192" s="7" t="n">
        <f aca="false">IFERROR(Tableau1[[#This Row],[Score]]/Tableau1[[#This Row],[Nb]],0)</f>
        <v>1</v>
      </c>
    </row>
    <row r="193" customFormat="false" ht="30" hidden="false" customHeight="true" outlineLevel="0" collapsed="false">
      <c r="A193" s="1" t="s">
        <v>388</v>
      </c>
      <c r="B193" s="2" t="s">
        <v>389</v>
      </c>
      <c r="C193" s="6" t="n">
        <v>41422</v>
      </c>
      <c r="D193" s="3" t="n">
        <v>9</v>
      </c>
      <c r="E193" s="3" t="n">
        <v>9</v>
      </c>
      <c r="F193" s="7" t="n">
        <f aca="false">IFERROR(Tableau1[[#This Row],[Score]]/Tableau1[[#This Row],[Nb]],0)</f>
        <v>1</v>
      </c>
    </row>
    <row r="194" customFormat="false" ht="30" hidden="false" customHeight="true" outlineLevel="0" collapsed="false">
      <c r="A194" s="1" t="s">
        <v>390</v>
      </c>
      <c r="B194" s="2" t="s">
        <v>391</v>
      </c>
      <c r="C194" s="6" t="n">
        <v>41422</v>
      </c>
      <c r="D194" s="3" t="n">
        <v>9</v>
      </c>
      <c r="E194" s="3" t="n">
        <v>9</v>
      </c>
      <c r="F194" s="7" t="n">
        <f aca="false">IFERROR(Tableau1[[#This Row],[Score]]/Tableau1[[#This Row],[Nb]],0)</f>
        <v>1</v>
      </c>
    </row>
    <row r="195" customFormat="false" ht="30" hidden="false" customHeight="true" outlineLevel="0" collapsed="false">
      <c r="A195" s="1" t="s">
        <v>392</v>
      </c>
      <c r="B195" s="2" t="s">
        <v>393</v>
      </c>
      <c r="C195" s="6" t="n">
        <v>41424</v>
      </c>
      <c r="D195" s="3" t="n">
        <v>5</v>
      </c>
      <c r="E195" s="3" t="n">
        <v>-5</v>
      </c>
      <c r="F195" s="7" t="n">
        <f aca="false">IFERROR(Tableau1[[#This Row],[Score]]/Tableau1[[#This Row],[Nb]],0)</f>
        <v>-1</v>
      </c>
    </row>
    <row r="196" customFormat="false" ht="30" hidden="false" customHeight="true" outlineLevel="0" collapsed="false">
      <c r="A196" s="1" t="s">
        <v>394</v>
      </c>
      <c r="B196" s="2" t="s">
        <v>395</v>
      </c>
      <c r="C196" s="6" t="n">
        <v>41424</v>
      </c>
      <c r="D196" s="3" t="n">
        <v>5</v>
      </c>
      <c r="E196" s="3" t="n">
        <v>-5</v>
      </c>
      <c r="F196" s="7" t="n">
        <f aca="false">IFERROR(Tableau1[[#This Row],[Score]]/Tableau1[[#This Row],[Nb]],0)</f>
        <v>-1</v>
      </c>
    </row>
    <row r="197" customFormat="false" ht="30" hidden="false" customHeight="true" outlineLevel="0" collapsed="false">
      <c r="A197" s="1" t="s">
        <v>396</v>
      </c>
      <c r="B197" s="2" t="s">
        <v>397</v>
      </c>
      <c r="C197" s="6" t="n">
        <v>41424</v>
      </c>
      <c r="D197" s="3" t="n">
        <v>8</v>
      </c>
      <c r="E197" s="3" t="n">
        <v>-8</v>
      </c>
      <c r="F197" s="7" t="n">
        <f aca="false">IFERROR(Tableau1[[#This Row],[Score]]/Tableau1[[#This Row],[Nb]],0)</f>
        <v>-1</v>
      </c>
    </row>
    <row r="198" customFormat="false" ht="30" hidden="false" customHeight="true" outlineLevel="0" collapsed="false">
      <c r="A198" s="1" t="s">
        <v>398</v>
      </c>
      <c r="B198" s="2" t="s">
        <v>399</v>
      </c>
      <c r="C198" s="6" t="n">
        <v>41424</v>
      </c>
      <c r="D198" s="3" t="n">
        <v>12</v>
      </c>
      <c r="E198" s="3" t="n">
        <v>-10</v>
      </c>
      <c r="F198" s="7" t="n">
        <f aca="false">IFERROR(Tableau1[[#This Row],[Score]]/Tableau1[[#This Row],[Nb]],0)</f>
        <v>-0.833333333333333</v>
      </c>
    </row>
    <row r="199" customFormat="false" ht="30" hidden="false" customHeight="true" outlineLevel="0" collapsed="false">
      <c r="A199" s="1" t="s">
        <v>400</v>
      </c>
      <c r="B199" s="2" t="s">
        <v>401</v>
      </c>
      <c r="C199" s="6" t="n">
        <v>41424</v>
      </c>
      <c r="D199" s="3" t="n">
        <v>12</v>
      </c>
      <c r="E199" s="3" t="n">
        <v>-8</v>
      </c>
      <c r="F199" s="7" t="n">
        <f aca="false">IFERROR(Tableau1[[#This Row],[Score]]/Tableau1[[#This Row],[Nb]],0)</f>
        <v>-0.666666666666667</v>
      </c>
    </row>
    <row r="200" customFormat="false" ht="30" hidden="false" customHeight="true" outlineLevel="0" collapsed="false">
      <c r="A200" s="1" t="s">
        <v>402</v>
      </c>
      <c r="B200" s="2" t="s">
        <v>403</v>
      </c>
      <c r="C200" s="6" t="n">
        <v>41424</v>
      </c>
      <c r="D200" s="3" t="n">
        <v>9</v>
      </c>
      <c r="E200" s="3" t="n">
        <v>-5</v>
      </c>
      <c r="F200" s="7" t="n">
        <f aca="false">IFERROR(Tableau1[[#This Row],[Score]]/Tableau1[[#This Row],[Nb]],0)</f>
        <v>-0.555555555555556</v>
      </c>
    </row>
    <row r="201" customFormat="false" ht="30" hidden="false" customHeight="true" outlineLevel="0" collapsed="false">
      <c r="A201" s="1" t="s">
        <v>404</v>
      </c>
      <c r="B201" s="2" t="s">
        <v>405</v>
      </c>
      <c r="C201" s="6" t="n">
        <v>41424</v>
      </c>
      <c r="D201" s="3" t="n">
        <v>4</v>
      </c>
      <c r="E201" s="3" t="n">
        <v>-2</v>
      </c>
      <c r="F201" s="7" t="n">
        <f aca="false">IFERROR(Tableau1[[#This Row],[Score]]/Tableau1[[#This Row],[Nb]],0)</f>
        <v>-0.5</v>
      </c>
    </row>
    <row r="202" customFormat="false" ht="30" hidden="false" customHeight="true" outlineLevel="0" collapsed="false">
      <c r="A202" s="1" t="s">
        <v>406</v>
      </c>
      <c r="B202" s="2" t="s">
        <v>407</v>
      </c>
      <c r="C202" s="6" t="n">
        <v>41424</v>
      </c>
      <c r="D202" s="3" t="n">
        <v>20</v>
      </c>
      <c r="E202" s="3" t="n">
        <v>-8</v>
      </c>
      <c r="F202" s="7" t="n">
        <f aca="false">IFERROR(Tableau1[[#This Row],[Score]]/Tableau1[[#This Row],[Nb]],0)</f>
        <v>-0.4</v>
      </c>
    </row>
    <row r="203" customFormat="false" ht="30" hidden="false" customHeight="true" outlineLevel="0" collapsed="false">
      <c r="A203" s="1" t="s">
        <v>408</v>
      </c>
      <c r="B203" s="2" t="s">
        <v>409</v>
      </c>
      <c r="C203" s="6" t="n">
        <v>41424</v>
      </c>
      <c r="D203" s="3" t="n">
        <v>10</v>
      </c>
      <c r="E203" s="3" t="n">
        <v>-4</v>
      </c>
      <c r="F203" s="7" t="n">
        <f aca="false">IFERROR(Tableau1[[#This Row],[Score]]/Tableau1[[#This Row],[Nb]],0)</f>
        <v>-0.4</v>
      </c>
    </row>
    <row r="204" customFormat="false" ht="30" hidden="false" customHeight="true" outlineLevel="0" collapsed="false">
      <c r="A204" s="1" t="s">
        <v>410</v>
      </c>
      <c r="B204" s="2" t="s">
        <v>411</v>
      </c>
      <c r="C204" s="6" t="n">
        <v>41424</v>
      </c>
      <c r="D204" s="3" t="n">
        <v>11</v>
      </c>
      <c r="E204" s="3" t="n">
        <v>-3</v>
      </c>
      <c r="F204" s="7" t="n">
        <f aca="false">IFERROR(Tableau1[[#This Row],[Score]]/Tableau1[[#This Row],[Nb]],0)</f>
        <v>-0.272727272727273</v>
      </c>
    </row>
    <row r="205" customFormat="false" ht="30" hidden="false" customHeight="true" outlineLevel="0" collapsed="false">
      <c r="A205" s="1" t="s">
        <v>412</v>
      </c>
      <c r="B205" s="2" t="s">
        <v>413</v>
      </c>
      <c r="C205" s="6" t="n">
        <v>41424</v>
      </c>
      <c r="D205" s="3" t="n">
        <v>7</v>
      </c>
      <c r="E205" s="3" t="n">
        <v>-1</v>
      </c>
      <c r="F205" s="7" t="n">
        <f aca="false">IFERROR(Tableau1[[#This Row],[Score]]/Tableau1[[#This Row],[Nb]],0)</f>
        <v>-0.142857142857143</v>
      </c>
    </row>
    <row r="206" customFormat="false" ht="30" hidden="false" customHeight="true" outlineLevel="0" collapsed="false">
      <c r="A206" s="1" t="s">
        <v>414</v>
      </c>
      <c r="B206" s="2" t="s">
        <v>415</v>
      </c>
      <c r="C206" s="6" t="n">
        <v>41424</v>
      </c>
      <c r="D206" s="3" t="n">
        <v>17</v>
      </c>
      <c r="E206" s="3" t="n">
        <v>-3</v>
      </c>
      <c r="F206" s="7" t="n">
        <f aca="false">IFERROR(Tableau1[[#This Row],[Score]]/Tableau1[[#This Row],[Nb]],0)</f>
        <v>-0.176470588235294</v>
      </c>
    </row>
    <row r="207" customFormat="false" ht="30" hidden="false" customHeight="true" outlineLevel="0" collapsed="false">
      <c r="A207" s="1" t="s">
        <v>416</v>
      </c>
      <c r="B207" s="2" t="s">
        <v>417</v>
      </c>
      <c r="C207" s="6" t="n">
        <v>41424</v>
      </c>
      <c r="D207" s="3" t="n">
        <v>8</v>
      </c>
      <c r="E207" s="3" t="n">
        <v>0</v>
      </c>
      <c r="F207" s="7" t="n">
        <f aca="false">IFERROR(Tableau1[[#This Row],[Score]]/Tableau1[[#This Row],[Nb]],0)</f>
        <v>0</v>
      </c>
    </row>
    <row r="208" customFormat="false" ht="30" hidden="false" customHeight="true" outlineLevel="0" collapsed="false">
      <c r="A208" s="1" t="s">
        <v>418</v>
      </c>
      <c r="B208" s="2" t="s">
        <v>419</v>
      </c>
      <c r="C208" s="6" t="n">
        <v>41424</v>
      </c>
      <c r="D208" s="3" t="n">
        <v>6</v>
      </c>
      <c r="E208" s="3" t="n">
        <v>0</v>
      </c>
      <c r="F208" s="7" t="n">
        <f aca="false">IFERROR(Tableau1[[#This Row],[Score]]/Tableau1[[#This Row],[Nb]],0)</f>
        <v>0</v>
      </c>
    </row>
    <row r="209" customFormat="false" ht="30" hidden="false" customHeight="true" outlineLevel="0" collapsed="false">
      <c r="A209" s="1" t="s">
        <v>420</v>
      </c>
      <c r="B209" s="2" t="s">
        <v>421</v>
      </c>
      <c r="C209" s="6" t="n">
        <v>41424</v>
      </c>
      <c r="D209" s="3" t="n">
        <v>9</v>
      </c>
      <c r="E209" s="3" t="n">
        <v>1</v>
      </c>
      <c r="F209" s="7" t="n">
        <f aca="false">IFERROR(Tableau1[[#This Row],[Score]]/Tableau1[[#This Row],[Nb]],0)</f>
        <v>0.111111111111111</v>
      </c>
    </row>
    <row r="210" customFormat="false" ht="30" hidden="false" customHeight="true" outlineLevel="0" collapsed="false">
      <c r="A210" s="1" t="s">
        <v>422</v>
      </c>
      <c r="B210" s="2" t="s">
        <v>423</v>
      </c>
      <c r="C210" s="6" t="n">
        <v>41424</v>
      </c>
      <c r="D210" s="3" t="n">
        <v>7</v>
      </c>
      <c r="E210" s="3" t="n">
        <v>1</v>
      </c>
      <c r="F210" s="7" t="n">
        <f aca="false">IFERROR(Tableau1[[#This Row],[Score]]/Tableau1[[#This Row],[Nb]],0)</f>
        <v>0.142857142857143</v>
      </c>
    </row>
    <row r="211" customFormat="false" ht="30" hidden="false" customHeight="true" outlineLevel="0" collapsed="false">
      <c r="A211" s="1" t="s">
        <v>424</v>
      </c>
      <c r="B211" s="2" t="s">
        <v>425</v>
      </c>
      <c r="C211" s="6" t="n">
        <v>41424</v>
      </c>
      <c r="D211" s="3" t="n">
        <v>7</v>
      </c>
      <c r="E211" s="3" t="n">
        <v>1</v>
      </c>
      <c r="F211" s="7" t="n">
        <f aca="false">IFERROR(Tableau1[[#This Row],[Score]]/Tableau1[[#This Row],[Nb]],0)</f>
        <v>0.142857142857143</v>
      </c>
    </row>
    <row r="212" customFormat="false" ht="30" hidden="false" customHeight="true" outlineLevel="0" collapsed="false">
      <c r="A212" s="1" t="s">
        <v>426</v>
      </c>
      <c r="B212" s="2" t="s">
        <v>427</v>
      </c>
      <c r="C212" s="6" t="n">
        <v>41424</v>
      </c>
      <c r="D212" s="3" t="n">
        <v>12</v>
      </c>
      <c r="E212" s="3" t="n">
        <v>2</v>
      </c>
      <c r="F212" s="7" t="n">
        <f aca="false">IFERROR(Tableau1[[#This Row],[Score]]/Tableau1[[#This Row],[Nb]],0)</f>
        <v>0.166666666666667</v>
      </c>
    </row>
    <row r="213" customFormat="false" ht="30" hidden="false" customHeight="true" outlineLevel="0" collapsed="false">
      <c r="A213" s="1" t="s">
        <v>428</v>
      </c>
      <c r="B213" s="2" t="s">
        <v>429</v>
      </c>
      <c r="C213" s="6" t="n">
        <v>41424</v>
      </c>
      <c r="D213" s="3" t="n">
        <v>12</v>
      </c>
      <c r="E213" s="3" t="n">
        <v>2</v>
      </c>
      <c r="F213" s="7" t="n">
        <f aca="false">IFERROR(Tableau1[[#This Row],[Score]]/Tableau1[[#This Row],[Nb]],0)</f>
        <v>0.166666666666667</v>
      </c>
    </row>
    <row r="214" customFormat="false" ht="30" hidden="false" customHeight="true" outlineLevel="0" collapsed="false">
      <c r="A214" s="1" t="s">
        <v>430</v>
      </c>
      <c r="B214" s="2" t="s">
        <v>431</v>
      </c>
      <c r="C214" s="6" t="n">
        <v>41424</v>
      </c>
      <c r="D214" s="3" t="n">
        <v>15</v>
      </c>
      <c r="E214" s="3" t="n">
        <v>3</v>
      </c>
      <c r="F214" s="7" t="n">
        <f aca="false">IFERROR(Tableau1[[#This Row],[Score]]/Tableau1[[#This Row],[Nb]],0)</f>
        <v>0.2</v>
      </c>
    </row>
    <row r="215" customFormat="false" ht="30" hidden="false" customHeight="true" outlineLevel="0" collapsed="false">
      <c r="A215" s="1" t="s">
        <v>432</v>
      </c>
      <c r="B215" s="2" t="s">
        <v>433</v>
      </c>
      <c r="C215" s="6" t="n">
        <v>41424</v>
      </c>
      <c r="D215" s="3" t="n">
        <v>8</v>
      </c>
      <c r="E215" s="3" t="n">
        <v>2</v>
      </c>
      <c r="F215" s="7" t="n">
        <f aca="false">IFERROR(Tableau1[[#This Row],[Score]]/Tableau1[[#This Row],[Nb]],0)</f>
        <v>0.25</v>
      </c>
    </row>
    <row r="216" customFormat="false" ht="30" hidden="false" customHeight="true" outlineLevel="0" collapsed="false">
      <c r="A216" s="1" t="s">
        <v>434</v>
      </c>
      <c r="B216" s="2" t="s">
        <v>435</v>
      </c>
      <c r="C216" s="6" t="n">
        <v>41424</v>
      </c>
      <c r="D216" s="3" t="n">
        <v>23</v>
      </c>
      <c r="E216" s="3" t="n">
        <v>7</v>
      </c>
      <c r="F216" s="7" t="n">
        <f aca="false">IFERROR(Tableau1[[#This Row],[Score]]/Tableau1[[#This Row],[Nb]],0)</f>
        <v>0.304347826086957</v>
      </c>
    </row>
    <row r="217" customFormat="false" ht="30" hidden="false" customHeight="true" outlineLevel="0" collapsed="false">
      <c r="A217" s="1" t="s">
        <v>436</v>
      </c>
      <c r="B217" s="2" t="s">
        <v>437</v>
      </c>
      <c r="C217" s="6" t="n">
        <v>41424</v>
      </c>
      <c r="D217" s="3" t="n">
        <v>6</v>
      </c>
      <c r="E217" s="3" t="n">
        <v>2</v>
      </c>
      <c r="F217" s="7" t="n">
        <f aca="false">IFERROR(Tableau1[[#This Row],[Score]]/Tableau1[[#This Row],[Nb]],0)</f>
        <v>0.333333333333333</v>
      </c>
    </row>
    <row r="218" customFormat="false" ht="30" hidden="false" customHeight="true" outlineLevel="0" collapsed="false">
      <c r="A218" s="1" t="s">
        <v>438</v>
      </c>
      <c r="B218" s="2" t="s">
        <v>439</v>
      </c>
      <c r="C218" s="6" t="n">
        <v>41424</v>
      </c>
      <c r="D218" s="3" t="n">
        <v>10</v>
      </c>
      <c r="E218" s="3" t="n">
        <v>4</v>
      </c>
      <c r="F218" s="7" t="n">
        <f aca="false">IFERROR(Tableau1[[#This Row],[Score]]/Tableau1[[#This Row],[Nb]],0)</f>
        <v>0.4</v>
      </c>
    </row>
    <row r="219" customFormat="false" ht="30" hidden="false" customHeight="true" outlineLevel="0" collapsed="false">
      <c r="A219" s="1" t="s">
        <v>440</v>
      </c>
      <c r="B219" s="2" t="s">
        <v>441</v>
      </c>
      <c r="C219" s="6" t="n">
        <v>41424</v>
      </c>
      <c r="D219" s="3" t="n">
        <v>10</v>
      </c>
      <c r="E219" s="3" t="n">
        <v>4</v>
      </c>
      <c r="F219" s="7" t="n">
        <f aca="false">IFERROR(Tableau1[[#This Row],[Score]]/Tableau1[[#This Row],[Nb]],0)</f>
        <v>0.4</v>
      </c>
    </row>
    <row r="220" customFormat="false" ht="30" hidden="false" customHeight="true" outlineLevel="0" collapsed="false">
      <c r="A220" s="1" t="s">
        <v>442</v>
      </c>
      <c r="B220" s="2" t="s">
        <v>443</v>
      </c>
      <c r="C220" s="6" t="n">
        <v>41424</v>
      </c>
      <c r="D220" s="3" t="n">
        <v>7</v>
      </c>
      <c r="E220" s="3" t="n">
        <v>3</v>
      </c>
      <c r="F220" s="7" t="n">
        <f aca="false">IFERROR(Tableau1[[#This Row],[Score]]/Tableau1[[#This Row],[Nb]],0)</f>
        <v>0.428571428571429</v>
      </c>
    </row>
    <row r="221" customFormat="false" ht="30" hidden="false" customHeight="true" outlineLevel="0" collapsed="false">
      <c r="A221" s="1" t="s">
        <v>444</v>
      </c>
      <c r="B221" s="2" t="s">
        <v>445</v>
      </c>
      <c r="C221" s="6" t="n">
        <v>41424</v>
      </c>
      <c r="D221" s="3" t="n">
        <v>15</v>
      </c>
      <c r="E221" s="3" t="n">
        <v>7</v>
      </c>
      <c r="F221" s="7" t="n">
        <f aca="false">IFERROR(Tableau1[[#This Row],[Score]]/Tableau1[[#This Row],[Nb]],0)</f>
        <v>0.466666666666667</v>
      </c>
    </row>
    <row r="222" customFormat="false" ht="30" hidden="false" customHeight="true" outlineLevel="0" collapsed="false">
      <c r="A222" s="1" t="s">
        <v>446</v>
      </c>
      <c r="B222" s="2" t="s">
        <v>447</v>
      </c>
      <c r="C222" s="6" t="n">
        <v>41424</v>
      </c>
      <c r="D222" s="3" t="n">
        <v>13</v>
      </c>
      <c r="E222" s="3" t="n">
        <v>7</v>
      </c>
      <c r="F222" s="7" t="n">
        <f aca="false">IFERROR(Tableau1[[#This Row],[Score]]/Tableau1[[#This Row],[Nb]],0)</f>
        <v>0.538461538461538</v>
      </c>
    </row>
    <row r="223" customFormat="false" ht="30" hidden="false" customHeight="true" outlineLevel="0" collapsed="false">
      <c r="A223" s="1" t="s">
        <v>448</v>
      </c>
      <c r="B223" s="2" t="s">
        <v>449</v>
      </c>
      <c r="C223" s="6" t="n">
        <v>41424</v>
      </c>
      <c r="D223" s="3" t="n">
        <v>9</v>
      </c>
      <c r="E223" s="3" t="n">
        <v>5</v>
      </c>
      <c r="F223" s="7" t="n">
        <f aca="false">IFERROR(Tableau1[[#This Row],[Score]]/Tableau1[[#This Row],[Nb]],0)</f>
        <v>0.555555555555556</v>
      </c>
    </row>
    <row r="224" customFormat="false" ht="30" hidden="false" customHeight="true" outlineLevel="0" collapsed="false">
      <c r="A224" s="1" t="s">
        <v>450</v>
      </c>
      <c r="B224" s="2" t="s">
        <v>451</v>
      </c>
      <c r="C224" s="6" t="n">
        <v>41424</v>
      </c>
      <c r="D224" s="3" t="n">
        <v>9</v>
      </c>
      <c r="E224" s="3" t="n">
        <v>5</v>
      </c>
      <c r="F224" s="7" t="n">
        <f aca="false">IFERROR(Tableau1[[#This Row],[Score]]/Tableau1[[#This Row],[Nb]],0)</f>
        <v>0.555555555555556</v>
      </c>
    </row>
    <row r="225" customFormat="false" ht="30" hidden="false" customHeight="true" outlineLevel="0" collapsed="false">
      <c r="A225" s="1" t="s">
        <v>452</v>
      </c>
      <c r="B225" s="2" t="s">
        <v>453</v>
      </c>
      <c r="C225" s="6" t="n">
        <v>41424</v>
      </c>
      <c r="D225" s="3" t="n">
        <v>6</v>
      </c>
      <c r="E225" s="3" t="n">
        <v>4</v>
      </c>
      <c r="F225" s="7" t="n">
        <f aca="false">IFERROR(Tableau1[[#This Row],[Score]]/Tableau1[[#This Row],[Nb]],0)</f>
        <v>0.666666666666667</v>
      </c>
    </row>
    <row r="226" customFormat="false" ht="30" hidden="false" customHeight="true" outlineLevel="0" collapsed="false">
      <c r="A226" s="1" t="s">
        <v>454</v>
      </c>
      <c r="B226" s="2" t="s">
        <v>455</v>
      </c>
      <c r="C226" s="6" t="n">
        <v>41424</v>
      </c>
      <c r="D226" s="3" t="n">
        <v>14</v>
      </c>
      <c r="E226" s="3" t="n">
        <v>10</v>
      </c>
      <c r="F226" s="7" t="n">
        <f aca="false">IFERROR(Tableau1[[#This Row],[Score]]/Tableau1[[#This Row],[Nb]],0)</f>
        <v>0.714285714285714</v>
      </c>
    </row>
    <row r="227" customFormat="false" ht="30" hidden="false" customHeight="true" outlineLevel="0" collapsed="false">
      <c r="A227" s="1" t="s">
        <v>456</v>
      </c>
      <c r="B227" s="2" t="s">
        <v>457</v>
      </c>
      <c r="C227" s="6" t="n">
        <v>41424</v>
      </c>
      <c r="D227" s="3" t="n">
        <v>8</v>
      </c>
      <c r="E227" s="3" t="n">
        <v>6</v>
      </c>
      <c r="F227" s="7" t="n">
        <f aca="false">IFERROR(Tableau1[[#This Row],[Score]]/Tableau1[[#This Row],[Nb]],0)</f>
        <v>0.75</v>
      </c>
    </row>
    <row r="228" customFormat="false" ht="30" hidden="false" customHeight="true" outlineLevel="0" collapsed="false">
      <c r="A228" s="1" t="s">
        <v>458</v>
      </c>
      <c r="B228" s="2" t="s">
        <v>459</v>
      </c>
      <c r="C228" s="6" t="n">
        <v>41424</v>
      </c>
      <c r="D228" s="3" t="n">
        <v>8</v>
      </c>
      <c r="E228" s="3" t="n">
        <v>6</v>
      </c>
      <c r="F228" s="7" t="n">
        <f aca="false">IFERROR(Tableau1[[#This Row],[Score]]/Tableau1[[#This Row],[Nb]],0)</f>
        <v>0.75</v>
      </c>
    </row>
    <row r="229" customFormat="false" ht="30" hidden="false" customHeight="true" outlineLevel="0" collapsed="false">
      <c r="A229" s="1" t="s">
        <v>460</v>
      </c>
      <c r="B229" s="2" t="s">
        <v>461</v>
      </c>
      <c r="C229" s="6" t="n">
        <v>41424</v>
      </c>
      <c r="D229" s="3" t="n">
        <v>9</v>
      </c>
      <c r="E229" s="3" t="n">
        <v>7</v>
      </c>
      <c r="F229" s="7" t="n">
        <f aca="false">IFERROR(Tableau1[[#This Row],[Score]]/Tableau1[[#This Row],[Nb]],0)</f>
        <v>0.777777777777778</v>
      </c>
    </row>
    <row r="230" customFormat="false" ht="30" hidden="false" customHeight="true" outlineLevel="0" collapsed="false">
      <c r="A230" s="1" t="s">
        <v>462</v>
      </c>
      <c r="B230" s="2" t="s">
        <v>463</v>
      </c>
      <c r="C230" s="6" t="n">
        <v>41424</v>
      </c>
      <c r="D230" s="3" t="n">
        <v>10</v>
      </c>
      <c r="E230" s="3" t="n">
        <v>8</v>
      </c>
      <c r="F230" s="7" t="n">
        <f aca="false">IFERROR(Tableau1[[#This Row],[Score]]/Tableau1[[#This Row],[Nb]],0)</f>
        <v>0.8</v>
      </c>
    </row>
    <row r="231" customFormat="false" ht="30" hidden="false" customHeight="true" outlineLevel="0" collapsed="false">
      <c r="A231" s="1" t="s">
        <v>464</v>
      </c>
      <c r="B231" s="2" t="s">
        <v>465</v>
      </c>
      <c r="C231" s="6" t="n">
        <v>41424</v>
      </c>
      <c r="D231" s="3" t="n">
        <v>11</v>
      </c>
      <c r="E231" s="3" t="n">
        <v>9</v>
      </c>
      <c r="F231" s="7" t="n">
        <f aca="false">IFERROR(Tableau1[[#This Row],[Score]]/Tableau1[[#This Row],[Nb]],0)</f>
        <v>0.818181818181818</v>
      </c>
    </row>
    <row r="232" customFormat="false" ht="30" hidden="false" customHeight="true" outlineLevel="0" collapsed="false">
      <c r="A232" s="1" t="s">
        <v>466</v>
      </c>
      <c r="B232" s="2" t="s">
        <v>467</v>
      </c>
      <c r="C232" s="6" t="n">
        <v>41424</v>
      </c>
      <c r="D232" s="3" t="n">
        <v>12</v>
      </c>
      <c r="E232" s="3" t="n">
        <v>10</v>
      </c>
      <c r="F232" s="7" t="n">
        <f aca="false">IFERROR(Tableau1[[#This Row],[Score]]/Tableau1[[#This Row],[Nb]],0)</f>
        <v>0.833333333333333</v>
      </c>
    </row>
    <row r="233" customFormat="false" ht="30" hidden="false" customHeight="true" outlineLevel="0" collapsed="false">
      <c r="A233" s="1" t="s">
        <v>468</v>
      </c>
      <c r="B233" s="2" t="s">
        <v>469</v>
      </c>
      <c r="C233" s="6" t="n">
        <v>41424</v>
      </c>
      <c r="D233" s="3" t="n">
        <v>17</v>
      </c>
      <c r="E233" s="3" t="n">
        <v>15</v>
      </c>
      <c r="F233" s="7" t="n">
        <f aca="false">IFERROR(Tableau1[[#This Row],[Score]]/Tableau1[[#This Row],[Nb]],0)</f>
        <v>0.882352941176471</v>
      </c>
    </row>
    <row r="234" customFormat="false" ht="30" hidden="false" customHeight="true" outlineLevel="0" collapsed="false">
      <c r="A234" s="1" t="s">
        <v>470</v>
      </c>
      <c r="B234" s="2" t="s">
        <v>471</v>
      </c>
      <c r="C234" s="6" t="n">
        <v>41424</v>
      </c>
      <c r="D234" s="3" t="n">
        <v>18</v>
      </c>
      <c r="E234" s="3" t="n">
        <v>16</v>
      </c>
      <c r="F234" s="7" t="n">
        <f aca="false">IFERROR(Tableau1[[#This Row],[Score]]/Tableau1[[#This Row],[Nb]],0)</f>
        <v>0.888888888888889</v>
      </c>
    </row>
    <row r="235" customFormat="false" ht="30" hidden="false" customHeight="true" outlineLevel="0" collapsed="false">
      <c r="A235" s="8" t="s">
        <v>472</v>
      </c>
      <c r="B235" s="9" t="s">
        <v>473</v>
      </c>
      <c r="C235" s="6" t="n">
        <v>41424</v>
      </c>
      <c r="D235" s="3" t="n">
        <v>11</v>
      </c>
      <c r="E235" s="3" t="n">
        <v>11</v>
      </c>
      <c r="F235" s="7" t="n">
        <f aca="false">IFERROR(Tableau1[[#This Row],[Score]]/Tableau1[[#This Row],[Nb]],0)</f>
        <v>1</v>
      </c>
    </row>
    <row r="236" customFormat="false" ht="30" hidden="false" customHeight="true" outlineLevel="0" collapsed="false">
      <c r="A236" s="8" t="s">
        <v>474</v>
      </c>
      <c r="B236" s="9" t="s">
        <v>475</v>
      </c>
      <c r="C236" s="6" t="n">
        <v>41424</v>
      </c>
      <c r="D236" s="3" t="n">
        <v>10</v>
      </c>
      <c r="E236" s="3" t="n">
        <v>10</v>
      </c>
      <c r="F236" s="7" t="n">
        <f aca="false">IFERROR(Tableau1[[#This Row],[Score]]/Tableau1[[#This Row],[Nb]],0)</f>
        <v>1</v>
      </c>
    </row>
    <row r="237" customFormat="false" ht="30" hidden="false" customHeight="true" outlineLevel="0" collapsed="false">
      <c r="A237" s="1" t="s">
        <v>476</v>
      </c>
      <c r="B237" s="2" t="s">
        <v>477</v>
      </c>
      <c r="C237" s="6" t="n">
        <v>41424</v>
      </c>
      <c r="D237" s="3" t="n">
        <v>8</v>
      </c>
      <c r="E237" s="3" t="n">
        <v>8</v>
      </c>
      <c r="F237" s="7" t="n">
        <f aca="false">IFERROR(Tableau1[[#This Row],[Score]]/Tableau1[[#This Row],[Nb]],0)</f>
        <v>1</v>
      </c>
    </row>
    <row r="238" customFormat="false" ht="30" hidden="false" customHeight="true" outlineLevel="0" collapsed="false">
      <c r="A238" s="1" t="s">
        <v>478</v>
      </c>
      <c r="B238" s="2" t="s">
        <v>479</v>
      </c>
      <c r="C238" s="6" t="n">
        <v>41424</v>
      </c>
      <c r="D238" s="3" t="n">
        <v>8</v>
      </c>
      <c r="E238" s="3" t="n">
        <v>8</v>
      </c>
      <c r="F238" s="7" t="n">
        <f aca="false">IFERROR(Tableau1[[#This Row],[Score]]/Tableau1[[#This Row],[Nb]],0)</f>
        <v>1</v>
      </c>
    </row>
    <row r="239" customFormat="false" ht="30" hidden="false" customHeight="true" outlineLevel="0" collapsed="false">
      <c r="A239" s="1" t="s">
        <v>480</v>
      </c>
      <c r="B239" s="2" t="s">
        <v>481</v>
      </c>
      <c r="C239" s="6" t="n">
        <v>41424</v>
      </c>
      <c r="D239" s="3" t="n">
        <v>8</v>
      </c>
      <c r="E239" s="3" t="n">
        <v>8</v>
      </c>
      <c r="F239" s="7" t="n">
        <f aca="false">IFERROR(Tableau1[[#This Row],[Score]]/Tableau1[[#This Row],[Nb]],0)</f>
        <v>1</v>
      </c>
    </row>
    <row r="240" customFormat="false" ht="30" hidden="false" customHeight="true" outlineLevel="0" collapsed="false">
      <c r="A240" s="1" t="s">
        <v>482</v>
      </c>
      <c r="B240" s="2" t="s">
        <v>483</v>
      </c>
      <c r="C240" s="6" t="n">
        <v>41424</v>
      </c>
      <c r="D240" s="3" t="n">
        <v>8</v>
      </c>
      <c r="E240" s="3" t="n">
        <v>8</v>
      </c>
      <c r="F240" s="7" t="n">
        <f aca="false">IFERROR(Tableau1[[#This Row],[Score]]/Tableau1[[#This Row],[Nb]],0)</f>
        <v>1</v>
      </c>
    </row>
    <row r="241" customFormat="false" ht="30" hidden="false" customHeight="true" outlineLevel="0" collapsed="false">
      <c r="A241" s="1" t="s">
        <v>484</v>
      </c>
      <c r="B241" s="2" t="s">
        <v>485</v>
      </c>
      <c r="C241" s="6" t="n">
        <v>41424</v>
      </c>
      <c r="D241" s="3" t="n">
        <v>8</v>
      </c>
      <c r="E241" s="3" t="n">
        <v>8</v>
      </c>
      <c r="F241" s="7" t="n">
        <f aca="false">IFERROR(Tableau1[[#This Row],[Score]]/Tableau1[[#This Row],[Nb]],0)</f>
        <v>1</v>
      </c>
    </row>
    <row r="242" customFormat="false" ht="30" hidden="false" customHeight="true" outlineLevel="0" collapsed="false">
      <c r="A242" s="1" t="s">
        <v>486</v>
      </c>
      <c r="B242" s="2" t="s">
        <v>487</v>
      </c>
      <c r="C242" s="6" t="n">
        <v>41424</v>
      </c>
      <c r="D242" s="3" t="n">
        <v>3</v>
      </c>
      <c r="E242" s="3" t="n">
        <v>3</v>
      </c>
      <c r="F242" s="7" t="n">
        <f aca="false">IFERROR(Tableau1[[#This Row],[Score]]/Tableau1[[#This Row],[Nb]],0)</f>
        <v>1</v>
      </c>
    </row>
    <row r="243" customFormat="false" ht="30" hidden="false" customHeight="true" outlineLevel="0" collapsed="false">
      <c r="A243" s="1" t="s">
        <v>488</v>
      </c>
      <c r="B243" s="2" t="s">
        <v>489</v>
      </c>
      <c r="C243" s="6" t="n">
        <v>41424</v>
      </c>
      <c r="D243" s="3" t="n">
        <v>4</v>
      </c>
      <c r="E243" s="3" t="n">
        <v>4</v>
      </c>
      <c r="F243" s="7" t="n">
        <f aca="false">IFERROR(Tableau1[[#This Row],[Score]]/Tableau1[[#This Row],[Nb]],0)</f>
        <v>1</v>
      </c>
    </row>
    <row r="244" customFormat="false" ht="30" hidden="false" customHeight="true" outlineLevel="0" collapsed="false">
      <c r="A244" s="1" t="s">
        <v>490</v>
      </c>
      <c r="B244" s="2" t="s">
        <v>491</v>
      </c>
      <c r="C244" s="6" t="n">
        <v>41424</v>
      </c>
      <c r="D244" s="3" t="n">
        <v>4</v>
      </c>
      <c r="E244" s="3" t="n">
        <v>4</v>
      </c>
      <c r="F244" s="7" t="n">
        <f aca="false">IFERROR(Tableau1[[#This Row],[Score]]/Tableau1[[#This Row],[Nb]],0)</f>
        <v>1</v>
      </c>
    </row>
    <row r="245" customFormat="false" ht="30" hidden="false" customHeight="true" outlineLevel="0" collapsed="false">
      <c r="A245" s="1" t="s">
        <v>492</v>
      </c>
      <c r="B245" s="2" t="s">
        <v>493</v>
      </c>
      <c r="C245" s="6" t="n">
        <v>41424</v>
      </c>
      <c r="D245" s="3" t="n">
        <v>4</v>
      </c>
      <c r="E245" s="3" t="n">
        <v>4</v>
      </c>
      <c r="F245" s="7" t="n">
        <f aca="false">IFERROR(Tableau1[[#This Row],[Score]]/Tableau1[[#This Row],[Nb]],0)</f>
        <v>1</v>
      </c>
    </row>
    <row r="246" customFormat="false" ht="30" hidden="false" customHeight="true" outlineLevel="0" collapsed="false">
      <c r="A246" s="1" t="s">
        <v>494</v>
      </c>
      <c r="B246" s="2" t="s">
        <v>495</v>
      </c>
      <c r="C246" s="6" t="n">
        <v>41424</v>
      </c>
      <c r="D246" s="3" t="n">
        <v>6</v>
      </c>
      <c r="E246" s="3" t="n">
        <v>6</v>
      </c>
      <c r="F246" s="7" t="n">
        <f aca="false">IFERROR(Tableau1[[#This Row],[Score]]/Tableau1[[#This Row],[Nb]],0)</f>
        <v>1</v>
      </c>
    </row>
    <row r="247" customFormat="false" ht="30" hidden="false" customHeight="true" outlineLevel="0" collapsed="false">
      <c r="A247" s="1" t="s">
        <v>496</v>
      </c>
      <c r="B247" s="2" t="s">
        <v>497</v>
      </c>
      <c r="C247" s="6" t="n">
        <v>41424</v>
      </c>
      <c r="D247" s="3" t="n">
        <v>5</v>
      </c>
      <c r="E247" s="3" t="n">
        <v>5</v>
      </c>
      <c r="F247" s="7" t="n">
        <f aca="false">IFERROR(Tableau1[[#This Row],[Score]]/Tableau1[[#This Row],[Nb]],0)</f>
        <v>1</v>
      </c>
    </row>
    <row r="248" customFormat="false" ht="30" hidden="false" customHeight="true" outlineLevel="0" collapsed="false">
      <c r="A248" s="1" t="s">
        <v>498</v>
      </c>
      <c r="B248" s="2" t="s">
        <v>499</v>
      </c>
      <c r="C248" s="6" t="n">
        <v>41424</v>
      </c>
      <c r="D248" s="3" t="n">
        <v>5</v>
      </c>
      <c r="E248" s="3" t="n">
        <v>5</v>
      </c>
      <c r="F248" s="7" t="n">
        <f aca="false">IFERROR(Tableau1[[#This Row],[Score]]/Tableau1[[#This Row],[Nb]],0)</f>
        <v>1</v>
      </c>
    </row>
    <row r="249" customFormat="false" ht="30" hidden="false" customHeight="true" outlineLevel="0" collapsed="false">
      <c r="A249" s="1" t="s">
        <v>500</v>
      </c>
      <c r="B249" s="2" t="s">
        <v>501</v>
      </c>
      <c r="C249" s="6" t="n">
        <v>41424</v>
      </c>
      <c r="D249" s="3" t="n">
        <v>6</v>
      </c>
      <c r="E249" s="3" t="n">
        <v>6</v>
      </c>
      <c r="F249" s="7" t="n">
        <f aca="false">IFERROR(Tableau1[[#This Row],[Score]]/Tableau1[[#This Row],[Nb]],0)</f>
        <v>1</v>
      </c>
    </row>
    <row r="250" customFormat="false" ht="30" hidden="false" customHeight="true" outlineLevel="0" collapsed="false">
      <c r="A250" s="1" t="s">
        <v>502</v>
      </c>
      <c r="B250" s="2" t="s">
        <v>503</v>
      </c>
      <c r="C250" s="6" t="n">
        <v>41424</v>
      </c>
      <c r="D250" s="3" t="n">
        <v>7</v>
      </c>
      <c r="E250" s="3" t="n">
        <v>7</v>
      </c>
      <c r="F250" s="7" t="n">
        <f aca="false">IFERROR(Tableau1[[#This Row],[Score]]/Tableau1[[#This Row],[Nb]],0)</f>
        <v>1</v>
      </c>
    </row>
    <row r="251" customFormat="false" ht="30" hidden="false" customHeight="true" outlineLevel="0" collapsed="false">
      <c r="A251" s="1" t="s">
        <v>504</v>
      </c>
      <c r="B251" s="2" t="s">
        <v>505</v>
      </c>
      <c r="C251" s="6" t="n">
        <v>41424</v>
      </c>
      <c r="D251" s="3" t="n">
        <v>6</v>
      </c>
      <c r="E251" s="3" t="n">
        <v>6</v>
      </c>
      <c r="F251" s="7" t="n">
        <f aca="false">IFERROR(Tableau1[[#This Row],[Score]]/Tableau1[[#This Row],[Nb]],0)</f>
        <v>1</v>
      </c>
    </row>
    <row r="252" customFormat="false" ht="30" hidden="false" customHeight="true" outlineLevel="0" collapsed="false">
      <c r="A252" s="1" t="s">
        <v>506</v>
      </c>
      <c r="B252" s="2" t="s">
        <v>507</v>
      </c>
      <c r="C252" s="6" t="n">
        <v>41424</v>
      </c>
      <c r="D252" s="3" t="n">
        <v>6</v>
      </c>
      <c r="E252" s="3" t="n">
        <v>6</v>
      </c>
      <c r="F252" s="7" t="n">
        <f aca="false">IFERROR(Tableau1[[#This Row],[Score]]/Tableau1[[#This Row],[Nb]],0)</f>
        <v>1</v>
      </c>
    </row>
    <row r="253" customFormat="false" ht="30" hidden="false" customHeight="true" outlineLevel="0" collapsed="false">
      <c r="A253" s="1" t="s">
        <v>508</v>
      </c>
      <c r="B253" s="2" t="s">
        <v>509</v>
      </c>
      <c r="C253" s="6" t="n">
        <v>41424</v>
      </c>
      <c r="D253" s="3" t="n">
        <v>7</v>
      </c>
      <c r="E253" s="3" t="n">
        <v>7</v>
      </c>
      <c r="F253" s="7" t="n">
        <f aca="false">IFERROR(Tableau1[[#This Row],[Score]]/Tableau1[[#This Row],[Nb]],0)</f>
        <v>1</v>
      </c>
    </row>
    <row r="254" customFormat="false" ht="30" hidden="false" customHeight="true" outlineLevel="0" collapsed="false">
      <c r="A254" s="1" t="s">
        <v>510</v>
      </c>
      <c r="B254" s="2" t="s">
        <v>511</v>
      </c>
      <c r="C254" s="6" t="n">
        <v>41424</v>
      </c>
      <c r="D254" s="3" t="n">
        <v>9</v>
      </c>
      <c r="E254" s="3" t="n">
        <v>9</v>
      </c>
      <c r="F254" s="7" t="n">
        <f aca="false">IFERROR(Tableau1[[#This Row],[Score]]/Tableau1[[#This Row],[Nb]],0)</f>
        <v>1</v>
      </c>
    </row>
    <row r="255" customFormat="false" ht="30" hidden="false" customHeight="true" outlineLevel="0" collapsed="false">
      <c r="A255" s="1" t="s">
        <v>512</v>
      </c>
      <c r="B255" s="2" t="s">
        <v>513</v>
      </c>
      <c r="C255" s="6" t="n">
        <v>41424</v>
      </c>
      <c r="D255" s="3" t="n">
        <v>10</v>
      </c>
      <c r="E255" s="3" t="n">
        <v>10</v>
      </c>
      <c r="F255" s="7" t="n">
        <f aca="false">IFERROR(Tableau1[[#This Row],[Score]]/Tableau1[[#This Row],[Nb]],0)</f>
        <v>1</v>
      </c>
    </row>
    <row r="256" customFormat="false" ht="30" hidden="false" customHeight="true" outlineLevel="0" collapsed="false">
      <c r="A256" s="8" t="s">
        <v>514</v>
      </c>
      <c r="B256" s="9" t="s">
        <v>515</v>
      </c>
      <c r="C256" s="6" t="n">
        <v>41424</v>
      </c>
      <c r="D256" s="3" t="n">
        <v>14</v>
      </c>
      <c r="E256" s="3" t="n">
        <v>14</v>
      </c>
      <c r="F256" s="7" t="n">
        <f aca="false">IFERROR(Tableau1[[#This Row],[Score]]/Tableau1[[#This Row],[Nb]],0)</f>
        <v>1</v>
      </c>
    </row>
    <row r="257" customFormat="false" ht="30" hidden="false" customHeight="true" outlineLevel="0" collapsed="false">
      <c r="A257" s="1" t="s">
        <v>516</v>
      </c>
      <c r="B257" s="2" t="s">
        <v>517</v>
      </c>
      <c r="C257" s="6" t="n">
        <v>41426</v>
      </c>
      <c r="D257" s="3" t="n">
        <v>10</v>
      </c>
      <c r="E257" s="3" t="n">
        <v>-10</v>
      </c>
      <c r="F257" s="7" t="n">
        <f aca="false">IFERROR(Tableau1[[#This Row],[Score]]/Tableau1[[#This Row],[Nb]],0)</f>
        <v>-1</v>
      </c>
    </row>
    <row r="258" customFormat="false" ht="30" hidden="false" customHeight="true" outlineLevel="0" collapsed="false">
      <c r="A258" s="1" t="s">
        <v>518</v>
      </c>
      <c r="B258" s="2" t="s">
        <v>519</v>
      </c>
      <c r="C258" s="6" t="n">
        <v>41426</v>
      </c>
      <c r="D258" s="3" t="n">
        <v>9</v>
      </c>
      <c r="E258" s="3" t="n">
        <v>-9</v>
      </c>
      <c r="F258" s="7" t="n">
        <f aca="false">IFERROR(Tableau1[[#This Row],[Score]]/Tableau1[[#This Row],[Nb]],0)</f>
        <v>-1</v>
      </c>
    </row>
    <row r="259" customFormat="false" ht="30" hidden="false" customHeight="true" outlineLevel="0" collapsed="false">
      <c r="A259" s="1" t="s">
        <v>520</v>
      </c>
      <c r="B259" s="2" t="s">
        <v>521</v>
      </c>
      <c r="C259" s="6" t="n">
        <v>41426</v>
      </c>
      <c r="D259" s="3" t="n">
        <v>12</v>
      </c>
      <c r="E259" s="3" t="n">
        <v>-8</v>
      </c>
      <c r="F259" s="7" t="n">
        <f aca="false">IFERROR(Tableau1[[#This Row],[Score]]/Tableau1[[#This Row],[Nb]],0)</f>
        <v>-0.666666666666667</v>
      </c>
    </row>
    <row r="260" customFormat="false" ht="30" hidden="false" customHeight="true" outlineLevel="0" collapsed="false">
      <c r="A260" s="1" t="s">
        <v>522</v>
      </c>
      <c r="B260" s="2" t="s">
        <v>523</v>
      </c>
      <c r="C260" s="6" t="n">
        <v>41426</v>
      </c>
      <c r="D260" s="3" t="n">
        <v>13</v>
      </c>
      <c r="E260" s="3" t="n">
        <v>-7</v>
      </c>
      <c r="F260" s="7" t="n">
        <f aca="false">IFERROR(Tableau1[[#This Row],[Score]]/Tableau1[[#This Row],[Nb]],0)</f>
        <v>-0.538461538461538</v>
      </c>
    </row>
    <row r="261" customFormat="false" ht="30" hidden="false" customHeight="true" outlineLevel="0" collapsed="false">
      <c r="A261" s="1" t="s">
        <v>524</v>
      </c>
      <c r="B261" s="2" t="s">
        <v>525</v>
      </c>
      <c r="C261" s="6" t="n">
        <v>41426</v>
      </c>
      <c r="D261" s="3" t="n">
        <v>7</v>
      </c>
      <c r="E261" s="3" t="n">
        <v>-3</v>
      </c>
      <c r="F261" s="7" t="n">
        <f aca="false">IFERROR(Tableau1[[#This Row],[Score]]/Tableau1[[#This Row],[Nb]],0)</f>
        <v>-0.428571428571429</v>
      </c>
    </row>
    <row r="262" customFormat="false" ht="30" hidden="false" customHeight="true" outlineLevel="0" collapsed="false">
      <c r="A262" s="1" t="s">
        <v>526</v>
      </c>
      <c r="B262" s="2" t="s">
        <v>527</v>
      </c>
      <c r="C262" s="6" t="n">
        <v>41426</v>
      </c>
      <c r="D262" s="3" t="n">
        <v>9</v>
      </c>
      <c r="E262" s="3" t="n">
        <v>-3</v>
      </c>
      <c r="F262" s="7" t="n">
        <f aca="false">IFERROR(Tableau1[[#This Row],[Score]]/Tableau1[[#This Row],[Nb]],0)</f>
        <v>-0.333333333333333</v>
      </c>
    </row>
    <row r="263" customFormat="false" ht="30" hidden="false" customHeight="true" outlineLevel="0" collapsed="false">
      <c r="A263" s="1" t="s">
        <v>528</v>
      </c>
      <c r="B263" s="2" t="s">
        <v>529</v>
      </c>
      <c r="C263" s="6" t="n">
        <v>41426</v>
      </c>
      <c r="D263" s="3" t="n">
        <v>6</v>
      </c>
      <c r="E263" s="3" t="n">
        <v>-2</v>
      </c>
      <c r="F263" s="7" t="n">
        <f aca="false">IFERROR(Tableau1[[#This Row],[Score]]/Tableau1[[#This Row],[Nb]],0)</f>
        <v>-0.333333333333333</v>
      </c>
    </row>
    <row r="264" customFormat="false" ht="30" hidden="false" customHeight="true" outlineLevel="0" collapsed="false">
      <c r="A264" s="1" t="s">
        <v>530</v>
      </c>
      <c r="B264" s="2" t="s">
        <v>531</v>
      </c>
      <c r="C264" s="6" t="n">
        <v>41426</v>
      </c>
      <c r="D264" s="3" t="n">
        <v>9</v>
      </c>
      <c r="E264" s="3" t="n">
        <v>-3</v>
      </c>
      <c r="F264" s="7" t="n">
        <f aca="false">IFERROR(Tableau1[[#This Row],[Score]]/Tableau1[[#This Row],[Nb]],0)</f>
        <v>-0.333333333333333</v>
      </c>
    </row>
    <row r="265" customFormat="false" ht="30" hidden="false" customHeight="true" outlineLevel="0" collapsed="false">
      <c r="A265" s="1" t="s">
        <v>532</v>
      </c>
      <c r="B265" s="2" t="s">
        <v>533</v>
      </c>
      <c r="C265" s="6" t="n">
        <v>41426</v>
      </c>
      <c r="D265" s="3" t="n">
        <v>13</v>
      </c>
      <c r="E265" s="3" t="n">
        <v>-3</v>
      </c>
      <c r="F265" s="7" t="n">
        <f aca="false">IFERROR(Tableau1[[#This Row],[Score]]/Tableau1[[#This Row],[Nb]],0)</f>
        <v>-0.230769230769231</v>
      </c>
    </row>
    <row r="266" customFormat="false" ht="30" hidden="false" customHeight="true" outlineLevel="0" collapsed="false">
      <c r="A266" s="1" t="s">
        <v>534</v>
      </c>
      <c r="B266" s="2" t="s">
        <v>535</v>
      </c>
      <c r="C266" s="6" t="n">
        <v>41426</v>
      </c>
      <c r="D266" s="3" t="n">
        <v>8</v>
      </c>
      <c r="E266" s="3" t="n">
        <v>0</v>
      </c>
      <c r="F266" s="7" t="n">
        <f aca="false">IFERROR(Tableau1[[#This Row],[Score]]/Tableau1[[#This Row],[Nb]],0)</f>
        <v>0</v>
      </c>
    </row>
    <row r="267" customFormat="false" ht="30" hidden="false" customHeight="true" outlineLevel="0" collapsed="false">
      <c r="A267" s="1" t="s">
        <v>536</v>
      </c>
      <c r="B267" s="2" t="s">
        <v>537</v>
      </c>
      <c r="C267" s="6" t="n">
        <v>41426</v>
      </c>
      <c r="D267" s="3" t="n">
        <v>8</v>
      </c>
      <c r="E267" s="3" t="n">
        <v>0</v>
      </c>
      <c r="F267" s="7" t="n">
        <f aca="false">IFERROR(Tableau1[[#This Row],[Score]]/Tableau1[[#This Row],[Nb]],0)</f>
        <v>0</v>
      </c>
    </row>
    <row r="268" customFormat="false" ht="30" hidden="false" customHeight="true" outlineLevel="0" collapsed="false">
      <c r="A268" s="1" t="s">
        <v>538</v>
      </c>
      <c r="B268" s="2" t="s">
        <v>539</v>
      </c>
      <c r="C268" s="6" t="n">
        <v>41426</v>
      </c>
      <c r="D268" s="3" t="n">
        <v>11</v>
      </c>
      <c r="E268" s="3" t="n">
        <v>1</v>
      </c>
      <c r="F268" s="7" t="n">
        <f aca="false">IFERROR(Tableau1[[#This Row],[Score]]/Tableau1[[#This Row],[Nb]],0)</f>
        <v>0.0909090909090909</v>
      </c>
    </row>
    <row r="269" customFormat="false" ht="30" hidden="false" customHeight="true" outlineLevel="0" collapsed="false">
      <c r="A269" s="1" t="s">
        <v>540</v>
      </c>
      <c r="B269" s="2" t="s">
        <v>541</v>
      </c>
      <c r="C269" s="6" t="n">
        <v>41426</v>
      </c>
      <c r="D269" s="3" t="n">
        <v>12</v>
      </c>
      <c r="E269" s="3" t="n">
        <v>2</v>
      </c>
      <c r="F269" s="7" t="n">
        <f aca="false">IFERROR(Tableau1[[#This Row],[Score]]/Tableau1[[#This Row],[Nb]],0)</f>
        <v>0.166666666666667</v>
      </c>
    </row>
    <row r="270" customFormat="false" ht="30" hidden="false" customHeight="true" outlineLevel="0" collapsed="false">
      <c r="A270" s="1" t="s">
        <v>542</v>
      </c>
      <c r="B270" s="2" t="s">
        <v>543</v>
      </c>
      <c r="C270" s="6" t="n">
        <v>41426</v>
      </c>
      <c r="D270" s="3" t="n">
        <v>12</v>
      </c>
      <c r="E270" s="3" t="n">
        <v>2</v>
      </c>
      <c r="F270" s="7" t="n">
        <f aca="false">IFERROR(Tableau1[[#This Row],[Score]]/Tableau1[[#This Row],[Nb]],0)</f>
        <v>0.166666666666667</v>
      </c>
    </row>
    <row r="271" customFormat="false" ht="30" hidden="false" customHeight="true" outlineLevel="0" collapsed="false">
      <c r="A271" s="1" t="s">
        <v>544</v>
      </c>
      <c r="B271" s="2" t="s">
        <v>545</v>
      </c>
      <c r="C271" s="6" t="n">
        <v>41426</v>
      </c>
      <c r="D271" s="3" t="n">
        <v>17</v>
      </c>
      <c r="E271" s="3" t="n">
        <v>3</v>
      </c>
      <c r="F271" s="7" t="n">
        <f aca="false">IFERROR(Tableau1[[#This Row],[Score]]/Tableau1[[#This Row],[Nb]],0)</f>
        <v>0.176470588235294</v>
      </c>
    </row>
    <row r="272" customFormat="false" ht="30" hidden="false" customHeight="true" outlineLevel="0" collapsed="false">
      <c r="A272" s="1" t="s">
        <v>546</v>
      </c>
      <c r="B272" s="2" t="s">
        <v>547</v>
      </c>
      <c r="C272" s="6" t="n">
        <v>41426</v>
      </c>
      <c r="D272" s="3" t="n">
        <v>10</v>
      </c>
      <c r="E272" s="3" t="n">
        <v>2</v>
      </c>
      <c r="F272" s="7" t="n">
        <f aca="false">IFERROR(Tableau1[[#This Row],[Score]]/Tableau1[[#This Row],[Nb]],0)</f>
        <v>0.2</v>
      </c>
    </row>
    <row r="273" customFormat="false" ht="30" hidden="false" customHeight="true" outlineLevel="0" collapsed="false">
      <c r="A273" s="1" t="s">
        <v>548</v>
      </c>
      <c r="B273" s="2" t="s">
        <v>549</v>
      </c>
      <c r="C273" s="6" t="n">
        <v>41426</v>
      </c>
      <c r="D273" s="3" t="n">
        <v>8</v>
      </c>
      <c r="E273" s="3" t="n">
        <v>2</v>
      </c>
      <c r="F273" s="7" t="n">
        <f aca="false">IFERROR(Tableau1[[#This Row],[Score]]/Tableau1[[#This Row],[Nb]],0)</f>
        <v>0.25</v>
      </c>
    </row>
    <row r="274" customFormat="false" ht="30" hidden="false" customHeight="true" outlineLevel="0" collapsed="false">
      <c r="A274" s="1" t="s">
        <v>550</v>
      </c>
      <c r="B274" s="2" t="s">
        <v>551</v>
      </c>
      <c r="C274" s="6" t="n">
        <v>41426</v>
      </c>
      <c r="D274" s="3" t="n">
        <v>8</v>
      </c>
      <c r="E274" s="3" t="n">
        <v>3</v>
      </c>
      <c r="F274" s="7" t="n">
        <f aca="false">IFERROR(Tableau1[[#This Row],[Score]]/Tableau1[[#This Row],[Nb]],0)</f>
        <v>0.375</v>
      </c>
    </row>
    <row r="275" customFormat="false" ht="30" hidden="false" customHeight="true" outlineLevel="0" collapsed="false">
      <c r="A275" s="1" t="s">
        <v>552</v>
      </c>
      <c r="B275" s="2" t="s">
        <v>553</v>
      </c>
      <c r="C275" s="6" t="n">
        <v>41426</v>
      </c>
      <c r="D275" s="3" t="n">
        <v>6</v>
      </c>
      <c r="E275" s="3" t="n">
        <v>2</v>
      </c>
      <c r="F275" s="7" t="n">
        <f aca="false">IFERROR(Tableau1[[#This Row],[Score]]/Tableau1[[#This Row],[Nb]],0)</f>
        <v>0.333333333333333</v>
      </c>
    </row>
    <row r="276" customFormat="false" ht="30" hidden="false" customHeight="true" outlineLevel="0" collapsed="false">
      <c r="A276" s="1" t="s">
        <v>554</v>
      </c>
      <c r="B276" s="2" t="s">
        <v>555</v>
      </c>
      <c r="C276" s="6" t="n">
        <v>41426</v>
      </c>
      <c r="D276" s="3" t="n">
        <v>9</v>
      </c>
      <c r="E276" s="3" t="n">
        <v>3</v>
      </c>
      <c r="F276" s="7" t="n">
        <f aca="false">IFERROR(Tableau1[[#This Row],[Score]]/Tableau1[[#This Row],[Nb]],0)</f>
        <v>0.333333333333333</v>
      </c>
    </row>
    <row r="277" customFormat="false" ht="30" hidden="false" customHeight="true" outlineLevel="0" collapsed="false">
      <c r="A277" s="1" t="s">
        <v>556</v>
      </c>
      <c r="B277" s="2" t="s">
        <v>557</v>
      </c>
      <c r="C277" s="6" t="n">
        <v>41426</v>
      </c>
      <c r="D277" s="3" t="n">
        <v>6</v>
      </c>
      <c r="E277" s="3" t="n">
        <v>2</v>
      </c>
      <c r="F277" s="7" t="n">
        <f aca="false">IFERROR(Tableau1[[#This Row],[Score]]/Tableau1[[#This Row],[Nb]],0)</f>
        <v>0.333333333333333</v>
      </c>
    </row>
    <row r="278" customFormat="false" ht="30" hidden="false" customHeight="true" outlineLevel="0" collapsed="false">
      <c r="A278" s="1" t="s">
        <v>558</v>
      </c>
      <c r="B278" s="2" t="s">
        <v>559</v>
      </c>
      <c r="C278" s="6" t="n">
        <v>41426</v>
      </c>
      <c r="D278" s="3" t="n">
        <v>10</v>
      </c>
      <c r="E278" s="3" t="n">
        <v>4</v>
      </c>
      <c r="F278" s="7" t="n">
        <f aca="false">IFERROR(Tableau1[[#This Row],[Score]]/Tableau1[[#This Row],[Nb]],0)</f>
        <v>0.4</v>
      </c>
    </row>
    <row r="279" customFormat="false" ht="30" hidden="false" customHeight="true" outlineLevel="0" collapsed="false">
      <c r="A279" s="1" t="s">
        <v>560</v>
      </c>
      <c r="B279" s="2" t="s">
        <v>561</v>
      </c>
      <c r="C279" s="6" t="n">
        <v>41426</v>
      </c>
      <c r="D279" s="3" t="n">
        <v>7</v>
      </c>
      <c r="E279" s="3" t="n">
        <v>3</v>
      </c>
      <c r="F279" s="7" t="n">
        <f aca="false">IFERROR(Tableau1[[#This Row],[Score]]/Tableau1[[#This Row],[Nb]],0)</f>
        <v>0.428571428571429</v>
      </c>
    </row>
    <row r="280" customFormat="false" ht="30" hidden="false" customHeight="true" outlineLevel="0" collapsed="false">
      <c r="A280" s="1" t="s">
        <v>562</v>
      </c>
      <c r="B280" s="2" t="s">
        <v>563</v>
      </c>
      <c r="C280" s="6" t="n">
        <v>41426</v>
      </c>
      <c r="D280" s="3" t="n">
        <v>7</v>
      </c>
      <c r="E280" s="3" t="n">
        <v>3</v>
      </c>
      <c r="F280" s="7" t="n">
        <f aca="false">IFERROR(Tableau1[[#This Row],[Score]]/Tableau1[[#This Row],[Nb]],0)</f>
        <v>0.428571428571429</v>
      </c>
    </row>
    <row r="281" customFormat="false" ht="30" hidden="false" customHeight="true" outlineLevel="0" collapsed="false">
      <c r="A281" s="1" t="s">
        <v>564</v>
      </c>
      <c r="B281" s="2" t="s">
        <v>565</v>
      </c>
      <c r="C281" s="6" t="n">
        <v>41426</v>
      </c>
      <c r="D281" s="3" t="n">
        <v>7</v>
      </c>
      <c r="E281" s="3" t="n">
        <v>3</v>
      </c>
      <c r="F281" s="7" t="n">
        <f aca="false">IFERROR(Tableau1[[#This Row],[Score]]/Tableau1[[#This Row],[Nb]],0)</f>
        <v>0.428571428571429</v>
      </c>
    </row>
    <row r="282" customFormat="false" ht="30" hidden="false" customHeight="true" outlineLevel="0" collapsed="false">
      <c r="A282" s="1" t="s">
        <v>566</v>
      </c>
      <c r="B282" s="2" t="s">
        <v>567</v>
      </c>
      <c r="C282" s="6" t="n">
        <v>41426</v>
      </c>
      <c r="D282" s="3" t="n">
        <v>9</v>
      </c>
      <c r="E282" s="3" t="n">
        <v>5</v>
      </c>
      <c r="F282" s="7" t="n">
        <f aca="false">IFERROR(Tableau1[[#This Row],[Score]]/Tableau1[[#This Row],[Nb]],0)</f>
        <v>0.555555555555556</v>
      </c>
    </row>
    <row r="283" customFormat="false" ht="30" hidden="false" customHeight="true" outlineLevel="0" collapsed="false">
      <c r="A283" s="1" t="s">
        <v>568</v>
      </c>
      <c r="B283" s="2" t="s">
        <v>569</v>
      </c>
      <c r="C283" s="6" t="n">
        <v>41426</v>
      </c>
      <c r="D283" s="3" t="n">
        <v>8</v>
      </c>
      <c r="E283" s="3" t="n">
        <v>5</v>
      </c>
      <c r="F283" s="7" t="n">
        <f aca="false">IFERROR(Tableau1[[#This Row],[Score]]/Tableau1[[#This Row],[Nb]],0)</f>
        <v>0.625</v>
      </c>
    </row>
    <row r="284" customFormat="false" ht="30" hidden="false" customHeight="true" outlineLevel="0" collapsed="false">
      <c r="A284" s="1" t="s">
        <v>570</v>
      </c>
      <c r="B284" s="2" t="s">
        <v>571</v>
      </c>
      <c r="C284" s="6" t="n">
        <v>41426</v>
      </c>
      <c r="D284" s="3" t="n">
        <v>7</v>
      </c>
      <c r="E284" s="3" t="n">
        <v>5</v>
      </c>
      <c r="F284" s="7" t="n">
        <f aca="false">IFERROR(Tableau1[[#This Row],[Score]]/Tableau1[[#This Row],[Nb]],0)</f>
        <v>0.714285714285714</v>
      </c>
    </row>
    <row r="285" customFormat="false" ht="30" hidden="false" customHeight="true" outlineLevel="0" collapsed="false">
      <c r="A285" s="1" t="s">
        <v>572</v>
      </c>
      <c r="B285" s="2" t="s">
        <v>573</v>
      </c>
      <c r="C285" s="6" t="n">
        <v>41426</v>
      </c>
      <c r="D285" s="3" t="n">
        <v>8</v>
      </c>
      <c r="E285" s="3" t="n">
        <v>6</v>
      </c>
      <c r="F285" s="7" t="n">
        <f aca="false">IFERROR(Tableau1[[#This Row],[Score]]/Tableau1[[#This Row],[Nb]],0)</f>
        <v>0.75</v>
      </c>
    </row>
    <row r="286" customFormat="false" ht="30" hidden="false" customHeight="true" outlineLevel="0" collapsed="false">
      <c r="A286" s="1" t="s">
        <v>574</v>
      </c>
      <c r="B286" s="2" t="s">
        <v>575</v>
      </c>
      <c r="C286" s="6" t="n">
        <v>41426</v>
      </c>
      <c r="D286" s="3" t="n">
        <v>12</v>
      </c>
      <c r="E286" s="3" t="n">
        <v>9</v>
      </c>
      <c r="F286" s="7" t="n">
        <f aca="false">IFERROR(Tableau1[[#This Row],[Score]]/Tableau1[[#This Row],[Nb]],0)</f>
        <v>0.75</v>
      </c>
    </row>
    <row r="287" customFormat="false" ht="30" hidden="false" customHeight="true" outlineLevel="0" collapsed="false">
      <c r="A287" s="1" t="s">
        <v>576</v>
      </c>
      <c r="B287" s="2" t="s">
        <v>577</v>
      </c>
      <c r="C287" s="6" t="n">
        <v>41426</v>
      </c>
      <c r="D287" s="3" t="n">
        <v>8</v>
      </c>
      <c r="E287" s="3" t="n">
        <v>6</v>
      </c>
      <c r="F287" s="7" t="n">
        <f aca="false">IFERROR(Tableau1[[#This Row],[Score]]/Tableau1[[#This Row],[Nb]],0)</f>
        <v>0.75</v>
      </c>
    </row>
    <row r="288" customFormat="false" ht="30" hidden="false" customHeight="true" outlineLevel="0" collapsed="false">
      <c r="A288" s="1" t="s">
        <v>578</v>
      </c>
      <c r="B288" s="2" t="s">
        <v>579</v>
      </c>
      <c r="C288" s="6" t="n">
        <v>41426</v>
      </c>
      <c r="D288" s="3" t="n">
        <v>17</v>
      </c>
      <c r="E288" s="3" t="n">
        <v>13</v>
      </c>
      <c r="F288" s="7" t="n">
        <f aca="false">IFERROR(Tableau1[[#This Row],[Score]]/Tableau1[[#This Row],[Nb]],0)</f>
        <v>0.764705882352941</v>
      </c>
    </row>
    <row r="289" customFormat="false" ht="30" hidden="false" customHeight="true" outlineLevel="0" collapsed="false">
      <c r="A289" s="1" t="s">
        <v>580</v>
      </c>
      <c r="B289" s="2" t="s">
        <v>581</v>
      </c>
      <c r="C289" s="6" t="n">
        <v>41426</v>
      </c>
      <c r="D289" s="3" t="n">
        <v>9</v>
      </c>
      <c r="E289" s="3" t="n">
        <v>7</v>
      </c>
      <c r="F289" s="7" t="n">
        <f aca="false">IFERROR(Tableau1[[#This Row],[Score]]/Tableau1[[#This Row],[Nb]],0)</f>
        <v>0.777777777777778</v>
      </c>
    </row>
    <row r="290" customFormat="false" ht="30" hidden="false" customHeight="true" outlineLevel="0" collapsed="false">
      <c r="A290" s="1" t="s">
        <v>582</v>
      </c>
      <c r="B290" s="2" t="s">
        <v>583</v>
      </c>
      <c r="C290" s="6" t="n">
        <v>41426</v>
      </c>
      <c r="D290" s="3" t="n">
        <v>11</v>
      </c>
      <c r="E290" s="3" t="n">
        <v>9</v>
      </c>
      <c r="F290" s="7" t="n">
        <f aca="false">IFERROR(Tableau1[[#This Row],[Score]]/Tableau1[[#This Row],[Nb]],0)</f>
        <v>0.818181818181818</v>
      </c>
    </row>
    <row r="291" customFormat="false" ht="30" hidden="false" customHeight="true" outlineLevel="0" collapsed="false">
      <c r="A291" s="1" t="s">
        <v>584</v>
      </c>
      <c r="B291" s="2" t="s">
        <v>585</v>
      </c>
      <c r="C291" s="6" t="n">
        <v>41426</v>
      </c>
      <c r="D291" s="3" t="n">
        <v>11</v>
      </c>
      <c r="E291" s="3" t="n">
        <v>9</v>
      </c>
      <c r="F291" s="7" t="n">
        <f aca="false">IFERROR(Tableau1[[#This Row],[Score]]/Tableau1[[#This Row],[Nb]],0)</f>
        <v>0.818181818181818</v>
      </c>
    </row>
    <row r="292" customFormat="false" ht="30" hidden="false" customHeight="true" outlineLevel="0" collapsed="false">
      <c r="A292" s="1" t="s">
        <v>586</v>
      </c>
      <c r="B292" s="2" t="s">
        <v>587</v>
      </c>
      <c r="C292" s="6" t="n">
        <v>41426</v>
      </c>
      <c r="D292" s="3" t="n">
        <v>12</v>
      </c>
      <c r="E292" s="3" t="n">
        <v>10</v>
      </c>
      <c r="F292" s="7" t="n">
        <f aca="false">IFERROR(Tableau1[[#This Row],[Score]]/Tableau1[[#This Row],[Nb]],0)</f>
        <v>0.833333333333333</v>
      </c>
    </row>
    <row r="293" customFormat="false" ht="30" hidden="false" customHeight="true" outlineLevel="0" collapsed="false">
      <c r="A293" s="1" t="s">
        <v>588</v>
      </c>
      <c r="B293" s="2" t="s">
        <v>589</v>
      </c>
      <c r="C293" s="6" t="n">
        <v>41426</v>
      </c>
      <c r="D293" s="3" t="n">
        <v>12</v>
      </c>
      <c r="E293" s="3" t="n">
        <v>10</v>
      </c>
      <c r="F293" s="7" t="n">
        <f aca="false">IFERROR(Tableau1[[#This Row],[Score]]/Tableau1[[#This Row],[Nb]],0)</f>
        <v>0.833333333333333</v>
      </c>
    </row>
    <row r="294" customFormat="false" ht="30" hidden="false" customHeight="true" outlineLevel="0" collapsed="false">
      <c r="A294" s="1" t="s">
        <v>590</v>
      </c>
      <c r="B294" s="2" t="s">
        <v>591</v>
      </c>
      <c r="C294" s="6" t="n">
        <v>41426</v>
      </c>
      <c r="D294" s="3" t="n">
        <v>6</v>
      </c>
      <c r="E294" s="3" t="n">
        <v>5</v>
      </c>
      <c r="F294" s="7" t="n">
        <f aca="false">IFERROR(Tableau1[[#This Row],[Score]]/Tableau1[[#This Row],[Nb]],0)</f>
        <v>0.833333333333333</v>
      </c>
    </row>
    <row r="295" customFormat="false" ht="30" hidden="false" customHeight="true" outlineLevel="0" collapsed="false">
      <c r="A295" s="1" t="s">
        <v>592</v>
      </c>
      <c r="B295" s="2" t="s">
        <v>593</v>
      </c>
      <c r="C295" s="6" t="n">
        <v>41426</v>
      </c>
      <c r="D295" s="3" t="n">
        <v>13</v>
      </c>
      <c r="E295" s="3" t="n">
        <v>11</v>
      </c>
      <c r="F295" s="7" t="n">
        <f aca="false">IFERROR(Tableau1[[#This Row],[Score]]/Tableau1[[#This Row],[Nb]],0)</f>
        <v>0.846153846153846</v>
      </c>
    </row>
    <row r="296" customFormat="false" ht="30" hidden="false" customHeight="true" outlineLevel="0" collapsed="false">
      <c r="A296" s="1" t="s">
        <v>594</v>
      </c>
      <c r="B296" s="2" t="s">
        <v>595</v>
      </c>
      <c r="C296" s="6" t="n">
        <v>41426</v>
      </c>
      <c r="D296" s="3" t="n">
        <v>16</v>
      </c>
      <c r="E296" s="3" t="n">
        <v>14</v>
      </c>
      <c r="F296" s="7" t="n">
        <f aca="false">IFERROR(Tableau1[[#This Row],[Score]]/Tableau1[[#This Row],[Nb]],0)</f>
        <v>0.875</v>
      </c>
    </row>
    <row r="297" customFormat="false" ht="30" hidden="false" customHeight="true" outlineLevel="0" collapsed="false">
      <c r="A297" s="1" t="s">
        <v>596</v>
      </c>
      <c r="B297" s="2" t="s">
        <v>597</v>
      </c>
      <c r="C297" s="6" t="n">
        <v>41426</v>
      </c>
      <c r="D297" s="3" t="n">
        <v>15</v>
      </c>
      <c r="E297" s="3" t="n">
        <v>14</v>
      </c>
      <c r="F297" s="7" t="n">
        <f aca="false">IFERROR(Tableau1[[#This Row],[Score]]/Tableau1[[#This Row],[Nb]],0)</f>
        <v>0.933333333333333</v>
      </c>
    </row>
    <row r="298" customFormat="false" ht="30" hidden="false" customHeight="true" outlineLevel="0" collapsed="false">
      <c r="A298" s="8" t="s">
        <v>598</v>
      </c>
      <c r="B298" s="9" t="s">
        <v>599</v>
      </c>
      <c r="C298" s="6" t="n">
        <v>41426</v>
      </c>
      <c r="D298" s="3" t="n">
        <v>10</v>
      </c>
      <c r="E298" s="3" t="n">
        <v>10</v>
      </c>
      <c r="F298" s="7" t="n">
        <f aca="false">IFERROR(Tableau1[[#This Row],[Score]]/Tableau1[[#This Row],[Nb]],0)</f>
        <v>1</v>
      </c>
    </row>
    <row r="299" customFormat="false" ht="30" hidden="false" customHeight="true" outlineLevel="0" collapsed="false">
      <c r="A299" s="8" t="s">
        <v>600</v>
      </c>
      <c r="B299" s="9" t="s">
        <v>601</v>
      </c>
      <c r="C299" s="6" t="n">
        <v>41426</v>
      </c>
      <c r="D299" s="3" t="n">
        <v>10</v>
      </c>
      <c r="E299" s="3" t="n">
        <v>10</v>
      </c>
      <c r="F299" s="7" t="n">
        <f aca="false">IFERROR(Tableau1[[#This Row],[Score]]/Tableau1[[#This Row],[Nb]],0)</f>
        <v>1</v>
      </c>
    </row>
    <row r="300" customFormat="false" ht="30" hidden="false" customHeight="true" outlineLevel="0" collapsed="false">
      <c r="A300" s="8" t="s">
        <v>602</v>
      </c>
      <c r="B300" s="9" t="s">
        <v>603</v>
      </c>
      <c r="C300" s="6" t="n">
        <v>41426</v>
      </c>
      <c r="D300" s="3" t="n">
        <v>10</v>
      </c>
      <c r="E300" s="3" t="n">
        <v>10</v>
      </c>
      <c r="F300" s="7" t="n">
        <f aca="false">IFERROR(Tableau1[[#This Row],[Score]]/Tableau1[[#This Row],[Nb]],0)</f>
        <v>1</v>
      </c>
    </row>
    <row r="301" customFormat="false" ht="30" hidden="false" customHeight="true" outlineLevel="0" collapsed="false">
      <c r="A301" s="1" t="s">
        <v>604</v>
      </c>
      <c r="B301" s="2" t="s">
        <v>605</v>
      </c>
      <c r="C301" s="6" t="n">
        <v>41426</v>
      </c>
      <c r="D301" s="3" t="n">
        <v>8</v>
      </c>
      <c r="E301" s="3" t="n">
        <v>8</v>
      </c>
      <c r="F301" s="7" t="n">
        <f aca="false">IFERROR(Tableau1[[#This Row],[Score]]/Tableau1[[#This Row],[Nb]],0)</f>
        <v>1</v>
      </c>
    </row>
    <row r="302" customFormat="false" ht="30" hidden="false" customHeight="true" outlineLevel="0" collapsed="false">
      <c r="A302" s="1" t="s">
        <v>606</v>
      </c>
      <c r="B302" s="2" t="s">
        <v>607</v>
      </c>
      <c r="C302" s="6" t="n">
        <v>41426</v>
      </c>
      <c r="D302" s="3" t="n">
        <v>8</v>
      </c>
      <c r="E302" s="3" t="n">
        <v>8</v>
      </c>
      <c r="F302" s="7" t="n">
        <f aca="false">IFERROR(Tableau1[[#This Row],[Score]]/Tableau1[[#This Row],[Nb]],0)</f>
        <v>1</v>
      </c>
    </row>
    <row r="303" customFormat="false" ht="30" hidden="false" customHeight="true" outlineLevel="0" collapsed="false">
      <c r="A303" s="1" t="s">
        <v>608</v>
      </c>
      <c r="B303" s="2" t="s">
        <v>609</v>
      </c>
      <c r="C303" s="6" t="n">
        <v>41426</v>
      </c>
      <c r="D303" s="3" t="n">
        <v>10</v>
      </c>
      <c r="E303" s="3" t="n">
        <v>10</v>
      </c>
      <c r="F303" s="7" t="n">
        <f aca="false">IFERROR(Tableau1[[#This Row],[Score]]/Tableau1[[#This Row],[Nb]],0)</f>
        <v>1</v>
      </c>
    </row>
    <row r="304" customFormat="false" ht="30" hidden="false" customHeight="true" outlineLevel="0" collapsed="false">
      <c r="A304" s="1" t="s">
        <v>610</v>
      </c>
      <c r="B304" s="2" t="s">
        <v>611</v>
      </c>
      <c r="C304" s="6" t="n">
        <v>41426</v>
      </c>
      <c r="D304" s="3" t="n">
        <v>9</v>
      </c>
      <c r="E304" s="3" t="n">
        <v>9</v>
      </c>
      <c r="F304" s="7" t="n">
        <f aca="false">IFERROR(Tableau1[[#This Row],[Score]]/Tableau1[[#This Row],[Nb]],0)</f>
        <v>1</v>
      </c>
    </row>
    <row r="305" customFormat="false" ht="30" hidden="false" customHeight="true" outlineLevel="0" collapsed="false">
      <c r="A305" s="1" t="s">
        <v>612</v>
      </c>
      <c r="B305" s="2" t="s">
        <v>613</v>
      </c>
      <c r="C305" s="6" t="n">
        <v>41426</v>
      </c>
      <c r="D305" s="3" t="n">
        <v>8</v>
      </c>
      <c r="E305" s="3" t="n">
        <v>8</v>
      </c>
      <c r="F305" s="7" t="n">
        <f aca="false">IFERROR(Tableau1[[#This Row],[Score]]/Tableau1[[#This Row],[Nb]],0)</f>
        <v>1</v>
      </c>
    </row>
    <row r="306" customFormat="false" ht="30" hidden="false" customHeight="true" outlineLevel="0" collapsed="false">
      <c r="A306" s="1" t="s">
        <v>614</v>
      </c>
      <c r="B306" s="2" t="s">
        <v>615</v>
      </c>
      <c r="C306" s="6" t="n">
        <v>41426</v>
      </c>
      <c r="D306" s="3" t="n">
        <v>8</v>
      </c>
      <c r="E306" s="3" t="n">
        <v>8</v>
      </c>
      <c r="F306" s="7" t="n">
        <f aca="false">IFERROR(Tableau1[[#This Row],[Score]]/Tableau1[[#This Row],[Nb]],0)</f>
        <v>1</v>
      </c>
    </row>
    <row r="307" customFormat="false" ht="30" hidden="false" customHeight="true" outlineLevel="0" collapsed="false">
      <c r="A307" s="1" t="s">
        <v>616</v>
      </c>
      <c r="B307" s="2" t="s">
        <v>617</v>
      </c>
      <c r="C307" s="6" t="n">
        <v>41426</v>
      </c>
      <c r="D307" s="3" t="n">
        <v>8</v>
      </c>
      <c r="E307" s="3" t="n">
        <v>8</v>
      </c>
      <c r="F307" s="7" t="n">
        <f aca="false">IFERROR(Tableau1[[#This Row],[Score]]/Tableau1[[#This Row],[Nb]],0)</f>
        <v>1</v>
      </c>
    </row>
    <row r="308" customFormat="false" ht="30" hidden="false" customHeight="true" outlineLevel="0" collapsed="false">
      <c r="A308" s="1" t="s">
        <v>618</v>
      </c>
      <c r="B308" s="2" t="s">
        <v>619</v>
      </c>
      <c r="C308" s="6" t="n">
        <v>41426</v>
      </c>
      <c r="D308" s="3" t="n">
        <v>3</v>
      </c>
      <c r="E308" s="3" t="n">
        <v>3</v>
      </c>
      <c r="F308" s="7" t="n">
        <f aca="false">IFERROR(Tableau1[[#This Row],[Score]]/Tableau1[[#This Row],[Nb]],0)</f>
        <v>1</v>
      </c>
    </row>
    <row r="309" customFormat="false" ht="30" hidden="false" customHeight="true" outlineLevel="0" collapsed="false">
      <c r="A309" s="1" t="s">
        <v>620</v>
      </c>
      <c r="B309" s="2" t="s">
        <v>621</v>
      </c>
      <c r="C309" s="6" t="n">
        <v>41426</v>
      </c>
      <c r="D309" s="3" t="n">
        <v>4</v>
      </c>
      <c r="E309" s="3" t="n">
        <v>4</v>
      </c>
      <c r="F309" s="7" t="n">
        <f aca="false">IFERROR(Tableau1[[#This Row],[Score]]/Tableau1[[#This Row],[Nb]],0)</f>
        <v>1</v>
      </c>
    </row>
    <row r="310" customFormat="false" ht="30" hidden="false" customHeight="true" outlineLevel="0" collapsed="false">
      <c r="A310" s="1" t="s">
        <v>622</v>
      </c>
      <c r="B310" s="2" t="s">
        <v>623</v>
      </c>
      <c r="C310" s="6" t="n">
        <v>41426</v>
      </c>
      <c r="D310" s="3" t="n">
        <v>4</v>
      </c>
      <c r="E310" s="3" t="n">
        <v>4</v>
      </c>
      <c r="F310" s="7" t="n">
        <f aca="false">IFERROR(Tableau1[[#This Row],[Score]]/Tableau1[[#This Row],[Nb]],0)</f>
        <v>1</v>
      </c>
    </row>
    <row r="311" customFormat="false" ht="30" hidden="false" customHeight="true" outlineLevel="0" collapsed="false">
      <c r="A311" s="1" t="s">
        <v>624</v>
      </c>
      <c r="B311" s="2" t="s">
        <v>625</v>
      </c>
      <c r="C311" s="6" t="n">
        <v>41426</v>
      </c>
      <c r="D311" s="3" t="n">
        <v>5</v>
      </c>
      <c r="E311" s="3" t="n">
        <v>5</v>
      </c>
      <c r="F311" s="7" t="n">
        <f aca="false">IFERROR(Tableau1[[#This Row],[Score]]/Tableau1[[#This Row],[Nb]],0)</f>
        <v>1</v>
      </c>
    </row>
    <row r="312" customFormat="false" ht="30" hidden="false" customHeight="true" outlineLevel="0" collapsed="false">
      <c r="A312" s="1" t="s">
        <v>626</v>
      </c>
      <c r="B312" s="2" t="s">
        <v>627</v>
      </c>
      <c r="C312" s="6" t="n">
        <v>41426</v>
      </c>
      <c r="D312" s="3" t="n">
        <v>7</v>
      </c>
      <c r="E312" s="3" t="n">
        <v>7</v>
      </c>
      <c r="F312" s="7" t="n">
        <f aca="false">IFERROR(Tableau1[[#This Row],[Score]]/Tableau1[[#This Row],[Nb]],0)</f>
        <v>1</v>
      </c>
    </row>
    <row r="313" customFormat="false" ht="30" hidden="false" customHeight="true" outlineLevel="0" collapsed="false">
      <c r="A313" s="1" t="s">
        <v>628</v>
      </c>
      <c r="B313" s="2" t="s">
        <v>629</v>
      </c>
      <c r="C313" s="6" t="n">
        <v>41426</v>
      </c>
      <c r="D313" s="3" t="n">
        <v>9</v>
      </c>
      <c r="E313" s="3" t="n">
        <v>9</v>
      </c>
      <c r="F313" s="7" t="n">
        <f aca="false">IFERROR(Tableau1[[#This Row],[Score]]/Tableau1[[#This Row],[Nb]],0)</f>
        <v>1</v>
      </c>
    </row>
    <row r="314" customFormat="false" ht="30" hidden="false" customHeight="true" outlineLevel="0" collapsed="false">
      <c r="A314" s="1" t="s">
        <v>630</v>
      </c>
      <c r="B314" s="2" t="s">
        <v>631</v>
      </c>
      <c r="C314" s="6" t="n">
        <v>41426</v>
      </c>
      <c r="D314" s="3" t="n">
        <v>9</v>
      </c>
      <c r="E314" s="3" t="n">
        <v>9</v>
      </c>
      <c r="F314" s="7" t="n">
        <f aca="false">IFERROR(Tableau1[[#This Row],[Score]]/Tableau1[[#This Row],[Nb]],0)</f>
        <v>1</v>
      </c>
    </row>
    <row r="315" customFormat="false" ht="30" hidden="false" customHeight="true" outlineLevel="0" collapsed="false">
      <c r="A315" s="1" t="s">
        <v>632</v>
      </c>
      <c r="B315" s="2" t="s">
        <v>633</v>
      </c>
      <c r="C315" s="6" t="n">
        <v>41426</v>
      </c>
      <c r="D315" s="3" t="n">
        <v>9</v>
      </c>
      <c r="E315" s="3" t="n">
        <v>9</v>
      </c>
      <c r="F315" s="7" t="n">
        <f aca="false">IFERROR(Tableau1[[#This Row],[Score]]/Tableau1[[#This Row],[Nb]],0)</f>
        <v>1</v>
      </c>
    </row>
    <row r="316" customFormat="false" ht="30" hidden="false" customHeight="true" outlineLevel="0" collapsed="false">
      <c r="A316" s="8" t="s">
        <v>634</v>
      </c>
      <c r="B316" s="9" t="s">
        <v>635</v>
      </c>
      <c r="C316" s="6" t="n">
        <v>41426</v>
      </c>
      <c r="D316" s="3" t="n">
        <v>15</v>
      </c>
      <c r="E316" s="3" t="n">
        <v>15</v>
      </c>
      <c r="F316" s="7" t="n">
        <f aca="false">IFERROR(Tableau1[[#This Row],[Score]]/Tableau1[[#This Row],[Nb]],0)</f>
        <v>1</v>
      </c>
    </row>
    <row r="317" customFormat="false" ht="30" hidden="false" customHeight="true" outlineLevel="0" collapsed="false">
      <c r="A317" s="1" t="s">
        <v>636</v>
      </c>
      <c r="B317" s="2" t="s">
        <v>637</v>
      </c>
      <c r="C317" s="6" t="n">
        <v>41432</v>
      </c>
      <c r="D317" s="3" t="n">
        <v>9</v>
      </c>
      <c r="E317" s="3" t="n">
        <v>-9</v>
      </c>
      <c r="F317" s="7" t="n">
        <f aca="false">IFERROR(Tableau1[[#This Row],[Score]]/Tableau1[[#This Row],[Nb]],0)</f>
        <v>-1</v>
      </c>
    </row>
    <row r="318" customFormat="false" ht="30" hidden="false" customHeight="true" outlineLevel="0" collapsed="false">
      <c r="A318" s="1" t="s">
        <v>638</v>
      </c>
      <c r="B318" s="2" t="s">
        <v>639</v>
      </c>
      <c r="C318" s="6" t="n">
        <v>41432</v>
      </c>
      <c r="D318" s="3" t="n">
        <v>3</v>
      </c>
      <c r="E318" s="3" t="n">
        <v>-3</v>
      </c>
      <c r="F318" s="7" t="n">
        <f aca="false">IFERROR(Tableau1[[#This Row],[Score]]/Tableau1[[#This Row],[Nb]],0)</f>
        <v>-1</v>
      </c>
    </row>
    <row r="319" customFormat="false" ht="30" hidden="false" customHeight="true" outlineLevel="0" collapsed="false">
      <c r="A319" s="1" t="s">
        <v>640</v>
      </c>
      <c r="B319" s="2" t="s">
        <v>641</v>
      </c>
      <c r="C319" s="6" t="n">
        <v>41432</v>
      </c>
      <c r="D319" s="3" t="n">
        <v>5</v>
      </c>
      <c r="E319" s="3" t="n">
        <v>-5</v>
      </c>
      <c r="F319" s="7" t="n">
        <f aca="false">IFERROR(Tableau1[[#This Row],[Score]]/Tableau1[[#This Row],[Nb]],0)</f>
        <v>-1</v>
      </c>
    </row>
    <row r="320" customFormat="false" ht="30" hidden="false" customHeight="true" outlineLevel="0" collapsed="false">
      <c r="A320" s="1" t="s">
        <v>642</v>
      </c>
      <c r="B320" s="2" t="s">
        <v>643</v>
      </c>
      <c r="C320" s="6" t="n">
        <v>41432</v>
      </c>
      <c r="D320" s="3" t="n">
        <v>12</v>
      </c>
      <c r="E320" s="3" t="n">
        <v>-12</v>
      </c>
      <c r="F320" s="7" t="n">
        <f aca="false">IFERROR(Tableau1[[#This Row],[Score]]/Tableau1[[#This Row],[Nb]],0)</f>
        <v>-1</v>
      </c>
    </row>
    <row r="321" customFormat="false" ht="30" hidden="false" customHeight="true" outlineLevel="0" collapsed="false">
      <c r="A321" s="1" t="s">
        <v>644</v>
      </c>
      <c r="B321" s="2" t="s">
        <v>645</v>
      </c>
      <c r="C321" s="6" t="n">
        <v>41432</v>
      </c>
      <c r="D321" s="3" t="n">
        <v>8</v>
      </c>
      <c r="E321" s="3" t="n">
        <v>-6</v>
      </c>
      <c r="F321" s="7" t="n">
        <f aca="false">IFERROR(Tableau1[[#This Row],[Score]]/Tableau1[[#This Row],[Nb]],0)</f>
        <v>-0.75</v>
      </c>
    </row>
    <row r="322" customFormat="false" ht="30" hidden="false" customHeight="true" outlineLevel="0" collapsed="false">
      <c r="A322" s="1" t="s">
        <v>646</v>
      </c>
      <c r="B322" s="2" t="s">
        <v>647</v>
      </c>
      <c r="C322" s="6" t="n">
        <v>41432</v>
      </c>
      <c r="D322" s="3" t="n">
        <v>7</v>
      </c>
      <c r="E322" s="3" t="n">
        <v>-5</v>
      </c>
      <c r="F322" s="7" t="n">
        <f aca="false">IFERROR(Tableau1[[#This Row],[Score]]/Tableau1[[#This Row],[Nb]],0)</f>
        <v>-0.714285714285714</v>
      </c>
    </row>
    <row r="323" customFormat="false" ht="30" hidden="false" customHeight="true" outlineLevel="0" collapsed="false">
      <c r="A323" s="1" t="s">
        <v>648</v>
      </c>
      <c r="B323" s="2" t="s">
        <v>649</v>
      </c>
      <c r="C323" s="6" t="n">
        <v>41432</v>
      </c>
      <c r="D323" s="3" t="n">
        <v>12</v>
      </c>
      <c r="E323" s="3" t="n">
        <v>-8</v>
      </c>
      <c r="F323" s="7" t="n">
        <f aca="false">IFERROR(Tableau1[[#This Row],[Score]]/Tableau1[[#This Row],[Nb]],0)</f>
        <v>-0.666666666666667</v>
      </c>
    </row>
    <row r="324" customFormat="false" ht="30" hidden="false" customHeight="true" outlineLevel="0" collapsed="false">
      <c r="A324" s="1" t="s">
        <v>650</v>
      </c>
      <c r="B324" s="2" t="s">
        <v>651</v>
      </c>
      <c r="C324" s="6" t="n">
        <v>41432</v>
      </c>
      <c r="D324" s="3" t="n">
        <v>9</v>
      </c>
      <c r="E324" s="3" t="n">
        <v>-5</v>
      </c>
      <c r="F324" s="7" t="n">
        <f aca="false">IFERROR(Tableau1[[#This Row],[Score]]/Tableau1[[#This Row],[Nb]],0)</f>
        <v>-0.555555555555556</v>
      </c>
    </row>
    <row r="325" customFormat="false" ht="30" hidden="false" customHeight="true" outlineLevel="0" collapsed="false">
      <c r="A325" s="1" t="s">
        <v>652</v>
      </c>
      <c r="B325" s="2" t="s">
        <v>653</v>
      </c>
      <c r="C325" s="6" t="n">
        <v>41432</v>
      </c>
      <c r="D325" s="3" t="n">
        <v>22</v>
      </c>
      <c r="E325" s="3" t="n">
        <v>-8</v>
      </c>
      <c r="F325" s="7" t="n">
        <f aca="false">IFERROR(Tableau1[[#This Row],[Score]]/Tableau1[[#This Row],[Nb]],0)</f>
        <v>-0.363636363636364</v>
      </c>
    </row>
    <row r="326" customFormat="false" ht="30" hidden="false" customHeight="true" outlineLevel="0" collapsed="false">
      <c r="A326" s="1" t="s">
        <v>654</v>
      </c>
      <c r="B326" s="2" t="s">
        <v>655</v>
      </c>
      <c r="C326" s="6" t="n">
        <v>41432</v>
      </c>
      <c r="D326" s="3" t="n">
        <v>9</v>
      </c>
      <c r="E326" s="3" t="n">
        <v>-3</v>
      </c>
      <c r="F326" s="7" t="n">
        <f aca="false">IFERROR(Tableau1[[#This Row],[Score]]/Tableau1[[#This Row],[Nb]],0)</f>
        <v>-0.333333333333333</v>
      </c>
    </row>
    <row r="327" customFormat="false" ht="30" hidden="false" customHeight="true" outlineLevel="0" collapsed="false">
      <c r="A327" s="1" t="s">
        <v>656</v>
      </c>
      <c r="B327" s="2" t="s">
        <v>657</v>
      </c>
      <c r="C327" s="6" t="n">
        <v>41432</v>
      </c>
      <c r="D327" s="3" t="n">
        <v>6</v>
      </c>
      <c r="E327" s="3" t="n">
        <v>-2</v>
      </c>
      <c r="F327" s="7" t="n">
        <f aca="false">IFERROR(Tableau1[[#This Row],[Score]]/Tableau1[[#This Row],[Nb]],0)</f>
        <v>-0.333333333333333</v>
      </c>
    </row>
    <row r="328" customFormat="false" ht="30" hidden="false" customHeight="true" outlineLevel="0" collapsed="false">
      <c r="A328" s="1" t="s">
        <v>658</v>
      </c>
      <c r="B328" s="2" t="s">
        <v>659</v>
      </c>
      <c r="C328" s="6" t="n">
        <v>41432</v>
      </c>
      <c r="D328" s="3" t="n">
        <v>3</v>
      </c>
      <c r="E328" s="3" t="n">
        <v>-1</v>
      </c>
      <c r="F328" s="7" t="n">
        <f aca="false">IFERROR(Tableau1[[#This Row],[Score]]/Tableau1[[#This Row],[Nb]],0)</f>
        <v>-0.333333333333333</v>
      </c>
    </row>
    <row r="329" customFormat="false" ht="30" hidden="false" customHeight="true" outlineLevel="0" collapsed="false">
      <c r="A329" s="1" t="s">
        <v>660</v>
      </c>
      <c r="B329" s="2" t="s">
        <v>661</v>
      </c>
      <c r="C329" s="6" t="n">
        <v>41432</v>
      </c>
      <c r="D329" s="3" t="n">
        <v>11</v>
      </c>
      <c r="E329" s="3" t="n">
        <v>-3</v>
      </c>
      <c r="F329" s="7" t="n">
        <f aca="false">IFERROR(Tableau1[[#This Row],[Score]]/Tableau1[[#This Row],[Nb]],0)</f>
        <v>-0.272727272727273</v>
      </c>
    </row>
    <row r="330" customFormat="false" ht="30" hidden="false" customHeight="true" outlineLevel="0" collapsed="false">
      <c r="A330" s="1" t="s">
        <v>662</v>
      </c>
      <c r="B330" s="2" t="s">
        <v>663</v>
      </c>
      <c r="C330" s="6" t="n">
        <v>41432</v>
      </c>
      <c r="D330" s="3" t="n">
        <v>15</v>
      </c>
      <c r="E330" s="3" t="n">
        <v>-3</v>
      </c>
      <c r="F330" s="7" t="n">
        <f aca="false">IFERROR(Tableau1[[#This Row],[Score]]/Tableau1[[#This Row],[Nb]],0)</f>
        <v>-0.2</v>
      </c>
    </row>
    <row r="331" customFormat="false" ht="30" hidden="false" customHeight="true" outlineLevel="0" collapsed="false">
      <c r="A331" s="1" t="s">
        <v>664</v>
      </c>
      <c r="B331" s="2" t="s">
        <v>665</v>
      </c>
      <c r="C331" s="6" t="n">
        <v>41432</v>
      </c>
      <c r="D331" s="3" t="n">
        <v>15</v>
      </c>
      <c r="E331" s="3" t="n">
        <v>-3</v>
      </c>
      <c r="F331" s="7" t="n">
        <f aca="false">IFERROR(Tableau1[[#This Row],[Score]]/Tableau1[[#This Row],[Nb]],0)</f>
        <v>-0.2</v>
      </c>
    </row>
    <row r="332" customFormat="false" ht="30" hidden="false" customHeight="true" outlineLevel="0" collapsed="false">
      <c r="A332" s="1" t="s">
        <v>666</v>
      </c>
      <c r="B332" s="2" t="s">
        <v>667</v>
      </c>
      <c r="C332" s="6" t="n">
        <v>41432</v>
      </c>
      <c r="D332" s="3" t="n">
        <v>7</v>
      </c>
      <c r="E332" s="3" t="n">
        <v>-1</v>
      </c>
      <c r="F332" s="7" t="n">
        <f aca="false">IFERROR(Tableau1[[#This Row],[Score]]/Tableau1[[#This Row],[Nb]],0)</f>
        <v>-0.142857142857143</v>
      </c>
    </row>
    <row r="333" customFormat="false" ht="30" hidden="false" customHeight="true" outlineLevel="0" collapsed="false">
      <c r="A333" s="1" t="s">
        <v>668</v>
      </c>
      <c r="B333" s="2" t="s">
        <v>669</v>
      </c>
      <c r="C333" s="6" t="n">
        <v>41432</v>
      </c>
      <c r="D333" s="3" t="n">
        <v>11</v>
      </c>
      <c r="E333" s="3" t="n">
        <v>-1</v>
      </c>
      <c r="F333" s="7" t="n">
        <f aca="false">IFERROR(Tableau1[[#This Row],[Score]]/Tableau1[[#This Row],[Nb]],0)</f>
        <v>-0.0909090909090909</v>
      </c>
    </row>
    <row r="334" customFormat="false" ht="30" hidden="false" customHeight="true" outlineLevel="0" collapsed="false">
      <c r="A334" s="1" t="s">
        <v>670</v>
      </c>
      <c r="B334" s="2" t="s">
        <v>671</v>
      </c>
      <c r="C334" s="6" t="n">
        <v>41432</v>
      </c>
      <c r="D334" s="3" t="n">
        <v>5</v>
      </c>
      <c r="E334" s="3" t="n">
        <v>1</v>
      </c>
      <c r="F334" s="7" t="n">
        <f aca="false">IFERROR(Tableau1[[#This Row],[Score]]/Tableau1[[#This Row],[Nb]],0)</f>
        <v>0.2</v>
      </c>
    </row>
    <row r="335" customFormat="false" ht="30" hidden="false" customHeight="true" outlineLevel="0" collapsed="false">
      <c r="A335" s="1" t="s">
        <v>672</v>
      </c>
      <c r="B335" s="2" t="s">
        <v>673</v>
      </c>
      <c r="C335" s="6" t="n">
        <v>41432</v>
      </c>
      <c r="D335" s="3" t="n">
        <v>12</v>
      </c>
      <c r="E335" s="3" t="n">
        <v>0</v>
      </c>
      <c r="F335" s="7" t="n">
        <f aca="false">IFERROR(Tableau1[[#This Row],[Score]]/Tableau1[[#This Row],[Nb]],0)</f>
        <v>0</v>
      </c>
    </row>
    <row r="336" customFormat="false" ht="30" hidden="false" customHeight="true" outlineLevel="0" collapsed="false">
      <c r="A336" s="1" t="s">
        <v>674</v>
      </c>
      <c r="B336" s="2" t="s">
        <v>675</v>
      </c>
      <c r="C336" s="6" t="n">
        <v>41432</v>
      </c>
      <c r="D336" s="3" t="n">
        <v>11</v>
      </c>
      <c r="E336" s="3" t="n">
        <v>3</v>
      </c>
      <c r="F336" s="7" t="n">
        <f aca="false">IFERROR(Tableau1[[#This Row],[Score]]/Tableau1[[#This Row],[Nb]],0)</f>
        <v>0.272727272727273</v>
      </c>
    </row>
    <row r="337" customFormat="false" ht="30" hidden="false" customHeight="true" outlineLevel="0" collapsed="false">
      <c r="A337" s="1" t="s">
        <v>676</v>
      </c>
      <c r="B337" s="2" t="s">
        <v>677</v>
      </c>
      <c r="C337" s="6" t="n">
        <v>41432</v>
      </c>
      <c r="D337" s="3" t="n">
        <v>14</v>
      </c>
      <c r="E337" s="3" t="n">
        <v>4</v>
      </c>
      <c r="F337" s="7" t="n">
        <f aca="false">IFERROR(Tableau1[[#This Row],[Score]]/Tableau1[[#This Row],[Nb]],0)</f>
        <v>0.285714285714286</v>
      </c>
    </row>
    <row r="338" customFormat="false" ht="30" hidden="false" customHeight="true" outlineLevel="0" collapsed="false">
      <c r="A338" s="1" t="s">
        <v>678</v>
      </c>
      <c r="B338" s="2" t="s">
        <v>679</v>
      </c>
      <c r="C338" s="6" t="n">
        <v>41432</v>
      </c>
      <c r="D338" s="3" t="n">
        <v>10</v>
      </c>
      <c r="E338" s="3" t="n">
        <v>4</v>
      </c>
      <c r="F338" s="7" t="n">
        <f aca="false">IFERROR(Tableau1[[#This Row],[Score]]/Tableau1[[#This Row],[Nb]],0)</f>
        <v>0.4</v>
      </c>
    </row>
    <row r="339" customFormat="false" ht="30" hidden="false" customHeight="true" outlineLevel="0" collapsed="false">
      <c r="A339" s="1" t="s">
        <v>680</v>
      </c>
      <c r="B339" s="2" t="s">
        <v>681</v>
      </c>
      <c r="C339" s="6" t="n">
        <v>41432</v>
      </c>
      <c r="D339" s="3" t="n">
        <v>15</v>
      </c>
      <c r="E339" s="3" t="n">
        <v>7</v>
      </c>
      <c r="F339" s="7" t="n">
        <f aca="false">IFERROR(Tableau1[[#This Row],[Score]]/Tableau1[[#This Row],[Nb]],0)</f>
        <v>0.466666666666667</v>
      </c>
    </row>
    <row r="340" customFormat="false" ht="30" hidden="false" customHeight="true" outlineLevel="0" collapsed="false">
      <c r="A340" s="1" t="s">
        <v>682</v>
      </c>
      <c r="B340" s="2" t="s">
        <v>683</v>
      </c>
      <c r="C340" s="6" t="n">
        <v>41432</v>
      </c>
      <c r="D340" s="3" t="n">
        <v>9</v>
      </c>
      <c r="E340" s="3" t="n">
        <v>5</v>
      </c>
      <c r="F340" s="7" t="n">
        <f aca="false">IFERROR(Tableau1[[#This Row],[Score]]/Tableau1[[#This Row],[Nb]],0)</f>
        <v>0.555555555555556</v>
      </c>
    </row>
    <row r="341" customFormat="false" ht="30" hidden="false" customHeight="true" outlineLevel="0" collapsed="false">
      <c r="A341" s="1" t="s">
        <v>684</v>
      </c>
      <c r="B341" s="2" t="s">
        <v>685</v>
      </c>
      <c r="C341" s="6" t="n">
        <v>41432</v>
      </c>
      <c r="D341" s="3" t="n">
        <v>14</v>
      </c>
      <c r="E341" s="3" t="n">
        <v>8</v>
      </c>
      <c r="F341" s="7" t="n">
        <f aca="false">IFERROR(Tableau1[[#This Row],[Score]]/Tableau1[[#This Row],[Nb]],0)</f>
        <v>0.571428571428571</v>
      </c>
    </row>
    <row r="342" customFormat="false" ht="30" hidden="false" customHeight="true" outlineLevel="0" collapsed="false">
      <c r="A342" s="1" t="s">
        <v>686</v>
      </c>
      <c r="B342" s="2" t="s">
        <v>687</v>
      </c>
      <c r="C342" s="6" t="n">
        <v>41432</v>
      </c>
      <c r="D342" s="3" t="n">
        <v>10</v>
      </c>
      <c r="E342" s="3" t="n">
        <v>6</v>
      </c>
      <c r="F342" s="7" t="n">
        <f aca="false">IFERROR(Tableau1[[#This Row],[Score]]/Tableau1[[#This Row],[Nb]],0)</f>
        <v>0.6</v>
      </c>
    </row>
    <row r="343" customFormat="false" ht="30" hidden="false" customHeight="true" outlineLevel="0" collapsed="false">
      <c r="A343" s="1" t="s">
        <v>688</v>
      </c>
      <c r="B343" s="2" t="s">
        <v>689</v>
      </c>
      <c r="C343" s="6" t="n">
        <v>41432</v>
      </c>
      <c r="D343" s="3" t="n">
        <v>10</v>
      </c>
      <c r="E343" s="3" t="n">
        <v>6</v>
      </c>
      <c r="F343" s="7" t="n">
        <f aca="false">IFERROR(Tableau1[[#This Row],[Score]]/Tableau1[[#This Row],[Nb]],0)</f>
        <v>0.6</v>
      </c>
    </row>
    <row r="344" customFormat="false" ht="30" hidden="false" customHeight="true" outlineLevel="0" collapsed="false">
      <c r="A344" s="1" t="s">
        <v>690</v>
      </c>
      <c r="B344" s="2" t="s">
        <v>691</v>
      </c>
      <c r="C344" s="6" t="n">
        <v>41432</v>
      </c>
      <c r="D344" s="3" t="n">
        <v>6</v>
      </c>
      <c r="E344" s="3" t="n">
        <v>4</v>
      </c>
      <c r="F344" s="7" t="n">
        <f aca="false">IFERROR(Tableau1[[#This Row],[Score]]/Tableau1[[#This Row],[Nb]],0)</f>
        <v>0.666666666666667</v>
      </c>
    </row>
    <row r="345" customFormat="false" ht="30" hidden="false" customHeight="true" outlineLevel="0" collapsed="false">
      <c r="A345" s="1" t="s">
        <v>692</v>
      </c>
      <c r="B345" s="2" t="s">
        <v>693</v>
      </c>
      <c r="C345" s="6" t="n">
        <v>41432</v>
      </c>
      <c r="D345" s="3" t="n">
        <v>7</v>
      </c>
      <c r="E345" s="3" t="n">
        <v>5</v>
      </c>
      <c r="F345" s="7" t="n">
        <f aca="false">IFERROR(Tableau1[[#This Row],[Score]]/Tableau1[[#This Row],[Nb]],0)</f>
        <v>0.714285714285714</v>
      </c>
    </row>
    <row r="346" customFormat="false" ht="30" hidden="false" customHeight="true" outlineLevel="0" collapsed="false">
      <c r="A346" s="1" t="s">
        <v>694</v>
      </c>
      <c r="B346" s="2" t="s">
        <v>695</v>
      </c>
      <c r="C346" s="6" t="n">
        <v>41432</v>
      </c>
      <c r="D346" s="3" t="n">
        <v>7</v>
      </c>
      <c r="E346" s="3" t="n">
        <v>5</v>
      </c>
      <c r="F346" s="7" t="n">
        <f aca="false">IFERROR(Tableau1[[#This Row],[Score]]/Tableau1[[#This Row],[Nb]],0)</f>
        <v>0.714285714285714</v>
      </c>
    </row>
    <row r="347" customFormat="false" ht="30" hidden="false" customHeight="true" outlineLevel="0" collapsed="false">
      <c r="A347" s="1" t="s">
        <v>696</v>
      </c>
      <c r="B347" s="2" t="s">
        <v>697</v>
      </c>
      <c r="C347" s="6" t="n">
        <v>41432</v>
      </c>
      <c r="D347" s="3" t="n">
        <v>8</v>
      </c>
      <c r="E347" s="3" t="n">
        <v>6</v>
      </c>
      <c r="F347" s="7" t="n">
        <f aca="false">IFERROR(Tableau1[[#This Row],[Score]]/Tableau1[[#This Row],[Nb]],0)</f>
        <v>0.75</v>
      </c>
    </row>
    <row r="348" customFormat="false" ht="30" hidden="false" customHeight="true" outlineLevel="0" collapsed="false">
      <c r="A348" s="1" t="s">
        <v>698</v>
      </c>
      <c r="B348" s="2" t="s">
        <v>699</v>
      </c>
      <c r="C348" s="6" t="n">
        <v>41432</v>
      </c>
      <c r="D348" s="3" t="n">
        <v>9</v>
      </c>
      <c r="E348" s="3" t="n">
        <v>7</v>
      </c>
      <c r="F348" s="7" t="n">
        <f aca="false">IFERROR(Tableau1[[#This Row],[Score]]/Tableau1[[#This Row],[Nb]],0)</f>
        <v>0.777777777777778</v>
      </c>
    </row>
    <row r="349" customFormat="false" ht="30" hidden="false" customHeight="true" outlineLevel="0" collapsed="false">
      <c r="A349" s="1" t="s">
        <v>700</v>
      </c>
      <c r="B349" s="2" t="s">
        <v>701</v>
      </c>
      <c r="C349" s="6" t="n">
        <v>41432</v>
      </c>
      <c r="D349" s="3" t="n">
        <v>27</v>
      </c>
      <c r="E349" s="3" t="n">
        <v>21</v>
      </c>
      <c r="F349" s="7" t="n">
        <f aca="false">IFERROR(Tableau1[[#This Row],[Score]]/Tableau1[[#This Row],[Nb]],0)</f>
        <v>0.777777777777778</v>
      </c>
    </row>
    <row r="350" customFormat="false" ht="30" hidden="false" customHeight="true" outlineLevel="0" collapsed="false">
      <c r="A350" s="1" t="s">
        <v>702</v>
      </c>
      <c r="B350" s="2" t="s">
        <v>703</v>
      </c>
      <c r="C350" s="6" t="n">
        <v>41432</v>
      </c>
      <c r="D350" s="3" t="n">
        <v>10</v>
      </c>
      <c r="E350" s="3" t="n">
        <v>8</v>
      </c>
      <c r="F350" s="7" t="n">
        <f aca="false">IFERROR(Tableau1[[#This Row],[Score]]/Tableau1[[#This Row],[Nb]],0)</f>
        <v>0.8</v>
      </c>
    </row>
    <row r="351" customFormat="false" ht="30" hidden="false" customHeight="true" outlineLevel="0" collapsed="false">
      <c r="A351" s="1" t="s">
        <v>704</v>
      </c>
      <c r="B351" s="2" t="s">
        <v>705</v>
      </c>
      <c r="C351" s="6" t="n">
        <v>41432</v>
      </c>
      <c r="D351" s="3" t="n">
        <v>10</v>
      </c>
      <c r="E351" s="3" t="n">
        <v>8</v>
      </c>
      <c r="F351" s="7" t="n">
        <f aca="false">IFERROR(Tableau1[[#This Row],[Score]]/Tableau1[[#This Row],[Nb]],0)</f>
        <v>0.8</v>
      </c>
    </row>
    <row r="352" customFormat="false" ht="30" hidden="false" customHeight="true" outlineLevel="0" collapsed="false">
      <c r="A352" s="1" t="s">
        <v>706</v>
      </c>
      <c r="B352" s="2" t="s">
        <v>707</v>
      </c>
      <c r="C352" s="6" t="n">
        <v>41432</v>
      </c>
      <c r="D352" s="3" t="n">
        <v>12</v>
      </c>
      <c r="E352" s="3" t="n">
        <v>10</v>
      </c>
      <c r="F352" s="7" t="n">
        <f aca="false">IFERROR(Tableau1[[#This Row],[Score]]/Tableau1[[#This Row],[Nb]],0)</f>
        <v>0.833333333333333</v>
      </c>
    </row>
    <row r="353" customFormat="false" ht="30" hidden="false" customHeight="true" outlineLevel="0" collapsed="false">
      <c r="A353" s="8" t="s">
        <v>708</v>
      </c>
      <c r="B353" s="9" t="s">
        <v>709</v>
      </c>
      <c r="C353" s="6" t="n">
        <v>41432</v>
      </c>
      <c r="D353" s="3" t="n">
        <v>10</v>
      </c>
      <c r="E353" s="3" t="n">
        <v>10</v>
      </c>
      <c r="F353" s="7" t="n">
        <f aca="false">IFERROR(Tableau1[[#This Row],[Score]]/Tableau1[[#This Row],[Nb]],0)</f>
        <v>1</v>
      </c>
    </row>
    <row r="354" customFormat="false" ht="30" hidden="false" customHeight="true" outlineLevel="0" collapsed="false">
      <c r="A354" s="8" t="s">
        <v>710</v>
      </c>
      <c r="B354" s="9" t="s">
        <v>711</v>
      </c>
      <c r="C354" s="6" t="n">
        <v>41432</v>
      </c>
      <c r="D354" s="3" t="n">
        <v>10</v>
      </c>
      <c r="E354" s="3" t="n">
        <v>10</v>
      </c>
      <c r="F354" s="7" t="n">
        <f aca="false">IFERROR(Tableau1[[#This Row],[Score]]/Tableau1[[#This Row],[Nb]],0)</f>
        <v>1</v>
      </c>
    </row>
    <row r="355" customFormat="false" ht="30" hidden="false" customHeight="true" outlineLevel="0" collapsed="false">
      <c r="A355" s="8" t="s">
        <v>712</v>
      </c>
      <c r="B355" s="9" t="s">
        <v>713</v>
      </c>
      <c r="C355" s="6" t="n">
        <v>41432</v>
      </c>
      <c r="D355" s="3" t="n">
        <v>10</v>
      </c>
      <c r="E355" s="3" t="n">
        <v>10</v>
      </c>
      <c r="F355" s="7" t="n">
        <f aca="false">IFERROR(Tableau1[[#This Row],[Score]]/Tableau1[[#This Row],[Nb]],0)</f>
        <v>1</v>
      </c>
    </row>
    <row r="356" customFormat="false" ht="30" hidden="false" customHeight="true" outlineLevel="0" collapsed="false">
      <c r="A356" s="8" t="s">
        <v>714</v>
      </c>
      <c r="B356" s="9" t="s">
        <v>715</v>
      </c>
      <c r="C356" s="6" t="n">
        <v>41432</v>
      </c>
      <c r="D356" s="3" t="n">
        <v>10</v>
      </c>
      <c r="E356" s="3" t="n">
        <v>10</v>
      </c>
      <c r="F356" s="7" t="n">
        <f aca="false">IFERROR(Tableau1[[#This Row],[Score]]/Tableau1[[#This Row],[Nb]],0)</f>
        <v>1</v>
      </c>
    </row>
    <row r="357" customFormat="false" ht="30" hidden="false" customHeight="true" outlineLevel="0" collapsed="false">
      <c r="A357" s="8" t="s">
        <v>716</v>
      </c>
      <c r="B357" s="9" t="s">
        <v>717</v>
      </c>
      <c r="C357" s="6" t="n">
        <v>41432</v>
      </c>
      <c r="D357" s="3" t="n">
        <v>10</v>
      </c>
      <c r="E357" s="3" t="n">
        <v>10</v>
      </c>
      <c r="F357" s="7" t="n">
        <f aca="false">IFERROR(Tableau1[[#This Row],[Score]]/Tableau1[[#This Row],[Nb]],0)</f>
        <v>1</v>
      </c>
    </row>
    <row r="358" customFormat="false" ht="30" hidden="false" customHeight="true" outlineLevel="0" collapsed="false">
      <c r="A358" s="8" t="s">
        <v>718</v>
      </c>
      <c r="B358" s="9" t="s">
        <v>719</v>
      </c>
      <c r="C358" s="6" t="n">
        <v>41432</v>
      </c>
      <c r="D358" s="3" t="n">
        <v>10</v>
      </c>
      <c r="E358" s="3" t="n">
        <v>10</v>
      </c>
      <c r="F358" s="7" t="n">
        <f aca="false">IFERROR(Tableau1[[#This Row],[Score]]/Tableau1[[#This Row],[Nb]],0)</f>
        <v>1</v>
      </c>
    </row>
    <row r="359" customFormat="false" ht="30" hidden="false" customHeight="true" outlineLevel="0" collapsed="false">
      <c r="A359" s="8" t="s">
        <v>720</v>
      </c>
      <c r="B359" s="9" t="s">
        <v>721</v>
      </c>
      <c r="C359" s="6" t="n">
        <v>41432</v>
      </c>
      <c r="D359" s="3" t="n">
        <v>10</v>
      </c>
      <c r="E359" s="3" t="n">
        <v>10</v>
      </c>
      <c r="F359" s="7" t="n">
        <f aca="false">IFERROR(Tableau1[[#This Row],[Score]]/Tableau1[[#This Row],[Nb]],0)</f>
        <v>1</v>
      </c>
    </row>
    <row r="360" customFormat="false" ht="30" hidden="false" customHeight="true" outlineLevel="0" collapsed="false">
      <c r="A360" s="1" t="s">
        <v>722</v>
      </c>
      <c r="B360" s="2" t="s">
        <v>723</v>
      </c>
      <c r="C360" s="6" t="n">
        <v>41432</v>
      </c>
      <c r="D360" s="3" t="n">
        <v>9</v>
      </c>
      <c r="E360" s="3" t="n">
        <v>9</v>
      </c>
      <c r="F360" s="7" t="n">
        <f aca="false">IFERROR(Tableau1[[#This Row],[Score]]/Tableau1[[#This Row],[Nb]],0)</f>
        <v>1</v>
      </c>
    </row>
    <row r="361" customFormat="false" ht="30" hidden="false" customHeight="true" outlineLevel="0" collapsed="false">
      <c r="A361" s="1" t="s">
        <v>724</v>
      </c>
      <c r="B361" s="2" t="s">
        <v>725</v>
      </c>
      <c r="C361" s="6" t="n">
        <v>41432</v>
      </c>
      <c r="D361" s="3" t="n">
        <v>8</v>
      </c>
      <c r="E361" s="3" t="n">
        <v>8</v>
      </c>
      <c r="F361" s="7" t="n">
        <f aca="false">IFERROR(Tableau1[[#This Row],[Score]]/Tableau1[[#This Row],[Nb]],0)</f>
        <v>1</v>
      </c>
    </row>
    <row r="362" customFormat="false" ht="30" hidden="false" customHeight="true" outlineLevel="0" collapsed="false">
      <c r="A362" s="1" t="s">
        <v>726</v>
      </c>
      <c r="B362" s="2" t="s">
        <v>727</v>
      </c>
      <c r="C362" s="6" t="n">
        <v>41432</v>
      </c>
      <c r="D362" s="3" t="n">
        <v>8</v>
      </c>
      <c r="E362" s="3" t="n">
        <v>8</v>
      </c>
      <c r="F362" s="7" t="n">
        <f aca="false">IFERROR(Tableau1[[#This Row],[Score]]/Tableau1[[#This Row],[Nb]],0)</f>
        <v>1</v>
      </c>
    </row>
    <row r="363" customFormat="false" ht="30" hidden="false" customHeight="true" outlineLevel="0" collapsed="false">
      <c r="A363" s="1" t="s">
        <v>728</v>
      </c>
      <c r="B363" s="2" t="s">
        <v>729</v>
      </c>
      <c r="C363" s="6" t="n">
        <v>41432</v>
      </c>
      <c r="D363" s="3" t="n">
        <v>5</v>
      </c>
      <c r="E363" s="3" t="n">
        <v>5</v>
      </c>
      <c r="F363" s="7" t="n">
        <f aca="false">IFERROR(Tableau1[[#This Row],[Score]]/Tableau1[[#This Row],[Nb]],0)</f>
        <v>1</v>
      </c>
    </row>
    <row r="364" customFormat="false" ht="30" hidden="false" customHeight="true" outlineLevel="0" collapsed="false">
      <c r="A364" s="1" t="s">
        <v>730</v>
      </c>
      <c r="B364" s="2" t="s">
        <v>731</v>
      </c>
      <c r="C364" s="6" t="n">
        <v>41432</v>
      </c>
      <c r="D364" s="3" t="n">
        <v>5</v>
      </c>
      <c r="E364" s="3" t="n">
        <v>5</v>
      </c>
      <c r="F364" s="7" t="n">
        <f aca="false">IFERROR(Tableau1[[#This Row],[Score]]/Tableau1[[#This Row],[Nb]],0)</f>
        <v>1</v>
      </c>
    </row>
    <row r="365" customFormat="false" ht="30" hidden="false" customHeight="true" outlineLevel="0" collapsed="false">
      <c r="A365" s="1" t="s">
        <v>732</v>
      </c>
      <c r="B365" s="2" t="s">
        <v>733</v>
      </c>
      <c r="C365" s="6" t="n">
        <v>41432</v>
      </c>
      <c r="D365" s="3" t="n">
        <v>6</v>
      </c>
      <c r="E365" s="3" t="n">
        <v>6</v>
      </c>
      <c r="F365" s="7" t="n">
        <f aca="false">IFERROR(Tableau1[[#This Row],[Score]]/Tableau1[[#This Row],[Nb]],0)</f>
        <v>1</v>
      </c>
    </row>
    <row r="366" customFormat="false" ht="30" hidden="false" customHeight="true" outlineLevel="0" collapsed="false">
      <c r="A366" s="1" t="s">
        <v>734</v>
      </c>
      <c r="B366" s="2" t="s">
        <v>735</v>
      </c>
      <c r="C366" s="6" t="n">
        <v>41432</v>
      </c>
      <c r="D366" s="3" t="n">
        <v>7</v>
      </c>
      <c r="E366" s="3" t="n">
        <v>7</v>
      </c>
      <c r="F366" s="7" t="n">
        <f aca="false">IFERROR(Tableau1[[#This Row],[Score]]/Tableau1[[#This Row],[Nb]],0)</f>
        <v>1</v>
      </c>
    </row>
    <row r="367" customFormat="false" ht="30" hidden="false" customHeight="true" outlineLevel="0" collapsed="false">
      <c r="A367" s="1" t="s">
        <v>736</v>
      </c>
      <c r="B367" s="2" t="s">
        <v>737</v>
      </c>
      <c r="C367" s="6" t="n">
        <v>41432</v>
      </c>
      <c r="D367" s="3" t="n">
        <v>9</v>
      </c>
      <c r="E367" s="3" t="n">
        <v>9</v>
      </c>
      <c r="F367" s="7" t="n">
        <f aca="false">IFERROR(Tableau1[[#This Row],[Score]]/Tableau1[[#This Row],[Nb]],0)</f>
        <v>1</v>
      </c>
    </row>
    <row r="368" customFormat="false" ht="30" hidden="false" customHeight="true" outlineLevel="0" collapsed="false">
      <c r="A368" s="1" t="s">
        <v>738</v>
      </c>
      <c r="B368" s="2" t="s">
        <v>739</v>
      </c>
      <c r="C368" s="6" t="n">
        <v>41432</v>
      </c>
      <c r="D368" s="3" t="n">
        <v>10</v>
      </c>
      <c r="E368" s="3" t="n">
        <v>10</v>
      </c>
      <c r="F368" s="7" t="n">
        <f aca="false">IFERROR(Tableau1[[#This Row],[Score]]/Tableau1[[#This Row],[Nb]],0)</f>
        <v>1</v>
      </c>
    </row>
    <row r="369" customFormat="false" ht="30" hidden="false" customHeight="true" outlineLevel="0" collapsed="false">
      <c r="A369" s="1" t="s">
        <v>740</v>
      </c>
      <c r="B369" s="2" t="s">
        <v>741</v>
      </c>
      <c r="C369" s="6" t="n">
        <v>41432</v>
      </c>
      <c r="D369" s="3" t="n">
        <v>9</v>
      </c>
      <c r="E369" s="3" t="n">
        <v>9</v>
      </c>
      <c r="F369" s="7" t="n">
        <f aca="false">IFERROR(Tableau1[[#This Row],[Score]]/Tableau1[[#This Row],[Nb]],0)</f>
        <v>1</v>
      </c>
    </row>
    <row r="370" customFormat="false" ht="30" hidden="false" customHeight="true" outlineLevel="0" collapsed="false">
      <c r="A370" s="8" t="s">
        <v>742</v>
      </c>
      <c r="B370" s="9" t="s">
        <v>743</v>
      </c>
      <c r="C370" s="6" t="n">
        <v>41432</v>
      </c>
      <c r="D370" s="3" t="n">
        <v>12</v>
      </c>
      <c r="E370" s="3" t="n">
        <v>12</v>
      </c>
      <c r="F370" s="7" t="n">
        <f aca="false">IFERROR(Tableau1[[#This Row],[Score]]/Tableau1[[#This Row],[Nb]],0)</f>
        <v>1</v>
      </c>
    </row>
    <row r="371" customFormat="false" ht="30" hidden="false" customHeight="true" outlineLevel="0" collapsed="false">
      <c r="A371" s="8" t="s">
        <v>744</v>
      </c>
      <c r="B371" s="9" t="s">
        <v>745</v>
      </c>
      <c r="C371" s="6" t="n">
        <v>41432</v>
      </c>
      <c r="D371" s="3" t="n">
        <v>11</v>
      </c>
      <c r="E371" s="3" t="n">
        <v>11</v>
      </c>
      <c r="F371" s="7" t="n">
        <f aca="false">IFERROR(Tableau1[[#This Row],[Score]]/Tableau1[[#This Row],[Nb]],0)</f>
        <v>1</v>
      </c>
    </row>
    <row r="372" customFormat="false" ht="30" hidden="false" customHeight="true" outlineLevel="0" collapsed="false">
      <c r="A372" s="1" t="s">
        <v>746</v>
      </c>
      <c r="B372" s="2" t="s">
        <v>747</v>
      </c>
      <c r="C372" s="6" t="n">
        <v>41433</v>
      </c>
      <c r="D372" s="3" t="n">
        <v>10</v>
      </c>
      <c r="E372" s="3" t="n">
        <v>-10</v>
      </c>
      <c r="F372" s="7" t="n">
        <f aca="false">IFERROR(Tableau1[[#This Row],[Score]]/Tableau1[[#This Row],[Nb]],0)</f>
        <v>-1</v>
      </c>
    </row>
    <row r="373" customFormat="false" ht="30" hidden="false" customHeight="true" outlineLevel="0" collapsed="false">
      <c r="A373" s="1" t="s">
        <v>748</v>
      </c>
      <c r="B373" s="2" t="s">
        <v>749</v>
      </c>
      <c r="C373" s="6" t="n">
        <v>41433</v>
      </c>
      <c r="D373" s="3" t="n">
        <v>10</v>
      </c>
      <c r="E373" s="3" t="n">
        <v>-10</v>
      </c>
      <c r="F373" s="7" t="n">
        <f aca="false">IFERROR(Tableau1[[#This Row],[Score]]/Tableau1[[#This Row],[Nb]],0)</f>
        <v>-1</v>
      </c>
    </row>
    <row r="374" customFormat="false" ht="30" hidden="false" customHeight="true" outlineLevel="0" collapsed="false">
      <c r="A374" s="1" t="s">
        <v>750</v>
      </c>
      <c r="B374" s="2" t="s">
        <v>751</v>
      </c>
      <c r="C374" s="6" t="n">
        <v>41433</v>
      </c>
      <c r="D374" s="3" t="n">
        <v>6</v>
      </c>
      <c r="E374" s="3" t="n">
        <v>-6</v>
      </c>
      <c r="F374" s="7" t="n">
        <f aca="false">IFERROR(Tableau1[[#This Row],[Score]]/Tableau1[[#This Row],[Nb]],0)</f>
        <v>-1</v>
      </c>
    </row>
    <row r="375" customFormat="false" ht="30" hidden="false" customHeight="true" outlineLevel="0" collapsed="false">
      <c r="A375" s="1" t="s">
        <v>752</v>
      </c>
      <c r="B375" s="2" t="s">
        <v>753</v>
      </c>
      <c r="C375" s="6" t="n">
        <v>41433</v>
      </c>
      <c r="D375" s="3" t="n">
        <v>5</v>
      </c>
      <c r="E375" s="3" t="n">
        <v>-5</v>
      </c>
      <c r="F375" s="7" t="n">
        <f aca="false">IFERROR(Tableau1[[#This Row],[Score]]/Tableau1[[#This Row],[Nb]],0)</f>
        <v>-1</v>
      </c>
    </row>
    <row r="376" customFormat="false" ht="30" hidden="false" customHeight="true" outlineLevel="0" collapsed="false">
      <c r="A376" s="1" t="s">
        <v>754</v>
      </c>
      <c r="B376" s="2" t="s">
        <v>755</v>
      </c>
      <c r="C376" s="6" t="n">
        <v>41433</v>
      </c>
      <c r="D376" s="3" t="n">
        <v>9</v>
      </c>
      <c r="E376" s="3" t="n">
        <v>-9</v>
      </c>
      <c r="F376" s="7" t="n">
        <f aca="false">IFERROR(Tableau1[[#This Row],[Score]]/Tableau1[[#This Row],[Nb]],0)</f>
        <v>-1</v>
      </c>
    </row>
    <row r="377" customFormat="false" ht="30" hidden="false" customHeight="true" outlineLevel="0" collapsed="false">
      <c r="A377" s="1" t="s">
        <v>756</v>
      </c>
      <c r="B377" s="2" t="s">
        <v>757</v>
      </c>
      <c r="C377" s="6" t="n">
        <v>41433</v>
      </c>
      <c r="D377" s="3" t="n">
        <v>4</v>
      </c>
      <c r="E377" s="3" t="n">
        <v>-4</v>
      </c>
      <c r="F377" s="7" t="n">
        <f aca="false">IFERROR(Tableau1[[#This Row],[Score]]/Tableau1[[#This Row],[Nb]],0)</f>
        <v>-1</v>
      </c>
    </row>
    <row r="378" customFormat="false" ht="30" hidden="false" customHeight="true" outlineLevel="0" collapsed="false">
      <c r="A378" s="1" t="s">
        <v>758</v>
      </c>
      <c r="B378" s="2" t="s">
        <v>759</v>
      </c>
      <c r="C378" s="6" t="n">
        <v>41433</v>
      </c>
      <c r="D378" s="3" t="n">
        <v>6</v>
      </c>
      <c r="E378" s="3" t="n">
        <v>-6</v>
      </c>
      <c r="F378" s="7" t="n">
        <f aca="false">IFERROR(Tableau1[[#This Row],[Score]]/Tableau1[[#This Row],[Nb]],0)</f>
        <v>-1</v>
      </c>
    </row>
    <row r="379" customFormat="false" ht="30" hidden="false" customHeight="true" outlineLevel="0" collapsed="false">
      <c r="A379" s="1" t="s">
        <v>760</v>
      </c>
      <c r="B379" s="2" t="s">
        <v>761</v>
      </c>
      <c r="C379" s="6" t="n">
        <v>41433</v>
      </c>
      <c r="D379" s="3" t="n">
        <v>8</v>
      </c>
      <c r="E379" s="3" t="n">
        <v>-6</v>
      </c>
      <c r="F379" s="7" t="n">
        <f aca="false">IFERROR(Tableau1[[#This Row],[Score]]/Tableau1[[#This Row],[Nb]],0)</f>
        <v>-0.75</v>
      </c>
    </row>
    <row r="380" customFormat="false" ht="30" hidden="false" customHeight="true" outlineLevel="0" collapsed="false">
      <c r="A380" s="1" t="s">
        <v>762</v>
      </c>
      <c r="B380" s="2" t="s">
        <v>763</v>
      </c>
      <c r="C380" s="6" t="n">
        <v>41433</v>
      </c>
      <c r="D380" s="3" t="n">
        <v>6</v>
      </c>
      <c r="E380" s="3" t="n">
        <v>-4</v>
      </c>
      <c r="F380" s="7" t="n">
        <f aca="false">IFERROR(Tableau1[[#This Row],[Score]]/Tableau1[[#This Row],[Nb]],0)</f>
        <v>-0.666666666666667</v>
      </c>
    </row>
    <row r="381" customFormat="false" ht="30" hidden="false" customHeight="true" outlineLevel="0" collapsed="false">
      <c r="A381" s="1" t="s">
        <v>764</v>
      </c>
      <c r="B381" s="2" t="s">
        <v>765</v>
      </c>
      <c r="C381" s="6" t="n">
        <v>41433</v>
      </c>
      <c r="D381" s="3" t="n">
        <v>10</v>
      </c>
      <c r="E381" s="3" t="n">
        <v>-6</v>
      </c>
      <c r="F381" s="7" t="n">
        <f aca="false">IFERROR(Tableau1[[#This Row],[Score]]/Tableau1[[#This Row],[Nb]],0)</f>
        <v>-0.6</v>
      </c>
    </row>
    <row r="382" customFormat="false" ht="30" hidden="false" customHeight="true" outlineLevel="0" collapsed="false">
      <c r="A382" s="1" t="s">
        <v>766</v>
      </c>
      <c r="B382" s="2" t="s">
        <v>767</v>
      </c>
      <c r="C382" s="6" t="n">
        <v>41433</v>
      </c>
      <c r="D382" s="3" t="n">
        <v>12</v>
      </c>
      <c r="E382" s="3" t="n">
        <v>-5</v>
      </c>
      <c r="F382" s="7" t="n">
        <f aca="false">IFERROR(Tableau1[[#This Row],[Score]]/Tableau1[[#This Row],[Nb]],0)</f>
        <v>-0.416666666666667</v>
      </c>
    </row>
    <row r="383" customFormat="false" ht="30" hidden="false" customHeight="true" outlineLevel="0" collapsed="false">
      <c r="A383" s="1" t="s">
        <v>768</v>
      </c>
      <c r="B383" s="2" t="s">
        <v>769</v>
      </c>
      <c r="C383" s="6" t="n">
        <v>41433</v>
      </c>
      <c r="D383" s="3" t="n">
        <v>11</v>
      </c>
      <c r="E383" s="3" t="n">
        <v>-3</v>
      </c>
      <c r="F383" s="7" t="n">
        <f aca="false">IFERROR(Tableau1[[#This Row],[Score]]/Tableau1[[#This Row],[Nb]],0)</f>
        <v>-0.272727272727273</v>
      </c>
    </row>
    <row r="384" customFormat="false" ht="30" hidden="false" customHeight="true" outlineLevel="0" collapsed="false">
      <c r="A384" s="1" t="s">
        <v>770</v>
      </c>
      <c r="B384" s="2" t="s">
        <v>771</v>
      </c>
      <c r="C384" s="6" t="n">
        <v>41433</v>
      </c>
      <c r="D384" s="3" t="n">
        <v>11</v>
      </c>
      <c r="E384" s="3" t="n">
        <v>-3</v>
      </c>
      <c r="F384" s="7" t="n">
        <f aca="false">IFERROR(Tableau1[[#This Row],[Score]]/Tableau1[[#This Row],[Nb]],0)</f>
        <v>-0.272727272727273</v>
      </c>
    </row>
    <row r="385" customFormat="false" ht="30" hidden="false" customHeight="true" outlineLevel="0" collapsed="false">
      <c r="A385" s="1" t="s">
        <v>772</v>
      </c>
      <c r="B385" s="2" t="s">
        <v>773</v>
      </c>
      <c r="C385" s="6" t="n">
        <v>41433</v>
      </c>
      <c r="D385" s="3" t="n">
        <v>8</v>
      </c>
      <c r="E385" s="3" t="n">
        <v>0</v>
      </c>
      <c r="F385" s="7" t="n">
        <f aca="false">IFERROR(Tableau1[[#This Row],[Score]]/Tableau1[[#This Row],[Nb]],0)</f>
        <v>0</v>
      </c>
    </row>
    <row r="386" customFormat="false" ht="30" hidden="false" customHeight="true" outlineLevel="0" collapsed="false">
      <c r="A386" s="1" t="s">
        <v>774</v>
      </c>
      <c r="B386" s="2" t="s">
        <v>775</v>
      </c>
      <c r="C386" s="6" t="n">
        <v>41433</v>
      </c>
      <c r="D386" s="3" t="n">
        <v>5</v>
      </c>
      <c r="E386" s="3" t="n">
        <v>1</v>
      </c>
      <c r="F386" s="7" t="n">
        <f aca="false">IFERROR(Tableau1[[#This Row],[Score]]/Tableau1[[#This Row],[Nb]],0)</f>
        <v>0.2</v>
      </c>
    </row>
    <row r="387" customFormat="false" ht="30" hidden="false" customHeight="true" outlineLevel="0" collapsed="false">
      <c r="A387" s="1" t="s">
        <v>776</v>
      </c>
      <c r="B387" s="2" t="s">
        <v>777</v>
      </c>
      <c r="C387" s="6" t="n">
        <v>41433</v>
      </c>
      <c r="D387" s="3" t="n">
        <v>13</v>
      </c>
      <c r="E387" s="3" t="n">
        <v>3</v>
      </c>
      <c r="F387" s="7" t="n">
        <f aca="false">IFERROR(Tableau1[[#This Row],[Score]]/Tableau1[[#This Row],[Nb]],0)</f>
        <v>0.230769230769231</v>
      </c>
    </row>
    <row r="388" customFormat="false" ht="30" hidden="false" customHeight="true" outlineLevel="0" collapsed="false">
      <c r="A388" s="1" t="s">
        <v>778</v>
      </c>
      <c r="B388" s="2" t="s">
        <v>779</v>
      </c>
      <c r="C388" s="6" t="n">
        <v>41433</v>
      </c>
      <c r="D388" s="3" t="n">
        <v>13</v>
      </c>
      <c r="E388" s="3" t="n">
        <v>3</v>
      </c>
      <c r="F388" s="7" t="n">
        <f aca="false">IFERROR(Tableau1[[#This Row],[Score]]/Tableau1[[#This Row],[Nb]],0)</f>
        <v>0.230769230769231</v>
      </c>
    </row>
    <row r="389" customFormat="false" ht="30" hidden="false" customHeight="true" outlineLevel="0" collapsed="false">
      <c r="A389" s="1" t="s">
        <v>780</v>
      </c>
      <c r="B389" s="2" t="s">
        <v>781</v>
      </c>
      <c r="C389" s="6" t="n">
        <v>41433</v>
      </c>
      <c r="D389" s="3" t="n">
        <v>7</v>
      </c>
      <c r="E389" s="3" t="n">
        <v>2</v>
      </c>
      <c r="F389" s="7" t="n">
        <f aca="false">IFERROR(Tableau1[[#This Row],[Score]]/Tableau1[[#This Row],[Nb]],0)</f>
        <v>0.285714285714286</v>
      </c>
    </row>
    <row r="390" customFormat="false" ht="30" hidden="false" customHeight="true" outlineLevel="0" collapsed="false">
      <c r="A390" s="1" t="s">
        <v>782</v>
      </c>
      <c r="B390" s="2" t="s">
        <v>783</v>
      </c>
      <c r="C390" s="6" t="n">
        <v>41433</v>
      </c>
      <c r="D390" s="3" t="n">
        <v>12</v>
      </c>
      <c r="E390" s="3" t="n">
        <v>4</v>
      </c>
      <c r="F390" s="7" t="n">
        <f aca="false">IFERROR(Tableau1[[#This Row],[Score]]/Tableau1[[#This Row],[Nb]],0)</f>
        <v>0.333333333333333</v>
      </c>
    </row>
    <row r="391" customFormat="false" ht="30" hidden="false" customHeight="true" outlineLevel="0" collapsed="false">
      <c r="A391" s="1" t="s">
        <v>784</v>
      </c>
      <c r="B391" s="2" t="s">
        <v>785</v>
      </c>
      <c r="C391" s="6" t="n">
        <v>41433</v>
      </c>
      <c r="D391" s="3" t="n">
        <v>9</v>
      </c>
      <c r="E391" s="3" t="n">
        <v>3</v>
      </c>
      <c r="F391" s="7" t="n">
        <f aca="false">IFERROR(Tableau1[[#This Row],[Score]]/Tableau1[[#This Row],[Nb]],0)</f>
        <v>0.333333333333333</v>
      </c>
    </row>
    <row r="392" customFormat="false" ht="30" hidden="false" customHeight="true" outlineLevel="0" collapsed="false">
      <c r="A392" s="1" t="s">
        <v>786</v>
      </c>
      <c r="B392" s="2" t="s">
        <v>787</v>
      </c>
      <c r="C392" s="6" t="n">
        <v>41433</v>
      </c>
      <c r="D392" s="3" t="n">
        <v>15</v>
      </c>
      <c r="E392" s="3" t="n">
        <v>7</v>
      </c>
      <c r="F392" s="7" t="n">
        <f aca="false">IFERROR(Tableau1[[#This Row],[Score]]/Tableau1[[#This Row],[Nb]],0)</f>
        <v>0.466666666666667</v>
      </c>
    </row>
    <row r="393" customFormat="false" ht="30" hidden="false" customHeight="true" outlineLevel="0" collapsed="false">
      <c r="A393" s="1" t="s">
        <v>788</v>
      </c>
      <c r="B393" s="2" t="s">
        <v>789</v>
      </c>
      <c r="C393" s="6" t="n">
        <v>41433</v>
      </c>
      <c r="D393" s="3" t="n">
        <v>4</v>
      </c>
      <c r="E393" s="3" t="n">
        <v>2</v>
      </c>
      <c r="F393" s="7" t="n">
        <f aca="false">IFERROR(Tableau1[[#This Row],[Score]]/Tableau1[[#This Row],[Nb]],0)</f>
        <v>0.5</v>
      </c>
    </row>
    <row r="394" customFormat="false" ht="30" hidden="false" customHeight="true" outlineLevel="0" collapsed="false">
      <c r="A394" s="1" t="s">
        <v>790</v>
      </c>
      <c r="B394" s="2" t="s">
        <v>791</v>
      </c>
      <c r="C394" s="6" t="n">
        <v>41433</v>
      </c>
      <c r="D394" s="3" t="n">
        <v>13</v>
      </c>
      <c r="E394" s="3" t="n">
        <v>7</v>
      </c>
      <c r="F394" s="7" t="n">
        <f aca="false">IFERROR(Tableau1[[#This Row],[Score]]/Tableau1[[#This Row],[Nb]],0)</f>
        <v>0.538461538461538</v>
      </c>
    </row>
    <row r="395" customFormat="false" ht="30" hidden="false" customHeight="true" outlineLevel="0" collapsed="false">
      <c r="A395" s="1" t="s">
        <v>792</v>
      </c>
      <c r="B395" s="2" t="s">
        <v>793</v>
      </c>
      <c r="C395" s="6" t="n">
        <v>41433</v>
      </c>
      <c r="D395" s="3" t="n">
        <v>9</v>
      </c>
      <c r="E395" s="3" t="n">
        <v>5</v>
      </c>
      <c r="F395" s="7" t="n">
        <f aca="false">IFERROR(Tableau1[[#This Row],[Score]]/Tableau1[[#This Row],[Nb]],0)</f>
        <v>0.555555555555556</v>
      </c>
    </row>
    <row r="396" customFormat="false" ht="30" hidden="false" customHeight="true" outlineLevel="0" collapsed="false">
      <c r="A396" s="1" t="s">
        <v>794</v>
      </c>
      <c r="B396" s="2" t="s">
        <v>795</v>
      </c>
      <c r="C396" s="6" t="n">
        <v>41433</v>
      </c>
      <c r="D396" s="3" t="n">
        <v>9</v>
      </c>
      <c r="E396" s="3" t="n">
        <v>5</v>
      </c>
      <c r="F396" s="7" t="n">
        <f aca="false">IFERROR(Tableau1[[#This Row],[Score]]/Tableau1[[#This Row],[Nb]],0)</f>
        <v>0.555555555555556</v>
      </c>
    </row>
    <row r="397" customFormat="false" ht="30" hidden="false" customHeight="true" outlineLevel="0" collapsed="false">
      <c r="A397" s="1" t="s">
        <v>796</v>
      </c>
      <c r="B397" s="2" t="s">
        <v>797</v>
      </c>
      <c r="C397" s="6" t="n">
        <v>41433</v>
      </c>
      <c r="D397" s="3" t="n">
        <v>7</v>
      </c>
      <c r="E397" s="3" t="n">
        <v>5</v>
      </c>
      <c r="F397" s="7" t="n">
        <f aca="false">IFERROR(Tableau1[[#This Row],[Score]]/Tableau1[[#This Row],[Nb]],0)</f>
        <v>0.714285714285714</v>
      </c>
    </row>
    <row r="398" customFormat="false" ht="30" hidden="false" customHeight="true" outlineLevel="0" collapsed="false">
      <c r="A398" s="1" t="s">
        <v>798</v>
      </c>
      <c r="B398" s="2" t="s">
        <v>799</v>
      </c>
      <c r="C398" s="6" t="n">
        <v>41433</v>
      </c>
      <c r="D398" s="3" t="n">
        <v>7</v>
      </c>
      <c r="E398" s="3" t="n">
        <v>5</v>
      </c>
      <c r="F398" s="7" t="n">
        <f aca="false">IFERROR(Tableau1[[#This Row],[Score]]/Tableau1[[#This Row],[Nb]],0)</f>
        <v>0.714285714285714</v>
      </c>
    </row>
    <row r="399" customFormat="false" ht="30" hidden="false" customHeight="true" outlineLevel="0" collapsed="false">
      <c r="A399" s="1" t="s">
        <v>800</v>
      </c>
      <c r="B399" s="2" t="s">
        <v>801</v>
      </c>
      <c r="C399" s="6" t="n">
        <v>41433</v>
      </c>
      <c r="D399" s="3" t="n">
        <v>15</v>
      </c>
      <c r="E399" s="3" t="n">
        <v>11</v>
      </c>
      <c r="F399" s="7" t="n">
        <f aca="false">IFERROR(Tableau1[[#This Row],[Score]]/Tableau1[[#This Row],[Nb]],0)</f>
        <v>0.733333333333333</v>
      </c>
    </row>
    <row r="400" customFormat="false" ht="30" hidden="false" customHeight="true" outlineLevel="0" collapsed="false">
      <c r="A400" s="1" t="s">
        <v>802</v>
      </c>
      <c r="B400" s="2" t="s">
        <v>803</v>
      </c>
      <c r="C400" s="6" t="n">
        <v>41433</v>
      </c>
      <c r="D400" s="3" t="n">
        <v>12</v>
      </c>
      <c r="E400" s="3" t="n">
        <v>9</v>
      </c>
      <c r="F400" s="7" t="n">
        <f aca="false">IFERROR(Tableau1[[#This Row],[Score]]/Tableau1[[#This Row],[Nb]],0)</f>
        <v>0.75</v>
      </c>
    </row>
    <row r="401" customFormat="false" ht="30" hidden="false" customHeight="true" outlineLevel="0" collapsed="false">
      <c r="A401" s="1" t="s">
        <v>804</v>
      </c>
      <c r="B401" s="2" t="s">
        <v>805</v>
      </c>
      <c r="C401" s="6" t="n">
        <v>41433</v>
      </c>
      <c r="D401" s="3" t="n">
        <v>8</v>
      </c>
      <c r="E401" s="3" t="n">
        <v>6</v>
      </c>
      <c r="F401" s="7" t="n">
        <f aca="false">IFERROR(Tableau1[[#This Row],[Score]]/Tableau1[[#This Row],[Nb]],0)</f>
        <v>0.75</v>
      </c>
    </row>
    <row r="402" customFormat="false" ht="30" hidden="false" customHeight="true" outlineLevel="0" collapsed="false">
      <c r="A402" s="1" t="s">
        <v>806</v>
      </c>
      <c r="B402" s="2" t="s">
        <v>807</v>
      </c>
      <c r="C402" s="6" t="n">
        <v>41433</v>
      </c>
      <c r="D402" s="3" t="n">
        <v>13</v>
      </c>
      <c r="E402" s="3" t="n">
        <v>11</v>
      </c>
      <c r="F402" s="7" t="n">
        <f aca="false">IFERROR(Tableau1[[#This Row],[Score]]/Tableau1[[#This Row],[Nb]],0)</f>
        <v>0.846153846153846</v>
      </c>
    </row>
    <row r="403" customFormat="false" ht="30" hidden="false" customHeight="true" outlineLevel="0" collapsed="false">
      <c r="A403" s="1" t="s">
        <v>808</v>
      </c>
      <c r="B403" s="2" t="s">
        <v>809</v>
      </c>
      <c r="C403" s="6" t="n">
        <v>41433</v>
      </c>
      <c r="D403" s="3" t="n">
        <v>12</v>
      </c>
      <c r="E403" s="3" t="n">
        <v>11</v>
      </c>
      <c r="F403" s="7" t="n">
        <f aca="false">IFERROR(Tableau1[[#This Row],[Score]]/Tableau1[[#This Row],[Nb]],0)</f>
        <v>0.916666666666667</v>
      </c>
    </row>
    <row r="404" customFormat="false" ht="30" hidden="false" customHeight="true" outlineLevel="0" collapsed="false">
      <c r="A404" s="8" t="s">
        <v>810</v>
      </c>
      <c r="B404" s="9" t="s">
        <v>811</v>
      </c>
      <c r="C404" s="6" t="n">
        <v>41433</v>
      </c>
      <c r="D404" s="3" t="n">
        <v>10</v>
      </c>
      <c r="E404" s="3" t="n">
        <v>10</v>
      </c>
      <c r="F404" s="7" t="n">
        <f aca="false">IFERROR(Tableau1[[#This Row],[Score]]/Tableau1[[#This Row],[Nb]],0)</f>
        <v>1</v>
      </c>
    </row>
    <row r="405" customFormat="false" ht="30" hidden="false" customHeight="true" outlineLevel="0" collapsed="false">
      <c r="A405" s="8" t="s">
        <v>812</v>
      </c>
      <c r="B405" s="9" t="s">
        <v>813</v>
      </c>
      <c r="C405" s="6" t="n">
        <v>41433</v>
      </c>
      <c r="D405" s="3" t="n">
        <v>10</v>
      </c>
      <c r="E405" s="3" t="n">
        <v>10</v>
      </c>
      <c r="F405" s="7" t="n">
        <f aca="false">IFERROR(Tableau1[[#This Row],[Score]]/Tableau1[[#This Row],[Nb]],0)</f>
        <v>1</v>
      </c>
    </row>
    <row r="406" customFormat="false" ht="30" hidden="false" customHeight="true" outlineLevel="0" collapsed="false">
      <c r="A406" s="8" t="s">
        <v>814</v>
      </c>
      <c r="B406" s="9" t="s">
        <v>815</v>
      </c>
      <c r="C406" s="6" t="n">
        <v>41433</v>
      </c>
      <c r="D406" s="3" t="n">
        <v>10</v>
      </c>
      <c r="E406" s="3" t="n">
        <v>10</v>
      </c>
      <c r="F406" s="7" t="n">
        <f aca="false">IFERROR(Tableau1[[#This Row],[Score]]/Tableau1[[#This Row],[Nb]],0)</f>
        <v>1</v>
      </c>
    </row>
    <row r="407" customFormat="false" ht="30" hidden="false" customHeight="true" outlineLevel="0" collapsed="false">
      <c r="A407" s="8" t="s">
        <v>816</v>
      </c>
      <c r="B407" s="9" t="s">
        <v>817</v>
      </c>
      <c r="C407" s="6" t="n">
        <v>41433</v>
      </c>
      <c r="D407" s="3" t="n">
        <v>10</v>
      </c>
      <c r="E407" s="3" t="n">
        <v>10</v>
      </c>
      <c r="F407" s="7" t="n">
        <f aca="false">IFERROR(Tableau1[[#This Row],[Score]]/Tableau1[[#This Row],[Nb]],0)</f>
        <v>1</v>
      </c>
    </row>
    <row r="408" customFormat="false" ht="30" hidden="false" customHeight="true" outlineLevel="0" collapsed="false">
      <c r="A408" s="8" t="s">
        <v>818</v>
      </c>
      <c r="B408" s="9" t="s">
        <v>819</v>
      </c>
      <c r="C408" s="6" t="n">
        <v>41433</v>
      </c>
      <c r="D408" s="3" t="n">
        <v>10</v>
      </c>
      <c r="E408" s="3" t="n">
        <v>10</v>
      </c>
      <c r="F408" s="7" t="n">
        <f aca="false">IFERROR(Tableau1[[#This Row],[Score]]/Tableau1[[#This Row],[Nb]],0)</f>
        <v>1</v>
      </c>
    </row>
    <row r="409" customFormat="false" ht="30" hidden="false" customHeight="true" outlineLevel="0" collapsed="false">
      <c r="A409" s="1" t="s">
        <v>820</v>
      </c>
      <c r="B409" s="2" t="s">
        <v>821</v>
      </c>
      <c r="C409" s="6" t="n">
        <v>41433</v>
      </c>
      <c r="D409" s="3" t="n">
        <v>8</v>
      </c>
      <c r="E409" s="3" t="n">
        <v>8</v>
      </c>
      <c r="F409" s="7" t="n">
        <f aca="false">IFERROR(Tableau1[[#This Row],[Score]]/Tableau1[[#This Row],[Nb]],0)</f>
        <v>1</v>
      </c>
    </row>
    <row r="410" customFormat="false" ht="30" hidden="false" customHeight="true" outlineLevel="0" collapsed="false">
      <c r="A410" s="1" t="s">
        <v>822</v>
      </c>
      <c r="B410" s="2" t="s">
        <v>823</v>
      </c>
      <c r="C410" s="6" t="n">
        <v>41433</v>
      </c>
      <c r="D410" s="3" t="n">
        <v>9</v>
      </c>
      <c r="E410" s="3" t="n">
        <v>9</v>
      </c>
      <c r="F410" s="7" t="n">
        <f aca="false">IFERROR(Tableau1[[#This Row],[Score]]/Tableau1[[#This Row],[Nb]],0)</f>
        <v>1</v>
      </c>
    </row>
    <row r="411" customFormat="false" ht="30" hidden="false" customHeight="true" outlineLevel="0" collapsed="false">
      <c r="A411" s="1" t="s">
        <v>824</v>
      </c>
      <c r="B411" s="2" t="s">
        <v>825</v>
      </c>
      <c r="C411" s="6" t="n">
        <v>41433</v>
      </c>
      <c r="D411" s="3" t="n">
        <v>9</v>
      </c>
      <c r="E411" s="3" t="n">
        <v>9</v>
      </c>
      <c r="F411" s="7" t="n">
        <f aca="false">IFERROR(Tableau1[[#This Row],[Score]]/Tableau1[[#This Row],[Nb]],0)</f>
        <v>1</v>
      </c>
    </row>
    <row r="412" customFormat="false" ht="30" hidden="false" customHeight="true" outlineLevel="0" collapsed="false">
      <c r="A412" s="1" t="s">
        <v>826</v>
      </c>
      <c r="B412" s="2" t="s">
        <v>827</v>
      </c>
      <c r="C412" s="6" t="n">
        <v>41433</v>
      </c>
      <c r="D412" s="3" t="n">
        <v>10</v>
      </c>
      <c r="E412" s="3" t="n">
        <v>10</v>
      </c>
      <c r="F412" s="7" t="n">
        <f aca="false">IFERROR(Tableau1[[#This Row],[Score]]/Tableau1[[#This Row],[Nb]],0)</f>
        <v>1</v>
      </c>
    </row>
    <row r="413" customFormat="false" ht="30" hidden="false" customHeight="true" outlineLevel="0" collapsed="false">
      <c r="A413" s="1" t="s">
        <v>828</v>
      </c>
      <c r="B413" s="2" t="s">
        <v>829</v>
      </c>
      <c r="C413" s="6" t="n">
        <v>41433</v>
      </c>
      <c r="D413" s="3" t="n">
        <v>9</v>
      </c>
      <c r="E413" s="3" t="n">
        <v>9</v>
      </c>
      <c r="F413" s="7" t="n">
        <f aca="false">IFERROR(Tableau1[[#This Row],[Score]]/Tableau1[[#This Row],[Nb]],0)</f>
        <v>1</v>
      </c>
    </row>
    <row r="414" customFormat="false" ht="30" hidden="false" customHeight="true" outlineLevel="0" collapsed="false">
      <c r="A414" s="1" t="s">
        <v>830</v>
      </c>
      <c r="B414" s="2" t="s">
        <v>831</v>
      </c>
      <c r="C414" s="6" t="n">
        <v>41433</v>
      </c>
      <c r="D414" s="3" t="n">
        <v>9</v>
      </c>
      <c r="E414" s="3" t="n">
        <v>9</v>
      </c>
      <c r="F414" s="7" t="n">
        <f aca="false">IFERROR(Tableau1[[#This Row],[Score]]/Tableau1[[#This Row],[Nb]],0)</f>
        <v>1</v>
      </c>
    </row>
    <row r="415" customFormat="false" ht="30" hidden="false" customHeight="true" outlineLevel="0" collapsed="false">
      <c r="A415" s="1" t="s">
        <v>832</v>
      </c>
      <c r="B415" s="2" t="s">
        <v>833</v>
      </c>
      <c r="C415" s="6" t="n">
        <v>41433</v>
      </c>
      <c r="D415" s="3" t="n">
        <v>9</v>
      </c>
      <c r="E415" s="3" t="n">
        <v>9</v>
      </c>
      <c r="F415" s="7" t="n">
        <f aca="false">IFERROR(Tableau1[[#This Row],[Score]]/Tableau1[[#This Row],[Nb]],0)</f>
        <v>1</v>
      </c>
    </row>
    <row r="416" customFormat="false" ht="30" hidden="false" customHeight="true" outlineLevel="0" collapsed="false">
      <c r="A416" s="1" t="s">
        <v>834</v>
      </c>
      <c r="B416" s="2" t="s">
        <v>835</v>
      </c>
      <c r="C416" s="6" t="n">
        <v>41433</v>
      </c>
      <c r="D416" s="3" t="n">
        <v>6</v>
      </c>
      <c r="E416" s="3" t="n">
        <v>6</v>
      </c>
      <c r="F416" s="7" t="n">
        <f aca="false">IFERROR(Tableau1[[#This Row],[Score]]/Tableau1[[#This Row],[Nb]],0)</f>
        <v>1</v>
      </c>
    </row>
    <row r="417" customFormat="false" ht="30" hidden="false" customHeight="true" outlineLevel="0" collapsed="false">
      <c r="A417" s="1" t="s">
        <v>836</v>
      </c>
      <c r="B417" s="2" t="s">
        <v>837</v>
      </c>
      <c r="C417" s="6" t="n">
        <v>41433</v>
      </c>
      <c r="D417" s="3" t="n">
        <v>7</v>
      </c>
      <c r="E417" s="3" t="n">
        <v>7</v>
      </c>
      <c r="F417" s="7" t="n">
        <f aca="false">IFERROR(Tableau1[[#This Row],[Score]]/Tableau1[[#This Row],[Nb]],0)</f>
        <v>1</v>
      </c>
    </row>
    <row r="418" customFormat="false" ht="30" hidden="false" customHeight="true" outlineLevel="0" collapsed="false">
      <c r="A418" s="1" t="s">
        <v>838</v>
      </c>
      <c r="B418" s="2" t="s">
        <v>839</v>
      </c>
      <c r="C418" s="6" t="n">
        <v>41433</v>
      </c>
      <c r="D418" s="3" t="n">
        <v>6</v>
      </c>
      <c r="E418" s="3" t="n">
        <v>6</v>
      </c>
      <c r="F418" s="7" t="n">
        <f aca="false">IFERROR(Tableau1[[#This Row],[Score]]/Tableau1[[#This Row],[Nb]],0)</f>
        <v>1</v>
      </c>
    </row>
    <row r="419" customFormat="false" ht="30" hidden="false" customHeight="true" outlineLevel="0" collapsed="false">
      <c r="A419" s="1" t="s">
        <v>840</v>
      </c>
      <c r="B419" s="2" t="s">
        <v>841</v>
      </c>
      <c r="C419" s="6" t="n">
        <v>41433</v>
      </c>
      <c r="D419" s="3" t="n">
        <v>6</v>
      </c>
      <c r="E419" s="3" t="n">
        <v>6</v>
      </c>
      <c r="F419" s="7" t="n">
        <f aca="false">IFERROR(Tableau1[[#This Row],[Score]]/Tableau1[[#This Row],[Nb]],0)</f>
        <v>1</v>
      </c>
    </row>
    <row r="420" customFormat="false" ht="30" hidden="false" customHeight="true" outlineLevel="0" collapsed="false">
      <c r="A420" s="1" t="s">
        <v>842</v>
      </c>
      <c r="B420" s="2" t="s">
        <v>843</v>
      </c>
      <c r="C420" s="6" t="n">
        <v>41433</v>
      </c>
      <c r="D420" s="3" t="n">
        <v>7</v>
      </c>
      <c r="E420" s="3" t="n">
        <v>7</v>
      </c>
      <c r="F420" s="7" t="n">
        <f aca="false">IFERROR(Tableau1[[#This Row],[Score]]/Tableau1[[#This Row],[Nb]],0)</f>
        <v>1</v>
      </c>
    </row>
    <row r="421" customFormat="false" ht="30" hidden="false" customHeight="true" outlineLevel="0" collapsed="false">
      <c r="A421" s="1" t="s">
        <v>844</v>
      </c>
      <c r="B421" s="2" t="s">
        <v>845</v>
      </c>
      <c r="C421" s="6" t="n">
        <v>41433</v>
      </c>
      <c r="D421" s="3" t="n">
        <v>7</v>
      </c>
      <c r="E421" s="3" t="n">
        <v>7</v>
      </c>
      <c r="F421" s="7" t="n">
        <f aca="false">IFERROR(Tableau1[[#This Row],[Score]]/Tableau1[[#This Row],[Nb]],0)</f>
        <v>1</v>
      </c>
    </row>
    <row r="422" customFormat="false" ht="30" hidden="false" customHeight="true" outlineLevel="0" collapsed="false">
      <c r="A422" s="1" t="s">
        <v>846</v>
      </c>
      <c r="B422" s="2" t="s">
        <v>847</v>
      </c>
      <c r="C422" s="6" t="n">
        <v>41434</v>
      </c>
      <c r="D422" s="3" t="n">
        <v>10</v>
      </c>
      <c r="E422" s="3" t="n">
        <v>-10</v>
      </c>
      <c r="F422" s="7" t="n">
        <f aca="false">IFERROR(Tableau1[[#This Row],[Score]]/Tableau1[[#This Row],[Nb]],0)</f>
        <v>-1</v>
      </c>
    </row>
    <row r="423" customFormat="false" ht="30" hidden="false" customHeight="true" outlineLevel="0" collapsed="false">
      <c r="A423" s="1" t="s">
        <v>848</v>
      </c>
      <c r="B423" s="2" t="s">
        <v>849</v>
      </c>
      <c r="C423" s="6" t="n">
        <v>41434</v>
      </c>
      <c r="D423" s="3" t="n">
        <v>4</v>
      </c>
      <c r="E423" s="3" t="n">
        <v>-4</v>
      </c>
      <c r="F423" s="7" t="n">
        <f aca="false">IFERROR(Tableau1[[#This Row],[Score]]/Tableau1[[#This Row],[Nb]],0)</f>
        <v>-1</v>
      </c>
    </row>
    <row r="424" customFormat="false" ht="30" hidden="false" customHeight="true" outlineLevel="0" collapsed="false">
      <c r="A424" s="1" t="s">
        <v>850</v>
      </c>
      <c r="B424" s="2" t="s">
        <v>851</v>
      </c>
      <c r="C424" s="6" t="n">
        <v>41434</v>
      </c>
      <c r="D424" s="3" t="n">
        <v>11</v>
      </c>
      <c r="E424" s="3" t="n">
        <v>-9</v>
      </c>
      <c r="F424" s="7" t="n">
        <f aca="false">IFERROR(Tableau1[[#This Row],[Score]]/Tableau1[[#This Row],[Nb]],0)</f>
        <v>-0.818181818181818</v>
      </c>
    </row>
    <row r="425" customFormat="false" ht="30" hidden="false" customHeight="true" outlineLevel="0" collapsed="false">
      <c r="A425" s="1" t="s">
        <v>852</v>
      </c>
      <c r="B425" s="2" t="s">
        <v>853</v>
      </c>
      <c r="C425" s="6" t="n">
        <v>41434</v>
      </c>
      <c r="D425" s="3" t="n">
        <v>13</v>
      </c>
      <c r="E425" s="3" t="n">
        <v>-7</v>
      </c>
      <c r="F425" s="7" t="n">
        <f aca="false">IFERROR(Tableau1[[#This Row],[Score]]/Tableau1[[#This Row],[Nb]],0)</f>
        <v>-0.538461538461538</v>
      </c>
    </row>
    <row r="426" customFormat="false" ht="30" hidden="false" customHeight="true" outlineLevel="0" collapsed="false">
      <c r="A426" s="1" t="s">
        <v>854</v>
      </c>
      <c r="B426" s="2" t="s">
        <v>855</v>
      </c>
      <c r="C426" s="6" t="n">
        <v>41434</v>
      </c>
      <c r="D426" s="3" t="n">
        <v>8</v>
      </c>
      <c r="E426" s="3" t="n">
        <v>-4</v>
      </c>
      <c r="F426" s="7" t="n">
        <f aca="false">IFERROR(Tableau1[[#This Row],[Score]]/Tableau1[[#This Row],[Nb]],0)</f>
        <v>-0.5</v>
      </c>
    </row>
    <row r="427" customFormat="false" ht="30" hidden="false" customHeight="true" outlineLevel="0" collapsed="false">
      <c r="A427" s="1" t="s">
        <v>856</v>
      </c>
      <c r="B427" s="2" t="s">
        <v>857</v>
      </c>
      <c r="C427" s="6" t="n">
        <v>41434</v>
      </c>
      <c r="D427" s="3" t="n">
        <v>8</v>
      </c>
      <c r="E427" s="3" t="n">
        <v>-4</v>
      </c>
      <c r="F427" s="7" t="n">
        <f aca="false">IFERROR(Tableau1[[#This Row],[Score]]/Tableau1[[#This Row],[Nb]],0)</f>
        <v>-0.5</v>
      </c>
    </row>
    <row r="428" customFormat="false" ht="30" hidden="false" customHeight="true" outlineLevel="0" collapsed="false">
      <c r="A428" s="1" t="s">
        <v>858</v>
      </c>
      <c r="B428" s="2" t="s">
        <v>859</v>
      </c>
      <c r="C428" s="6" t="n">
        <v>41434</v>
      </c>
      <c r="D428" s="3" t="n">
        <v>8</v>
      </c>
      <c r="E428" s="3" t="n">
        <v>-4</v>
      </c>
      <c r="F428" s="7" t="n">
        <f aca="false">IFERROR(Tableau1[[#This Row],[Score]]/Tableau1[[#This Row],[Nb]],0)</f>
        <v>-0.5</v>
      </c>
    </row>
    <row r="429" customFormat="false" ht="30" hidden="false" customHeight="true" outlineLevel="0" collapsed="false">
      <c r="A429" s="1" t="s">
        <v>860</v>
      </c>
      <c r="B429" s="2" t="s">
        <v>861</v>
      </c>
      <c r="C429" s="6" t="n">
        <v>41434</v>
      </c>
      <c r="D429" s="3" t="n">
        <v>11</v>
      </c>
      <c r="E429" s="3" t="n">
        <v>-5</v>
      </c>
      <c r="F429" s="7" t="n">
        <f aca="false">IFERROR(Tableau1[[#This Row],[Score]]/Tableau1[[#This Row],[Nb]],0)</f>
        <v>-0.454545454545455</v>
      </c>
    </row>
    <row r="430" customFormat="false" ht="30" hidden="false" customHeight="true" outlineLevel="0" collapsed="false">
      <c r="A430" s="1" t="s">
        <v>862</v>
      </c>
      <c r="B430" s="2" t="s">
        <v>863</v>
      </c>
      <c r="C430" s="6" t="n">
        <v>41434</v>
      </c>
      <c r="D430" s="3" t="n">
        <v>7</v>
      </c>
      <c r="E430" s="3" t="n">
        <v>-3</v>
      </c>
      <c r="F430" s="7" t="n">
        <f aca="false">IFERROR(Tableau1[[#This Row],[Score]]/Tableau1[[#This Row],[Nb]],0)</f>
        <v>-0.428571428571429</v>
      </c>
    </row>
    <row r="431" customFormat="false" ht="30" hidden="false" customHeight="true" outlineLevel="0" collapsed="false">
      <c r="A431" s="1" t="s">
        <v>864</v>
      </c>
      <c r="B431" s="2" t="s">
        <v>865</v>
      </c>
      <c r="C431" s="6" t="n">
        <v>41434</v>
      </c>
      <c r="D431" s="3" t="n">
        <v>8</v>
      </c>
      <c r="E431" s="3" t="n">
        <v>-4</v>
      </c>
      <c r="F431" s="7" t="n">
        <f aca="false">IFERROR(Tableau1[[#This Row],[Score]]/Tableau1[[#This Row],[Nb]],0)</f>
        <v>-0.5</v>
      </c>
    </row>
    <row r="432" customFormat="false" ht="30" hidden="false" customHeight="true" outlineLevel="0" collapsed="false">
      <c r="A432" s="1" t="s">
        <v>866</v>
      </c>
      <c r="B432" s="2" t="s">
        <v>867</v>
      </c>
      <c r="C432" s="6" t="n">
        <v>41434</v>
      </c>
      <c r="D432" s="3" t="n">
        <v>7</v>
      </c>
      <c r="E432" s="3" t="n">
        <v>-3</v>
      </c>
      <c r="F432" s="7" t="n">
        <f aca="false">IFERROR(Tableau1[[#This Row],[Score]]/Tableau1[[#This Row],[Nb]],0)</f>
        <v>-0.428571428571429</v>
      </c>
    </row>
    <row r="433" customFormat="false" ht="30" hidden="false" customHeight="true" outlineLevel="0" collapsed="false">
      <c r="A433" s="1" t="s">
        <v>868</v>
      </c>
      <c r="B433" s="2" t="s">
        <v>869</v>
      </c>
      <c r="C433" s="6" t="n">
        <v>41434</v>
      </c>
      <c r="D433" s="3" t="n">
        <v>10</v>
      </c>
      <c r="E433" s="3" t="n">
        <v>-4</v>
      </c>
      <c r="F433" s="7" t="n">
        <f aca="false">IFERROR(Tableau1[[#This Row],[Score]]/Tableau1[[#This Row],[Nb]],0)</f>
        <v>-0.4</v>
      </c>
    </row>
    <row r="434" customFormat="false" ht="30" hidden="false" customHeight="true" outlineLevel="0" collapsed="false">
      <c r="A434" s="1" t="s">
        <v>870</v>
      </c>
      <c r="B434" s="2" t="s">
        <v>871</v>
      </c>
      <c r="C434" s="6" t="n">
        <v>41434</v>
      </c>
      <c r="D434" s="3" t="n">
        <v>8</v>
      </c>
      <c r="E434" s="3" t="n">
        <v>-2</v>
      </c>
      <c r="F434" s="7" t="n">
        <f aca="false">IFERROR(Tableau1[[#This Row],[Score]]/Tableau1[[#This Row],[Nb]],0)</f>
        <v>-0.25</v>
      </c>
    </row>
    <row r="435" customFormat="false" ht="30" hidden="false" customHeight="true" outlineLevel="0" collapsed="false">
      <c r="A435" s="1" t="s">
        <v>872</v>
      </c>
      <c r="B435" s="2" t="s">
        <v>873</v>
      </c>
      <c r="C435" s="6" t="n">
        <v>41434</v>
      </c>
      <c r="D435" s="3" t="n">
        <v>8</v>
      </c>
      <c r="E435" s="3" t="n">
        <v>-2</v>
      </c>
      <c r="F435" s="7" t="n">
        <f aca="false">IFERROR(Tableau1[[#This Row],[Score]]/Tableau1[[#This Row],[Nb]],0)</f>
        <v>-0.25</v>
      </c>
    </row>
    <row r="436" customFormat="false" ht="30" hidden="false" customHeight="true" outlineLevel="0" collapsed="false">
      <c r="A436" s="1" t="s">
        <v>874</v>
      </c>
      <c r="B436" s="2" t="s">
        <v>875</v>
      </c>
      <c r="C436" s="6" t="n">
        <v>41434</v>
      </c>
      <c r="D436" s="3" t="n">
        <v>10</v>
      </c>
      <c r="E436" s="3" t="n">
        <v>-2</v>
      </c>
      <c r="F436" s="7" t="n">
        <f aca="false">IFERROR(Tableau1[[#This Row],[Score]]/Tableau1[[#This Row],[Nb]],0)</f>
        <v>-0.2</v>
      </c>
    </row>
    <row r="437" customFormat="false" ht="30" hidden="false" customHeight="true" outlineLevel="0" collapsed="false">
      <c r="A437" s="1" t="s">
        <v>876</v>
      </c>
      <c r="B437" s="2" t="s">
        <v>877</v>
      </c>
      <c r="C437" s="6" t="n">
        <v>41434</v>
      </c>
      <c r="D437" s="3" t="n">
        <v>14</v>
      </c>
      <c r="E437" s="3" t="n">
        <v>-2</v>
      </c>
      <c r="F437" s="7" t="n">
        <f aca="false">IFERROR(Tableau1[[#This Row],[Score]]/Tableau1[[#This Row],[Nb]],0)</f>
        <v>-0.142857142857143</v>
      </c>
    </row>
    <row r="438" customFormat="false" ht="30" hidden="false" customHeight="true" outlineLevel="0" collapsed="false">
      <c r="A438" s="1" t="s">
        <v>878</v>
      </c>
      <c r="B438" s="2" t="s">
        <v>879</v>
      </c>
      <c r="C438" s="6" t="n">
        <v>41434</v>
      </c>
      <c r="D438" s="3" t="n">
        <v>7</v>
      </c>
      <c r="E438" s="3" t="n">
        <v>-1</v>
      </c>
      <c r="F438" s="7" t="n">
        <f aca="false">IFERROR(Tableau1[[#This Row],[Score]]/Tableau1[[#This Row],[Nb]],0)</f>
        <v>-0.142857142857143</v>
      </c>
    </row>
    <row r="439" customFormat="false" ht="30" hidden="false" customHeight="true" outlineLevel="0" collapsed="false">
      <c r="A439" s="1" t="s">
        <v>880</v>
      </c>
      <c r="B439" s="2" t="s">
        <v>881</v>
      </c>
      <c r="C439" s="6" t="n">
        <v>41434</v>
      </c>
      <c r="D439" s="3" t="n">
        <v>11</v>
      </c>
      <c r="E439" s="3" t="n">
        <v>-1</v>
      </c>
      <c r="F439" s="7" t="n">
        <f aca="false">IFERROR(Tableau1[[#This Row],[Score]]/Tableau1[[#This Row],[Nb]],0)</f>
        <v>-0.0909090909090909</v>
      </c>
    </row>
    <row r="440" customFormat="false" ht="30" hidden="false" customHeight="true" outlineLevel="0" collapsed="false">
      <c r="A440" s="1" t="s">
        <v>882</v>
      </c>
      <c r="B440" s="2" t="s">
        <v>883</v>
      </c>
      <c r="C440" s="6" t="n">
        <v>41434</v>
      </c>
      <c r="D440" s="3" t="n">
        <v>11</v>
      </c>
      <c r="E440" s="3" t="n">
        <v>-1</v>
      </c>
      <c r="F440" s="7" t="n">
        <f aca="false">IFERROR(Tableau1[[#This Row],[Score]]/Tableau1[[#This Row],[Nb]],0)</f>
        <v>-0.0909090909090909</v>
      </c>
    </row>
    <row r="441" customFormat="false" ht="30" hidden="false" customHeight="true" outlineLevel="0" collapsed="false">
      <c r="A441" s="1" t="s">
        <v>884</v>
      </c>
      <c r="B441" s="2" t="s">
        <v>885</v>
      </c>
      <c r="C441" s="6" t="n">
        <v>41434</v>
      </c>
      <c r="D441" s="3" t="n">
        <v>11</v>
      </c>
      <c r="E441" s="3" t="n">
        <v>-1</v>
      </c>
      <c r="F441" s="7" t="n">
        <f aca="false">IFERROR(Tableau1[[#This Row],[Score]]/Tableau1[[#This Row],[Nb]],0)</f>
        <v>-0.0909090909090909</v>
      </c>
    </row>
    <row r="442" customFormat="false" ht="30" hidden="false" customHeight="true" outlineLevel="0" collapsed="false">
      <c r="A442" s="1" t="s">
        <v>886</v>
      </c>
      <c r="B442" s="2" t="s">
        <v>887</v>
      </c>
      <c r="C442" s="6" t="n">
        <v>41434</v>
      </c>
      <c r="D442" s="3" t="n">
        <v>9</v>
      </c>
      <c r="E442" s="3" t="n">
        <v>-1</v>
      </c>
      <c r="F442" s="7" t="n">
        <f aca="false">IFERROR(Tableau1[[#This Row],[Score]]/Tableau1[[#This Row],[Nb]],0)</f>
        <v>-0.111111111111111</v>
      </c>
    </row>
    <row r="443" customFormat="false" ht="30" hidden="false" customHeight="true" outlineLevel="0" collapsed="false">
      <c r="A443" s="1" t="s">
        <v>888</v>
      </c>
      <c r="B443" s="2" t="s">
        <v>889</v>
      </c>
      <c r="C443" s="6" t="n">
        <v>41434</v>
      </c>
      <c r="D443" s="3" t="n">
        <v>12</v>
      </c>
      <c r="E443" s="3" t="n">
        <v>2</v>
      </c>
      <c r="F443" s="7" t="n">
        <f aca="false">IFERROR(Tableau1[[#This Row],[Score]]/Tableau1[[#This Row],[Nb]],0)</f>
        <v>0.166666666666667</v>
      </c>
    </row>
    <row r="444" customFormat="false" ht="30" hidden="false" customHeight="true" outlineLevel="0" collapsed="false">
      <c r="A444" s="1" t="s">
        <v>890</v>
      </c>
      <c r="B444" s="2" t="s">
        <v>891</v>
      </c>
      <c r="C444" s="6" t="n">
        <v>41434</v>
      </c>
      <c r="D444" s="3" t="n">
        <v>12</v>
      </c>
      <c r="E444" s="3" t="n">
        <v>2</v>
      </c>
      <c r="F444" s="7" t="n">
        <f aca="false">IFERROR(Tableau1[[#This Row],[Score]]/Tableau1[[#This Row],[Nb]],0)</f>
        <v>0.166666666666667</v>
      </c>
    </row>
    <row r="445" customFormat="false" ht="30" hidden="false" customHeight="true" outlineLevel="0" collapsed="false">
      <c r="A445" s="1" t="s">
        <v>892</v>
      </c>
      <c r="B445" s="2" t="s">
        <v>893</v>
      </c>
      <c r="C445" s="6" t="n">
        <v>41434</v>
      </c>
      <c r="D445" s="3" t="n">
        <v>5</v>
      </c>
      <c r="E445" s="3" t="n">
        <v>1</v>
      </c>
      <c r="F445" s="7" t="n">
        <f aca="false">IFERROR(Tableau1[[#This Row],[Score]]/Tableau1[[#This Row],[Nb]],0)</f>
        <v>0.2</v>
      </c>
    </row>
    <row r="446" customFormat="false" ht="30" hidden="false" customHeight="true" outlineLevel="0" collapsed="false">
      <c r="A446" s="1" t="s">
        <v>894</v>
      </c>
      <c r="B446" s="2" t="s">
        <v>895</v>
      </c>
      <c r="C446" s="6" t="n">
        <v>41434</v>
      </c>
      <c r="D446" s="3" t="n">
        <v>20</v>
      </c>
      <c r="E446" s="3" t="n">
        <v>4</v>
      </c>
      <c r="F446" s="7" t="n">
        <f aca="false">IFERROR(Tableau1[[#This Row],[Score]]/Tableau1[[#This Row],[Nb]],0)</f>
        <v>0.2</v>
      </c>
    </row>
    <row r="447" customFormat="false" ht="30" hidden="false" customHeight="true" outlineLevel="0" collapsed="false">
      <c r="A447" s="1" t="s">
        <v>896</v>
      </c>
      <c r="B447" s="2" t="s">
        <v>897</v>
      </c>
      <c r="C447" s="6" t="n">
        <v>41434</v>
      </c>
      <c r="D447" s="3" t="n">
        <v>17</v>
      </c>
      <c r="E447" s="3" t="n">
        <v>5</v>
      </c>
      <c r="F447" s="7" t="n">
        <f aca="false">IFERROR(Tableau1[[#This Row],[Score]]/Tableau1[[#This Row],[Nb]],0)</f>
        <v>0.294117647058824</v>
      </c>
    </row>
    <row r="448" customFormat="false" ht="30" hidden="false" customHeight="true" outlineLevel="0" collapsed="false">
      <c r="A448" s="1" t="s">
        <v>898</v>
      </c>
      <c r="B448" s="2" t="s">
        <v>899</v>
      </c>
      <c r="C448" s="6" t="n">
        <v>41434</v>
      </c>
      <c r="D448" s="3" t="n">
        <v>9</v>
      </c>
      <c r="E448" s="3" t="n">
        <v>3</v>
      </c>
      <c r="F448" s="7" t="n">
        <f aca="false">IFERROR(Tableau1[[#This Row],[Score]]/Tableau1[[#This Row],[Nb]],0)</f>
        <v>0.333333333333333</v>
      </c>
    </row>
    <row r="449" customFormat="false" ht="30" hidden="false" customHeight="true" outlineLevel="0" collapsed="false">
      <c r="A449" s="1" t="s">
        <v>900</v>
      </c>
      <c r="B449" s="2" t="s">
        <v>901</v>
      </c>
      <c r="C449" s="6" t="n">
        <v>41434</v>
      </c>
      <c r="D449" s="3" t="n">
        <v>10</v>
      </c>
      <c r="E449" s="3" t="n">
        <v>4</v>
      </c>
      <c r="F449" s="7" t="n">
        <f aca="false">IFERROR(Tableau1[[#This Row],[Score]]/Tableau1[[#This Row],[Nb]],0)</f>
        <v>0.4</v>
      </c>
    </row>
    <row r="450" customFormat="false" ht="30" hidden="false" customHeight="true" outlineLevel="0" collapsed="false">
      <c r="A450" s="1" t="s">
        <v>902</v>
      </c>
      <c r="B450" s="2" t="s">
        <v>903</v>
      </c>
      <c r="C450" s="6" t="n">
        <v>41434</v>
      </c>
      <c r="D450" s="3" t="n">
        <v>6</v>
      </c>
      <c r="E450" s="3" t="n">
        <v>4</v>
      </c>
      <c r="F450" s="7" t="n">
        <f aca="false">IFERROR(Tableau1[[#This Row],[Score]]/Tableau1[[#This Row],[Nb]],0)</f>
        <v>0.666666666666667</v>
      </c>
    </row>
    <row r="451" customFormat="false" ht="30" hidden="false" customHeight="true" outlineLevel="0" collapsed="false">
      <c r="A451" s="1" t="s">
        <v>904</v>
      </c>
      <c r="B451" s="2" t="s">
        <v>905</v>
      </c>
      <c r="C451" s="6" t="n">
        <v>41434</v>
      </c>
      <c r="D451" s="3" t="n">
        <v>7</v>
      </c>
      <c r="E451" s="3" t="n">
        <v>5</v>
      </c>
      <c r="F451" s="7" t="n">
        <f aca="false">IFERROR(Tableau1[[#This Row],[Score]]/Tableau1[[#This Row],[Nb]],0)</f>
        <v>0.714285714285714</v>
      </c>
    </row>
    <row r="452" customFormat="false" ht="30" hidden="false" customHeight="true" outlineLevel="0" collapsed="false">
      <c r="A452" s="1" t="s">
        <v>906</v>
      </c>
      <c r="B452" s="2" t="s">
        <v>907</v>
      </c>
      <c r="C452" s="6" t="n">
        <v>41434</v>
      </c>
      <c r="D452" s="3" t="n">
        <v>8</v>
      </c>
      <c r="E452" s="3" t="n">
        <v>6</v>
      </c>
      <c r="F452" s="7" t="n">
        <f aca="false">IFERROR(Tableau1[[#This Row],[Score]]/Tableau1[[#This Row],[Nb]],0)</f>
        <v>0.75</v>
      </c>
    </row>
    <row r="453" customFormat="false" ht="30" hidden="false" customHeight="true" outlineLevel="0" collapsed="false">
      <c r="A453" s="1" t="s">
        <v>908</v>
      </c>
      <c r="B453" s="2" t="s">
        <v>909</v>
      </c>
      <c r="C453" s="6" t="n">
        <v>41434</v>
      </c>
      <c r="D453" s="3" t="n">
        <v>17</v>
      </c>
      <c r="E453" s="3" t="n">
        <v>13</v>
      </c>
      <c r="F453" s="7" t="n">
        <f aca="false">IFERROR(Tableau1[[#This Row],[Score]]/Tableau1[[#This Row],[Nb]],0)</f>
        <v>0.764705882352941</v>
      </c>
    </row>
    <row r="454" customFormat="false" ht="30" hidden="false" customHeight="true" outlineLevel="0" collapsed="false">
      <c r="A454" s="1" t="s">
        <v>910</v>
      </c>
      <c r="B454" s="2" t="s">
        <v>911</v>
      </c>
      <c r="C454" s="6" t="n">
        <v>41434</v>
      </c>
      <c r="D454" s="3" t="n">
        <v>9</v>
      </c>
      <c r="E454" s="3" t="n">
        <v>7</v>
      </c>
      <c r="F454" s="7" t="n">
        <f aca="false">IFERROR(Tableau1[[#This Row],[Score]]/Tableau1[[#This Row],[Nb]],0)</f>
        <v>0.777777777777778</v>
      </c>
    </row>
    <row r="455" customFormat="false" ht="30" hidden="false" customHeight="true" outlineLevel="0" collapsed="false">
      <c r="A455" s="1" t="s">
        <v>912</v>
      </c>
      <c r="B455" s="2" t="s">
        <v>913</v>
      </c>
      <c r="C455" s="6" t="n">
        <v>41434</v>
      </c>
      <c r="D455" s="3" t="n">
        <v>11</v>
      </c>
      <c r="E455" s="3" t="n">
        <v>9</v>
      </c>
      <c r="F455" s="7" t="n">
        <f aca="false">IFERROR(Tableau1[[#This Row],[Score]]/Tableau1[[#This Row],[Nb]],0)</f>
        <v>0.818181818181818</v>
      </c>
    </row>
    <row r="456" customFormat="false" ht="30" hidden="false" customHeight="true" outlineLevel="0" collapsed="false">
      <c r="A456" s="1" t="s">
        <v>914</v>
      </c>
      <c r="B456" s="2" t="s">
        <v>915</v>
      </c>
      <c r="C456" s="6" t="n">
        <v>41434</v>
      </c>
      <c r="D456" s="3" t="n">
        <v>11</v>
      </c>
      <c r="E456" s="3" t="n">
        <v>9</v>
      </c>
      <c r="F456" s="7" t="n">
        <f aca="false">IFERROR(Tableau1[[#This Row],[Score]]/Tableau1[[#This Row],[Nb]],0)</f>
        <v>0.818181818181818</v>
      </c>
    </row>
    <row r="457" customFormat="false" ht="30" hidden="false" customHeight="true" outlineLevel="0" collapsed="false">
      <c r="A457" s="1" t="s">
        <v>916</v>
      </c>
      <c r="B457" s="2" t="s">
        <v>917</v>
      </c>
      <c r="C457" s="6" t="n">
        <v>41434</v>
      </c>
      <c r="D457" s="3" t="n">
        <v>12</v>
      </c>
      <c r="E457" s="3" t="n">
        <v>10</v>
      </c>
      <c r="F457" s="7" t="n">
        <f aca="false">IFERROR(Tableau1[[#This Row],[Score]]/Tableau1[[#This Row],[Nb]],0)</f>
        <v>0.833333333333333</v>
      </c>
    </row>
    <row r="458" customFormat="false" ht="30" hidden="false" customHeight="true" outlineLevel="0" collapsed="false">
      <c r="A458" s="1" t="s">
        <v>918</v>
      </c>
      <c r="B458" s="2" t="s">
        <v>919</v>
      </c>
      <c r="C458" s="6" t="n">
        <v>41434</v>
      </c>
      <c r="D458" s="3" t="n">
        <v>12</v>
      </c>
      <c r="E458" s="3" t="n">
        <v>10</v>
      </c>
      <c r="F458" s="7" t="n">
        <f aca="false">IFERROR(Tableau1[[#This Row],[Score]]/Tableau1[[#This Row],[Nb]],0)</f>
        <v>0.833333333333333</v>
      </c>
    </row>
    <row r="459" customFormat="false" ht="30" hidden="false" customHeight="true" outlineLevel="0" collapsed="false">
      <c r="A459" s="1" t="s">
        <v>920</v>
      </c>
      <c r="B459" s="2" t="s">
        <v>921</v>
      </c>
      <c r="C459" s="6" t="n">
        <v>41434</v>
      </c>
      <c r="D459" s="3" t="n">
        <v>13</v>
      </c>
      <c r="E459" s="3" t="n">
        <v>11</v>
      </c>
      <c r="F459" s="7" t="n">
        <f aca="false">IFERROR(Tableau1[[#This Row],[Score]]/Tableau1[[#This Row],[Nb]],0)</f>
        <v>0.846153846153846</v>
      </c>
    </row>
    <row r="460" customFormat="false" ht="30" hidden="false" customHeight="true" outlineLevel="0" collapsed="false">
      <c r="A460" s="1" t="s">
        <v>922</v>
      </c>
      <c r="B460" s="2" t="s">
        <v>923</v>
      </c>
      <c r="C460" s="6" t="n">
        <v>41434</v>
      </c>
      <c r="D460" s="3" t="n">
        <v>15</v>
      </c>
      <c r="E460" s="3" t="n">
        <v>13</v>
      </c>
      <c r="F460" s="7" t="n">
        <f aca="false">IFERROR(Tableau1[[#This Row],[Score]]/Tableau1[[#This Row],[Nb]],0)</f>
        <v>0.866666666666667</v>
      </c>
    </row>
    <row r="461" customFormat="false" ht="30" hidden="false" customHeight="true" outlineLevel="0" collapsed="false">
      <c r="A461" s="1" t="s">
        <v>924</v>
      </c>
      <c r="B461" s="2" t="s">
        <v>925</v>
      </c>
      <c r="C461" s="6" t="n">
        <v>41434</v>
      </c>
      <c r="D461" s="3" t="n">
        <v>10</v>
      </c>
      <c r="E461" s="3" t="n">
        <v>9</v>
      </c>
      <c r="F461" s="7" t="n">
        <f aca="false">IFERROR(Tableau1[[#This Row],[Score]]/Tableau1[[#This Row],[Nb]],0)</f>
        <v>0.9</v>
      </c>
    </row>
    <row r="462" customFormat="false" ht="30" hidden="false" customHeight="true" outlineLevel="0" collapsed="false">
      <c r="A462" s="8" t="s">
        <v>926</v>
      </c>
      <c r="B462" s="9" t="s">
        <v>927</v>
      </c>
      <c r="C462" s="6" t="n">
        <v>41434</v>
      </c>
      <c r="D462" s="3" t="n">
        <v>10</v>
      </c>
      <c r="E462" s="3" t="n">
        <v>10</v>
      </c>
      <c r="F462" s="7" t="n">
        <f aca="false">IFERROR(Tableau1[[#This Row],[Score]]/Tableau1[[#This Row],[Nb]],0)</f>
        <v>1</v>
      </c>
    </row>
    <row r="463" customFormat="false" ht="30" hidden="false" customHeight="true" outlineLevel="0" collapsed="false">
      <c r="A463" s="8" t="s">
        <v>928</v>
      </c>
      <c r="B463" s="9" t="s">
        <v>929</v>
      </c>
      <c r="C463" s="6" t="n">
        <v>41434</v>
      </c>
      <c r="D463" s="3" t="n">
        <v>10</v>
      </c>
      <c r="E463" s="3" t="n">
        <v>10</v>
      </c>
      <c r="F463" s="7" t="n">
        <f aca="false">IFERROR(Tableau1[[#This Row],[Score]]/Tableau1[[#This Row],[Nb]],0)</f>
        <v>1</v>
      </c>
    </row>
    <row r="464" customFormat="false" ht="30" hidden="false" customHeight="true" outlineLevel="0" collapsed="false">
      <c r="A464" s="8" t="s">
        <v>930</v>
      </c>
      <c r="B464" s="9" t="s">
        <v>931</v>
      </c>
      <c r="C464" s="6" t="n">
        <v>41434</v>
      </c>
      <c r="D464" s="3" t="n">
        <v>10</v>
      </c>
      <c r="E464" s="3" t="n">
        <v>10</v>
      </c>
      <c r="F464" s="7" t="n">
        <f aca="false">IFERROR(Tableau1[[#This Row],[Score]]/Tableau1[[#This Row],[Nb]],0)</f>
        <v>1</v>
      </c>
    </row>
    <row r="465" customFormat="false" ht="30" hidden="false" customHeight="true" outlineLevel="0" collapsed="false">
      <c r="A465" s="8" t="s">
        <v>932</v>
      </c>
      <c r="B465" s="9" t="s">
        <v>933</v>
      </c>
      <c r="C465" s="6" t="n">
        <v>41434</v>
      </c>
      <c r="D465" s="3" t="n">
        <v>10</v>
      </c>
      <c r="E465" s="3" t="n">
        <v>10</v>
      </c>
      <c r="F465" s="7" t="n">
        <f aca="false">IFERROR(Tableau1[[#This Row],[Score]]/Tableau1[[#This Row],[Nb]],0)</f>
        <v>1</v>
      </c>
    </row>
    <row r="466" customFormat="false" ht="30" hidden="false" customHeight="true" outlineLevel="0" collapsed="false">
      <c r="A466" s="8" t="s">
        <v>934</v>
      </c>
      <c r="B466" s="9" t="s">
        <v>935</v>
      </c>
      <c r="C466" s="6" t="n">
        <v>41434</v>
      </c>
      <c r="D466" s="3" t="n">
        <v>10</v>
      </c>
      <c r="E466" s="3" t="n">
        <v>10</v>
      </c>
      <c r="F466" s="7" t="n">
        <f aca="false">IFERROR(Tableau1[[#This Row],[Score]]/Tableau1[[#This Row],[Nb]],0)</f>
        <v>1</v>
      </c>
    </row>
    <row r="467" customFormat="false" ht="30" hidden="false" customHeight="true" outlineLevel="0" collapsed="false">
      <c r="A467" s="1" t="s">
        <v>936</v>
      </c>
      <c r="B467" s="2" t="s">
        <v>937</v>
      </c>
      <c r="C467" s="6" t="n">
        <v>41434</v>
      </c>
      <c r="D467" s="3" t="n">
        <v>8</v>
      </c>
      <c r="E467" s="3" t="n">
        <v>8</v>
      </c>
      <c r="F467" s="7" t="n">
        <f aca="false">IFERROR(Tableau1[[#This Row],[Score]]/Tableau1[[#This Row],[Nb]],0)</f>
        <v>1</v>
      </c>
    </row>
    <row r="468" customFormat="false" ht="30" hidden="false" customHeight="true" outlineLevel="0" collapsed="false">
      <c r="A468" s="1" t="s">
        <v>938</v>
      </c>
      <c r="B468" s="2" t="s">
        <v>939</v>
      </c>
      <c r="C468" s="6" t="n">
        <v>41434</v>
      </c>
      <c r="D468" s="3" t="n">
        <v>8</v>
      </c>
      <c r="E468" s="3" t="n">
        <v>8</v>
      </c>
      <c r="F468" s="7" t="n">
        <f aca="false">IFERROR(Tableau1[[#This Row],[Score]]/Tableau1[[#This Row],[Nb]],0)</f>
        <v>1</v>
      </c>
    </row>
    <row r="469" customFormat="false" ht="30" hidden="false" customHeight="true" outlineLevel="0" collapsed="false">
      <c r="A469" s="1" t="s">
        <v>940</v>
      </c>
      <c r="B469" s="2" t="s">
        <v>941</v>
      </c>
      <c r="C469" s="6" t="n">
        <v>41434</v>
      </c>
      <c r="D469" s="3" t="n">
        <v>10</v>
      </c>
      <c r="E469" s="3" t="n">
        <v>10</v>
      </c>
      <c r="F469" s="7" t="n">
        <f aca="false">IFERROR(Tableau1[[#This Row],[Score]]/Tableau1[[#This Row],[Nb]],0)</f>
        <v>1</v>
      </c>
    </row>
    <row r="470" customFormat="false" ht="30" hidden="false" customHeight="true" outlineLevel="0" collapsed="false">
      <c r="A470" s="1" t="s">
        <v>942</v>
      </c>
      <c r="B470" s="2" t="s">
        <v>943</v>
      </c>
      <c r="C470" s="6" t="n">
        <v>41434</v>
      </c>
      <c r="D470" s="3" t="n">
        <v>9</v>
      </c>
      <c r="E470" s="3" t="n">
        <v>9</v>
      </c>
      <c r="F470" s="7" t="n">
        <f aca="false">IFERROR(Tableau1[[#This Row],[Score]]/Tableau1[[#This Row],[Nb]],0)</f>
        <v>1</v>
      </c>
    </row>
    <row r="471" customFormat="false" ht="30" hidden="false" customHeight="true" outlineLevel="0" collapsed="false">
      <c r="A471" s="1" t="s">
        <v>944</v>
      </c>
      <c r="B471" s="2" t="s">
        <v>945</v>
      </c>
      <c r="C471" s="6" t="n">
        <v>41434</v>
      </c>
      <c r="D471" s="3" t="n">
        <v>10</v>
      </c>
      <c r="E471" s="3" t="n">
        <v>10</v>
      </c>
      <c r="F471" s="7" t="n">
        <f aca="false">IFERROR(Tableau1[[#This Row],[Score]]/Tableau1[[#This Row],[Nb]],0)</f>
        <v>1</v>
      </c>
    </row>
    <row r="472" customFormat="false" ht="30" hidden="false" customHeight="true" outlineLevel="0" collapsed="false">
      <c r="A472" s="1" t="s">
        <v>946</v>
      </c>
      <c r="B472" s="2" t="s">
        <v>947</v>
      </c>
      <c r="C472" s="6" t="n">
        <v>41434</v>
      </c>
      <c r="D472" s="3" t="n">
        <v>9</v>
      </c>
      <c r="E472" s="3" t="n">
        <v>9</v>
      </c>
      <c r="F472" s="7" t="n">
        <f aca="false">IFERROR(Tableau1[[#This Row],[Score]]/Tableau1[[#This Row],[Nb]],0)</f>
        <v>1</v>
      </c>
    </row>
    <row r="473" customFormat="false" ht="30" hidden="false" customHeight="true" outlineLevel="0" collapsed="false">
      <c r="A473" s="1" t="s">
        <v>948</v>
      </c>
      <c r="B473" s="2" t="s">
        <v>949</v>
      </c>
      <c r="C473" s="6" t="n">
        <v>41434</v>
      </c>
      <c r="D473" s="3" t="n">
        <v>4</v>
      </c>
      <c r="E473" s="3" t="n">
        <v>4</v>
      </c>
      <c r="F473" s="7" t="n">
        <f aca="false">IFERROR(Tableau1[[#This Row],[Score]]/Tableau1[[#This Row],[Nb]],0)</f>
        <v>1</v>
      </c>
    </row>
    <row r="474" customFormat="false" ht="30" hidden="false" customHeight="true" outlineLevel="0" collapsed="false">
      <c r="A474" s="1" t="s">
        <v>950</v>
      </c>
      <c r="B474" s="2" t="s">
        <v>951</v>
      </c>
      <c r="C474" s="6" t="n">
        <v>41434</v>
      </c>
      <c r="D474" s="3" t="n">
        <v>3</v>
      </c>
      <c r="E474" s="3" t="n">
        <v>3</v>
      </c>
      <c r="F474" s="7" t="n">
        <f aca="false">IFERROR(Tableau1[[#This Row],[Score]]/Tableau1[[#This Row],[Nb]],0)</f>
        <v>1</v>
      </c>
    </row>
    <row r="475" customFormat="false" ht="30" hidden="false" customHeight="true" outlineLevel="0" collapsed="false">
      <c r="A475" s="1" t="s">
        <v>952</v>
      </c>
      <c r="B475" s="2" t="s">
        <v>953</v>
      </c>
      <c r="C475" s="6" t="n">
        <v>41434</v>
      </c>
      <c r="D475" s="3" t="n">
        <v>7</v>
      </c>
      <c r="E475" s="3" t="n">
        <v>7</v>
      </c>
      <c r="F475" s="7" t="n">
        <f aca="false">IFERROR(Tableau1[[#This Row],[Score]]/Tableau1[[#This Row],[Nb]],0)</f>
        <v>1</v>
      </c>
    </row>
    <row r="476" customFormat="false" ht="30" hidden="false" customHeight="true" outlineLevel="0" collapsed="false">
      <c r="A476" s="1" t="s">
        <v>954</v>
      </c>
      <c r="B476" s="2" t="s">
        <v>955</v>
      </c>
      <c r="C476" s="6" t="n">
        <v>41434</v>
      </c>
      <c r="D476" s="3" t="n">
        <v>7</v>
      </c>
      <c r="E476" s="3" t="n">
        <v>7</v>
      </c>
      <c r="F476" s="7" t="n">
        <f aca="false">IFERROR(Tableau1[[#This Row],[Score]]/Tableau1[[#This Row],[Nb]],0)</f>
        <v>1</v>
      </c>
    </row>
    <row r="477" customFormat="false" ht="30" hidden="false" customHeight="true" outlineLevel="0" collapsed="false">
      <c r="A477" s="1" t="s">
        <v>956</v>
      </c>
      <c r="B477" s="2" t="s">
        <v>957</v>
      </c>
      <c r="C477" s="6" t="n">
        <v>41434</v>
      </c>
      <c r="D477" s="3" t="n">
        <v>7</v>
      </c>
      <c r="E477" s="3" t="n">
        <v>7</v>
      </c>
      <c r="F477" s="7" t="n">
        <f aca="false">IFERROR(Tableau1[[#This Row],[Score]]/Tableau1[[#This Row],[Nb]],0)</f>
        <v>1</v>
      </c>
    </row>
    <row r="478" customFormat="false" ht="30" hidden="false" customHeight="true" outlineLevel="0" collapsed="false">
      <c r="A478" s="1" t="s">
        <v>958</v>
      </c>
      <c r="B478" s="2" t="s">
        <v>959</v>
      </c>
      <c r="C478" s="6" t="n">
        <v>41434</v>
      </c>
      <c r="D478" s="3" t="n">
        <v>7</v>
      </c>
      <c r="E478" s="3" t="n">
        <v>7</v>
      </c>
      <c r="F478" s="7" t="n">
        <f aca="false">IFERROR(Tableau1[[#This Row],[Score]]/Tableau1[[#This Row],[Nb]],0)</f>
        <v>1</v>
      </c>
    </row>
    <row r="479" customFormat="false" ht="30" hidden="false" customHeight="true" outlineLevel="0" collapsed="false">
      <c r="A479" s="1" t="s">
        <v>960</v>
      </c>
      <c r="B479" s="2" t="s">
        <v>961</v>
      </c>
      <c r="C479" s="6" t="n">
        <v>41442</v>
      </c>
      <c r="D479" s="3" t="n">
        <v>8</v>
      </c>
      <c r="E479" s="3" t="n">
        <v>-8</v>
      </c>
      <c r="F479" s="7" t="n">
        <f aca="false">IFERROR(Tableau1[[#This Row],[Score]]/Tableau1[[#This Row],[Nb]],0)</f>
        <v>-1</v>
      </c>
    </row>
    <row r="480" customFormat="false" ht="30" hidden="false" customHeight="true" outlineLevel="0" collapsed="false">
      <c r="A480" s="1" t="s">
        <v>962</v>
      </c>
      <c r="B480" s="2" t="s">
        <v>963</v>
      </c>
      <c r="C480" s="6" t="n">
        <v>41442</v>
      </c>
      <c r="D480" s="3" t="n">
        <v>6</v>
      </c>
      <c r="E480" s="3" t="n">
        <v>-6</v>
      </c>
      <c r="F480" s="7" t="n">
        <f aca="false">IFERROR(Tableau1[[#This Row],[Score]]/Tableau1[[#This Row],[Nb]],0)</f>
        <v>-1</v>
      </c>
    </row>
    <row r="481" customFormat="false" ht="30" hidden="false" customHeight="true" outlineLevel="0" collapsed="false">
      <c r="A481" s="1" t="s">
        <v>964</v>
      </c>
      <c r="B481" s="2" t="s">
        <v>965</v>
      </c>
      <c r="C481" s="6" t="n">
        <v>41442</v>
      </c>
      <c r="D481" s="3" t="n">
        <v>8</v>
      </c>
      <c r="E481" s="3" t="n">
        <v>-8</v>
      </c>
      <c r="F481" s="7" t="n">
        <f aca="false">IFERROR(Tableau1[[#This Row],[Score]]/Tableau1[[#This Row],[Nb]],0)</f>
        <v>-1</v>
      </c>
    </row>
    <row r="482" customFormat="false" ht="30" hidden="false" customHeight="true" outlineLevel="0" collapsed="false">
      <c r="A482" s="1" t="s">
        <v>966</v>
      </c>
      <c r="B482" s="2" t="s">
        <v>967</v>
      </c>
      <c r="C482" s="6" t="n">
        <v>41442</v>
      </c>
      <c r="D482" s="3" t="n">
        <v>9</v>
      </c>
      <c r="E482" s="3" t="n">
        <v>-9</v>
      </c>
      <c r="F482" s="7" t="n">
        <f aca="false">IFERROR(Tableau1[[#This Row],[Score]]/Tableau1[[#This Row],[Nb]],0)</f>
        <v>-1</v>
      </c>
    </row>
    <row r="483" customFormat="false" ht="30" hidden="false" customHeight="true" outlineLevel="0" collapsed="false">
      <c r="A483" s="1" t="s">
        <v>968</v>
      </c>
      <c r="B483" s="2" t="s">
        <v>969</v>
      </c>
      <c r="C483" s="6" t="n">
        <v>41442</v>
      </c>
      <c r="D483" s="3" t="n">
        <v>11</v>
      </c>
      <c r="E483" s="3" t="n">
        <v>-11</v>
      </c>
      <c r="F483" s="7" t="n">
        <f aca="false">IFERROR(Tableau1[[#This Row],[Score]]/Tableau1[[#This Row],[Nb]],0)</f>
        <v>-1</v>
      </c>
    </row>
    <row r="484" customFormat="false" ht="30" hidden="false" customHeight="true" outlineLevel="0" collapsed="false">
      <c r="A484" s="1" t="s">
        <v>970</v>
      </c>
      <c r="B484" s="2" t="s">
        <v>971</v>
      </c>
      <c r="C484" s="6" t="n">
        <v>41442</v>
      </c>
      <c r="D484" s="3" t="n">
        <v>12</v>
      </c>
      <c r="E484" s="3" t="n">
        <v>-12</v>
      </c>
      <c r="F484" s="7" t="n">
        <f aca="false">IFERROR(Tableau1[[#This Row],[Score]]/Tableau1[[#This Row],[Nb]],0)</f>
        <v>-1</v>
      </c>
    </row>
    <row r="485" customFormat="false" ht="30" hidden="false" customHeight="true" outlineLevel="0" collapsed="false">
      <c r="A485" s="1" t="s">
        <v>972</v>
      </c>
      <c r="B485" s="2" t="s">
        <v>973</v>
      </c>
      <c r="C485" s="6" t="n">
        <v>41442</v>
      </c>
      <c r="D485" s="3" t="n">
        <v>12</v>
      </c>
      <c r="E485" s="3" t="n">
        <v>-11</v>
      </c>
      <c r="F485" s="7" t="n">
        <f aca="false">IFERROR(Tableau1[[#This Row],[Score]]/Tableau1[[#This Row],[Nb]],0)</f>
        <v>-0.916666666666667</v>
      </c>
    </row>
    <row r="486" customFormat="false" ht="30" hidden="false" customHeight="true" outlineLevel="0" collapsed="false">
      <c r="A486" s="1" t="s">
        <v>974</v>
      </c>
      <c r="B486" s="2" t="s">
        <v>975</v>
      </c>
      <c r="C486" s="6" t="n">
        <v>41442</v>
      </c>
      <c r="D486" s="3" t="n">
        <v>11</v>
      </c>
      <c r="E486" s="3" t="n">
        <v>-9</v>
      </c>
      <c r="F486" s="7" t="n">
        <f aca="false">IFERROR(Tableau1[[#This Row],[Score]]/Tableau1[[#This Row],[Nb]],0)</f>
        <v>-0.818181818181818</v>
      </c>
    </row>
    <row r="487" customFormat="false" ht="30" hidden="false" customHeight="true" outlineLevel="0" collapsed="false">
      <c r="A487" s="1" t="s">
        <v>976</v>
      </c>
      <c r="B487" s="2" t="s">
        <v>977</v>
      </c>
      <c r="C487" s="6" t="n">
        <v>41442</v>
      </c>
      <c r="D487" s="3" t="n">
        <v>9</v>
      </c>
      <c r="E487" s="3" t="n">
        <v>-7</v>
      </c>
      <c r="F487" s="7" t="n">
        <f aca="false">IFERROR(Tableau1[[#This Row],[Score]]/Tableau1[[#This Row],[Nb]],0)</f>
        <v>-0.777777777777778</v>
      </c>
    </row>
    <row r="488" customFormat="false" ht="30" hidden="false" customHeight="true" outlineLevel="0" collapsed="false">
      <c r="A488" s="1" t="s">
        <v>978</v>
      </c>
      <c r="B488" s="2" t="s">
        <v>979</v>
      </c>
      <c r="C488" s="6" t="n">
        <v>41442</v>
      </c>
      <c r="D488" s="3" t="n">
        <v>7</v>
      </c>
      <c r="E488" s="3" t="n">
        <v>-5</v>
      </c>
      <c r="F488" s="7" t="n">
        <f aca="false">IFERROR(Tableau1[[#This Row],[Score]]/Tableau1[[#This Row],[Nb]],0)</f>
        <v>-0.714285714285714</v>
      </c>
    </row>
    <row r="489" customFormat="false" ht="30" hidden="false" customHeight="true" outlineLevel="0" collapsed="false">
      <c r="A489" s="1" t="s">
        <v>980</v>
      </c>
      <c r="B489" s="2" t="s">
        <v>981</v>
      </c>
      <c r="C489" s="6" t="n">
        <v>41442</v>
      </c>
      <c r="D489" s="3" t="n">
        <v>7</v>
      </c>
      <c r="E489" s="3" t="n">
        <v>-5</v>
      </c>
      <c r="F489" s="7" t="n">
        <f aca="false">IFERROR(Tableau1[[#This Row],[Score]]/Tableau1[[#This Row],[Nb]],0)</f>
        <v>-0.714285714285714</v>
      </c>
    </row>
    <row r="490" customFormat="false" ht="30" hidden="false" customHeight="true" outlineLevel="0" collapsed="false">
      <c r="A490" s="1" t="s">
        <v>982</v>
      </c>
      <c r="B490" s="2" t="s">
        <v>983</v>
      </c>
      <c r="C490" s="6" t="n">
        <v>41442</v>
      </c>
      <c r="D490" s="3" t="n">
        <v>10</v>
      </c>
      <c r="E490" s="3" t="n">
        <v>-7</v>
      </c>
      <c r="F490" s="7" t="n">
        <f aca="false">IFERROR(Tableau1[[#This Row],[Score]]/Tableau1[[#This Row],[Nb]],0)</f>
        <v>-0.7</v>
      </c>
    </row>
    <row r="491" customFormat="false" ht="30" hidden="false" customHeight="true" outlineLevel="0" collapsed="false">
      <c r="A491" s="1" t="s">
        <v>984</v>
      </c>
      <c r="B491" s="2" t="s">
        <v>985</v>
      </c>
      <c r="C491" s="6" t="n">
        <v>41442</v>
      </c>
      <c r="D491" s="3" t="n">
        <v>14</v>
      </c>
      <c r="E491" s="3" t="n">
        <v>-10</v>
      </c>
      <c r="F491" s="7" t="n">
        <f aca="false">IFERROR(Tableau1[[#This Row],[Score]]/Tableau1[[#This Row],[Nb]],0)</f>
        <v>-0.714285714285714</v>
      </c>
    </row>
    <row r="492" customFormat="false" ht="30" hidden="false" customHeight="true" outlineLevel="0" collapsed="false">
      <c r="A492" s="1" t="s">
        <v>986</v>
      </c>
      <c r="B492" s="2" t="s">
        <v>987</v>
      </c>
      <c r="C492" s="6" t="n">
        <v>41442</v>
      </c>
      <c r="D492" s="3" t="n">
        <v>6</v>
      </c>
      <c r="E492" s="3" t="n">
        <v>-4</v>
      </c>
      <c r="F492" s="7" t="n">
        <f aca="false">IFERROR(Tableau1[[#This Row],[Score]]/Tableau1[[#This Row],[Nb]],0)</f>
        <v>-0.666666666666667</v>
      </c>
    </row>
    <row r="493" customFormat="false" ht="30" hidden="false" customHeight="true" outlineLevel="0" collapsed="false">
      <c r="A493" s="1" t="s">
        <v>988</v>
      </c>
      <c r="B493" s="2" t="s">
        <v>989</v>
      </c>
      <c r="C493" s="6" t="n">
        <v>41442</v>
      </c>
      <c r="D493" s="3" t="n">
        <v>11</v>
      </c>
      <c r="E493" s="3" t="n">
        <v>-7</v>
      </c>
      <c r="F493" s="7" t="n">
        <f aca="false">IFERROR(Tableau1[[#This Row],[Score]]/Tableau1[[#This Row],[Nb]],0)</f>
        <v>-0.636363636363636</v>
      </c>
    </row>
    <row r="494" customFormat="false" ht="30" hidden="false" customHeight="true" outlineLevel="0" collapsed="false">
      <c r="A494" s="1" t="s">
        <v>990</v>
      </c>
      <c r="B494" s="2" t="s">
        <v>991</v>
      </c>
      <c r="C494" s="6" t="n">
        <v>41442</v>
      </c>
      <c r="D494" s="3" t="n">
        <v>16</v>
      </c>
      <c r="E494" s="3" t="n">
        <v>-10</v>
      </c>
      <c r="F494" s="7" t="n">
        <f aca="false">IFERROR(Tableau1[[#This Row],[Score]]/Tableau1[[#This Row],[Nb]],0)</f>
        <v>-0.625</v>
      </c>
    </row>
    <row r="495" customFormat="false" ht="30" hidden="false" customHeight="true" outlineLevel="0" collapsed="false">
      <c r="A495" s="1" t="s">
        <v>992</v>
      </c>
      <c r="B495" s="2" t="s">
        <v>993</v>
      </c>
      <c r="C495" s="6" t="n">
        <v>41442</v>
      </c>
      <c r="D495" s="3" t="n">
        <v>10</v>
      </c>
      <c r="E495" s="3" t="n">
        <v>-6</v>
      </c>
      <c r="F495" s="7" t="n">
        <f aca="false">IFERROR(Tableau1[[#This Row],[Score]]/Tableau1[[#This Row],[Nb]],0)</f>
        <v>-0.6</v>
      </c>
    </row>
    <row r="496" customFormat="false" ht="30" hidden="false" customHeight="true" outlineLevel="0" collapsed="false">
      <c r="A496" s="1" t="s">
        <v>994</v>
      </c>
      <c r="B496" s="2" t="s">
        <v>995</v>
      </c>
      <c r="C496" s="6" t="n">
        <v>41442</v>
      </c>
      <c r="D496" s="3" t="n">
        <v>9</v>
      </c>
      <c r="E496" s="3" t="n">
        <v>-5</v>
      </c>
      <c r="F496" s="7" t="n">
        <f aca="false">IFERROR(Tableau1[[#This Row],[Score]]/Tableau1[[#This Row],[Nb]],0)</f>
        <v>-0.555555555555556</v>
      </c>
    </row>
    <row r="497" customFormat="false" ht="30" hidden="false" customHeight="true" outlineLevel="0" collapsed="false">
      <c r="A497" s="1" t="s">
        <v>996</v>
      </c>
      <c r="B497" s="2" t="s">
        <v>997</v>
      </c>
      <c r="C497" s="6" t="n">
        <v>41442</v>
      </c>
      <c r="D497" s="3" t="n">
        <v>11</v>
      </c>
      <c r="E497" s="3" t="n">
        <v>-5</v>
      </c>
      <c r="F497" s="7" t="n">
        <f aca="false">IFERROR(Tableau1[[#This Row],[Score]]/Tableau1[[#This Row],[Nb]],0)</f>
        <v>-0.454545454545455</v>
      </c>
    </row>
    <row r="498" customFormat="false" ht="30" hidden="false" customHeight="true" outlineLevel="0" collapsed="false">
      <c r="A498" s="1" t="s">
        <v>998</v>
      </c>
      <c r="B498" s="2" t="s">
        <v>999</v>
      </c>
      <c r="C498" s="6" t="n">
        <v>41442</v>
      </c>
      <c r="D498" s="3" t="n">
        <v>14</v>
      </c>
      <c r="E498" s="3" t="n">
        <v>-6</v>
      </c>
      <c r="F498" s="7" t="n">
        <f aca="false">IFERROR(Tableau1[[#This Row],[Score]]/Tableau1[[#This Row],[Nb]],0)</f>
        <v>-0.428571428571429</v>
      </c>
    </row>
    <row r="499" customFormat="false" ht="30" hidden="false" customHeight="true" outlineLevel="0" collapsed="false">
      <c r="A499" s="1" t="s">
        <v>1000</v>
      </c>
      <c r="B499" s="2" t="s">
        <v>1001</v>
      </c>
      <c r="C499" s="6" t="n">
        <v>41442</v>
      </c>
      <c r="D499" s="3" t="n">
        <v>10</v>
      </c>
      <c r="E499" s="3" t="n">
        <v>-4</v>
      </c>
      <c r="F499" s="7" t="n">
        <f aca="false">IFERROR(Tableau1[[#This Row],[Score]]/Tableau1[[#This Row],[Nb]],0)</f>
        <v>-0.4</v>
      </c>
    </row>
    <row r="500" customFormat="false" ht="30" hidden="false" customHeight="true" outlineLevel="0" collapsed="false">
      <c r="A500" s="1" t="s">
        <v>1002</v>
      </c>
      <c r="B500" s="2" t="s">
        <v>1003</v>
      </c>
      <c r="C500" s="6" t="n">
        <v>41442</v>
      </c>
      <c r="D500" s="3" t="n">
        <v>11</v>
      </c>
      <c r="E500" s="3" t="n">
        <v>-4</v>
      </c>
      <c r="F500" s="7" t="n">
        <f aca="false">IFERROR(Tableau1[[#This Row],[Score]]/Tableau1[[#This Row],[Nb]],0)</f>
        <v>-0.363636363636364</v>
      </c>
    </row>
    <row r="501" customFormat="false" ht="30" hidden="false" customHeight="true" outlineLevel="0" collapsed="false">
      <c r="A501" s="1" t="s">
        <v>1004</v>
      </c>
      <c r="B501" s="2" t="s">
        <v>1005</v>
      </c>
      <c r="C501" s="6" t="n">
        <v>41442</v>
      </c>
      <c r="D501" s="3" t="n">
        <v>9</v>
      </c>
      <c r="E501" s="3" t="n">
        <v>-3</v>
      </c>
      <c r="F501" s="7" t="n">
        <f aca="false">IFERROR(Tableau1[[#This Row],[Score]]/Tableau1[[#This Row],[Nb]],0)</f>
        <v>-0.333333333333333</v>
      </c>
    </row>
    <row r="502" customFormat="false" ht="30" hidden="false" customHeight="true" outlineLevel="0" collapsed="false">
      <c r="A502" s="1" t="s">
        <v>1006</v>
      </c>
      <c r="B502" s="2" t="s">
        <v>1007</v>
      </c>
      <c r="C502" s="6" t="n">
        <v>41442</v>
      </c>
      <c r="D502" s="3" t="n">
        <v>11</v>
      </c>
      <c r="E502" s="3" t="n">
        <v>-3</v>
      </c>
      <c r="F502" s="7" t="n">
        <f aca="false">IFERROR(Tableau1[[#This Row],[Score]]/Tableau1[[#This Row],[Nb]],0)</f>
        <v>-0.272727272727273</v>
      </c>
    </row>
    <row r="503" customFormat="false" ht="30" hidden="false" customHeight="true" outlineLevel="0" collapsed="false">
      <c r="A503" s="1" t="s">
        <v>1008</v>
      </c>
      <c r="B503" s="2" t="s">
        <v>1009</v>
      </c>
      <c r="C503" s="6" t="n">
        <v>41442</v>
      </c>
      <c r="D503" s="3" t="n">
        <v>11</v>
      </c>
      <c r="E503" s="3" t="n">
        <v>-3</v>
      </c>
      <c r="F503" s="7" t="n">
        <f aca="false">IFERROR(Tableau1[[#This Row],[Score]]/Tableau1[[#This Row],[Nb]],0)</f>
        <v>-0.272727272727273</v>
      </c>
    </row>
    <row r="504" customFormat="false" ht="30" hidden="false" customHeight="true" outlineLevel="0" collapsed="false">
      <c r="A504" s="1" t="s">
        <v>1010</v>
      </c>
      <c r="B504" s="2" t="s">
        <v>1011</v>
      </c>
      <c r="C504" s="6" t="n">
        <v>41442</v>
      </c>
      <c r="D504" s="3" t="n">
        <v>14</v>
      </c>
      <c r="E504" s="3" t="n">
        <v>-2</v>
      </c>
      <c r="F504" s="7" t="n">
        <f aca="false">IFERROR(Tableau1[[#This Row],[Score]]/Tableau1[[#This Row],[Nb]],0)</f>
        <v>-0.142857142857143</v>
      </c>
    </row>
    <row r="505" customFormat="false" ht="30" hidden="false" customHeight="true" outlineLevel="0" collapsed="false">
      <c r="A505" s="1" t="s">
        <v>1012</v>
      </c>
      <c r="B505" s="2" t="s">
        <v>1013</v>
      </c>
      <c r="C505" s="6" t="n">
        <v>41442</v>
      </c>
      <c r="D505" s="3" t="n">
        <v>7</v>
      </c>
      <c r="E505" s="3" t="n">
        <v>-1</v>
      </c>
      <c r="F505" s="7" t="n">
        <f aca="false">IFERROR(Tableau1[[#This Row],[Score]]/Tableau1[[#This Row],[Nb]],0)</f>
        <v>-0.142857142857143</v>
      </c>
    </row>
    <row r="506" customFormat="false" ht="30" hidden="false" customHeight="true" outlineLevel="0" collapsed="false">
      <c r="A506" s="1" t="s">
        <v>1014</v>
      </c>
      <c r="B506" s="2" t="s">
        <v>1015</v>
      </c>
      <c r="C506" s="6" t="n">
        <v>41442</v>
      </c>
      <c r="D506" s="3" t="n">
        <v>14</v>
      </c>
      <c r="E506" s="3" t="n">
        <v>2</v>
      </c>
      <c r="F506" s="7" t="n">
        <f aca="false">IFERROR(Tableau1[[#This Row],[Score]]/Tableau1[[#This Row],[Nb]],0)</f>
        <v>0.142857142857143</v>
      </c>
    </row>
    <row r="507" customFormat="false" ht="30" hidden="false" customHeight="true" outlineLevel="0" collapsed="false">
      <c r="A507" s="1" t="s">
        <v>1016</v>
      </c>
      <c r="B507" s="2" t="s">
        <v>1017</v>
      </c>
      <c r="C507" s="6" t="n">
        <v>41442</v>
      </c>
      <c r="D507" s="3" t="n">
        <v>12</v>
      </c>
      <c r="E507" s="3" t="n">
        <v>2</v>
      </c>
      <c r="F507" s="7" t="n">
        <f aca="false">IFERROR(Tableau1[[#This Row],[Score]]/Tableau1[[#This Row],[Nb]],0)</f>
        <v>0.166666666666667</v>
      </c>
    </row>
    <row r="508" customFormat="false" ht="30" hidden="false" customHeight="true" outlineLevel="0" collapsed="false">
      <c r="A508" s="1" t="s">
        <v>1018</v>
      </c>
      <c r="B508" s="2" t="s">
        <v>1019</v>
      </c>
      <c r="C508" s="6" t="n">
        <v>41442</v>
      </c>
      <c r="D508" s="3" t="n">
        <v>8</v>
      </c>
      <c r="E508" s="3" t="n">
        <v>2</v>
      </c>
      <c r="F508" s="7" t="n">
        <f aca="false">IFERROR(Tableau1[[#This Row],[Score]]/Tableau1[[#This Row],[Nb]],0)</f>
        <v>0.25</v>
      </c>
    </row>
    <row r="509" customFormat="false" ht="30" hidden="false" customHeight="true" outlineLevel="0" collapsed="false">
      <c r="A509" s="1" t="s">
        <v>1020</v>
      </c>
      <c r="B509" s="2" t="s">
        <v>1021</v>
      </c>
      <c r="C509" s="6" t="n">
        <v>41442</v>
      </c>
      <c r="D509" s="3" t="n">
        <v>12</v>
      </c>
      <c r="E509" s="3" t="n">
        <v>4</v>
      </c>
      <c r="F509" s="7" t="n">
        <f aca="false">IFERROR(Tableau1[[#This Row],[Score]]/Tableau1[[#This Row],[Nb]],0)</f>
        <v>0.333333333333333</v>
      </c>
    </row>
    <row r="510" customFormat="false" ht="30" hidden="false" customHeight="true" outlineLevel="0" collapsed="false">
      <c r="A510" s="1" t="s">
        <v>1022</v>
      </c>
      <c r="B510" s="2" t="s">
        <v>1023</v>
      </c>
      <c r="C510" s="6" t="n">
        <v>41442</v>
      </c>
      <c r="D510" s="3" t="n">
        <v>10</v>
      </c>
      <c r="E510" s="3" t="n">
        <v>5</v>
      </c>
      <c r="F510" s="7" t="n">
        <f aca="false">IFERROR(Tableau1[[#This Row],[Score]]/Tableau1[[#This Row],[Nb]],0)</f>
        <v>0.5</v>
      </c>
    </row>
    <row r="511" customFormat="false" ht="30" hidden="false" customHeight="true" outlineLevel="0" collapsed="false">
      <c r="A511" s="1" t="s">
        <v>1024</v>
      </c>
      <c r="B511" s="2" t="s">
        <v>1025</v>
      </c>
      <c r="C511" s="6" t="n">
        <v>41442</v>
      </c>
      <c r="D511" s="3" t="n">
        <v>4</v>
      </c>
      <c r="E511" s="3" t="n">
        <v>2</v>
      </c>
      <c r="F511" s="7" t="n">
        <f aca="false">IFERROR(Tableau1[[#This Row],[Score]]/Tableau1[[#This Row],[Nb]],0)</f>
        <v>0.5</v>
      </c>
    </row>
    <row r="512" customFormat="false" ht="30" hidden="false" customHeight="true" outlineLevel="0" collapsed="false">
      <c r="A512" s="1" t="s">
        <v>1026</v>
      </c>
      <c r="B512" s="2" t="s">
        <v>1027</v>
      </c>
      <c r="C512" s="6" t="n">
        <v>41442</v>
      </c>
      <c r="D512" s="3" t="n">
        <v>8</v>
      </c>
      <c r="E512" s="3" t="n">
        <v>4</v>
      </c>
      <c r="F512" s="7" t="n">
        <f aca="false">IFERROR(Tableau1[[#This Row],[Score]]/Tableau1[[#This Row],[Nb]],0)</f>
        <v>0.5</v>
      </c>
    </row>
    <row r="513" customFormat="false" ht="30" hidden="false" customHeight="true" outlineLevel="0" collapsed="false">
      <c r="A513" s="1" t="s">
        <v>1028</v>
      </c>
      <c r="B513" s="2" t="s">
        <v>1029</v>
      </c>
      <c r="C513" s="6" t="n">
        <v>41442</v>
      </c>
      <c r="D513" s="3" t="n">
        <v>9</v>
      </c>
      <c r="E513" s="3" t="n">
        <v>5</v>
      </c>
      <c r="F513" s="7" t="n">
        <f aca="false">IFERROR(Tableau1[[#This Row],[Score]]/Tableau1[[#This Row],[Nb]],0)</f>
        <v>0.555555555555556</v>
      </c>
    </row>
    <row r="514" customFormat="false" ht="30" hidden="false" customHeight="true" outlineLevel="0" collapsed="false">
      <c r="A514" s="1" t="s">
        <v>1030</v>
      </c>
      <c r="B514" s="2" t="s">
        <v>1031</v>
      </c>
      <c r="C514" s="6" t="n">
        <v>41442</v>
      </c>
      <c r="D514" s="3" t="n">
        <v>10</v>
      </c>
      <c r="E514" s="3" t="n">
        <v>6</v>
      </c>
      <c r="F514" s="7" t="n">
        <f aca="false">IFERROR(Tableau1[[#This Row],[Score]]/Tableau1[[#This Row],[Nb]],0)</f>
        <v>0.6</v>
      </c>
    </row>
    <row r="515" customFormat="false" ht="30" hidden="false" customHeight="true" outlineLevel="0" collapsed="false">
      <c r="A515" s="1" t="s">
        <v>1032</v>
      </c>
      <c r="B515" s="2" t="s">
        <v>1033</v>
      </c>
      <c r="C515" s="6" t="n">
        <v>41442</v>
      </c>
      <c r="D515" s="3" t="n">
        <v>8</v>
      </c>
      <c r="E515" s="3" t="n">
        <v>6</v>
      </c>
      <c r="F515" s="7" t="n">
        <f aca="false">IFERROR(Tableau1[[#This Row],[Score]]/Tableau1[[#This Row],[Nb]],0)</f>
        <v>0.75</v>
      </c>
    </row>
    <row r="516" customFormat="false" ht="30" hidden="false" customHeight="true" outlineLevel="0" collapsed="false">
      <c r="A516" s="8" t="s">
        <v>1034</v>
      </c>
      <c r="B516" s="9" t="s">
        <v>1035</v>
      </c>
      <c r="C516" s="6" t="n">
        <v>41442</v>
      </c>
      <c r="D516" s="3" t="n">
        <v>10</v>
      </c>
      <c r="E516" s="3" t="n">
        <v>10</v>
      </c>
      <c r="F516" s="7" t="n">
        <f aca="false">IFERROR(Tableau1[[#This Row],[Score]]/Tableau1[[#This Row],[Nb]],0)</f>
        <v>1</v>
      </c>
    </row>
    <row r="517" customFormat="false" ht="30" hidden="false" customHeight="true" outlineLevel="0" collapsed="false">
      <c r="A517" s="8" t="s">
        <v>1036</v>
      </c>
      <c r="B517" s="9" t="s">
        <v>1037</v>
      </c>
      <c r="C517" s="6" t="n">
        <v>41442</v>
      </c>
      <c r="D517" s="3" t="n">
        <v>10</v>
      </c>
      <c r="E517" s="3" t="n">
        <v>10</v>
      </c>
      <c r="F517" s="7" t="n">
        <f aca="false">IFERROR(Tableau1[[#This Row],[Score]]/Tableau1[[#This Row],[Nb]],0)</f>
        <v>1</v>
      </c>
    </row>
    <row r="518" customFormat="false" ht="30" hidden="false" customHeight="true" outlineLevel="0" collapsed="false">
      <c r="A518" s="1" t="s">
        <v>1038</v>
      </c>
      <c r="B518" s="2" t="s">
        <v>1039</v>
      </c>
      <c r="C518" s="6" t="n">
        <v>41442</v>
      </c>
      <c r="D518" s="3" t="n">
        <v>8</v>
      </c>
      <c r="E518" s="3" t="n">
        <v>8</v>
      </c>
      <c r="F518" s="7" t="n">
        <f aca="false">IFERROR(Tableau1[[#This Row],[Score]]/Tableau1[[#This Row],[Nb]],0)</f>
        <v>1</v>
      </c>
    </row>
    <row r="519" customFormat="false" ht="30" hidden="false" customHeight="true" outlineLevel="0" collapsed="false">
      <c r="A519" s="1" t="s">
        <v>1040</v>
      </c>
      <c r="B519" s="2" t="s">
        <v>1041</v>
      </c>
      <c r="C519" s="6" t="n">
        <v>41442</v>
      </c>
      <c r="D519" s="3" t="n">
        <v>8</v>
      </c>
      <c r="E519" s="3" t="n">
        <v>8</v>
      </c>
      <c r="F519" s="7" t="n">
        <f aca="false">IFERROR(Tableau1[[#This Row],[Score]]/Tableau1[[#This Row],[Nb]],0)</f>
        <v>1</v>
      </c>
    </row>
    <row r="520" customFormat="false" ht="30" hidden="false" customHeight="true" outlineLevel="0" collapsed="false">
      <c r="A520" s="1" t="s">
        <v>1042</v>
      </c>
      <c r="B520" s="2" t="s">
        <v>1043</v>
      </c>
      <c r="C520" s="6" t="n">
        <v>41442</v>
      </c>
      <c r="D520" s="3" t="n">
        <v>10</v>
      </c>
      <c r="E520" s="3" t="n">
        <v>10</v>
      </c>
      <c r="F520" s="7" t="n">
        <f aca="false">IFERROR(Tableau1[[#This Row],[Score]]/Tableau1[[#This Row],[Nb]],0)</f>
        <v>1</v>
      </c>
    </row>
    <row r="521" customFormat="false" ht="30" hidden="false" customHeight="true" outlineLevel="0" collapsed="false">
      <c r="A521" s="1" t="s">
        <v>1044</v>
      </c>
      <c r="B521" s="2" t="s">
        <v>1045</v>
      </c>
      <c r="C521" s="6" t="n">
        <v>41442</v>
      </c>
      <c r="D521" s="3" t="n">
        <v>6</v>
      </c>
      <c r="E521" s="3" t="n">
        <v>6</v>
      </c>
      <c r="F521" s="7" t="n">
        <f aca="false">IFERROR(Tableau1[[#This Row],[Score]]/Tableau1[[#This Row],[Nb]],0)</f>
        <v>1</v>
      </c>
    </row>
    <row r="522" customFormat="false" ht="30" hidden="false" customHeight="true" outlineLevel="0" collapsed="false">
      <c r="A522" s="1" t="s">
        <v>1046</v>
      </c>
      <c r="B522" s="2" t="s">
        <v>1047</v>
      </c>
      <c r="C522" s="6" t="n">
        <v>41442</v>
      </c>
      <c r="D522" s="3" t="n">
        <v>6</v>
      </c>
      <c r="E522" s="3" t="n">
        <v>6</v>
      </c>
      <c r="F522" s="7" t="n">
        <f aca="false">IFERROR(Tableau1[[#This Row],[Score]]/Tableau1[[#This Row],[Nb]],0)</f>
        <v>1</v>
      </c>
    </row>
    <row r="523" customFormat="false" ht="30" hidden="false" customHeight="true" outlineLevel="0" collapsed="false">
      <c r="A523" s="1" t="s">
        <v>1048</v>
      </c>
      <c r="B523" s="2" t="s">
        <v>1049</v>
      </c>
      <c r="C523" s="6" t="n">
        <v>41442</v>
      </c>
      <c r="D523" s="3" t="n">
        <v>6</v>
      </c>
      <c r="E523" s="3" t="n">
        <v>6</v>
      </c>
      <c r="F523" s="7" t="n">
        <f aca="false">IFERROR(Tableau1[[#This Row],[Score]]/Tableau1[[#This Row],[Nb]],0)</f>
        <v>1</v>
      </c>
    </row>
    <row r="524" customFormat="false" ht="30" hidden="false" customHeight="true" outlineLevel="0" collapsed="false">
      <c r="A524" s="1" t="s">
        <v>1050</v>
      </c>
      <c r="B524" s="2" t="s">
        <v>1051</v>
      </c>
      <c r="C524" s="6" t="n">
        <v>41442</v>
      </c>
      <c r="D524" s="3" t="n">
        <v>7</v>
      </c>
      <c r="E524" s="3" t="n">
        <v>7</v>
      </c>
      <c r="F524" s="7" t="n">
        <f aca="false">IFERROR(Tableau1[[#This Row],[Score]]/Tableau1[[#This Row],[Nb]],0)</f>
        <v>1</v>
      </c>
    </row>
    <row r="525" customFormat="false" ht="30" hidden="false" customHeight="true" outlineLevel="0" collapsed="false">
      <c r="A525" s="1" t="s">
        <v>1052</v>
      </c>
      <c r="B525" s="2" t="s">
        <v>1053</v>
      </c>
      <c r="C525" s="6" t="n">
        <v>41442</v>
      </c>
      <c r="D525" s="3" t="n">
        <v>7</v>
      </c>
      <c r="E525" s="3" t="n">
        <v>7</v>
      </c>
      <c r="F525" s="7" t="n">
        <f aca="false">IFERROR(Tableau1[[#This Row],[Score]]/Tableau1[[#This Row],[Nb]],0)</f>
        <v>1</v>
      </c>
    </row>
    <row r="526" customFormat="false" ht="30" hidden="false" customHeight="true" outlineLevel="0" collapsed="false">
      <c r="A526" s="1" t="s">
        <v>1054</v>
      </c>
      <c r="B526" s="2" t="s">
        <v>1055</v>
      </c>
      <c r="C526" s="6" t="n">
        <v>41442</v>
      </c>
      <c r="D526" s="3" t="n">
        <v>19</v>
      </c>
      <c r="E526" s="3" t="n">
        <v>-1</v>
      </c>
      <c r="F526" s="7" t="n">
        <f aca="false">IFERROR(Tableau1[[#This Row],[Score]]/Tableau1[[#This Row],[Nb]],0)</f>
        <v>-0.0526315789473684</v>
      </c>
    </row>
    <row r="527" customFormat="false" ht="30" hidden="false" customHeight="true" outlineLevel="0" collapsed="false">
      <c r="A527" s="1" t="s">
        <v>1056</v>
      </c>
      <c r="B527" s="2" t="s">
        <v>1057</v>
      </c>
      <c r="C527" s="6" t="n">
        <v>41459</v>
      </c>
      <c r="D527" s="3" t="n">
        <v>10</v>
      </c>
      <c r="E527" s="3" t="n">
        <v>-10</v>
      </c>
      <c r="F527" s="7" t="n">
        <f aca="false">IFERROR(Tableau1[[#This Row],[Score]]/Tableau1[[#This Row],[Nb]],0)</f>
        <v>-1</v>
      </c>
    </row>
    <row r="528" customFormat="false" ht="30" hidden="false" customHeight="true" outlineLevel="0" collapsed="false">
      <c r="A528" s="1" t="s">
        <v>1058</v>
      </c>
      <c r="B528" s="2" t="s">
        <v>1059</v>
      </c>
      <c r="C528" s="6" t="n">
        <v>41459</v>
      </c>
      <c r="D528" s="3" t="n">
        <v>10</v>
      </c>
      <c r="E528" s="3" t="n">
        <v>-10</v>
      </c>
      <c r="F528" s="7" t="n">
        <f aca="false">IFERROR(Tableau1[[#This Row],[Score]]/Tableau1[[#This Row],[Nb]],0)</f>
        <v>-1</v>
      </c>
    </row>
    <row r="529" customFormat="false" ht="30" hidden="false" customHeight="true" outlineLevel="0" collapsed="false">
      <c r="A529" s="1" t="s">
        <v>1060</v>
      </c>
      <c r="B529" s="2" t="s">
        <v>1061</v>
      </c>
      <c r="C529" s="6" t="n">
        <v>41459</v>
      </c>
      <c r="D529" s="3" t="n">
        <v>9</v>
      </c>
      <c r="E529" s="3" t="n">
        <v>-9</v>
      </c>
      <c r="F529" s="7" t="n">
        <f aca="false">IFERROR(Tableau1[[#This Row],[Score]]/Tableau1[[#This Row],[Nb]],0)</f>
        <v>-1</v>
      </c>
    </row>
    <row r="530" customFormat="false" ht="30" hidden="false" customHeight="true" outlineLevel="0" collapsed="false">
      <c r="A530" s="1" t="s">
        <v>1062</v>
      </c>
      <c r="B530" s="2" t="s">
        <v>1063</v>
      </c>
      <c r="C530" s="6" t="n">
        <v>41459</v>
      </c>
      <c r="D530" s="3" t="n">
        <v>7</v>
      </c>
      <c r="E530" s="3" t="n">
        <v>-7</v>
      </c>
      <c r="F530" s="7" t="n">
        <f aca="false">IFERROR(Tableau1[[#This Row],[Score]]/Tableau1[[#This Row],[Nb]],0)</f>
        <v>-1</v>
      </c>
    </row>
    <row r="531" customFormat="false" ht="30" hidden="false" customHeight="true" outlineLevel="0" collapsed="false">
      <c r="A531" s="1" t="s">
        <v>1064</v>
      </c>
      <c r="B531" s="2" t="s">
        <v>1065</v>
      </c>
      <c r="C531" s="6" t="n">
        <v>41459</v>
      </c>
      <c r="D531" s="3" t="n">
        <v>5</v>
      </c>
      <c r="E531" s="3" t="n">
        <v>-5</v>
      </c>
      <c r="F531" s="7" t="n">
        <f aca="false">IFERROR(Tableau1[[#This Row],[Score]]/Tableau1[[#This Row],[Nb]],0)</f>
        <v>-1</v>
      </c>
    </row>
    <row r="532" customFormat="false" ht="30" hidden="false" customHeight="true" outlineLevel="0" collapsed="false">
      <c r="A532" s="1" t="s">
        <v>1066</v>
      </c>
      <c r="B532" s="2" t="s">
        <v>1067</v>
      </c>
      <c r="C532" s="6" t="n">
        <v>41459</v>
      </c>
      <c r="D532" s="3" t="n">
        <v>12</v>
      </c>
      <c r="E532" s="3" t="n">
        <v>-10</v>
      </c>
      <c r="F532" s="7" t="n">
        <f aca="false">IFERROR(Tableau1[[#This Row],[Score]]/Tableau1[[#This Row],[Nb]],0)</f>
        <v>-0.833333333333333</v>
      </c>
    </row>
    <row r="533" customFormat="false" ht="30" hidden="false" customHeight="true" outlineLevel="0" collapsed="false">
      <c r="A533" s="1" t="s">
        <v>1068</v>
      </c>
      <c r="B533" s="2" t="s">
        <v>1069</v>
      </c>
      <c r="C533" s="6" t="n">
        <v>41459</v>
      </c>
      <c r="D533" s="3" t="n">
        <v>11</v>
      </c>
      <c r="E533" s="3" t="n">
        <v>-9</v>
      </c>
      <c r="F533" s="7" t="n">
        <f aca="false">IFERROR(Tableau1[[#This Row],[Score]]/Tableau1[[#This Row],[Nb]],0)</f>
        <v>-0.818181818181818</v>
      </c>
    </row>
    <row r="534" customFormat="false" ht="30" hidden="false" customHeight="true" outlineLevel="0" collapsed="false">
      <c r="A534" s="1" t="s">
        <v>1070</v>
      </c>
      <c r="B534" s="2" t="s">
        <v>1071</v>
      </c>
      <c r="C534" s="6" t="n">
        <v>41459</v>
      </c>
      <c r="D534" s="3" t="n">
        <v>8</v>
      </c>
      <c r="E534" s="3" t="n">
        <v>-4</v>
      </c>
      <c r="F534" s="7" t="n">
        <f aca="false">IFERROR(Tableau1[[#This Row],[Score]]/Tableau1[[#This Row],[Nb]],0)</f>
        <v>-0.5</v>
      </c>
    </row>
    <row r="535" customFormat="false" ht="30" hidden="false" customHeight="true" outlineLevel="0" collapsed="false">
      <c r="A535" s="1" t="s">
        <v>1072</v>
      </c>
      <c r="B535" s="2" t="s">
        <v>1073</v>
      </c>
      <c r="C535" s="6" t="n">
        <v>41459</v>
      </c>
      <c r="D535" s="3" t="n">
        <v>4</v>
      </c>
      <c r="E535" s="3" t="n">
        <v>-2</v>
      </c>
      <c r="F535" s="7" t="n">
        <f aca="false">IFERROR(Tableau1[[#This Row],[Score]]/Tableau1[[#This Row],[Nb]],0)</f>
        <v>-0.5</v>
      </c>
    </row>
    <row r="536" customFormat="false" ht="30" hidden="false" customHeight="true" outlineLevel="0" collapsed="false">
      <c r="A536" s="1" t="s">
        <v>1074</v>
      </c>
      <c r="B536" s="2" t="s">
        <v>1075</v>
      </c>
      <c r="C536" s="6" t="n">
        <v>41459</v>
      </c>
      <c r="D536" s="3" t="n">
        <v>11</v>
      </c>
      <c r="E536" s="3" t="n">
        <v>-5</v>
      </c>
      <c r="F536" s="7" t="n">
        <f aca="false">IFERROR(Tableau1[[#This Row],[Score]]/Tableau1[[#This Row],[Nb]],0)</f>
        <v>-0.454545454545455</v>
      </c>
    </row>
    <row r="537" customFormat="false" ht="30" hidden="false" customHeight="true" outlineLevel="0" collapsed="false">
      <c r="A537" s="1" t="s">
        <v>1076</v>
      </c>
      <c r="B537" s="2" t="s">
        <v>1077</v>
      </c>
      <c r="C537" s="6" t="n">
        <v>41459</v>
      </c>
      <c r="D537" s="3" t="n">
        <v>12</v>
      </c>
      <c r="E537" s="3" t="n">
        <v>-4</v>
      </c>
      <c r="F537" s="7" t="n">
        <f aca="false">IFERROR(Tableau1[[#This Row],[Score]]/Tableau1[[#This Row],[Nb]],0)</f>
        <v>-0.333333333333333</v>
      </c>
    </row>
    <row r="538" customFormat="false" ht="30" hidden="false" customHeight="true" outlineLevel="0" collapsed="false">
      <c r="A538" s="1" t="s">
        <v>1078</v>
      </c>
      <c r="B538" s="2" t="s">
        <v>1079</v>
      </c>
      <c r="C538" s="6" t="n">
        <v>41459</v>
      </c>
      <c r="D538" s="3" t="n">
        <v>11</v>
      </c>
      <c r="E538" s="3" t="n">
        <v>-3</v>
      </c>
      <c r="F538" s="7" t="n">
        <f aca="false">IFERROR(Tableau1[[#This Row],[Score]]/Tableau1[[#This Row],[Nb]],0)</f>
        <v>-0.272727272727273</v>
      </c>
    </row>
    <row r="539" customFormat="false" ht="30" hidden="false" customHeight="true" outlineLevel="0" collapsed="false">
      <c r="A539" s="1" t="s">
        <v>1080</v>
      </c>
      <c r="B539" s="2" t="s">
        <v>1081</v>
      </c>
      <c r="C539" s="6" t="n">
        <v>41459</v>
      </c>
      <c r="D539" s="3" t="n">
        <v>8</v>
      </c>
      <c r="E539" s="3" t="n">
        <v>-2</v>
      </c>
      <c r="F539" s="7" t="n">
        <f aca="false">IFERROR(Tableau1[[#This Row],[Score]]/Tableau1[[#This Row],[Nb]],0)</f>
        <v>-0.25</v>
      </c>
    </row>
    <row r="540" customFormat="false" ht="30" hidden="false" customHeight="true" outlineLevel="0" collapsed="false">
      <c r="A540" s="1" t="s">
        <v>1082</v>
      </c>
      <c r="B540" s="2" t="s">
        <v>1083</v>
      </c>
      <c r="C540" s="6" t="n">
        <v>41459</v>
      </c>
      <c r="D540" s="3" t="n">
        <v>9</v>
      </c>
      <c r="E540" s="3" t="n">
        <v>-1</v>
      </c>
      <c r="F540" s="7" t="n">
        <f aca="false">IFERROR(Tableau1[[#This Row],[Score]]/Tableau1[[#This Row],[Nb]],0)</f>
        <v>-0.111111111111111</v>
      </c>
    </row>
    <row r="541" customFormat="false" ht="30" hidden="false" customHeight="true" outlineLevel="0" collapsed="false">
      <c r="A541" s="1" t="s">
        <v>1084</v>
      </c>
      <c r="B541" s="2" t="s">
        <v>1085</v>
      </c>
      <c r="C541" s="6" t="n">
        <v>41459</v>
      </c>
      <c r="D541" s="3" t="n">
        <v>10</v>
      </c>
      <c r="E541" s="3" t="n">
        <v>-2</v>
      </c>
      <c r="F541" s="7" t="n">
        <f aca="false">IFERROR(Tableau1[[#This Row],[Score]]/Tableau1[[#This Row],[Nb]],0)</f>
        <v>-0.2</v>
      </c>
    </row>
    <row r="542" customFormat="false" ht="30" hidden="false" customHeight="true" outlineLevel="0" collapsed="false">
      <c r="A542" s="1" t="s">
        <v>1086</v>
      </c>
      <c r="B542" s="2" t="s">
        <v>1087</v>
      </c>
      <c r="C542" s="6" t="n">
        <v>41459</v>
      </c>
      <c r="D542" s="3" t="n">
        <v>10</v>
      </c>
      <c r="E542" s="3" t="n">
        <v>-2</v>
      </c>
      <c r="F542" s="7" t="n">
        <f aca="false">IFERROR(Tableau1[[#This Row],[Score]]/Tableau1[[#This Row],[Nb]],0)</f>
        <v>-0.2</v>
      </c>
    </row>
    <row r="543" customFormat="false" ht="30" hidden="false" customHeight="true" outlineLevel="0" collapsed="false">
      <c r="A543" s="1" t="s">
        <v>1088</v>
      </c>
      <c r="B543" s="2" t="s">
        <v>1089</v>
      </c>
      <c r="C543" s="6" t="n">
        <v>41459</v>
      </c>
      <c r="D543" s="3" t="n">
        <v>9</v>
      </c>
      <c r="E543" s="3" t="n">
        <v>-1</v>
      </c>
      <c r="F543" s="7" t="n">
        <f aca="false">IFERROR(Tableau1[[#This Row],[Score]]/Tableau1[[#This Row],[Nb]],0)</f>
        <v>-0.111111111111111</v>
      </c>
    </row>
    <row r="544" customFormat="false" ht="30" hidden="false" customHeight="true" outlineLevel="0" collapsed="false">
      <c r="A544" s="1" t="s">
        <v>1090</v>
      </c>
      <c r="B544" s="2" t="s">
        <v>1091</v>
      </c>
      <c r="C544" s="6" t="n">
        <v>41459</v>
      </c>
      <c r="D544" s="3" t="n">
        <v>11</v>
      </c>
      <c r="E544" s="3" t="n">
        <v>-1</v>
      </c>
      <c r="F544" s="7" t="n">
        <f aca="false">IFERROR(Tableau1[[#This Row],[Score]]/Tableau1[[#This Row],[Nb]],0)</f>
        <v>-0.0909090909090909</v>
      </c>
    </row>
    <row r="545" customFormat="false" ht="30" hidden="false" customHeight="true" outlineLevel="0" collapsed="false">
      <c r="A545" s="1" t="s">
        <v>1092</v>
      </c>
      <c r="B545" s="2" t="s">
        <v>1093</v>
      </c>
      <c r="C545" s="6" t="n">
        <v>41459</v>
      </c>
      <c r="D545" s="3" t="n">
        <v>10</v>
      </c>
      <c r="E545" s="3" t="n">
        <v>0</v>
      </c>
      <c r="F545" s="7" t="n">
        <f aca="false">IFERROR(Tableau1[[#This Row],[Score]]/Tableau1[[#This Row],[Nb]],0)</f>
        <v>0</v>
      </c>
    </row>
    <row r="546" customFormat="false" ht="30" hidden="false" customHeight="true" outlineLevel="0" collapsed="false">
      <c r="A546" s="1" t="s">
        <v>1094</v>
      </c>
      <c r="B546" s="2" t="s">
        <v>1095</v>
      </c>
      <c r="C546" s="6" t="n">
        <v>41459</v>
      </c>
      <c r="D546" s="3" t="n">
        <v>9</v>
      </c>
      <c r="E546" s="3" t="n">
        <v>1</v>
      </c>
      <c r="F546" s="7" t="n">
        <f aca="false">IFERROR(Tableau1[[#This Row],[Score]]/Tableau1[[#This Row],[Nb]],0)</f>
        <v>0.111111111111111</v>
      </c>
    </row>
    <row r="547" customFormat="false" ht="30" hidden="false" customHeight="true" outlineLevel="0" collapsed="false">
      <c r="A547" s="1" t="s">
        <v>1096</v>
      </c>
      <c r="B547" s="2" t="s">
        <v>1097</v>
      </c>
      <c r="C547" s="6" t="n">
        <v>41459</v>
      </c>
      <c r="D547" s="3" t="n">
        <v>9</v>
      </c>
      <c r="E547" s="3" t="n">
        <v>1</v>
      </c>
      <c r="F547" s="7" t="n">
        <f aca="false">IFERROR(Tableau1[[#This Row],[Score]]/Tableau1[[#This Row],[Nb]],0)</f>
        <v>0.111111111111111</v>
      </c>
    </row>
    <row r="548" customFormat="false" ht="30" hidden="false" customHeight="true" outlineLevel="0" collapsed="false">
      <c r="A548" s="1" t="s">
        <v>1098</v>
      </c>
      <c r="B548" s="2" t="s">
        <v>1099</v>
      </c>
      <c r="C548" s="6" t="n">
        <v>41459</v>
      </c>
      <c r="D548" s="3" t="n">
        <v>14</v>
      </c>
      <c r="E548" s="3" t="n">
        <v>2</v>
      </c>
      <c r="F548" s="7" t="n">
        <f aca="false">IFERROR(Tableau1[[#This Row],[Score]]/Tableau1[[#This Row],[Nb]],0)</f>
        <v>0.142857142857143</v>
      </c>
    </row>
    <row r="549" customFormat="false" ht="30" hidden="false" customHeight="true" outlineLevel="0" collapsed="false">
      <c r="A549" s="1" t="s">
        <v>1100</v>
      </c>
      <c r="B549" s="2" t="s">
        <v>1101</v>
      </c>
      <c r="C549" s="6" t="n">
        <v>41459</v>
      </c>
      <c r="D549" s="3" t="n">
        <v>12</v>
      </c>
      <c r="E549" s="3" t="n">
        <v>2</v>
      </c>
      <c r="F549" s="7" t="n">
        <f aca="false">IFERROR(Tableau1[[#This Row],[Score]]/Tableau1[[#This Row],[Nb]],0)</f>
        <v>0.166666666666667</v>
      </c>
    </row>
    <row r="550" customFormat="false" ht="30" hidden="false" customHeight="true" outlineLevel="0" collapsed="false">
      <c r="A550" s="1" t="s">
        <v>1102</v>
      </c>
      <c r="B550" s="2" t="s">
        <v>1103</v>
      </c>
      <c r="C550" s="6" t="n">
        <v>41459</v>
      </c>
      <c r="D550" s="3" t="n">
        <v>6</v>
      </c>
      <c r="E550" s="3" t="n">
        <v>2</v>
      </c>
      <c r="F550" s="7" t="n">
        <f aca="false">IFERROR(Tableau1[[#This Row],[Score]]/Tableau1[[#This Row],[Nb]],0)</f>
        <v>0.333333333333333</v>
      </c>
    </row>
    <row r="551" customFormat="false" ht="30" hidden="false" customHeight="true" outlineLevel="0" collapsed="false">
      <c r="A551" s="1" t="s">
        <v>1104</v>
      </c>
      <c r="B551" s="2" t="s">
        <v>1105</v>
      </c>
      <c r="C551" s="6" t="n">
        <v>41459</v>
      </c>
      <c r="D551" s="3" t="n">
        <v>7</v>
      </c>
      <c r="E551" s="3" t="n">
        <v>3</v>
      </c>
      <c r="F551" s="7" t="n">
        <f aca="false">IFERROR(Tableau1[[#This Row],[Score]]/Tableau1[[#This Row],[Nb]],0)</f>
        <v>0.428571428571429</v>
      </c>
    </row>
    <row r="552" customFormat="false" ht="30" hidden="false" customHeight="true" outlineLevel="0" collapsed="false">
      <c r="A552" s="1" t="s">
        <v>1106</v>
      </c>
      <c r="B552" s="2" t="s">
        <v>1107</v>
      </c>
      <c r="C552" s="6" t="n">
        <v>41459</v>
      </c>
      <c r="D552" s="3" t="n">
        <v>7</v>
      </c>
      <c r="E552" s="3" t="n">
        <v>3</v>
      </c>
      <c r="F552" s="7" t="n">
        <f aca="false">IFERROR(Tableau1[[#This Row],[Score]]/Tableau1[[#This Row],[Nb]],0)</f>
        <v>0.428571428571429</v>
      </c>
    </row>
    <row r="553" customFormat="false" ht="30" hidden="false" customHeight="true" outlineLevel="0" collapsed="false">
      <c r="A553" s="1" t="s">
        <v>1108</v>
      </c>
      <c r="B553" s="2" t="s">
        <v>1109</v>
      </c>
      <c r="C553" s="6" t="n">
        <v>41459</v>
      </c>
      <c r="D553" s="3" t="n">
        <v>7</v>
      </c>
      <c r="E553" s="3" t="n">
        <v>3</v>
      </c>
      <c r="F553" s="7" t="n">
        <f aca="false">IFERROR(Tableau1[[#This Row],[Score]]/Tableau1[[#This Row],[Nb]],0)</f>
        <v>0.428571428571429</v>
      </c>
    </row>
    <row r="554" customFormat="false" ht="30" hidden="false" customHeight="true" outlineLevel="0" collapsed="false">
      <c r="A554" s="1" t="s">
        <v>1110</v>
      </c>
      <c r="B554" s="2" t="s">
        <v>1111</v>
      </c>
      <c r="C554" s="6" t="n">
        <v>41459</v>
      </c>
      <c r="D554" s="3" t="n">
        <v>10</v>
      </c>
      <c r="E554" s="3" t="n">
        <v>5</v>
      </c>
      <c r="F554" s="7" t="n">
        <f aca="false">IFERROR(Tableau1[[#This Row],[Score]]/Tableau1[[#This Row],[Nb]],0)</f>
        <v>0.5</v>
      </c>
    </row>
    <row r="555" customFormat="false" ht="30" hidden="false" customHeight="true" outlineLevel="0" collapsed="false">
      <c r="A555" s="1" t="s">
        <v>1112</v>
      </c>
      <c r="B555" s="2" t="s">
        <v>1113</v>
      </c>
      <c r="C555" s="6" t="n">
        <v>41459</v>
      </c>
      <c r="D555" s="3" t="n">
        <v>23</v>
      </c>
      <c r="E555" s="3" t="n">
        <v>13</v>
      </c>
      <c r="F555" s="7" t="n">
        <f aca="false">IFERROR(Tableau1[[#This Row],[Score]]/Tableau1[[#This Row],[Nb]],0)</f>
        <v>0.565217391304348</v>
      </c>
    </row>
    <row r="556" customFormat="false" ht="30" hidden="false" customHeight="true" outlineLevel="0" collapsed="false">
      <c r="A556" s="1" t="s">
        <v>1114</v>
      </c>
      <c r="B556" s="2" t="s">
        <v>1115</v>
      </c>
      <c r="C556" s="6" t="n">
        <v>41459</v>
      </c>
      <c r="D556" s="3" t="n">
        <v>5</v>
      </c>
      <c r="E556" s="3" t="n">
        <v>3</v>
      </c>
      <c r="F556" s="7" t="n">
        <f aca="false">IFERROR(Tableau1[[#This Row],[Score]]/Tableau1[[#This Row],[Nb]],0)</f>
        <v>0.6</v>
      </c>
    </row>
    <row r="557" customFormat="false" ht="30" hidden="false" customHeight="true" outlineLevel="0" collapsed="false">
      <c r="A557" s="1" t="s">
        <v>1116</v>
      </c>
      <c r="B557" s="2" t="s">
        <v>1117</v>
      </c>
      <c r="C557" s="6" t="n">
        <v>41459</v>
      </c>
      <c r="D557" s="3" t="n">
        <v>12</v>
      </c>
      <c r="E557" s="3" t="n">
        <v>8</v>
      </c>
      <c r="F557" s="7" t="n">
        <f aca="false">IFERROR(Tableau1[[#This Row],[Score]]/Tableau1[[#This Row],[Nb]],0)</f>
        <v>0.666666666666667</v>
      </c>
    </row>
    <row r="558" customFormat="false" ht="30" hidden="false" customHeight="true" outlineLevel="0" collapsed="false">
      <c r="A558" s="1" t="s">
        <v>1118</v>
      </c>
      <c r="B558" s="2" t="s">
        <v>1119</v>
      </c>
      <c r="C558" s="6" t="n">
        <v>41459</v>
      </c>
      <c r="D558" s="3" t="n">
        <v>14</v>
      </c>
      <c r="E558" s="3" t="n">
        <v>10</v>
      </c>
      <c r="F558" s="7" t="n">
        <f aca="false">IFERROR(Tableau1[[#This Row],[Score]]/Tableau1[[#This Row],[Nb]],0)</f>
        <v>0.714285714285714</v>
      </c>
    </row>
    <row r="559" customFormat="false" ht="30" hidden="false" customHeight="true" outlineLevel="0" collapsed="false">
      <c r="A559" s="1" t="s">
        <v>1120</v>
      </c>
      <c r="B559" s="2" t="s">
        <v>1121</v>
      </c>
      <c r="C559" s="6" t="n">
        <v>41459</v>
      </c>
      <c r="D559" s="3" t="n">
        <v>11</v>
      </c>
      <c r="E559" s="3" t="n">
        <v>8</v>
      </c>
      <c r="F559" s="7" t="n">
        <f aca="false">IFERROR(Tableau1[[#This Row],[Score]]/Tableau1[[#This Row],[Nb]],0)</f>
        <v>0.727272727272727</v>
      </c>
    </row>
    <row r="560" customFormat="false" ht="30" hidden="false" customHeight="true" outlineLevel="0" collapsed="false">
      <c r="A560" s="1" t="s">
        <v>1122</v>
      </c>
      <c r="B560" s="2" t="s">
        <v>1123</v>
      </c>
      <c r="C560" s="6" t="n">
        <v>41459</v>
      </c>
      <c r="D560" s="3" t="n">
        <v>15</v>
      </c>
      <c r="E560" s="3" t="n">
        <v>11</v>
      </c>
      <c r="F560" s="7" t="n">
        <f aca="false">IFERROR(Tableau1[[#This Row],[Score]]/Tableau1[[#This Row],[Nb]],0)</f>
        <v>0.733333333333333</v>
      </c>
    </row>
    <row r="561" customFormat="false" ht="30" hidden="false" customHeight="true" outlineLevel="0" collapsed="false">
      <c r="A561" s="1" t="s">
        <v>1124</v>
      </c>
      <c r="B561" s="2" t="s">
        <v>1125</v>
      </c>
      <c r="C561" s="6" t="n">
        <v>41459</v>
      </c>
      <c r="D561" s="3" t="n">
        <v>8</v>
      </c>
      <c r="E561" s="3" t="n">
        <v>6</v>
      </c>
      <c r="F561" s="7" t="n">
        <f aca="false">IFERROR(Tableau1[[#This Row],[Score]]/Tableau1[[#This Row],[Nb]],0)</f>
        <v>0.75</v>
      </c>
    </row>
    <row r="562" customFormat="false" ht="30" hidden="false" customHeight="true" outlineLevel="0" collapsed="false">
      <c r="A562" s="1" t="s">
        <v>1126</v>
      </c>
      <c r="B562" s="2" t="s">
        <v>1127</v>
      </c>
      <c r="C562" s="6" t="n">
        <v>41459</v>
      </c>
      <c r="D562" s="3" t="n">
        <v>9</v>
      </c>
      <c r="E562" s="3" t="n">
        <v>7</v>
      </c>
      <c r="F562" s="7" t="n">
        <f aca="false">IFERROR(Tableau1[[#This Row],[Score]]/Tableau1[[#This Row],[Nb]],0)</f>
        <v>0.777777777777778</v>
      </c>
    </row>
    <row r="563" customFormat="false" ht="30" hidden="false" customHeight="true" outlineLevel="0" collapsed="false">
      <c r="A563" s="1" t="s">
        <v>1128</v>
      </c>
      <c r="B563" s="2" t="s">
        <v>1129</v>
      </c>
      <c r="C563" s="6" t="n">
        <v>41459</v>
      </c>
      <c r="D563" s="3" t="n">
        <v>23</v>
      </c>
      <c r="E563" s="3" t="n">
        <v>19</v>
      </c>
      <c r="F563" s="7" t="n">
        <f aca="false">IFERROR(Tableau1[[#This Row],[Score]]/Tableau1[[#This Row],[Nb]],0)</f>
        <v>0.826086956521739</v>
      </c>
    </row>
    <row r="564" customFormat="false" ht="30" hidden="false" customHeight="true" outlineLevel="0" collapsed="false">
      <c r="A564" s="1" t="s">
        <v>1130</v>
      </c>
      <c r="B564" s="2" t="s">
        <v>1131</v>
      </c>
      <c r="C564" s="6" t="n">
        <v>41459</v>
      </c>
      <c r="D564" s="3" t="n">
        <v>14</v>
      </c>
      <c r="E564" s="3" t="n">
        <v>12</v>
      </c>
      <c r="F564" s="7" t="n">
        <f aca="false">IFERROR(Tableau1[[#This Row],[Score]]/Tableau1[[#This Row],[Nb]],0)</f>
        <v>0.857142857142857</v>
      </c>
    </row>
    <row r="565" customFormat="false" ht="30" hidden="false" customHeight="true" outlineLevel="0" collapsed="false">
      <c r="A565" s="1" t="s">
        <v>1132</v>
      </c>
      <c r="B565" s="2" t="s">
        <v>1133</v>
      </c>
      <c r="C565" s="6" t="n">
        <v>41459</v>
      </c>
      <c r="D565" s="3" t="n">
        <v>17</v>
      </c>
      <c r="E565" s="3" t="n">
        <v>15</v>
      </c>
      <c r="F565" s="7" t="n">
        <f aca="false">IFERROR(Tableau1[[#This Row],[Score]]/Tableau1[[#This Row],[Nb]],0)</f>
        <v>0.882352941176471</v>
      </c>
    </row>
    <row r="566" customFormat="false" ht="30" hidden="false" customHeight="true" outlineLevel="0" collapsed="false">
      <c r="A566" s="1" t="s">
        <v>1134</v>
      </c>
      <c r="B566" s="2" t="s">
        <v>1135</v>
      </c>
      <c r="C566" s="6" t="n">
        <v>41459</v>
      </c>
      <c r="D566" s="3" t="n">
        <v>16</v>
      </c>
      <c r="E566" s="3" t="n">
        <v>15</v>
      </c>
      <c r="F566" s="7" t="n">
        <f aca="false">IFERROR(Tableau1[[#This Row],[Score]]/Tableau1[[#This Row],[Nb]],0)</f>
        <v>0.9375</v>
      </c>
    </row>
    <row r="567" customFormat="false" ht="30" hidden="false" customHeight="true" outlineLevel="0" collapsed="false">
      <c r="A567" s="8" t="s">
        <v>1136</v>
      </c>
      <c r="B567" s="9" t="s">
        <v>1137</v>
      </c>
      <c r="C567" s="6" t="n">
        <v>41459</v>
      </c>
      <c r="D567" s="3" t="n">
        <v>10</v>
      </c>
      <c r="E567" s="3" t="n">
        <v>10</v>
      </c>
      <c r="F567" s="7" t="n">
        <f aca="false">IFERROR(Tableau1[[#This Row],[Score]]/Tableau1[[#This Row],[Nb]],0)</f>
        <v>1</v>
      </c>
    </row>
    <row r="568" customFormat="false" ht="30" hidden="false" customHeight="true" outlineLevel="0" collapsed="false">
      <c r="A568" s="8" t="s">
        <v>1138</v>
      </c>
      <c r="B568" s="9" t="s">
        <v>1139</v>
      </c>
      <c r="C568" s="6" t="n">
        <v>41459</v>
      </c>
      <c r="D568" s="3" t="n">
        <v>10</v>
      </c>
      <c r="E568" s="3" t="n">
        <v>10</v>
      </c>
      <c r="F568" s="7" t="n">
        <f aca="false">IFERROR(Tableau1[[#This Row],[Score]]/Tableau1[[#This Row],[Nb]],0)</f>
        <v>1</v>
      </c>
    </row>
    <row r="569" customFormat="false" ht="30" hidden="false" customHeight="true" outlineLevel="0" collapsed="false">
      <c r="A569" s="8" t="s">
        <v>1140</v>
      </c>
      <c r="B569" s="9" t="s">
        <v>1141</v>
      </c>
      <c r="C569" s="6" t="n">
        <v>41459</v>
      </c>
      <c r="D569" s="3" t="n">
        <v>10</v>
      </c>
      <c r="E569" s="3" t="n">
        <v>10</v>
      </c>
      <c r="F569" s="7" t="n">
        <f aca="false">IFERROR(Tableau1[[#This Row],[Score]]/Tableau1[[#This Row],[Nb]],0)</f>
        <v>1</v>
      </c>
    </row>
    <row r="570" customFormat="false" ht="30" hidden="false" customHeight="true" outlineLevel="0" collapsed="false">
      <c r="A570" s="1" t="s">
        <v>1142</v>
      </c>
      <c r="B570" s="2" t="s">
        <v>1143</v>
      </c>
      <c r="C570" s="6" t="n">
        <v>41459</v>
      </c>
      <c r="D570" s="3" t="n">
        <v>10</v>
      </c>
      <c r="E570" s="3" t="n">
        <v>10</v>
      </c>
      <c r="F570" s="7" t="n">
        <f aca="false">IFERROR(Tableau1[[#This Row],[Score]]/Tableau1[[#This Row],[Nb]],0)</f>
        <v>1</v>
      </c>
    </row>
    <row r="571" customFormat="false" ht="30" hidden="false" customHeight="true" outlineLevel="0" collapsed="false">
      <c r="A571" s="1" t="s">
        <v>1144</v>
      </c>
      <c r="B571" s="2" t="s">
        <v>1145</v>
      </c>
      <c r="C571" s="6" t="n">
        <v>41459</v>
      </c>
      <c r="D571" s="3" t="n">
        <v>9</v>
      </c>
      <c r="E571" s="3" t="n">
        <v>9</v>
      </c>
      <c r="F571" s="7" t="n">
        <f aca="false">IFERROR(Tableau1[[#This Row],[Score]]/Tableau1[[#This Row],[Nb]],0)</f>
        <v>1</v>
      </c>
    </row>
    <row r="572" customFormat="false" ht="30" hidden="false" customHeight="true" outlineLevel="0" collapsed="false">
      <c r="A572" s="1" t="s">
        <v>1146</v>
      </c>
      <c r="B572" s="2" t="s">
        <v>1147</v>
      </c>
      <c r="C572" s="6" t="n">
        <v>41459</v>
      </c>
      <c r="D572" s="3" t="n">
        <v>10</v>
      </c>
      <c r="E572" s="3" t="n">
        <v>10</v>
      </c>
      <c r="F572" s="7" t="n">
        <f aca="false">IFERROR(Tableau1[[#This Row],[Score]]/Tableau1[[#This Row],[Nb]],0)</f>
        <v>1</v>
      </c>
    </row>
    <row r="573" customFormat="false" ht="30" hidden="false" customHeight="true" outlineLevel="0" collapsed="false">
      <c r="A573" s="1" t="s">
        <v>1148</v>
      </c>
      <c r="B573" s="2" t="s">
        <v>1149</v>
      </c>
      <c r="C573" s="6" t="n">
        <v>41459</v>
      </c>
      <c r="D573" s="3" t="n">
        <v>9</v>
      </c>
      <c r="E573" s="3" t="n">
        <v>9</v>
      </c>
      <c r="F573" s="7" t="n">
        <f aca="false">IFERROR(Tableau1[[#This Row],[Score]]/Tableau1[[#This Row],[Nb]],0)</f>
        <v>1</v>
      </c>
    </row>
    <row r="574" customFormat="false" ht="30" hidden="false" customHeight="true" outlineLevel="0" collapsed="false">
      <c r="A574" s="1" t="s">
        <v>1150</v>
      </c>
      <c r="B574" s="2" t="s">
        <v>1151</v>
      </c>
      <c r="C574" s="6" t="n">
        <v>41459</v>
      </c>
      <c r="D574" s="3" t="n">
        <v>5</v>
      </c>
      <c r="E574" s="3" t="n">
        <v>5</v>
      </c>
      <c r="F574" s="7" t="n">
        <f aca="false">IFERROR(Tableau1[[#This Row],[Score]]/Tableau1[[#This Row],[Nb]],0)</f>
        <v>1</v>
      </c>
    </row>
    <row r="575" customFormat="false" ht="30" hidden="false" customHeight="true" outlineLevel="0" collapsed="false">
      <c r="A575" s="1" t="s">
        <v>1152</v>
      </c>
      <c r="B575" s="2" t="s">
        <v>1153</v>
      </c>
      <c r="C575" s="6" t="n">
        <v>41459</v>
      </c>
      <c r="D575" s="3" t="n">
        <v>5</v>
      </c>
      <c r="E575" s="3" t="n">
        <v>5</v>
      </c>
      <c r="F575" s="7" t="n">
        <f aca="false">IFERROR(Tableau1[[#This Row],[Score]]/Tableau1[[#This Row],[Nb]],0)</f>
        <v>1</v>
      </c>
    </row>
    <row r="576" customFormat="false" ht="30" hidden="false" customHeight="true" outlineLevel="0" collapsed="false">
      <c r="A576" s="1" t="s">
        <v>1154</v>
      </c>
      <c r="B576" s="2" t="s">
        <v>1155</v>
      </c>
      <c r="C576" s="6" t="n">
        <v>41459</v>
      </c>
      <c r="D576" s="3" t="n">
        <v>7</v>
      </c>
      <c r="E576" s="3" t="n">
        <v>7</v>
      </c>
      <c r="F576" s="7" t="n">
        <f aca="false">IFERROR(Tableau1[[#This Row],[Score]]/Tableau1[[#This Row],[Nb]],0)</f>
        <v>1</v>
      </c>
    </row>
    <row r="577" customFormat="false" ht="30" hidden="false" customHeight="true" outlineLevel="0" collapsed="false">
      <c r="A577" s="1" t="s">
        <v>1156</v>
      </c>
      <c r="B577" s="2" t="s">
        <v>1157</v>
      </c>
      <c r="C577" s="6" t="n">
        <v>41459</v>
      </c>
      <c r="D577" s="3" t="n">
        <v>7</v>
      </c>
      <c r="E577" s="3" t="n">
        <v>7</v>
      </c>
      <c r="F577" s="7" t="n">
        <f aca="false">IFERROR(Tableau1[[#This Row],[Score]]/Tableau1[[#This Row],[Nb]],0)</f>
        <v>1</v>
      </c>
    </row>
    <row r="578" customFormat="false" ht="30" hidden="false" customHeight="true" outlineLevel="0" collapsed="false">
      <c r="A578" s="1" t="s">
        <v>1158</v>
      </c>
      <c r="B578" s="2" t="s">
        <v>1159</v>
      </c>
      <c r="C578" s="6" t="n">
        <v>41459</v>
      </c>
      <c r="D578" s="3" t="n">
        <v>7</v>
      </c>
      <c r="E578" s="3" t="n">
        <v>7</v>
      </c>
      <c r="F578" s="7" t="n">
        <f aca="false">IFERROR(Tableau1[[#This Row],[Score]]/Tableau1[[#This Row],[Nb]],0)</f>
        <v>1</v>
      </c>
    </row>
    <row r="579" customFormat="false" ht="30" hidden="false" customHeight="true" outlineLevel="0" collapsed="false">
      <c r="A579" s="1" t="s">
        <v>1160</v>
      </c>
      <c r="B579" s="2" t="s">
        <v>1161</v>
      </c>
      <c r="C579" s="6" t="n">
        <v>41459</v>
      </c>
      <c r="D579" s="3" t="n">
        <v>7</v>
      </c>
      <c r="E579" s="3" t="n">
        <v>7</v>
      </c>
      <c r="F579" s="7" t="n">
        <f aca="false">IFERROR(Tableau1[[#This Row],[Score]]/Tableau1[[#This Row],[Nb]],0)</f>
        <v>1</v>
      </c>
    </row>
    <row r="580" customFormat="false" ht="30" hidden="false" customHeight="true" outlineLevel="0" collapsed="false">
      <c r="A580" s="1" t="s">
        <v>1162</v>
      </c>
      <c r="B580" s="2" t="s">
        <v>1163</v>
      </c>
      <c r="C580" s="6" t="n">
        <v>41495</v>
      </c>
      <c r="D580" s="3" t="n">
        <v>4</v>
      </c>
      <c r="E580" s="3" t="n">
        <v>-4</v>
      </c>
      <c r="F580" s="7" t="n">
        <f aca="false">IFERROR(Tableau1[[#This Row],[Score]]/Tableau1[[#This Row],[Nb]],0)</f>
        <v>-1</v>
      </c>
    </row>
    <row r="581" customFormat="false" ht="30" hidden="false" customHeight="true" outlineLevel="0" collapsed="false">
      <c r="A581" s="1" t="s">
        <v>1164</v>
      </c>
      <c r="B581" s="2" t="s">
        <v>1165</v>
      </c>
      <c r="C581" s="6" t="n">
        <v>41495</v>
      </c>
      <c r="D581" s="3" t="n">
        <v>15</v>
      </c>
      <c r="E581" s="3" t="n">
        <v>-14</v>
      </c>
      <c r="F581" s="7" t="n">
        <f aca="false">IFERROR(Tableau1[[#This Row],[Score]]/Tableau1[[#This Row],[Nb]],0)</f>
        <v>-0.933333333333333</v>
      </c>
    </row>
    <row r="582" customFormat="false" ht="30" hidden="false" customHeight="true" outlineLevel="0" collapsed="false">
      <c r="A582" s="1" t="s">
        <v>1166</v>
      </c>
      <c r="B582" s="2" t="s">
        <v>1167</v>
      </c>
      <c r="C582" s="6" t="n">
        <v>41495</v>
      </c>
      <c r="D582" s="3" t="n">
        <v>16</v>
      </c>
      <c r="E582" s="3" t="n">
        <v>-14</v>
      </c>
      <c r="F582" s="7" t="n">
        <f aca="false">IFERROR(Tableau1[[#This Row],[Score]]/Tableau1[[#This Row],[Nb]],0)</f>
        <v>-0.875</v>
      </c>
    </row>
    <row r="583" customFormat="false" ht="30" hidden="false" customHeight="true" outlineLevel="0" collapsed="false">
      <c r="A583" s="1" t="s">
        <v>1168</v>
      </c>
      <c r="B583" s="2" t="s">
        <v>1169</v>
      </c>
      <c r="C583" s="6" t="n">
        <v>41495</v>
      </c>
      <c r="D583" s="3" t="n">
        <v>6</v>
      </c>
      <c r="E583" s="3" t="n">
        <v>-5</v>
      </c>
      <c r="F583" s="7" t="n">
        <f aca="false">IFERROR(Tableau1[[#This Row],[Score]]/Tableau1[[#This Row],[Nb]],0)</f>
        <v>-0.833333333333333</v>
      </c>
    </row>
    <row r="584" customFormat="false" ht="30" hidden="false" customHeight="true" outlineLevel="0" collapsed="false">
      <c r="A584" s="1" t="s">
        <v>1170</v>
      </c>
      <c r="B584" s="2" t="s">
        <v>1171</v>
      </c>
      <c r="C584" s="6" t="n">
        <v>41495</v>
      </c>
      <c r="D584" s="3" t="n">
        <v>11</v>
      </c>
      <c r="E584" s="3" t="n">
        <v>-7</v>
      </c>
      <c r="F584" s="7" t="n">
        <f aca="false">IFERROR(Tableau1[[#This Row],[Score]]/Tableau1[[#This Row],[Nb]],0)</f>
        <v>-0.636363636363636</v>
      </c>
    </row>
    <row r="585" customFormat="false" ht="30" hidden="false" customHeight="true" outlineLevel="0" collapsed="false">
      <c r="A585" s="1" t="s">
        <v>1172</v>
      </c>
      <c r="B585" s="2" t="s">
        <v>1173</v>
      </c>
      <c r="C585" s="6" t="n">
        <v>41495</v>
      </c>
      <c r="D585" s="3" t="n">
        <v>9</v>
      </c>
      <c r="E585" s="3" t="n">
        <v>-5</v>
      </c>
      <c r="F585" s="7" t="n">
        <f aca="false">IFERROR(Tableau1[[#This Row],[Score]]/Tableau1[[#This Row],[Nb]],0)</f>
        <v>-0.555555555555556</v>
      </c>
    </row>
    <row r="586" customFormat="false" ht="30" hidden="false" customHeight="true" outlineLevel="0" collapsed="false">
      <c r="A586" s="1" t="s">
        <v>1174</v>
      </c>
      <c r="B586" s="2" t="s">
        <v>1175</v>
      </c>
      <c r="C586" s="6" t="n">
        <v>41495</v>
      </c>
      <c r="D586" s="3" t="n">
        <v>9</v>
      </c>
      <c r="E586" s="3" t="n">
        <v>-3</v>
      </c>
      <c r="F586" s="7" t="n">
        <f aca="false">IFERROR(Tableau1[[#This Row],[Score]]/Tableau1[[#This Row],[Nb]],0)</f>
        <v>-0.333333333333333</v>
      </c>
    </row>
    <row r="587" customFormat="false" ht="30" hidden="false" customHeight="true" outlineLevel="0" collapsed="false">
      <c r="A587" s="1" t="s">
        <v>1176</v>
      </c>
      <c r="B587" s="2" t="s">
        <v>1177</v>
      </c>
      <c r="C587" s="6" t="n">
        <v>41495</v>
      </c>
      <c r="D587" s="3" t="n">
        <v>8</v>
      </c>
      <c r="E587" s="3" t="n">
        <v>-2</v>
      </c>
      <c r="F587" s="7" t="n">
        <f aca="false">IFERROR(Tableau1[[#This Row],[Score]]/Tableau1[[#This Row],[Nb]],0)</f>
        <v>-0.25</v>
      </c>
    </row>
    <row r="588" customFormat="false" ht="30" hidden="false" customHeight="true" outlineLevel="0" collapsed="false">
      <c r="A588" s="1" t="s">
        <v>1178</v>
      </c>
      <c r="B588" s="2" t="s">
        <v>1179</v>
      </c>
      <c r="C588" s="6" t="n">
        <v>41495</v>
      </c>
      <c r="D588" s="3" t="n">
        <v>22</v>
      </c>
      <c r="E588" s="3" t="n">
        <v>-2</v>
      </c>
      <c r="F588" s="7" t="n">
        <f aca="false">IFERROR(Tableau1[[#This Row],[Score]]/Tableau1[[#This Row],[Nb]],0)</f>
        <v>-0.0909090909090909</v>
      </c>
    </row>
    <row r="589" customFormat="false" ht="30" hidden="false" customHeight="true" outlineLevel="0" collapsed="false">
      <c r="A589" s="1" t="s">
        <v>1180</v>
      </c>
      <c r="B589" s="2" t="s">
        <v>1181</v>
      </c>
      <c r="C589" s="6" t="n">
        <v>41495</v>
      </c>
      <c r="D589" s="3" t="n">
        <v>14</v>
      </c>
      <c r="E589" s="3" t="n">
        <v>-2</v>
      </c>
      <c r="F589" s="7" t="n">
        <f aca="false">IFERROR(Tableau1[[#This Row],[Score]]/Tableau1[[#This Row],[Nb]],0)</f>
        <v>-0.142857142857143</v>
      </c>
    </row>
    <row r="590" customFormat="false" ht="30" hidden="false" customHeight="true" outlineLevel="0" collapsed="false">
      <c r="A590" s="1" t="s">
        <v>1182</v>
      </c>
      <c r="B590" s="2" t="s">
        <v>1183</v>
      </c>
      <c r="C590" s="6" t="n">
        <v>41495</v>
      </c>
      <c r="D590" s="3" t="n">
        <v>8</v>
      </c>
      <c r="E590" s="3" t="n">
        <v>0</v>
      </c>
      <c r="F590" s="7" t="n">
        <f aca="false">IFERROR(Tableau1[[#This Row],[Score]]/Tableau1[[#This Row],[Nb]],0)</f>
        <v>0</v>
      </c>
    </row>
    <row r="591" customFormat="false" ht="30" hidden="false" customHeight="true" outlineLevel="0" collapsed="false">
      <c r="A591" s="1" t="s">
        <v>1184</v>
      </c>
      <c r="B591" s="2" t="s">
        <v>1185</v>
      </c>
      <c r="C591" s="6" t="n">
        <v>41495</v>
      </c>
      <c r="D591" s="3" t="n">
        <v>6</v>
      </c>
      <c r="E591" s="3" t="n">
        <v>0</v>
      </c>
      <c r="F591" s="7" t="n">
        <f aca="false">IFERROR(Tableau1[[#This Row],[Score]]/Tableau1[[#This Row],[Nb]],0)</f>
        <v>0</v>
      </c>
    </row>
    <row r="592" customFormat="false" ht="30" hidden="false" customHeight="true" outlineLevel="0" collapsed="false">
      <c r="A592" s="1" t="s">
        <v>1186</v>
      </c>
      <c r="B592" s="2" t="s">
        <v>1187</v>
      </c>
      <c r="C592" s="6" t="n">
        <v>41495</v>
      </c>
      <c r="D592" s="3" t="n">
        <v>12</v>
      </c>
      <c r="E592" s="3" t="n">
        <v>2</v>
      </c>
      <c r="F592" s="7" t="n">
        <f aca="false">IFERROR(Tableau1[[#This Row],[Score]]/Tableau1[[#This Row],[Nb]],0)</f>
        <v>0.166666666666667</v>
      </c>
    </row>
    <row r="593" customFormat="false" ht="30" hidden="false" customHeight="true" outlineLevel="0" collapsed="false">
      <c r="A593" s="1" t="s">
        <v>1188</v>
      </c>
      <c r="B593" s="2" t="s">
        <v>1189</v>
      </c>
      <c r="C593" s="6" t="n">
        <v>41495</v>
      </c>
      <c r="D593" s="3" t="n">
        <v>5</v>
      </c>
      <c r="E593" s="3" t="n">
        <v>1</v>
      </c>
      <c r="F593" s="7" t="n">
        <f aca="false">IFERROR(Tableau1[[#This Row],[Score]]/Tableau1[[#This Row],[Nb]],0)</f>
        <v>0.2</v>
      </c>
    </row>
    <row r="594" customFormat="false" ht="30" hidden="false" customHeight="true" outlineLevel="0" collapsed="false">
      <c r="A594" s="1" t="s">
        <v>1190</v>
      </c>
      <c r="B594" s="2" t="s">
        <v>1191</v>
      </c>
      <c r="C594" s="6" t="n">
        <v>41495</v>
      </c>
      <c r="D594" s="3" t="n">
        <v>13</v>
      </c>
      <c r="E594" s="3" t="n">
        <v>3</v>
      </c>
      <c r="F594" s="7" t="n">
        <f aca="false">IFERROR(Tableau1[[#This Row],[Score]]/Tableau1[[#This Row],[Nb]],0)</f>
        <v>0.230769230769231</v>
      </c>
    </row>
    <row r="595" customFormat="false" ht="30" hidden="false" customHeight="true" outlineLevel="0" collapsed="false">
      <c r="A595" s="1" t="s">
        <v>1192</v>
      </c>
      <c r="B595" s="2" t="s">
        <v>1193</v>
      </c>
      <c r="C595" s="6" t="n">
        <v>41495</v>
      </c>
      <c r="D595" s="3" t="n">
        <v>10</v>
      </c>
      <c r="E595" s="3" t="n">
        <v>4</v>
      </c>
      <c r="F595" s="7" t="n">
        <f aca="false">IFERROR(Tableau1[[#This Row],[Score]]/Tableau1[[#This Row],[Nb]],0)</f>
        <v>0.4</v>
      </c>
    </row>
    <row r="596" customFormat="false" ht="30" hidden="false" customHeight="true" outlineLevel="0" collapsed="false">
      <c r="A596" s="1" t="s">
        <v>1194</v>
      </c>
      <c r="B596" s="2" t="s">
        <v>1195</v>
      </c>
      <c r="C596" s="6" t="n">
        <v>41495</v>
      </c>
      <c r="D596" s="3" t="n">
        <v>10</v>
      </c>
      <c r="E596" s="3" t="n">
        <v>4</v>
      </c>
      <c r="F596" s="7" t="n">
        <f aca="false">IFERROR(Tableau1[[#This Row],[Score]]/Tableau1[[#This Row],[Nb]],0)</f>
        <v>0.4</v>
      </c>
    </row>
    <row r="597" customFormat="false" ht="30" hidden="false" customHeight="true" outlineLevel="0" collapsed="false">
      <c r="A597" s="1" t="s">
        <v>1196</v>
      </c>
      <c r="B597" s="2" t="s">
        <v>1197</v>
      </c>
      <c r="C597" s="6" t="n">
        <v>41495</v>
      </c>
      <c r="D597" s="3" t="n">
        <v>20</v>
      </c>
      <c r="E597" s="3" t="n">
        <v>8</v>
      </c>
      <c r="F597" s="7" t="n">
        <f aca="false">IFERROR(Tableau1[[#This Row],[Score]]/Tableau1[[#This Row],[Nb]],0)</f>
        <v>0.4</v>
      </c>
    </row>
    <row r="598" customFormat="false" ht="30" hidden="false" customHeight="true" outlineLevel="0" collapsed="false">
      <c r="A598" s="1" t="s">
        <v>1198</v>
      </c>
      <c r="B598" s="2" t="s">
        <v>1199</v>
      </c>
      <c r="C598" s="6" t="n">
        <v>41495</v>
      </c>
      <c r="D598" s="3" t="n">
        <v>7</v>
      </c>
      <c r="E598" s="3" t="n">
        <v>3</v>
      </c>
      <c r="F598" s="7" t="n">
        <f aca="false">IFERROR(Tableau1[[#This Row],[Score]]/Tableau1[[#This Row],[Nb]],0)</f>
        <v>0.428571428571429</v>
      </c>
    </row>
    <row r="599" customFormat="false" ht="30" hidden="false" customHeight="true" outlineLevel="0" collapsed="false">
      <c r="A599" s="1" t="s">
        <v>1200</v>
      </c>
      <c r="B599" s="2" t="s">
        <v>1201</v>
      </c>
      <c r="C599" s="6" t="n">
        <v>41495</v>
      </c>
      <c r="D599" s="3" t="n">
        <v>11</v>
      </c>
      <c r="E599" s="3" t="n">
        <v>5</v>
      </c>
      <c r="F599" s="7" t="n">
        <f aca="false">IFERROR(Tableau1[[#This Row],[Score]]/Tableau1[[#This Row],[Nb]],0)</f>
        <v>0.454545454545455</v>
      </c>
    </row>
    <row r="600" customFormat="false" ht="30" hidden="false" customHeight="true" outlineLevel="0" collapsed="false">
      <c r="A600" s="1" t="s">
        <v>1202</v>
      </c>
      <c r="B600" s="2" t="s">
        <v>1203</v>
      </c>
      <c r="C600" s="6" t="n">
        <v>41495</v>
      </c>
      <c r="D600" s="3" t="n">
        <v>17</v>
      </c>
      <c r="E600" s="3" t="n">
        <v>7</v>
      </c>
      <c r="F600" s="7" t="n">
        <f aca="false">IFERROR(Tableau1[[#This Row],[Score]]/Tableau1[[#This Row],[Nb]],0)</f>
        <v>0.411764705882353</v>
      </c>
    </row>
    <row r="601" customFormat="false" ht="30" hidden="false" customHeight="true" outlineLevel="0" collapsed="false">
      <c r="A601" s="1" t="s">
        <v>1204</v>
      </c>
      <c r="B601" s="2" t="s">
        <v>1205</v>
      </c>
      <c r="C601" s="6" t="n">
        <v>41495</v>
      </c>
      <c r="D601" s="3" t="n">
        <v>6</v>
      </c>
      <c r="E601" s="3" t="n">
        <v>4</v>
      </c>
      <c r="F601" s="7" t="n">
        <f aca="false">IFERROR(Tableau1[[#This Row],[Score]]/Tableau1[[#This Row],[Nb]],0)</f>
        <v>0.666666666666667</v>
      </c>
    </row>
    <row r="602" customFormat="false" ht="30" hidden="false" customHeight="true" outlineLevel="0" collapsed="false">
      <c r="A602" s="1" t="s">
        <v>1206</v>
      </c>
      <c r="B602" s="2" t="s">
        <v>1207</v>
      </c>
      <c r="C602" s="6" t="n">
        <v>41495</v>
      </c>
      <c r="D602" s="3" t="n">
        <v>7</v>
      </c>
      <c r="E602" s="3" t="n">
        <v>5</v>
      </c>
      <c r="F602" s="7" t="n">
        <f aca="false">IFERROR(Tableau1[[#This Row],[Score]]/Tableau1[[#This Row],[Nb]],0)</f>
        <v>0.714285714285714</v>
      </c>
    </row>
    <row r="603" customFormat="false" ht="30" hidden="false" customHeight="true" outlineLevel="0" collapsed="false">
      <c r="A603" s="1" t="s">
        <v>1208</v>
      </c>
      <c r="B603" s="2" t="s">
        <v>1209</v>
      </c>
      <c r="C603" s="6" t="n">
        <v>41495</v>
      </c>
      <c r="D603" s="3" t="n">
        <v>8</v>
      </c>
      <c r="E603" s="3" t="n">
        <v>6</v>
      </c>
      <c r="F603" s="7" t="n">
        <f aca="false">IFERROR(Tableau1[[#This Row],[Score]]/Tableau1[[#This Row],[Nb]],0)</f>
        <v>0.75</v>
      </c>
    </row>
    <row r="604" customFormat="false" ht="30" hidden="false" customHeight="true" outlineLevel="0" collapsed="false">
      <c r="A604" s="1" t="s">
        <v>1210</v>
      </c>
      <c r="B604" s="2" t="s">
        <v>1211</v>
      </c>
      <c r="C604" s="6" t="n">
        <v>41495</v>
      </c>
      <c r="D604" s="3" t="n">
        <v>8</v>
      </c>
      <c r="E604" s="3" t="n">
        <v>6</v>
      </c>
      <c r="F604" s="7" t="n">
        <f aca="false">IFERROR(Tableau1[[#This Row],[Score]]/Tableau1[[#This Row],[Nb]],0)</f>
        <v>0.75</v>
      </c>
    </row>
    <row r="605" customFormat="false" ht="30" hidden="false" customHeight="true" outlineLevel="0" collapsed="false">
      <c r="A605" s="1" t="s">
        <v>1212</v>
      </c>
      <c r="B605" s="2" t="s">
        <v>1213</v>
      </c>
      <c r="C605" s="6" t="n">
        <v>41495</v>
      </c>
      <c r="D605" s="3" t="n">
        <v>10</v>
      </c>
      <c r="E605" s="3" t="n">
        <v>8</v>
      </c>
      <c r="F605" s="7" t="n">
        <f aca="false">IFERROR(Tableau1[[#This Row],[Score]]/Tableau1[[#This Row],[Nb]],0)</f>
        <v>0.8</v>
      </c>
    </row>
    <row r="606" customFormat="false" ht="30" hidden="false" customHeight="true" outlineLevel="0" collapsed="false">
      <c r="A606" s="1" t="s">
        <v>1214</v>
      </c>
      <c r="B606" s="2" t="s">
        <v>1215</v>
      </c>
      <c r="C606" s="6" t="n">
        <v>41495</v>
      </c>
      <c r="D606" s="3" t="n">
        <v>11</v>
      </c>
      <c r="E606" s="3" t="n">
        <v>9</v>
      </c>
      <c r="F606" s="7" t="n">
        <f aca="false">IFERROR(Tableau1[[#This Row],[Score]]/Tableau1[[#This Row],[Nb]],0)</f>
        <v>0.818181818181818</v>
      </c>
    </row>
    <row r="607" customFormat="false" ht="30" hidden="false" customHeight="true" outlineLevel="0" collapsed="false">
      <c r="A607" s="1" t="s">
        <v>1216</v>
      </c>
      <c r="B607" s="2" t="s">
        <v>1217</v>
      </c>
      <c r="C607" s="6" t="n">
        <v>41495</v>
      </c>
      <c r="D607" s="3" t="n">
        <v>11</v>
      </c>
      <c r="E607" s="3" t="n">
        <v>9</v>
      </c>
      <c r="F607" s="7" t="n">
        <f aca="false">IFERROR(Tableau1[[#This Row],[Score]]/Tableau1[[#This Row],[Nb]],0)</f>
        <v>0.818181818181818</v>
      </c>
    </row>
    <row r="608" customFormat="false" ht="30" hidden="false" customHeight="true" outlineLevel="0" collapsed="false">
      <c r="A608" s="1" t="s">
        <v>1218</v>
      </c>
      <c r="B608" s="2" t="s">
        <v>1219</v>
      </c>
      <c r="C608" s="6" t="n">
        <v>41495</v>
      </c>
      <c r="D608" s="3" t="n">
        <v>13</v>
      </c>
      <c r="E608" s="3" t="n">
        <v>11</v>
      </c>
      <c r="F608" s="7" t="n">
        <f aca="false">IFERROR(Tableau1[[#This Row],[Score]]/Tableau1[[#This Row],[Nb]],0)</f>
        <v>0.846153846153846</v>
      </c>
    </row>
    <row r="609" customFormat="false" ht="30" hidden="false" customHeight="true" outlineLevel="0" collapsed="false">
      <c r="A609" s="1" t="s">
        <v>1220</v>
      </c>
      <c r="B609" s="2" t="s">
        <v>1221</v>
      </c>
      <c r="C609" s="6" t="n">
        <v>41495</v>
      </c>
      <c r="D609" s="3" t="n">
        <v>13</v>
      </c>
      <c r="E609" s="3" t="n">
        <v>11</v>
      </c>
      <c r="F609" s="7" t="n">
        <f aca="false">IFERROR(Tableau1[[#This Row],[Score]]/Tableau1[[#This Row],[Nb]],0)</f>
        <v>0.846153846153846</v>
      </c>
    </row>
    <row r="610" customFormat="false" ht="30" hidden="false" customHeight="true" outlineLevel="0" collapsed="false">
      <c r="A610" s="1" t="s">
        <v>1222</v>
      </c>
      <c r="B610" s="2" t="s">
        <v>1223</v>
      </c>
      <c r="C610" s="6" t="n">
        <v>41495</v>
      </c>
      <c r="D610" s="3" t="n">
        <v>14</v>
      </c>
      <c r="E610" s="3" t="n">
        <v>12</v>
      </c>
      <c r="F610" s="7" t="n">
        <f aca="false">IFERROR(Tableau1[[#This Row],[Score]]/Tableau1[[#This Row],[Nb]],0)</f>
        <v>0.857142857142857</v>
      </c>
    </row>
    <row r="611" customFormat="false" ht="30" hidden="false" customHeight="true" outlineLevel="0" collapsed="false">
      <c r="A611" s="1" t="s">
        <v>1224</v>
      </c>
      <c r="B611" s="2" t="s">
        <v>1225</v>
      </c>
      <c r="C611" s="6" t="n">
        <v>41495</v>
      </c>
      <c r="D611" s="3" t="n">
        <v>14</v>
      </c>
      <c r="E611" s="3" t="n">
        <v>12</v>
      </c>
      <c r="F611" s="7" t="n">
        <f aca="false">IFERROR(Tableau1[[#This Row],[Score]]/Tableau1[[#This Row],[Nb]],0)</f>
        <v>0.857142857142857</v>
      </c>
    </row>
    <row r="612" customFormat="false" ht="30" hidden="false" customHeight="true" outlineLevel="0" collapsed="false">
      <c r="A612" s="1" t="s">
        <v>1226</v>
      </c>
      <c r="B612" s="2" t="s">
        <v>1227</v>
      </c>
      <c r="C612" s="6" t="n">
        <v>41495</v>
      </c>
      <c r="D612" s="3" t="n">
        <v>14</v>
      </c>
      <c r="E612" s="3" t="n">
        <v>12</v>
      </c>
      <c r="F612" s="7" t="n">
        <f aca="false">IFERROR(Tableau1[[#This Row],[Score]]/Tableau1[[#This Row],[Nb]],0)</f>
        <v>0.857142857142857</v>
      </c>
    </row>
    <row r="613" customFormat="false" ht="30" hidden="false" customHeight="true" outlineLevel="0" collapsed="false">
      <c r="A613" s="1" t="s">
        <v>1228</v>
      </c>
      <c r="B613" s="2" t="s">
        <v>1229</v>
      </c>
      <c r="C613" s="6" t="n">
        <v>41495</v>
      </c>
      <c r="D613" s="3" t="n">
        <v>8</v>
      </c>
      <c r="E613" s="3" t="n">
        <v>8</v>
      </c>
      <c r="F613" s="7" t="n">
        <f aca="false">IFERROR(Tableau1[[#This Row],[Score]]/Tableau1[[#This Row],[Nb]],0)</f>
        <v>1</v>
      </c>
    </row>
    <row r="614" customFormat="false" ht="30" hidden="false" customHeight="true" outlineLevel="0" collapsed="false">
      <c r="A614" s="1" t="s">
        <v>1230</v>
      </c>
      <c r="B614" s="2" t="s">
        <v>1231</v>
      </c>
      <c r="C614" s="6" t="n">
        <v>41495</v>
      </c>
      <c r="D614" s="3" t="n">
        <v>8</v>
      </c>
      <c r="E614" s="3" t="n">
        <v>8</v>
      </c>
      <c r="F614" s="7" t="n">
        <f aca="false">IFERROR(Tableau1[[#This Row],[Score]]/Tableau1[[#This Row],[Nb]],0)</f>
        <v>1</v>
      </c>
    </row>
    <row r="615" customFormat="false" ht="30" hidden="false" customHeight="true" outlineLevel="0" collapsed="false">
      <c r="A615" s="1" t="s">
        <v>1232</v>
      </c>
      <c r="B615" s="2" t="s">
        <v>1233</v>
      </c>
      <c r="C615" s="6" t="n">
        <v>41495</v>
      </c>
      <c r="D615" s="3" t="n">
        <v>8</v>
      </c>
      <c r="E615" s="3" t="n">
        <v>8</v>
      </c>
      <c r="F615" s="7" t="n">
        <f aca="false">IFERROR(Tableau1[[#This Row],[Score]]/Tableau1[[#This Row],[Nb]],0)</f>
        <v>1</v>
      </c>
    </row>
    <row r="616" customFormat="false" ht="30" hidden="false" customHeight="true" outlineLevel="0" collapsed="false">
      <c r="A616" s="1" t="s">
        <v>1234</v>
      </c>
      <c r="B616" s="2" t="s">
        <v>1235</v>
      </c>
      <c r="C616" s="6" t="n">
        <v>41495</v>
      </c>
      <c r="D616" s="3" t="n">
        <v>9</v>
      </c>
      <c r="E616" s="3" t="n">
        <v>9</v>
      </c>
      <c r="F616" s="7" t="n">
        <f aca="false">IFERROR(Tableau1[[#This Row],[Score]]/Tableau1[[#This Row],[Nb]],0)</f>
        <v>1</v>
      </c>
    </row>
    <row r="617" customFormat="false" ht="30" hidden="false" customHeight="true" outlineLevel="0" collapsed="false">
      <c r="A617" s="1" t="s">
        <v>1236</v>
      </c>
      <c r="B617" s="2" t="s">
        <v>1237</v>
      </c>
      <c r="C617" s="6" t="n">
        <v>41495</v>
      </c>
      <c r="D617" s="3" t="n">
        <v>9</v>
      </c>
      <c r="E617" s="3" t="n">
        <v>9</v>
      </c>
      <c r="F617" s="7" t="n">
        <f aca="false">IFERROR(Tableau1[[#This Row],[Score]]/Tableau1[[#This Row],[Nb]],0)</f>
        <v>1</v>
      </c>
    </row>
    <row r="618" customFormat="false" ht="30" hidden="false" customHeight="true" outlineLevel="0" collapsed="false">
      <c r="A618" s="1" t="s">
        <v>1238</v>
      </c>
      <c r="B618" s="2" t="s">
        <v>1239</v>
      </c>
      <c r="C618" s="6" t="n">
        <v>41495</v>
      </c>
      <c r="D618" s="3" t="n">
        <v>9</v>
      </c>
      <c r="E618" s="3" t="n">
        <v>9</v>
      </c>
      <c r="F618" s="7" t="n">
        <f aca="false">IFERROR(Tableau1[[#This Row],[Score]]/Tableau1[[#This Row],[Nb]],0)</f>
        <v>1</v>
      </c>
    </row>
    <row r="619" customFormat="false" ht="30" hidden="false" customHeight="true" outlineLevel="0" collapsed="false">
      <c r="A619" s="1" t="s">
        <v>1240</v>
      </c>
      <c r="B619" s="2" t="s">
        <v>1241</v>
      </c>
      <c r="C619" s="6" t="n">
        <v>41495</v>
      </c>
      <c r="D619" s="3" t="n">
        <v>4</v>
      </c>
      <c r="E619" s="3" t="n">
        <v>4</v>
      </c>
      <c r="F619" s="7" t="n">
        <f aca="false">IFERROR(Tableau1[[#This Row],[Score]]/Tableau1[[#This Row],[Nb]],0)</f>
        <v>1</v>
      </c>
    </row>
    <row r="620" customFormat="false" ht="30" hidden="false" customHeight="true" outlineLevel="0" collapsed="false">
      <c r="A620" s="1" t="s">
        <v>1242</v>
      </c>
      <c r="B620" s="2" t="s">
        <v>1243</v>
      </c>
      <c r="C620" s="6" t="n">
        <v>41495</v>
      </c>
      <c r="D620" s="3" t="n">
        <v>5</v>
      </c>
      <c r="E620" s="3" t="n">
        <v>5</v>
      </c>
      <c r="F620" s="7" t="n">
        <f aca="false">IFERROR(Tableau1[[#This Row],[Score]]/Tableau1[[#This Row],[Nb]],0)</f>
        <v>1</v>
      </c>
    </row>
    <row r="621" customFormat="false" ht="30" hidden="false" customHeight="true" outlineLevel="0" collapsed="false">
      <c r="A621" s="1" t="s">
        <v>1244</v>
      </c>
      <c r="B621" s="2" t="s">
        <v>1245</v>
      </c>
      <c r="C621" s="6" t="n">
        <v>41495</v>
      </c>
      <c r="D621" s="3" t="n">
        <v>5</v>
      </c>
      <c r="E621" s="3" t="n">
        <v>5</v>
      </c>
      <c r="F621" s="7" t="n">
        <f aca="false">IFERROR(Tableau1[[#This Row],[Score]]/Tableau1[[#This Row],[Nb]],0)</f>
        <v>1</v>
      </c>
    </row>
    <row r="622" customFormat="false" ht="30" hidden="false" customHeight="true" outlineLevel="0" collapsed="false">
      <c r="A622" s="1" t="s">
        <v>1246</v>
      </c>
      <c r="B622" s="2" t="s">
        <v>1247</v>
      </c>
      <c r="C622" s="6" t="n">
        <v>41495</v>
      </c>
      <c r="D622" s="3" t="n">
        <v>6</v>
      </c>
      <c r="E622" s="3" t="n">
        <v>6</v>
      </c>
      <c r="F622" s="7" t="n">
        <f aca="false">IFERROR(Tableau1[[#This Row],[Score]]/Tableau1[[#This Row],[Nb]],0)</f>
        <v>1</v>
      </c>
    </row>
    <row r="623" customFormat="false" ht="30" hidden="false" customHeight="true" outlineLevel="0" collapsed="false">
      <c r="A623" s="1" t="s">
        <v>1248</v>
      </c>
      <c r="B623" s="2" t="s">
        <v>1249</v>
      </c>
      <c r="C623" s="6" t="n">
        <v>41495</v>
      </c>
      <c r="D623" s="3" t="n">
        <v>7</v>
      </c>
      <c r="E623" s="3" t="n">
        <v>7</v>
      </c>
      <c r="F623" s="7" t="n">
        <f aca="false">IFERROR(Tableau1[[#This Row],[Score]]/Tableau1[[#This Row],[Nb]],0)</f>
        <v>1</v>
      </c>
    </row>
    <row r="624" customFormat="false" ht="30" hidden="false" customHeight="true" outlineLevel="0" collapsed="false">
      <c r="A624" s="1" t="s">
        <v>1250</v>
      </c>
      <c r="B624" s="2" t="s">
        <v>1251</v>
      </c>
      <c r="C624" s="6" t="n">
        <v>41495</v>
      </c>
      <c r="D624" s="3" t="n">
        <v>7</v>
      </c>
      <c r="E624" s="3" t="n">
        <v>7</v>
      </c>
      <c r="F624" s="7" t="n">
        <f aca="false">IFERROR(Tableau1[[#This Row],[Score]]/Tableau1[[#This Row],[Nb]],0)</f>
        <v>1</v>
      </c>
    </row>
    <row r="625" customFormat="false" ht="30" hidden="false" customHeight="true" outlineLevel="0" collapsed="false">
      <c r="A625" s="1" t="s">
        <v>1252</v>
      </c>
      <c r="B625" s="2" t="s">
        <v>1253</v>
      </c>
      <c r="C625" s="6" t="n">
        <v>41495</v>
      </c>
      <c r="D625" s="3" t="n">
        <v>7</v>
      </c>
      <c r="E625" s="3" t="n">
        <v>7</v>
      </c>
      <c r="F625" s="7" t="n">
        <f aca="false">IFERROR(Tableau1[[#This Row],[Score]]/Tableau1[[#This Row],[Nb]],0)</f>
        <v>1</v>
      </c>
    </row>
    <row r="626" customFormat="false" ht="30" hidden="false" customHeight="true" outlineLevel="0" collapsed="false">
      <c r="A626" s="8" t="s">
        <v>1254</v>
      </c>
      <c r="B626" s="9" t="s">
        <v>1255</v>
      </c>
      <c r="C626" s="6" t="n">
        <v>41495</v>
      </c>
      <c r="D626" s="3" t="n">
        <v>11</v>
      </c>
      <c r="E626" s="3" t="n">
        <v>11</v>
      </c>
      <c r="F626" s="7" t="n">
        <f aca="false">IFERROR(Tableau1[[#This Row],[Score]]/Tableau1[[#This Row],[Nb]],0)</f>
        <v>1</v>
      </c>
    </row>
    <row r="627" customFormat="false" ht="30" hidden="false" customHeight="true" outlineLevel="0" collapsed="false">
      <c r="A627" s="8" t="s">
        <v>1256</v>
      </c>
      <c r="B627" s="9" t="s">
        <v>1257</v>
      </c>
      <c r="C627" s="6" t="n">
        <v>41495</v>
      </c>
      <c r="D627" s="3" t="n">
        <v>12</v>
      </c>
      <c r="E627" s="3" t="n">
        <v>12</v>
      </c>
      <c r="F627" s="7" t="n">
        <f aca="false">IFERROR(Tableau1[[#This Row],[Score]]/Tableau1[[#This Row],[Nb]],0)</f>
        <v>1</v>
      </c>
    </row>
    <row r="628" customFormat="false" ht="30" hidden="false" customHeight="true" outlineLevel="0" collapsed="false">
      <c r="A628" s="8" t="s">
        <v>1258</v>
      </c>
      <c r="B628" s="9" t="s">
        <v>1259</v>
      </c>
      <c r="C628" s="6" t="n">
        <v>41495</v>
      </c>
      <c r="D628" s="3" t="n">
        <v>12</v>
      </c>
      <c r="E628" s="3" t="n">
        <v>12</v>
      </c>
      <c r="F628" s="7" t="n">
        <f aca="false">IFERROR(Tableau1[[#This Row],[Score]]/Tableau1[[#This Row],[Nb]],0)</f>
        <v>1</v>
      </c>
    </row>
    <row r="629" customFormat="false" ht="30" hidden="false" customHeight="true" outlineLevel="0" collapsed="false">
      <c r="A629" s="1" t="s">
        <v>1260</v>
      </c>
      <c r="B629" s="2" t="s">
        <v>1261</v>
      </c>
      <c r="C629" s="6" t="n">
        <v>41538</v>
      </c>
      <c r="D629" s="3" t="n">
        <v>9</v>
      </c>
      <c r="E629" s="3" t="n">
        <v>-9</v>
      </c>
      <c r="F629" s="7" t="n">
        <f aca="false">IFERROR(Tableau1[[#This Row],[Score]]/Tableau1[[#This Row],[Nb]],0)</f>
        <v>-1</v>
      </c>
    </row>
    <row r="630" customFormat="false" ht="30" hidden="false" customHeight="true" outlineLevel="0" collapsed="false">
      <c r="A630" s="1" t="s">
        <v>1262</v>
      </c>
      <c r="B630" s="2" t="s">
        <v>1263</v>
      </c>
      <c r="C630" s="6" t="n">
        <v>41538</v>
      </c>
      <c r="D630" s="3" t="n">
        <v>12</v>
      </c>
      <c r="E630" s="3" t="n">
        <v>-12</v>
      </c>
      <c r="F630" s="7" t="n">
        <f aca="false">IFERROR(Tableau1[[#This Row],[Score]]/Tableau1[[#This Row],[Nb]],0)</f>
        <v>-1</v>
      </c>
    </row>
    <row r="631" customFormat="false" ht="30" hidden="false" customHeight="true" outlineLevel="0" collapsed="false">
      <c r="A631" s="1" t="s">
        <v>1264</v>
      </c>
      <c r="B631" s="2" t="s">
        <v>1265</v>
      </c>
      <c r="C631" s="6" t="n">
        <v>41538</v>
      </c>
      <c r="D631" s="3" t="n">
        <v>9</v>
      </c>
      <c r="E631" s="3" t="n">
        <v>-7</v>
      </c>
      <c r="F631" s="7" t="n">
        <f aca="false">IFERROR(Tableau1[[#This Row],[Score]]/Tableau1[[#This Row],[Nb]],0)</f>
        <v>-0.777777777777778</v>
      </c>
    </row>
    <row r="632" customFormat="false" ht="30" hidden="false" customHeight="true" outlineLevel="0" collapsed="false">
      <c r="A632" s="1" t="s">
        <v>1266</v>
      </c>
      <c r="B632" s="2" t="s">
        <v>1267</v>
      </c>
      <c r="C632" s="6" t="n">
        <v>41538</v>
      </c>
      <c r="D632" s="3" t="n">
        <v>9</v>
      </c>
      <c r="E632" s="3" t="n">
        <v>-7</v>
      </c>
      <c r="F632" s="7" t="n">
        <f aca="false">IFERROR(Tableau1[[#This Row],[Score]]/Tableau1[[#This Row],[Nb]],0)</f>
        <v>-0.777777777777778</v>
      </c>
    </row>
    <row r="633" customFormat="false" ht="30" hidden="false" customHeight="true" outlineLevel="0" collapsed="false">
      <c r="A633" s="1" t="s">
        <v>1268</v>
      </c>
      <c r="B633" s="2" t="s">
        <v>1269</v>
      </c>
      <c r="C633" s="6" t="n">
        <v>41538</v>
      </c>
      <c r="D633" s="3" t="n">
        <v>6</v>
      </c>
      <c r="E633" s="3" t="n">
        <v>-4</v>
      </c>
      <c r="F633" s="7" t="n">
        <f aca="false">IFERROR(Tableau1[[#This Row],[Score]]/Tableau1[[#This Row],[Nb]],0)</f>
        <v>-0.666666666666667</v>
      </c>
    </row>
    <row r="634" customFormat="false" ht="30" hidden="false" customHeight="true" outlineLevel="0" collapsed="false">
      <c r="A634" s="1" t="s">
        <v>1270</v>
      </c>
      <c r="B634" s="2" t="s">
        <v>1271</v>
      </c>
      <c r="C634" s="6" t="n">
        <v>41538</v>
      </c>
      <c r="D634" s="3" t="n">
        <v>5</v>
      </c>
      <c r="E634" s="3" t="n">
        <v>-3</v>
      </c>
      <c r="F634" s="7" t="n">
        <f aca="false">IFERROR(Tableau1[[#This Row],[Score]]/Tableau1[[#This Row],[Nb]],0)</f>
        <v>-0.6</v>
      </c>
    </row>
    <row r="635" customFormat="false" ht="30" hidden="false" customHeight="true" outlineLevel="0" collapsed="false">
      <c r="A635" s="1" t="s">
        <v>1272</v>
      </c>
      <c r="B635" s="2" t="s">
        <v>1273</v>
      </c>
      <c r="C635" s="6" t="n">
        <v>41538</v>
      </c>
      <c r="D635" s="3" t="n">
        <v>15</v>
      </c>
      <c r="E635" s="3" t="n">
        <v>-9</v>
      </c>
      <c r="F635" s="7" t="n">
        <f aca="false">IFERROR(Tableau1[[#This Row],[Score]]/Tableau1[[#This Row],[Nb]],0)</f>
        <v>-0.6</v>
      </c>
    </row>
    <row r="636" customFormat="false" ht="30" hidden="false" customHeight="true" outlineLevel="0" collapsed="false">
      <c r="A636" s="1" t="s">
        <v>1274</v>
      </c>
      <c r="B636" s="2" t="s">
        <v>1275</v>
      </c>
      <c r="C636" s="6" t="n">
        <v>41538</v>
      </c>
      <c r="D636" s="3" t="n">
        <v>9</v>
      </c>
      <c r="E636" s="3" t="n">
        <v>-5</v>
      </c>
      <c r="F636" s="7" t="n">
        <f aca="false">IFERROR(Tableau1[[#This Row],[Score]]/Tableau1[[#This Row],[Nb]],0)</f>
        <v>-0.555555555555556</v>
      </c>
    </row>
    <row r="637" customFormat="false" ht="30" hidden="false" customHeight="true" outlineLevel="0" collapsed="false">
      <c r="A637" s="1" t="s">
        <v>1276</v>
      </c>
      <c r="B637" s="2" t="s">
        <v>1277</v>
      </c>
      <c r="C637" s="6" t="n">
        <v>41538</v>
      </c>
      <c r="D637" s="3" t="n">
        <v>9</v>
      </c>
      <c r="E637" s="3" t="n">
        <v>-5</v>
      </c>
      <c r="F637" s="7" t="n">
        <f aca="false">IFERROR(Tableau1[[#This Row],[Score]]/Tableau1[[#This Row],[Nb]],0)</f>
        <v>-0.555555555555556</v>
      </c>
    </row>
    <row r="638" customFormat="false" ht="30" hidden="false" customHeight="true" outlineLevel="0" collapsed="false">
      <c r="A638" s="1" t="s">
        <v>1278</v>
      </c>
      <c r="B638" s="2" t="s">
        <v>1279</v>
      </c>
      <c r="C638" s="6" t="n">
        <v>41538</v>
      </c>
      <c r="D638" s="3" t="n">
        <v>8</v>
      </c>
      <c r="E638" s="3" t="n">
        <v>-4</v>
      </c>
      <c r="F638" s="7" t="n">
        <f aca="false">IFERROR(Tableau1[[#This Row],[Score]]/Tableau1[[#This Row],[Nb]],0)</f>
        <v>-0.5</v>
      </c>
    </row>
    <row r="639" customFormat="false" ht="30" hidden="false" customHeight="true" outlineLevel="0" collapsed="false">
      <c r="A639" s="1" t="s">
        <v>1280</v>
      </c>
      <c r="B639" s="2" t="s">
        <v>1281</v>
      </c>
      <c r="C639" s="6" t="n">
        <v>41538</v>
      </c>
      <c r="D639" s="3" t="n">
        <v>14</v>
      </c>
      <c r="E639" s="3" t="n">
        <v>-6</v>
      </c>
      <c r="F639" s="7" t="n">
        <f aca="false">IFERROR(Tableau1[[#This Row],[Score]]/Tableau1[[#This Row],[Nb]],0)</f>
        <v>-0.428571428571429</v>
      </c>
    </row>
    <row r="640" customFormat="false" ht="30" hidden="false" customHeight="true" outlineLevel="0" collapsed="false">
      <c r="A640" s="1" t="s">
        <v>1282</v>
      </c>
      <c r="B640" s="2" t="s">
        <v>1283</v>
      </c>
      <c r="C640" s="6" t="n">
        <v>41538</v>
      </c>
      <c r="D640" s="3" t="n">
        <v>13</v>
      </c>
      <c r="E640" s="3" t="n">
        <v>-5</v>
      </c>
      <c r="F640" s="7" t="n">
        <f aca="false">IFERROR(Tableau1[[#This Row],[Score]]/Tableau1[[#This Row],[Nb]],0)</f>
        <v>-0.384615384615385</v>
      </c>
    </row>
    <row r="641" customFormat="false" ht="30" hidden="false" customHeight="true" outlineLevel="0" collapsed="false">
      <c r="A641" s="1" t="s">
        <v>1284</v>
      </c>
      <c r="B641" s="2" t="s">
        <v>1285</v>
      </c>
      <c r="C641" s="6" t="n">
        <v>41538</v>
      </c>
      <c r="D641" s="3" t="n">
        <v>12</v>
      </c>
      <c r="E641" s="3" t="n">
        <v>-4</v>
      </c>
      <c r="F641" s="7" t="n">
        <f aca="false">IFERROR(Tableau1[[#This Row],[Score]]/Tableau1[[#This Row],[Nb]],0)</f>
        <v>-0.333333333333333</v>
      </c>
    </row>
    <row r="642" customFormat="false" ht="30" hidden="false" customHeight="true" outlineLevel="0" collapsed="false">
      <c r="A642" s="1" t="s">
        <v>1286</v>
      </c>
      <c r="B642" s="2" t="s">
        <v>1287</v>
      </c>
      <c r="C642" s="6" t="n">
        <v>41538</v>
      </c>
      <c r="D642" s="3" t="n">
        <v>9</v>
      </c>
      <c r="E642" s="3" t="n">
        <v>-3</v>
      </c>
      <c r="F642" s="7" t="n">
        <f aca="false">IFERROR(Tableau1[[#This Row],[Score]]/Tableau1[[#This Row],[Nb]],0)</f>
        <v>-0.333333333333333</v>
      </c>
    </row>
    <row r="643" customFormat="false" ht="30" hidden="false" customHeight="true" outlineLevel="0" collapsed="false">
      <c r="A643" s="1" t="s">
        <v>1288</v>
      </c>
      <c r="B643" s="2" t="s">
        <v>1289</v>
      </c>
      <c r="C643" s="6" t="n">
        <v>41538</v>
      </c>
      <c r="D643" s="3" t="n">
        <v>11</v>
      </c>
      <c r="E643" s="3" t="n">
        <v>-3</v>
      </c>
      <c r="F643" s="7" t="n">
        <f aca="false">IFERROR(Tableau1[[#This Row],[Score]]/Tableau1[[#This Row],[Nb]],0)</f>
        <v>-0.272727272727273</v>
      </c>
    </row>
    <row r="644" customFormat="false" ht="30" hidden="false" customHeight="true" outlineLevel="0" collapsed="false">
      <c r="A644" s="1" t="s">
        <v>1290</v>
      </c>
      <c r="B644" s="2" t="s">
        <v>1291</v>
      </c>
      <c r="C644" s="6" t="n">
        <v>41538</v>
      </c>
      <c r="D644" s="3" t="n">
        <v>5</v>
      </c>
      <c r="E644" s="3" t="n">
        <v>-1</v>
      </c>
      <c r="F644" s="7" t="n">
        <f aca="false">IFERROR(Tableau1[[#This Row],[Score]]/Tableau1[[#This Row],[Nb]],0)</f>
        <v>-0.2</v>
      </c>
    </row>
    <row r="645" customFormat="false" ht="30" hidden="false" customHeight="true" outlineLevel="0" collapsed="false">
      <c r="A645" s="1" t="s">
        <v>1292</v>
      </c>
      <c r="B645" s="2" t="s">
        <v>1293</v>
      </c>
      <c r="C645" s="6" t="n">
        <v>41538</v>
      </c>
      <c r="D645" s="3" t="n">
        <v>7</v>
      </c>
      <c r="E645" s="3" t="n">
        <v>-1</v>
      </c>
      <c r="F645" s="7" t="n">
        <f aca="false">IFERROR(Tableau1[[#This Row],[Score]]/Tableau1[[#This Row],[Nb]],0)</f>
        <v>-0.142857142857143</v>
      </c>
    </row>
    <row r="646" customFormat="false" ht="30" hidden="false" customHeight="true" outlineLevel="0" collapsed="false">
      <c r="A646" s="1" t="s">
        <v>1294</v>
      </c>
      <c r="B646" s="2" t="s">
        <v>1295</v>
      </c>
      <c r="C646" s="6" t="n">
        <v>41538</v>
      </c>
      <c r="D646" s="3" t="n">
        <v>14</v>
      </c>
      <c r="E646" s="3" t="n">
        <v>-2</v>
      </c>
      <c r="F646" s="7" t="n">
        <f aca="false">IFERROR(Tableau1[[#This Row],[Score]]/Tableau1[[#This Row],[Nb]],0)</f>
        <v>-0.142857142857143</v>
      </c>
    </row>
    <row r="647" customFormat="false" ht="30" hidden="false" customHeight="true" outlineLevel="0" collapsed="false">
      <c r="A647" s="1" t="s">
        <v>1296</v>
      </c>
      <c r="B647" s="2" t="s">
        <v>1297</v>
      </c>
      <c r="C647" s="6" t="n">
        <v>41538</v>
      </c>
      <c r="D647" s="3" t="n">
        <v>8</v>
      </c>
      <c r="E647" s="3" t="n">
        <v>-1</v>
      </c>
      <c r="F647" s="7" t="n">
        <f aca="false">IFERROR(Tableau1[[#This Row],[Score]]/Tableau1[[#This Row],[Nb]],0)</f>
        <v>-0.125</v>
      </c>
    </row>
    <row r="648" customFormat="false" ht="30" hidden="false" customHeight="true" outlineLevel="0" collapsed="false">
      <c r="A648" s="1" t="s">
        <v>1298</v>
      </c>
      <c r="B648" s="2" t="s">
        <v>1299</v>
      </c>
      <c r="C648" s="6" t="n">
        <v>41538</v>
      </c>
      <c r="D648" s="3" t="n">
        <v>11</v>
      </c>
      <c r="E648" s="3" t="n">
        <v>1</v>
      </c>
      <c r="F648" s="7" t="n">
        <f aca="false">IFERROR(Tableau1[[#This Row],[Score]]/Tableau1[[#This Row],[Nb]],0)</f>
        <v>0.0909090909090909</v>
      </c>
    </row>
    <row r="649" customFormat="false" ht="30" hidden="false" customHeight="true" outlineLevel="0" collapsed="false">
      <c r="A649" s="1" t="s">
        <v>1300</v>
      </c>
      <c r="B649" s="2" t="s">
        <v>1301</v>
      </c>
      <c r="C649" s="6" t="n">
        <v>41538</v>
      </c>
      <c r="D649" s="3" t="n">
        <v>10</v>
      </c>
      <c r="E649" s="3" t="n">
        <v>0</v>
      </c>
      <c r="F649" s="7" t="n">
        <f aca="false">IFERROR(Tableau1[[#This Row],[Score]]/Tableau1[[#This Row],[Nb]],0)</f>
        <v>0</v>
      </c>
    </row>
    <row r="650" customFormat="false" ht="30" hidden="false" customHeight="true" outlineLevel="0" collapsed="false">
      <c r="A650" s="1" t="s">
        <v>1302</v>
      </c>
      <c r="B650" s="2" t="s">
        <v>1303</v>
      </c>
      <c r="C650" s="6" t="n">
        <v>41538</v>
      </c>
      <c r="D650" s="3" t="n">
        <v>16</v>
      </c>
      <c r="E650" s="3" t="n">
        <v>2</v>
      </c>
      <c r="F650" s="7" t="n">
        <f aca="false">IFERROR(Tableau1[[#This Row],[Score]]/Tableau1[[#This Row],[Nb]],0)</f>
        <v>0.125</v>
      </c>
    </row>
    <row r="651" customFormat="false" ht="30" hidden="false" customHeight="true" outlineLevel="0" collapsed="false">
      <c r="A651" s="1" t="s">
        <v>1304</v>
      </c>
      <c r="B651" s="2" t="s">
        <v>1305</v>
      </c>
      <c r="C651" s="6" t="n">
        <v>41538</v>
      </c>
      <c r="D651" s="3" t="n">
        <v>7</v>
      </c>
      <c r="E651" s="3" t="n">
        <v>1</v>
      </c>
      <c r="F651" s="7" t="n">
        <f aca="false">IFERROR(Tableau1[[#This Row],[Score]]/Tableau1[[#This Row],[Nb]],0)</f>
        <v>0.142857142857143</v>
      </c>
    </row>
    <row r="652" customFormat="false" ht="30" hidden="false" customHeight="true" outlineLevel="0" collapsed="false">
      <c r="A652" s="1" t="s">
        <v>1306</v>
      </c>
      <c r="B652" s="2" t="s">
        <v>1307</v>
      </c>
      <c r="C652" s="6" t="n">
        <v>41538</v>
      </c>
      <c r="D652" s="3" t="n">
        <v>7</v>
      </c>
      <c r="E652" s="3" t="n">
        <v>1</v>
      </c>
      <c r="F652" s="7" t="n">
        <f aca="false">IFERROR(Tableau1[[#This Row],[Score]]/Tableau1[[#This Row],[Nb]],0)</f>
        <v>0.142857142857143</v>
      </c>
    </row>
    <row r="653" customFormat="false" ht="30" hidden="false" customHeight="true" outlineLevel="0" collapsed="false">
      <c r="A653" s="1" t="s">
        <v>1308</v>
      </c>
      <c r="B653" s="2" t="s">
        <v>1309</v>
      </c>
      <c r="C653" s="6" t="n">
        <v>41538</v>
      </c>
      <c r="D653" s="3" t="n">
        <v>13</v>
      </c>
      <c r="E653" s="3" t="n">
        <v>3</v>
      </c>
      <c r="F653" s="7" t="n">
        <f aca="false">IFERROR(Tableau1[[#This Row],[Score]]/Tableau1[[#This Row],[Nb]],0)</f>
        <v>0.230769230769231</v>
      </c>
    </row>
    <row r="654" customFormat="false" ht="30" hidden="false" customHeight="true" outlineLevel="0" collapsed="false">
      <c r="A654" s="1" t="s">
        <v>1310</v>
      </c>
      <c r="B654" s="2" t="s">
        <v>1311</v>
      </c>
      <c r="C654" s="6" t="n">
        <v>41538</v>
      </c>
      <c r="D654" s="3" t="n">
        <v>11</v>
      </c>
      <c r="E654" s="3" t="n">
        <v>3</v>
      </c>
      <c r="F654" s="7" t="n">
        <f aca="false">IFERROR(Tableau1[[#This Row],[Score]]/Tableau1[[#This Row],[Nb]],0)</f>
        <v>0.272727272727273</v>
      </c>
    </row>
    <row r="655" customFormat="false" ht="30" hidden="false" customHeight="true" outlineLevel="0" collapsed="false">
      <c r="A655" s="1" t="s">
        <v>1312</v>
      </c>
      <c r="B655" s="2" t="s">
        <v>1313</v>
      </c>
      <c r="C655" s="6" t="n">
        <v>41538</v>
      </c>
      <c r="D655" s="3" t="n">
        <v>14</v>
      </c>
      <c r="E655" s="3" t="n">
        <v>4</v>
      </c>
      <c r="F655" s="7" t="n">
        <f aca="false">IFERROR(Tableau1[[#This Row],[Score]]/Tableau1[[#This Row],[Nb]],0)</f>
        <v>0.285714285714286</v>
      </c>
    </row>
    <row r="656" customFormat="false" ht="30" hidden="false" customHeight="true" outlineLevel="0" collapsed="false">
      <c r="A656" s="1" t="s">
        <v>1314</v>
      </c>
      <c r="B656" s="2" t="s">
        <v>1315</v>
      </c>
      <c r="C656" s="6" t="n">
        <v>41538</v>
      </c>
      <c r="D656" s="3" t="n">
        <v>18</v>
      </c>
      <c r="E656" s="3" t="n">
        <v>6</v>
      </c>
      <c r="F656" s="7" t="n">
        <f aca="false">IFERROR(Tableau1[[#This Row],[Score]]/Tableau1[[#This Row],[Nb]],0)</f>
        <v>0.333333333333333</v>
      </c>
    </row>
    <row r="657" customFormat="false" ht="30" hidden="false" customHeight="true" outlineLevel="0" collapsed="false">
      <c r="A657" s="1" t="s">
        <v>1316</v>
      </c>
      <c r="B657" s="2" t="s">
        <v>1317</v>
      </c>
      <c r="C657" s="6" t="n">
        <v>41538</v>
      </c>
      <c r="D657" s="3" t="n">
        <v>13</v>
      </c>
      <c r="E657" s="3" t="n">
        <v>5</v>
      </c>
      <c r="F657" s="7" t="n">
        <f aca="false">IFERROR(Tableau1[[#This Row],[Score]]/Tableau1[[#This Row],[Nb]],0)</f>
        <v>0.384615384615385</v>
      </c>
    </row>
    <row r="658" customFormat="false" ht="30" hidden="false" customHeight="true" outlineLevel="0" collapsed="false">
      <c r="A658" s="1" t="s">
        <v>1318</v>
      </c>
      <c r="B658" s="2" t="s">
        <v>1319</v>
      </c>
      <c r="C658" s="6" t="n">
        <v>41538</v>
      </c>
      <c r="D658" s="3" t="n">
        <v>10</v>
      </c>
      <c r="E658" s="3" t="n">
        <v>4</v>
      </c>
      <c r="F658" s="7" t="n">
        <f aca="false">IFERROR(Tableau1[[#This Row],[Score]]/Tableau1[[#This Row],[Nb]],0)</f>
        <v>0.4</v>
      </c>
    </row>
    <row r="659" customFormat="false" ht="30" hidden="false" customHeight="true" outlineLevel="0" collapsed="false">
      <c r="A659" s="1" t="s">
        <v>1320</v>
      </c>
      <c r="B659" s="2" t="s">
        <v>1321</v>
      </c>
      <c r="C659" s="6" t="n">
        <v>41538</v>
      </c>
      <c r="D659" s="3" t="n">
        <v>7</v>
      </c>
      <c r="E659" s="3" t="n">
        <v>3</v>
      </c>
      <c r="F659" s="7" t="n">
        <f aca="false">IFERROR(Tableau1[[#This Row],[Score]]/Tableau1[[#This Row],[Nb]],0)</f>
        <v>0.428571428571429</v>
      </c>
    </row>
    <row r="660" customFormat="false" ht="30" hidden="false" customHeight="true" outlineLevel="0" collapsed="false">
      <c r="A660" s="1" t="s">
        <v>1322</v>
      </c>
      <c r="B660" s="2" t="s">
        <v>1323</v>
      </c>
      <c r="C660" s="6" t="n">
        <v>41538</v>
      </c>
      <c r="D660" s="3" t="n">
        <v>7</v>
      </c>
      <c r="E660" s="3" t="n">
        <v>3</v>
      </c>
      <c r="F660" s="7" t="n">
        <f aca="false">IFERROR(Tableau1[[#This Row],[Score]]/Tableau1[[#This Row],[Nb]],0)</f>
        <v>0.428571428571429</v>
      </c>
    </row>
    <row r="661" customFormat="false" ht="30" hidden="false" customHeight="true" outlineLevel="0" collapsed="false">
      <c r="A661" s="1" t="s">
        <v>1324</v>
      </c>
      <c r="B661" s="2" t="s">
        <v>1325</v>
      </c>
      <c r="C661" s="6" t="n">
        <v>41538</v>
      </c>
      <c r="D661" s="3" t="n">
        <v>7</v>
      </c>
      <c r="E661" s="3" t="n">
        <v>3</v>
      </c>
      <c r="F661" s="7" t="n">
        <f aca="false">IFERROR(Tableau1[[#This Row],[Score]]/Tableau1[[#This Row],[Nb]],0)</f>
        <v>0.428571428571429</v>
      </c>
    </row>
    <row r="662" customFormat="false" ht="30" hidden="false" customHeight="true" outlineLevel="0" collapsed="false">
      <c r="A662" s="1" t="s">
        <v>1326</v>
      </c>
      <c r="B662" s="2" t="s">
        <v>1327</v>
      </c>
      <c r="C662" s="6" t="n">
        <v>41538</v>
      </c>
      <c r="D662" s="3" t="n">
        <v>9</v>
      </c>
      <c r="E662" s="3" t="n">
        <v>5</v>
      </c>
      <c r="F662" s="7" t="n">
        <f aca="false">IFERROR(Tableau1[[#This Row],[Score]]/Tableau1[[#This Row],[Nb]],0)</f>
        <v>0.555555555555556</v>
      </c>
    </row>
    <row r="663" customFormat="false" ht="30" hidden="false" customHeight="true" outlineLevel="0" collapsed="false">
      <c r="A663" s="1" t="s">
        <v>1328</v>
      </c>
      <c r="B663" s="2" t="s">
        <v>1329</v>
      </c>
      <c r="C663" s="6" t="n">
        <v>41538</v>
      </c>
      <c r="D663" s="3" t="n">
        <v>14</v>
      </c>
      <c r="E663" s="3" t="n">
        <v>8</v>
      </c>
      <c r="F663" s="7" t="n">
        <f aca="false">IFERROR(Tableau1[[#This Row],[Score]]/Tableau1[[#This Row],[Nb]],0)</f>
        <v>0.571428571428571</v>
      </c>
    </row>
    <row r="664" customFormat="false" ht="30" hidden="false" customHeight="true" outlineLevel="0" collapsed="false">
      <c r="A664" s="1" t="s">
        <v>1330</v>
      </c>
      <c r="B664" s="2" t="s">
        <v>1331</v>
      </c>
      <c r="C664" s="6" t="n">
        <v>41538</v>
      </c>
      <c r="D664" s="3" t="n">
        <v>10</v>
      </c>
      <c r="E664" s="3" t="n">
        <v>6</v>
      </c>
      <c r="F664" s="7" t="n">
        <f aca="false">IFERROR(Tableau1[[#This Row],[Score]]/Tableau1[[#This Row],[Nb]],0)</f>
        <v>0.6</v>
      </c>
    </row>
    <row r="665" customFormat="false" ht="30" hidden="false" customHeight="true" outlineLevel="0" collapsed="false">
      <c r="A665" s="1" t="s">
        <v>1332</v>
      </c>
      <c r="B665" s="2" t="s">
        <v>1333</v>
      </c>
      <c r="C665" s="6" t="n">
        <v>41538</v>
      </c>
      <c r="D665" s="3" t="n">
        <v>5</v>
      </c>
      <c r="E665" s="3" t="n">
        <v>3</v>
      </c>
      <c r="F665" s="7" t="n">
        <f aca="false">IFERROR(Tableau1[[#This Row],[Score]]/Tableau1[[#This Row],[Nb]],0)</f>
        <v>0.6</v>
      </c>
    </row>
    <row r="666" customFormat="false" ht="30" hidden="false" customHeight="true" outlineLevel="0" collapsed="false">
      <c r="A666" s="1" t="s">
        <v>1334</v>
      </c>
      <c r="B666" s="2" t="s">
        <v>1335</v>
      </c>
      <c r="C666" s="6" t="n">
        <v>41538</v>
      </c>
      <c r="D666" s="3" t="n">
        <v>15</v>
      </c>
      <c r="E666" s="3" t="n">
        <v>9</v>
      </c>
      <c r="F666" s="7" t="n">
        <f aca="false">IFERROR(Tableau1[[#This Row],[Score]]/Tableau1[[#This Row],[Nb]],0)</f>
        <v>0.6</v>
      </c>
    </row>
    <row r="667" customFormat="false" ht="30" hidden="false" customHeight="true" outlineLevel="0" collapsed="false">
      <c r="A667" s="1" t="s">
        <v>1336</v>
      </c>
      <c r="B667" s="2" t="s">
        <v>1337</v>
      </c>
      <c r="C667" s="6" t="n">
        <v>41538</v>
      </c>
      <c r="D667" s="3" t="n">
        <v>16</v>
      </c>
      <c r="E667" s="3" t="n">
        <v>10</v>
      </c>
      <c r="F667" s="7" t="n">
        <f aca="false">IFERROR(Tableau1[[#This Row],[Score]]/Tableau1[[#This Row],[Nb]],0)</f>
        <v>0.625</v>
      </c>
    </row>
    <row r="668" customFormat="false" ht="30" hidden="false" customHeight="true" outlineLevel="0" collapsed="false">
      <c r="A668" s="1" t="s">
        <v>1338</v>
      </c>
      <c r="B668" s="2" t="s">
        <v>1339</v>
      </c>
      <c r="C668" s="6" t="n">
        <v>41538</v>
      </c>
      <c r="D668" s="3" t="n">
        <v>9</v>
      </c>
      <c r="E668" s="3" t="n">
        <v>6</v>
      </c>
      <c r="F668" s="7" t="n">
        <f aca="false">IFERROR(Tableau1[[#This Row],[Score]]/Tableau1[[#This Row],[Nb]],0)</f>
        <v>0.666666666666667</v>
      </c>
    </row>
    <row r="669" customFormat="false" ht="30" hidden="false" customHeight="true" outlineLevel="0" collapsed="false">
      <c r="A669" s="1" t="s">
        <v>1340</v>
      </c>
      <c r="B669" s="2" t="s">
        <v>1341</v>
      </c>
      <c r="C669" s="6" t="n">
        <v>41538</v>
      </c>
      <c r="D669" s="3" t="n">
        <v>11</v>
      </c>
      <c r="E669" s="3" t="n">
        <v>7</v>
      </c>
      <c r="F669" s="7" t="n">
        <f aca="false">IFERROR(Tableau1[[#This Row],[Score]]/Tableau1[[#This Row],[Nb]],0)</f>
        <v>0.636363636363636</v>
      </c>
    </row>
    <row r="670" customFormat="false" ht="30" hidden="false" customHeight="true" outlineLevel="0" collapsed="false">
      <c r="A670" s="1" t="s">
        <v>1342</v>
      </c>
      <c r="B670" s="2" t="s">
        <v>1343</v>
      </c>
      <c r="C670" s="6" t="n">
        <v>41538</v>
      </c>
      <c r="D670" s="3" t="n">
        <v>11</v>
      </c>
      <c r="E670" s="3" t="n">
        <v>7</v>
      </c>
      <c r="F670" s="7" t="n">
        <f aca="false">IFERROR(Tableau1[[#This Row],[Score]]/Tableau1[[#This Row],[Nb]],0)</f>
        <v>0.636363636363636</v>
      </c>
    </row>
    <row r="671" customFormat="false" ht="30" hidden="false" customHeight="true" outlineLevel="0" collapsed="false">
      <c r="A671" s="1" t="s">
        <v>1344</v>
      </c>
      <c r="B671" s="2" t="s">
        <v>1345</v>
      </c>
      <c r="C671" s="6" t="n">
        <v>41538</v>
      </c>
      <c r="D671" s="3" t="n">
        <v>12</v>
      </c>
      <c r="E671" s="3" t="n">
        <v>8</v>
      </c>
      <c r="F671" s="7" t="n">
        <f aca="false">IFERROR(Tableau1[[#This Row],[Score]]/Tableau1[[#This Row],[Nb]],0)</f>
        <v>0.666666666666667</v>
      </c>
    </row>
    <row r="672" customFormat="false" ht="30" hidden="false" customHeight="true" outlineLevel="0" collapsed="false">
      <c r="A672" s="1" t="s">
        <v>1346</v>
      </c>
      <c r="B672" s="2" t="s">
        <v>1347</v>
      </c>
      <c r="C672" s="6" t="n">
        <v>41538</v>
      </c>
      <c r="D672" s="3" t="n">
        <v>6</v>
      </c>
      <c r="E672" s="3" t="n">
        <v>4</v>
      </c>
      <c r="F672" s="7" t="n">
        <f aca="false">IFERROR(Tableau1[[#This Row],[Score]]/Tableau1[[#This Row],[Nb]],0)</f>
        <v>0.666666666666667</v>
      </c>
    </row>
    <row r="673" customFormat="false" ht="30" hidden="false" customHeight="true" outlineLevel="0" collapsed="false">
      <c r="A673" s="1" t="s">
        <v>1348</v>
      </c>
      <c r="B673" s="2" t="s">
        <v>1349</v>
      </c>
      <c r="C673" s="6" t="n">
        <v>41538</v>
      </c>
      <c r="D673" s="3" t="n">
        <v>10</v>
      </c>
      <c r="E673" s="3" t="n">
        <v>7</v>
      </c>
      <c r="F673" s="7" t="n">
        <f aca="false">IFERROR(Tableau1[[#This Row],[Score]]/Tableau1[[#This Row],[Nb]],0)</f>
        <v>0.7</v>
      </c>
    </row>
    <row r="674" customFormat="false" ht="30" hidden="false" customHeight="true" outlineLevel="0" collapsed="false">
      <c r="A674" s="1" t="s">
        <v>1350</v>
      </c>
      <c r="B674" s="2" t="s">
        <v>1351</v>
      </c>
      <c r="C674" s="6" t="n">
        <v>41538</v>
      </c>
      <c r="D674" s="3" t="n">
        <v>10</v>
      </c>
      <c r="E674" s="3" t="n">
        <v>7</v>
      </c>
      <c r="F674" s="7" t="n">
        <f aca="false">IFERROR(Tableau1[[#This Row],[Score]]/Tableau1[[#This Row],[Nb]],0)</f>
        <v>0.7</v>
      </c>
    </row>
    <row r="675" customFormat="false" ht="30" hidden="false" customHeight="true" outlineLevel="0" collapsed="false">
      <c r="A675" s="1" t="s">
        <v>1352</v>
      </c>
      <c r="B675" s="2" t="s">
        <v>1353</v>
      </c>
      <c r="C675" s="6" t="n">
        <v>41538</v>
      </c>
      <c r="D675" s="3" t="n">
        <v>7</v>
      </c>
      <c r="E675" s="3" t="n">
        <v>5</v>
      </c>
      <c r="F675" s="7" t="n">
        <f aca="false">IFERROR(Tableau1[[#This Row],[Score]]/Tableau1[[#This Row],[Nb]],0)</f>
        <v>0.714285714285714</v>
      </c>
    </row>
    <row r="676" customFormat="false" ht="30" hidden="false" customHeight="true" outlineLevel="0" collapsed="false">
      <c r="A676" s="1" t="s">
        <v>1354</v>
      </c>
      <c r="B676" s="2" t="s">
        <v>1355</v>
      </c>
      <c r="C676" s="6" t="n">
        <v>41538</v>
      </c>
      <c r="D676" s="3" t="n">
        <v>7</v>
      </c>
      <c r="E676" s="3" t="n">
        <v>5</v>
      </c>
      <c r="F676" s="7" t="n">
        <f aca="false">IFERROR(Tableau1[[#This Row],[Score]]/Tableau1[[#This Row],[Nb]],0)</f>
        <v>0.714285714285714</v>
      </c>
    </row>
    <row r="677" customFormat="false" ht="30" hidden="false" customHeight="true" outlineLevel="0" collapsed="false">
      <c r="A677" s="1" t="s">
        <v>1356</v>
      </c>
      <c r="B677" s="2" t="s">
        <v>1357</v>
      </c>
      <c r="C677" s="6" t="n">
        <v>41538</v>
      </c>
      <c r="D677" s="3" t="n">
        <v>16</v>
      </c>
      <c r="E677" s="3" t="n">
        <v>12</v>
      </c>
      <c r="F677" s="7" t="n">
        <f aca="false">IFERROR(Tableau1[[#This Row],[Score]]/Tableau1[[#This Row],[Nb]],0)</f>
        <v>0.75</v>
      </c>
    </row>
    <row r="678" customFormat="false" ht="30" hidden="false" customHeight="true" outlineLevel="0" collapsed="false">
      <c r="A678" s="1" t="s">
        <v>1358</v>
      </c>
      <c r="B678" s="2" t="s">
        <v>1359</v>
      </c>
      <c r="C678" s="6" t="n">
        <v>41538</v>
      </c>
      <c r="D678" s="3" t="n">
        <v>17</v>
      </c>
      <c r="E678" s="3" t="n">
        <v>13</v>
      </c>
      <c r="F678" s="7" t="n">
        <f aca="false">IFERROR(Tableau1[[#This Row],[Score]]/Tableau1[[#This Row],[Nb]],0)</f>
        <v>0.764705882352941</v>
      </c>
    </row>
    <row r="679" customFormat="false" ht="30" hidden="false" customHeight="true" outlineLevel="0" collapsed="false">
      <c r="A679" s="1" t="s">
        <v>1360</v>
      </c>
      <c r="B679" s="2" t="s">
        <v>1361</v>
      </c>
      <c r="C679" s="6" t="n">
        <v>41538</v>
      </c>
      <c r="D679" s="3" t="n">
        <v>12</v>
      </c>
      <c r="E679" s="3" t="n">
        <v>10</v>
      </c>
      <c r="F679" s="7" t="n">
        <f aca="false">IFERROR(Tableau1[[#This Row],[Score]]/Tableau1[[#This Row],[Nb]],0)</f>
        <v>0.833333333333333</v>
      </c>
    </row>
    <row r="680" customFormat="false" ht="30" hidden="false" customHeight="true" outlineLevel="0" collapsed="false">
      <c r="A680" s="1" t="s">
        <v>1362</v>
      </c>
      <c r="B680" s="2" t="s">
        <v>1363</v>
      </c>
      <c r="C680" s="6" t="n">
        <v>41538</v>
      </c>
      <c r="D680" s="3" t="n">
        <v>12</v>
      </c>
      <c r="E680" s="3" t="n">
        <v>10</v>
      </c>
      <c r="F680" s="7" t="n">
        <f aca="false">IFERROR(Tableau1[[#This Row],[Score]]/Tableau1[[#This Row],[Nb]],0)</f>
        <v>0.833333333333333</v>
      </c>
    </row>
    <row r="681" customFormat="false" ht="30" hidden="false" customHeight="true" outlineLevel="0" collapsed="false">
      <c r="A681" s="1" t="s">
        <v>1364</v>
      </c>
      <c r="B681" s="2" t="s">
        <v>1365</v>
      </c>
      <c r="C681" s="6" t="n">
        <v>41538</v>
      </c>
      <c r="D681" s="3" t="n">
        <v>12</v>
      </c>
      <c r="E681" s="3" t="n">
        <v>10</v>
      </c>
      <c r="F681" s="7" t="n">
        <f aca="false">IFERROR(Tableau1[[#This Row],[Score]]/Tableau1[[#This Row],[Nb]],0)</f>
        <v>0.833333333333333</v>
      </c>
    </row>
    <row r="682" customFormat="false" ht="30" hidden="false" customHeight="true" outlineLevel="0" collapsed="false">
      <c r="A682" s="1" t="s">
        <v>1366</v>
      </c>
      <c r="B682" s="2" t="s">
        <v>1367</v>
      </c>
      <c r="C682" s="6" t="n">
        <v>41538</v>
      </c>
      <c r="D682" s="3" t="n">
        <v>13</v>
      </c>
      <c r="E682" s="3" t="n">
        <v>11</v>
      </c>
      <c r="F682" s="7" t="n">
        <f aca="false">IFERROR(Tableau1[[#This Row],[Score]]/Tableau1[[#This Row],[Nb]],0)</f>
        <v>0.846153846153846</v>
      </c>
    </row>
    <row r="683" customFormat="false" ht="30" hidden="false" customHeight="true" outlineLevel="0" collapsed="false">
      <c r="A683" s="1" t="s">
        <v>1368</v>
      </c>
      <c r="B683" s="2" t="s">
        <v>1369</v>
      </c>
      <c r="C683" s="6" t="n">
        <v>41538</v>
      </c>
      <c r="D683" s="3" t="n">
        <v>13</v>
      </c>
      <c r="E683" s="3" t="n">
        <v>11</v>
      </c>
      <c r="F683" s="7" t="n">
        <f aca="false">IFERROR(Tableau1[[#This Row],[Score]]/Tableau1[[#This Row],[Nb]],0)</f>
        <v>0.846153846153846</v>
      </c>
    </row>
    <row r="684" customFormat="false" ht="30" hidden="false" customHeight="true" outlineLevel="0" collapsed="false">
      <c r="A684" s="1" t="s">
        <v>1370</v>
      </c>
      <c r="B684" s="2" t="s">
        <v>1371</v>
      </c>
      <c r="C684" s="6" t="n">
        <v>41538</v>
      </c>
      <c r="D684" s="3" t="n">
        <v>15</v>
      </c>
      <c r="E684" s="3" t="n">
        <v>13</v>
      </c>
      <c r="F684" s="7" t="n">
        <f aca="false">IFERROR(Tableau1[[#This Row],[Score]]/Tableau1[[#This Row],[Nb]],0)</f>
        <v>0.866666666666667</v>
      </c>
    </row>
    <row r="685" customFormat="false" ht="30" hidden="false" customHeight="true" outlineLevel="0" collapsed="false">
      <c r="A685" s="1" t="s">
        <v>1372</v>
      </c>
      <c r="B685" s="2" t="s">
        <v>1373</v>
      </c>
      <c r="C685" s="6" t="n">
        <v>41538</v>
      </c>
      <c r="D685" s="3" t="n">
        <v>16</v>
      </c>
      <c r="E685" s="3" t="n">
        <v>14</v>
      </c>
      <c r="F685" s="7" t="n">
        <f aca="false">IFERROR(Tableau1[[#This Row],[Score]]/Tableau1[[#This Row],[Nb]],0)</f>
        <v>0.875</v>
      </c>
    </row>
    <row r="686" customFormat="false" ht="30" hidden="false" customHeight="true" outlineLevel="0" collapsed="false">
      <c r="A686" s="1" t="s">
        <v>1374</v>
      </c>
      <c r="B686" s="2" t="s">
        <v>1375</v>
      </c>
      <c r="C686" s="6" t="n">
        <v>41538</v>
      </c>
      <c r="D686" s="3" t="n">
        <v>16</v>
      </c>
      <c r="E686" s="3" t="n">
        <v>14</v>
      </c>
      <c r="F686" s="7" t="n">
        <f aca="false">IFERROR(Tableau1[[#This Row],[Score]]/Tableau1[[#This Row],[Nb]],0)</f>
        <v>0.875</v>
      </c>
    </row>
    <row r="687" customFormat="false" ht="30" hidden="false" customHeight="true" outlineLevel="0" collapsed="false">
      <c r="A687" s="1" t="s">
        <v>1376</v>
      </c>
      <c r="B687" s="2" t="s">
        <v>1377</v>
      </c>
      <c r="C687" s="6" t="n">
        <v>41538</v>
      </c>
      <c r="D687" s="3" t="n">
        <v>17</v>
      </c>
      <c r="E687" s="3" t="n">
        <v>15</v>
      </c>
      <c r="F687" s="7" t="n">
        <f aca="false">IFERROR(Tableau1[[#This Row],[Score]]/Tableau1[[#This Row],[Nb]],0)</f>
        <v>0.882352941176471</v>
      </c>
    </row>
    <row r="688" customFormat="false" ht="30" hidden="false" customHeight="true" outlineLevel="0" collapsed="false">
      <c r="A688" s="1" t="s">
        <v>1378</v>
      </c>
      <c r="B688" s="2" t="s">
        <v>1379</v>
      </c>
      <c r="C688" s="6" t="n">
        <v>41538</v>
      </c>
      <c r="D688" s="3" t="n">
        <v>17</v>
      </c>
      <c r="E688" s="3" t="n">
        <v>15</v>
      </c>
      <c r="F688" s="7" t="n">
        <f aca="false">IFERROR(Tableau1[[#This Row],[Score]]/Tableau1[[#This Row],[Nb]],0)</f>
        <v>0.882352941176471</v>
      </c>
    </row>
    <row r="689" customFormat="false" ht="30" hidden="false" customHeight="true" outlineLevel="0" collapsed="false">
      <c r="A689" s="1" t="s">
        <v>1380</v>
      </c>
      <c r="B689" s="2" t="s">
        <v>1381</v>
      </c>
      <c r="C689" s="6" t="n">
        <v>41538</v>
      </c>
      <c r="D689" s="3" t="n">
        <v>10</v>
      </c>
      <c r="E689" s="3" t="n">
        <v>9</v>
      </c>
      <c r="F689" s="7" t="n">
        <f aca="false">IFERROR(Tableau1[[#This Row],[Score]]/Tableau1[[#This Row],[Nb]],0)</f>
        <v>0.9</v>
      </c>
    </row>
    <row r="690" customFormat="false" ht="30" hidden="false" customHeight="true" outlineLevel="0" collapsed="false">
      <c r="A690" s="8" t="s">
        <v>1382</v>
      </c>
      <c r="B690" s="9" t="s">
        <v>1383</v>
      </c>
      <c r="C690" s="6" t="n">
        <v>41538</v>
      </c>
      <c r="D690" s="3" t="n">
        <v>10</v>
      </c>
      <c r="E690" s="3" t="n">
        <v>10</v>
      </c>
      <c r="F690" s="7" t="n">
        <f aca="false">IFERROR(Tableau1[[#This Row],[Score]]/Tableau1[[#This Row],[Nb]],0)</f>
        <v>1</v>
      </c>
    </row>
    <row r="691" customFormat="false" ht="30" hidden="false" customHeight="true" outlineLevel="0" collapsed="false">
      <c r="A691" s="8" t="s">
        <v>1384</v>
      </c>
      <c r="B691" s="9" t="s">
        <v>1385</v>
      </c>
      <c r="C691" s="6" t="n">
        <v>41538</v>
      </c>
      <c r="D691" s="3" t="n">
        <v>10</v>
      </c>
      <c r="E691" s="3" t="n">
        <v>10</v>
      </c>
      <c r="F691" s="7" t="n">
        <f aca="false">IFERROR(Tableau1[[#This Row],[Score]]/Tableau1[[#This Row],[Nb]],0)</f>
        <v>1</v>
      </c>
    </row>
    <row r="692" customFormat="false" ht="30" hidden="false" customHeight="true" outlineLevel="0" collapsed="false">
      <c r="A692" s="8" t="s">
        <v>1386</v>
      </c>
      <c r="B692" s="9" t="s">
        <v>1387</v>
      </c>
      <c r="C692" s="6" t="n">
        <v>41538</v>
      </c>
      <c r="D692" s="3" t="n">
        <v>10</v>
      </c>
      <c r="E692" s="3" t="n">
        <v>10</v>
      </c>
      <c r="F692" s="7" t="n">
        <f aca="false">IFERROR(Tableau1[[#This Row],[Score]]/Tableau1[[#This Row],[Nb]],0)</f>
        <v>1</v>
      </c>
    </row>
    <row r="693" customFormat="false" ht="30" hidden="false" customHeight="true" outlineLevel="0" collapsed="false">
      <c r="A693" s="8" t="s">
        <v>1388</v>
      </c>
      <c r="B693" s="9" t="s">
        <v>1389</v>
      </c>
      <c r="C693" s="6" t="n">
        <v>41538</v>
      </c>
      <c r="D693" s="3" t="n">
        <v>10</v>
      </c>
      <c r="E693" s="3" t="n">
        <v>10</v>
      </c>
      <c r="F693" s="7" t="n">
        <f aca="false">IFERROR(Tableau1[[#This Row],[Score]]/Tableau1[[#This Row],[Nb]],0)</f>
        <v>1</v>
      </c>
    </row>
    <row r="694" customFormat="false" ht="30" hidden="false" customHeight="true" outlineLevel="0" collapsed="false">
      <c r="A694" s="8" t="s">
        <v>1390</v>
      </c>
      <c r="B694" s="9" t="s">
        <v>1391</v>
      </c>
      <c r="C694" s="6" t="n">
        <v>41538</v>
      </c>
      <c r="D694" s="3" t="n">
        <v>10</v>
      </c>
      <c r="E694" s="3" t="n">
        <v>10</v>
      </c>
      <c r="F694" s="7" t="n">
        <f aca="false">IFERROR(Tableau1[[#This Row],[Score]]/Tableau1[[#This Row],[Nb]],0)</f>
        <v>1</v>
      </c>
    </row>
    <row r="695" customFormat="false" ht="30" hidden="false" customHeight="true" outlineLevel="0" collapsed="false">
      <c r="A695" s="8" t="s">
        <v>1392</v>
      </c>
      <c r="B695" s="9" t="s">
        <v>1393</v>
      </c>
      <c r="C695" s="6" t="n">
        <v>41538</v>
      </c>
      <c r="D695" s="3" t="n">
        <v>10</v>
      </c>
      <c r="E695" s="3" t="n">
        <v>10</v>
      </c>
      <c r="F695" s="7" t="n">
        <f aca="false">IFERROR(Tableau1[[#This Row],[Score]]/Tableau1[[#This Row],[Nb]],0)</f>
        <v>1</v>
      </c>
    </row>
    <row r="696" customFormat="false" ht="30" hidden="false" customHeight="true" outlineLevel="0" collapsed="false">
      <c r="A696" s="8" t="s">
        <v>1394</v>
      </c>
      <c r="B696" s="9" t="s">
        <v>1395</v>
      </c>
      <c r="C696" s="6" t="n">
        <v>41538</v>
      </c>
      <c r="D696" s="3" t="n">
        <v>10</v>
      </c>
      <c r="E696" s="3" t="n">
        <v>10</v>
      </c>
      <c r="F696" s="7" t="n">
        <f aca="false">IFERROR(Tableau1[[#This Row],[Score]]/Tableau1[[#This Row],[Nb]],0)</f>
        <v>1</v>
      </c>
    </row>
    <row r="697" customFormat="false" ht="30" hidden="false" customHeight="true" outlineLevel="0" collapsed="false">
      <c r="A697" s="8" t="s">
        <v>1396</v>
      </c>
      <c r="B697" s="9" t="s">
        <v>1397</v>
      </c>
      <c r="C697" s="6" t="n">
        <v>41538</v>
      </c>
      <c r="D697" s="3" t="n">
        <v>10</v>
      </c>
      <c r="E697" s="3" t="n">
        <v>10</v>
      </c>
      <c r="F697" s="7" t="n">
        <f aca="false">IFERROR(Tableau1[[#This Row],[Score]]/Tableau1[[#This Row],[Nb]],0)</f>
        <v>1</v>
      </c>
    </row>
    <row r="698" customFormat="false" ht="30" hidden="false" customHeight="true" outlineLevel="0" collapsed="false">
      <c r="A698" s="8" t="s">
        <v>1398</v>
      </c>
      <c r="B698" s="9" t="s">
        <v>1399</v>
      </c>
      <c r="C698" s="6" t="n">
        <v>41538</v>
      </c>
      <c r="D698" s="3" t="n">
        <v>11</v>
      </c>
      <c r="E698" s="3" t="n">
        <v>11</v>
      </c>
      <c r="F698" s="7" t="n">
        <f aca="false">IFERROR(Tableau1[[#This Row],[Score]]/Tableau1[[#This Row],[Nb]],0)</f>
        <v>1</v>
      </c>
    </row>
    <row r="699" customFormat="false" ht="30" hidden="false" customHeight="true" outlineLevel="0" collapsed="false">
      <c r="A699" s="8" t="s">
        <v>1400</v>
      </c>
      <c r="B699" s="9" t="s">
        <v>1401</v>
      </c>
      <c r="C699" s="6" t="n">
        <v>41538</v>
      </c>
      <c r="D699" s="3" t="n">
        <v>10</v>
      </c>
      <c r="E699" s="3" t="n">
        <v>10</v>
      </c>
      <c r="F699" s="7" t="n">
        <f aca="false">IFERROR(Tableau1[[#This Row],[Score]]/Tableau1[[#This Row],[Nb]],0)</f>
        <v>1</v>
      </c>
    </row>
    <row r="700" customFormat="false" ht="30" hidden="false" customHeight="true" outlineLevel="0" collapsed="false">
      <c r="A700" s="1" t="s">
        <v>1402</v>
      </c>
      <c r="B700" s="2" t="s">
        <v>1403</v>
      </c>
      <c r="C700" s="6" t="n">
        <v>41538</v>
      </c>
      <c r="D700" s="3" t="n">
        <v>8</v>
      </c>
      <c r="E700" s="3" t="n">
        <v>8</v>
      </c>
      <c r="F700" s="7" t="n">
        <f aca="false">IFERROR(Tableau1[[#This Row],[Score]]/Tableau1[[#This Row],[Nb]],0)</f>
        <v>1</v>
      </c>
    </row>
    <row r="701" customFormat="false" ht="30" hidden="false" customHeight="true" outlineLevel="0" collapsed="false">
      <c r="A701" s="1" t="s">
        <v>1404</v>
      </c>
      <c r="B701" s="2" t="s">
        <v>1405</v>
      </c>
      <c r="C701" s="6" t="n">
        <v>41538</v>
      </c>
      <c r="D701" s="3" t="n">
        <v>8</v>
      </c>
      <c r="E701" s="3" t="n">
        <v>8</v>
      </c>
      <c r="F701" s="7" t="n">
        <f aca="false">IFERROR(Tableau1[[#This Row],[Score]]/Tableau1[[#This Row],[Nb]],0)</f>
        <v>1</v>
      </c>
    </row>
    <row r="702" customFormat="false" ht="30" hidden="false" customHeight="true" outlineLevel="0" collapsed="false">
      <c r="A702" s="1" t="s">
        <v>1406</v>
      </c>
      <c r="B702" s="2" t="s">
        <v>1407</v>
      </c>
      <c r="C702" s="6" t="n">
        <v>41538</v>
      </c>
      <c r="D702" s="3" t="n">
        <v>9</v>
      </c>
      <c r="E702" s="3" t="n">
        <v>9</v>
      </c>
      <c r="F702" s="7" t="n">
        <f aca="false">IFERROR(Tableau1[[#This Row],[Score]]/Tableau1[[#This Row],[Nb]],0)</f>
        <v>1</v>
      </c>
    </row>
    <row r="703" customFormat="false" ht="30" hidden="false" customHeight="true" outlineLevel="0" collapsed="false">
      <c r="A703" s="1" t="s">
        <v>1408</v>
      </c>
      <c r="B703" s="2" t="s">
        <v>1409</v>
      </c>
      <c r="C703" s="6" t="n">
        <v>41538</v>
      </c>
      <c r="D703" s="3" t="n">
        <v>9</v>
      </c>
      <c r="E703" s="3" t="n">
        <v>9</v>
      </c>
      <c r="F703" s="7" t="n">
        <f aca="false">IFERROR(Tableau1[[#This Row],[Score]]/Tableau1[[#This Row],[Nb]],0)</f>
        <v>1</v>
      </c>
    </row>
    <row r="704" customFormat="false" ht="30" hidden="false" customHeight="true" outlineLevel="0" collapsed="false">
      <c r="A704" s="1" t="s">
        <v>1410</v>
      </c>
      <c r="B704" s="2" t="s">
        <v>1411</v>
      </c>
      <c r="C704" s="6" t="n">
        <v>41538</v>
      </c>
      <c r="D704" s="3" t="n">
        <v>9</v>
      </c>
      <c r="E704" s="3" t="n">
        <v>9</v>
      </c>
      <c r="F704" s="7" t="n">
        <f aca="false">IFERROR(Tableau1[[#This Row],[Score]]/Tableau1[[#This Row],[Nb]],0)</f>
        <v>1</v>
      </c>
    </row>
    <row r="705" customFormat="false" ht="30" hidden="false" customHeight="true" outlineLevel="0" collapsed="false">
      <c r="A705" s="1" t="s">
        <v>1412</v>
      </c>
      <c r="B705" s="2" t="s">
        <v>1413</v>
      </c>
      <c r="C705" s="6" t="n">
        <v>41538</v>
      </c>
      <c r="D705" s="3" t="n">
        <v>4</v>
      </c>
      <c r="E705" s="3" t="n">
        <v>4</v>
      </c>
      <c r="F705" s="7" t="n">
        <f aca="false">IFERROR(Tableau1[[#This Row],[Score]]/Tableau1[[#This Row],[Nb]],0)</f>
        <v>1</v>
      </c>
    </row>
    <row r="706" customFormat="false" ht="30" hidden="false" customHeight="true" outlineLevel="0" collapsed="false">
      <c r="A706" s="1" t="s">
        <v>1414</v>
      </c>
      <c r="B706" s="2" t="s">
        <v>1415</v>
      </c>
      <c r="C706" s="6" t="n">
        <v>41538</v>
      </c>
      <c r="D706" s="3" t="n">
        <v>6</v>
      </c>
      <c r="E706" s="3" t="n">
        <v>6</v>
      </c>
      <c r="F706" s="7" t="n">
        <f aca="false">IFERROR(Tableau1[[#This Row],[Score]]/Tableau1[[#This Row],[Nb]],0)</f>
        <v>1</v>
      </c>
    </row>
    <row r="707" customFormat="false" ht="30" hidden="false" customHeight="true" outlineLevel="0" collapsed="false">
      <c r="A707" s="1" t="s">
        <v>1416</v>
      </c>
      <c r="B707" s="2" t="s">
        <v>1417</v>
      </c>
      <c r="C707" s="6" t="n">
        <v>41538</v>
      </c>
      <c r="D707" s="3" t="n">
        <v>6</v>
      </c>
      <c r="E707" s="3" t="n">
        <v>6</v>
      </c>
      <c r="F707" s="7" t="n">
        <f aca="false">IFERROR(Tableau1[[#This Row],[Score]]/Tableau1[[#This Row],[Nb]],0)</f>
        <v>1</v>
      </c>
    </row>
    <row r="708" customFormat="false" ht="30" hidden="false" customHeight="true" outlineLevel="0" collapsed="false">
      <c r="A708" s="1" t="s">
        <v>1418</v>
      </c>
      <c r="B708" s="2" t="s">
        <v>1419</v>
      </c>
      <c r="C708" s="6" t="n">
        <v>41538</v>
      </c>
      <c r="D708" s="3" t="n">
        <v>6</v>
      </c>
      <c r="E708" s="3" t="n">
        <v>6</v>
      </c>
      <c r="F708" s="7" t="n">
        <f aca="false">IFERROR(Tableau1[[#This Row],[Score]]/Tableau1[[#This Row],[Nb]],0)</f>
        <v>1</v>
      </c>
    </row>
    <row r="709" customFormat="false" ht="30" hidden="false" customHeight="true" outlineLevel="0" collapsed="false">
      <c r="A709" s="1" t="s">
        <v>1420</v>
      </c>
      <c r="B709" s="2" t="s">
        <v>1421</v>
      </c>
      <c r="C709" s="6" t="n">
        <v>41538</v>
      </c>
      <c r="D709" s="3" t="n">
        <v>6</v>
      </c>
      <c r="E709" s="3" t="n">
        <v>6</v>
      </c>
      <c r="F709" s="7" t="n">
        <f aca="false">IFERROR(Tableau1[[#This Row],[Score]]/Tableau1[[#This Row],[Nb]],0)</f>
        <v>1</v>
      </c>
    </row>
    <row r="710" customFormat="false" ht="30" hidden="false" customHeight="true" outlineLevel="0" collapsed="false">
      <c r="A710" s="1" t="s">
        <v>1422</v>
      </c>
      <c r="B710" s="2" t="s">
        <v>1423</v>
      </c>
      <c r="C710" s="6" t="n">
        <v>41538</v>
      </c>
      <c r="D710" s="3" t="n">
        <v>7</v>
      </c>
      <c r="E710" s="3" t="n">
        <v>7</v>
      </c>
      <c r="F710" s="7" t="n">
        <f aca="false">IFERROR(Tableau1[[#This Row],[Score]]/Tableau1[[#This Row],[Nb]],0)</f>
        <v>1</v>
      </c>
    </row>
    <row r="711" customFormat="false" ht="30" hidden="false" customHeight="true" outlineLevel="0" collapsed="false">
      <c r="A711" s="1" t="s">
        <v>1424</v>
      </c>
      <c r="B711" s="2" t="s">
        <v>1425</v>
      </c>
      <c r="C711" s="6" t="n">
        <v>41538</v>
      </c>
      <c r="D711" s="3" t="n">
        <v>7</v>
      </c>
      <c r="E711" s="3" t="n">
        <v>7</v>
      </c>
      <c r="F711" s="7" t="n">
        <f aca="false">IFERROR(Tableau1[[#This Row],[Score]]/Tableau1[[#This Row],[Nb]],0)</f>
        <v>1</v>
      </c>
    </row>
    <row r="712" customFormat="false" ht="30" hidden="false" customHeight="true" outlineLevel="0" collapsed="false">
      <c r="A712" s="1" t="s">
        <v>1426</v>
      </c>
      <c r="B712" s="2" t="s">
        <v>1427</v>
      </c>
      <c r="C712" s="6" t="n">
        <v>41538</v>
      </c>
      <c r="D712" s="3" t="n">
        <v>7</v>
      </c>
      <c r="E712" s="3" t="n">
        <v>7</v>
      </c>
      <c r="F712" s="7" t="n">
        <f aca="false">IFERROR(Tableau1[[#This Row],[Score]]/Tableau1[[#This Row],[Nb]],0)</f>
        <v>1</v>
      </c>
    </row>
    <row r="713" customFormat="false" ht="30" hidden="false" customHeight="true" outlineLevel="0" collapsed="false">
      <c r="A713" s="1" t="s">
        <v>1428</v>
      </c>
      <c r="B713" s="2" t="s">
        <v>1429</v>
      </c>
      <c r="C713" s="6" t="n">
        <v>41538</v>
      </c>
      <c r="D713" s="3" t="n">
        <v>7</v>
      </c>
      <c r="E713" s="3" t="n">
        <v>7</v>
      </c>
      <c r="F713" s="7" t="n">
        <f aca="false">IFERROR(Tableau1[[#This Row],[Score]]/Tableau1[[#This Row],[Nb]],0)</f>
        <v>1</v>
      </c>
    </row>
    <row r="714" customFormat="false" ht="30" hidden="false" customHeight="true" outlineLevel="0" collapsed="false">
      <c r="A714" s="1" t="s">
        <v>1430</v>
      </c>
      <c r="B714" s="2" t="s">
        <v>1431</v>
      </c>
      <c r="C714" s="6" t="n">
        <v>41538</v>
      </c>
      <c r="D714" s="3" t="n">
        <v>7</v>
      </c>
      <c r="E714" s="3" t="n">
        <v>7</v>
      </c>
      <c r="F714" s="7" t="n">
        <f aca="false">IFERROR(Tableau1[[#This Row],[Score]]/Tableau1[[#This Row],[Nb]],0)</f>
        <v>1</v>
      </c>
    </row>
    <row r="715" customFormat="false" ht="30" hidden="false" customHeight="true" outlineLevel="0" collapsed="false">
      <c r="A715" s="1" t="s">
        <v>1432</v>
      </c>
      <c r="B715" s="2" t="s">
        <v>1433</v>
      </c>
      <c r="C715" s="6" t="n">
        <v>41538</v>
      </c>
      <c r="D715" s="3" t="n">
        <v>7</v>
      </c>
      <c r="E715" s="3" t="n">
        <v>7</v>
      </c>
      <c r="F715" s="7" t="n">
        <f aca="false">IFERROR(Tableau1[[#This Row],[Score]]/Tableau1[[#This Row],[Nb]],0)</f>
        <v>1</v>
      </c>
    </row>
    <row r="716" customFormat="false" ht="30" hidden="false" customHeight="true" outlineLevel="0" collapsed="false">
      <c r="A716" s="1" t="s">
        <v>1434</v>
      </c>
      <c r="B716" s="2" t="s">
        <v>1435</v>
      </c>
      <c r="C716" s="6" t="n">
        <v>41551</v>
      </c>
      <c r="D716" s="3" t="n">
        <v>7</v>
      </c>
      <c r="E716" s="3" t="n">
        <v>-7</v>
      </c>
      <c r="F716" s="7" t="n">
        <f aca="false">IFERROR(Tableau1[[#This Row],[Score]]/Tableau1[[#This Row],[Nb]],0)</f>
        <v>-1</v>
      </c>
    </row>
    <row r="717" customFormat="false" ht="30" hidden="false" customHeight="true" outlineLevel="0" collapsed="false">
      <c r="A717" s="1" t="s">
        <v>1436</v>
      </c>
      <c r="B717" s="2" t="s">
        <v>1437</v>
      </c>
      <c r="C717" s="6" t="n">
        <v>41551</v>
      </c>
      <c r="D717" s="3" t="n">
        <v>14</v>
      </c>
      <c r="E717" s="3" t="n">
        <v>-12</v>
      </c>
      <c r="F717" s="7" t="n">
        <f aca="false">IFERROR(Tableau1[[#This Row],[Score]]/Tableau1[[#This Row],[Nb]],0)</f>
        <v>-0.857142857142857</v>
      </c>
    </row>
    <row r="718" customFormat="false" ht="30" hidden="false" customHeight="true" outlineLevel="0" collapsed="false">
      <c r="A718" s="1" t="s">
        <v>1438</v>
      </c>
      <c r="B718" s="2" t="s">
        <v>1439</v>
      </c>
      <c r="C718" s="6" t="n">
        <v>41551</v>
      </c>
      <c r="D718" s="3" t="n">
        <v>11</v>
      </c>
      <c r="E718" s="3" t="n">
        <v>-9</v>
      </c>
      <c r="F718" s="7" t="n">
        <f aca="false">IFERROR(Tableau1[[#This Row],[Score]]/Tableau1[[#This Row],[Nb]],0)</f>
        <v>-0.818181818181818</v>
      </c>
    </row>
    <row r="719" customFormat="false" ht="30" hidden="false" customHeight="true" outlineLevel="0" collapsed="false">
      <c r="A719" s="1" t="s">
        <v>1440</v>
      </c>
      <c r="B719" s="2" t="s">
        <v>1441</v>
      </c>
      <c r="C719" s="6" t="n">
        <v>41551</v>
      </c>
      <c r="D719" s="3" t="n">
        <v>9</v>
      </c>
      <c r="E719" s="3" t="n">
        <v>-7</v>
      </c>
      <c r="F719" s="7" t="n">
        <f aca="false">IFERROR(Tableau1[[#This Row],[Score]]/Tableau1[[#This Row],[Nb]],0)</f>
        <v>-0.777777777777778</v>
      </c>
    </row>
    <row r="720" customFormat="false" ht="30" hidden="false" customHeight="true" outlineLevel="0" collapsed="false">
      <c r="A720" s="1" t="s">
        <v>1442</v>
      </c>
      <c r="B720" s="2" t="s">
        <v>1443</v>
      </c>
      <c r="C720" s="6" t="n">
        <v>41551</v>
      </c>
      <c r="D720" s="3" t="n">
        <v>18</v>
      </c>
      <c r="E720" s="3" t="n">
        <v>-14</v>
      </c>
      <c r="F720" s="7" t="n">
        <f aca="false">IFERROR(Tableau1[[#This Row],[Score]]/Tableau1[[#This Row],[Nb]],0)</f>
        <v>-0.777777777777778</v>
      </c>
    </row>
    <row r="721" customFormat="false" ht="30" hidden="false" customHeight="true" outlineLevel="0" collapsed="false">
      <c r="A721" s="1" t="s">
        <v>1444</v>
      </c>
      <c r="B721" s="2" t="s">
        <v>1445</v>
      </c>
      <c r="C721" s="6" t="n">
        <v>41551</v>
      </c>
      <c r="D721" s="3" t="n">
        <v>12</v>
      </c>
      <c r="E721" s="3" t="n">
        <v>-8</v>
      </c>
      <c r="F721" s="7" t="n">
        <f aca="false">IFERROR(Tableau1[[#This Row],[Score]]/Tableau1[[#This Row],[Nb]],0)</f>
        <v>-0.666666666666667</v>
      </c>
    </row>
    <row r="722" customFormat="false" ht="30" hidden="false" customHeight="true" outlineLevel="0" collapsed="false">
      <c r="A722" s="1" t="s">
        <v>1446</v>
      </c>
      <c r="B722" s="2" t="s">
        <v>1447</v>
      </c>
      <c r="C722" s="6" t="n">
        <v>41551</v>
      </c>
      <c r="D722" s="3" t="n">
        <v>11</v>
      </c>
      <c r="E722" s="3" t="n">
        <v>-7</v>
      </c>
      <c r="F722" s="7" t="n">
        <f aca="false">IFERROR(Tableau1[[#This Row],[Score]]/Tableau1[[#This Row],[Nb]],0)</f>
        <v>-0.636363636363636</v>
      </c>
    </row>
    <row r="723" customFormat="false" ht="30" hidden="false" customHeight="true" outlineLevel="0" collapsed="false">
      <c r="A723" s="1" t="s">
        <v>1448</v>
      </c>
      <c r="B723" s="2" t="s">
        <v>1449</v>
      </c>
      <c r="C723" s="6" t="n">
        <v>41551</v>
      </c>
      <c r="D723" s="3" t="n">
        <v>5</v>
      </c>
      <c r="E723" s="3" t="n">
        <v>-3</v>
      </c>
      <c r="F723" s="7" t="n">
        <f aca="false">IFERROR(Tableau1[[#This Row],[Score]]/Tableau1[[#This Row],[Nb]],0)</f>
        <v>-0.6</v>
      </c>
    </row>
    <row r="724" customFormat="false" ht="30" hidden="false" customHeight="true" outlineLevel="0" collapsed="false">
      <c r="A724" s="1" t="s">
        <v>1450</v>
      </c>
      <c r="B724" s="2" t="s">
        <v>1451</v>
      </c>
      <c r="C724" s="6" t="n">
        <v>41551</v>
      </c>
      <c r="D724" s="3" t="n">
        <v>9</v>
      </c>
      <c r="E724" s="3" t="n">
        <v>-5</v>
      </c>
      <c r="F724" s="7" t="n">
        <f aca="false">IFERROR(Tableau1[[#This Row],[Score]]/Tableau1[[#This Row],[Nb]],0)</f>
        <v>-0.555555555555556</v>
      </c>
    </row>
    <row r="725" customFormat="false" ht="30" hidden="false" customHeight="true" outlineLevel="0" collapsed="false">
      <c r="A725" s="1" t="s">
        <v>1452</v>
      </c>
      <c r="B725" s="2" t="s">
        <v>1453</v>
      </c>
      <c r="C725" s="6" t="n">
        <v>41551</v>
      </c>
      <c r="D725" s="3" t="n">
        <v>7</v>
      </c>
      <c r="E725" s="3" t="n">
        <v>-3</v>
      </c>
      <c r="F725" s="7" t="n">
        <f aca="false">IFERROR(Tableau1[[#This Row],[Score]]/Tableau1[[#This Row],[Nb]],0)</f>
        <v>-0.428571428571429</v>
      </c>
    </row>
    <row r="726" customFormat="false" ht="30" hidden="false" customHeight="true" outlineLevel="0" collapsed="false">
      <c r="A726" s="1" t="s">
        <v>1454</v>
      </c>
      <c r="B726" s="2" t="s">
        <v>1455</v>
      </c>
      <c r="C726" s="6" t="n">
        <v>41551</v>
      </c>
      <c r="D726" s="3" t="n">
        <v>7</v>
      </c>
      <c r="E726" s="3" t="n">
        <v>-3</v>
      </c>
      <c r="F726" s="7" t="n">
        <f aca="false">IFERROR(Tableau1[[#This Row],[Score]]/Tableau1[[#This Row],[Nb]],0)</f>
        <v>-0.428571428571429</v>
      </c>
    </row>
    <row r="727" customFormat="false" ht="30" hidden="false" customHeight="true" outlineLevel="0" collapsed="false">
      <c r="A727" s="1" t="s">
        <v>1456</v>
      </c>
      <c r="B727" s="2" t="s">
        <v>1457</v>
      </c>
      <c r="C727" s="6" t="n">
        <v>41551</v>
      </c>
      <c r="D727" s="3" t="n">
        <v>5</v>
      </c>
      <c r="E727" s="3" t="n">
        <v>-1</v>
      </c>
      <c r="F727" s="7" t="n">
        <f aca="false">IFERROR(Tableau1[[#This Row],[Score]]/Tableau1[[#This Row],[Nb]],0)</f>
        <v>-0.2</v>
      </c>
    </row>
    <row r="728" customFormat="false" ht="30" hidden="false" customHeight="true" outlineLevel="0" collapsed="false">
      <c r="A728" s="1" t="s">
        <v>1458</v>
      </c>
      <c r="B728" s="2" t="s">
        <v>1459</v>
      </c>
      <c r="C728" s="6" t="n">
        <v>41551</v>
      </c>
      <c r="D728" s="3" t="n">
        <v>8</v>
      </c>
      <c r="E728" s="3" t="n">
        <v>0</v>
      </c>
      <c r="F728" s="7" t="n">
        <f aca="false">IFERROR(Tableau1[[#This Row],[Score]]/Tableau1[[#This Row],[Nb]],0)</f>
        <v>0</v>
      </c>
    </row>
    <row r="729" customFormat="false" ht="30" hidden="false" customHeight="true" outlineLevel="0" collapsed="false">
      <c r="A729" s="1" t="s">
        <v>1460</v>
      </c>
      <c r="B729" s="2" t="s">
        <v>1461</v>
      </c>
      <c r="C729" s="6" t="n">
        <v>41551</v>
      </c>
      <c r="D729" s="3" t="n">
        <v>11</v>
      </c>
      <c r="E729" s="3" t="n">
        <v>-1</v>
      </c>
      <c r="F729" s="7" t="n">
        <f aca="false">IFERROR(Tableau1[[#This Row],[Score]]/Tableau1[[#This Row],[Nb]],0)</f>
        <v>-0.0909090909090909</v>
      </c>
    </row>
    <row r="730" customFormat="false" ht="30" hidden="false" customHeight="true" outlineLevel="0" collapsed="false">
      <c r="A730" s="1" t="s">
        <v>1462</v>
      </c>
      <c r="B730" s="2" t="s">
        <v>1463</v>
      </c>
      <c r="C730" s="6" t="n">
        <v>41551</v>
      </c>
      <c r="D730" s="3" t="n">
        <v>11</v>
      </c>
      <c r="E730" s="3" t="n">
        <v>-1</v>
      </c>
      <c r="F730" s="7" t="n">
        <f aca="false">IFERROR(Tableau1[[#This Row],[Score]]/Tableau1[[#This Row],[Nb]],0)</f>
        <v>-0.0909090909090909</v>
      </c>
    </row>
    <row r="731" customFormat="false" ht="30" hidden="false" customHeight="true" outlineLevel="0" collapsed="false">
      <c r="A731" s="1" t="s">
        <v>1464</v>
      </c>
      <c r="B731" s="2" t="s">
        <v>1465</v>
      </c>
      <c r="C731" s="6" t="n">
        <v>41551</v>
      </c>
      <c r="D731" s="3" t="n">
        <v>8</v>
      </c>
      <c r="E731" s="3" t="n">
        <v>0</v>
      </c>
      <c r="F731" s="7" t="n">
        <f aca="false">IFERROR(Tableau1[[#This Row],[Score]]/Tableau1[[#This Row],[Nb]],0)</f>
        <v>0</v>
      </c>
    </row>
    <row r="732" customFormat="false" ht="30" hidden="false" customHeight="true" outlineLevel="0" collapsed="false">
      <c r="A732" s="1" t="s">
        <v>1466</v>
      </c>
      <c r="B732" s="2" t="s">
        <v>1467</v>
      </c>
      <c r="C732" s="6" t="n">
        <v>41551</v>
      </c>
      <c r="D732" s="3" t="n">
        <v>6</v>
      </c>
      <c r="E732" s="3" t="n">
        <v>0</v>
      </c>
      <c r="F732" s="7" t="n">
        <f aca="false">IFERROR(Tableau1[[#This Row],[Score]]/Tableau1[[#This Row],[Nb]],0)</f>
        <v>0</v>
      </c>
    </row>
    <row r="733" customFormat="false" ht="30" hidden="false" customHeight="true" outlineLevel="0" collapsed="false">
      <c r="A733" s="1" t="s">
        <v>1468</v>
      </c>
      <c r="B733" s="2" t="s">
        <v>1469</v>
      </c>
      <c r="C733" s="6" t="n">
        <v>41551</v>
      </c>
      <c r="D733" s="3" t="n">
        <v>12</v>
      </c>
      <c r="E733" s="3" t="n">
        <v>0</v>
      </c>
      <c r="F733" s="7" t="n">
        <f aca="false">IFERROR(Tableau1[[#This Row],[Score]]/Tableau1[[#This Row],[Nb]],0)</f>
        <v>0</v>
      </c>
    </row>
    <row r="734" customFormat="false" ht="30" hidden="false" customHeight="true" outlineLevel="0" collapsed="false">
      <c r="A734" s="1" t="s">
        <v>1470</v>
      </c>
      <c r="B734" s="2" t="s">
        <v>1471</v>
      </c>
      <c r="C734" s="6" t="n">
        <v>41551</v>
      </c>
      <c r="D734" s="3" t="n">
        <v>13</v>
      </c>
      <c r="E734" s="3" t="n">
        <v>1</v>
      </c>
      <c r="F734" s="7" t="n">
        <f aca="false">IFERROR(Tableau1[[#This Row],[Score]]/Tableau1[[#This Row],[Nb]],0)</f>
        <v>0.0769230769230769</v>
      </c>
    </row>
    <row r="735" customFormat="false" ht="30" hidden="false" customHeight="true" outlineLevel="0" collapsed="false">
      <c r="A735" s="1" t="s">
        <v>1472</v>
      </c>
      <c r="B735" s="2" t="s">
        <v>1473</v>
      </c>
      <c r="C735" s="6" t="n">
        <v>41551</v>
      </c>
      <c r="D735" s="3" t="n">
        <v>11</v>
      </c>
      <c r="E735" s="3" t="n">
        <v>1</v>
      </c>
      <c r="F735" s="7" t="n">
        <f aca="false">IFERROR(Tableau1[[#This Row],[Score]]/Tableau1[[#This Row],[Nb]],0)</f>
        <v>0.0909090909090909</v>
      </c>
    </row>
    <row r="736" customFormat="false" ht="30" hidden="false" customHeight="true" outlineLevel="0" collapsed="false">
      <c r="A736" s="1" t="s">
        <v>1474</v>
      </c>
      <c r="B736" s="2" t="s">
        <v>1475</v>
      </c>
      <c r="C736" s="6" t="n">
        <v>41551</v>
      </c>
      <c r="D736" s="3" t="n">
        <v>11</v>
      </c>
      <c r="E736" s="3" t="n">
        <v>3</v>
      </c>
      <c r="F736" s="7" t="n">
        <f aca="false">IFERROR(Tableau1[[#This Row],[Score]]/Tableau1[[#This Row],[Nb]],0)</f>
        <v>0.272727272727273</v>
      </c>
    </row>
    <row r="737" customFormat="false" ht="30" hidden="false" customHeight="true" outlineLevel="0" collapsed="false">
      <c r="A737" s="1" t="s">
        <v>1476</v>
      </c>
      <c r="B737" s="2" t="s">
        <v>1477</v>
      </c>
      <c r="C737" s="6" t="n">
        <v>41551</v>
      </c>
      <c r="D737" s="3" t="n">
        <v>11</v>
      </c>
      <c r="E737" s="3" t="n">
        <v>3</v>
      </c>
      <c r="F737" s="7" t="n">
        <f aca="false">IFERROR(Tableau1[[#This Row],[Score]]/Tableau1[[#This Row],[Nb]],0)</f>
        <v>0.272727272727273</v>
      </c>
    </row>
    <row r="738" customFormat="false" ht="30" hidden="false" customHeight="true" outlineLevel="0" collapsed="false">
      <c r="A738" s="1" t="s">
        <v>1478</v>
      </c>
      <c r="B738" s="2" t="s">
        <v>1479</v>
      </c>
      <c r="C738" s="6" t="n">
        <v>41551</v>
      </c>
      <c r="D738" s="3" t="n">
        <v>11</v>
      </c>
      <c r="E738" s="3" t="n">
        <v>3</v>
      </c>
      <c r="F738" s="7" t="n">
        <f aca="false">IFERROR(Tableau1[[#This Row],[Score]]/Tableau1[[#This Row],[Nb]],0)</f>
        <v>0.272727272727273</v>
      </c>
    </row>
    <row r="739" customFormat="false" ht="30" hidden="false" customHeight="true" outlineLevel="0" collapsed="false">
      <c r="A739" s="1" t="s">
        <v>1480</v>
      </c>
      <c r="B739" s="2" t="s">
        <v>1481</v>
      </c>
      <c r="C739" s="6" t="n">
        <v>41551</v>
      </c>
      <c r="D739" s="3" t="n">
        <v>12</v>
      </c>
      <c r="E739" s="3" t="n">
        <v>4</v>
      </c>
      <c r="F739" s="7" t="n">
        <f aca="false">IFERROR(Tableau1[[#This Row],[Score]]/Tableau1[[#This Row],[Nb]],0)</f>
        <v>0.333333333333333</v>
      </c>
    </row>
    <row r="740" customFormat="false" ht="30" hidden="false" customHeight="true" outlineLevel="0" collapsed="false">
      <c r="A740" s="1" t="s">
        <v>1482</v>
      </c>
      <c r="B740" s="2" t="s">
        <v>1483</v>
      </c>
      <c r="C740" s="6" t="n">
        <v>41551</v>
      </c>
      <c r="D740" s="3" t="n">
        <v>15</v>
      </c>
      <c r="E740" s="3" t="n">
        <v>5</v>
      </c>
      <c r="F740" s="7" t="n">
        <f aca="false">IFERROR(Tableau1[[#This Row],[Score]]/Tableau1[[#This Row],[Nb]],0)</f>
        <v>0.333333333333333</v>
      </c>
    </row>
    <row r="741" customFormat="false" ht="30" hidden="false" customHeight="true" outlineLevel="0" collapsed="false">
      <c r="A741" s="1" t="s">
        <v>1484</v>
      </c>
      <c r="B741" s="2" t="s">
        <v>1485</v>
      </c>
      <c r="C741" s="6" t="n">
        <v>41551</v>
      </c>
      <c r="D741" s="3" t="n">
        <v>13</v>
      </c>
      <c r="E741" s="3" t="n">
        <v>5</v>
      </c>
      <c r="F741" s="7" t="n">
        <f aca="false">IFERROR(Tableau1[[#This Row],[Score]]/Tableau1[[#This Row],[Nb]],0)</f>
        <v>0.384615384615385</v>
      </c>
    </row>
    <row r="742" customFormat="false" ht="30" hidden="false" customHeight="true" outlineLevel="0" collapsed="false">
      <c r="A742" s="1" t="s">
        <v>1486</v>
      </c>
      <c r="B742" s="2" t="s">
        <v>1487</v>
      </c>
      <c r="C742" s="6" t="n">
        <v>41551</v>
      </c>
      <c r="D742" s="3" t="n">
        <v>7</v>
      </c>
      <c r="E742" s="3" t="n">
        <v>3</v>
      </c>
      <c r="F742" s="7" t="n">
        <f aca="false">IFERROR(Tableau1[[#This Row],[Score]]/Tableau1[[#This Row],[Nb]],0)</f>
        <v>0.428571428571429</v>
      </c>
    </row>
    <row r="743" customFormat="false" ht="30" hidden="false" customHeight="true" outlineLevel="0" collapsed="false">
      <c r="A743" s="1" t="s">
        <v>1488</v>
      </c>
      <c r="B743" s="2" t="s">
        <v>1489</v>
      </c>
      <c r="C743" s="6" t="n">
        <v>41551</v>
      </c>
      <c r="D743" s="3" t="n">
        <v>7</v>
      </c>
      <c r="E743" s="3" t="n">
        <v>3</v>
      </c>
      <c r="F743" s="7" t="n">
        <f aca="false">IFERROR(Tableau1[[#This Row],[Score]]/Tableau1[[#This Row],[Nb]],0)</f>
        <v>0.428571428571429</v>
      </c>
    </row>
    <row r="744" customFormat="false" ht="30" hidden="false" customHeight="true" outlineLevel="0" collapsed="false">
      <c r="A744" s="1" t="s">
        <v>1490</v>
      </c>
      <c r="B744" s="2" t="s">
        <v>1491</v>
      </c>
      <c r="C744" s="6" t="n">
        <v>41551</v>
      </c>
      <c r="D744" s="3" t="n">
        <v>11</v>
      </c>
      <c r="E744" s="3" t="n">
        <v>5</v>
      </c>
      <c r="F744" s="7" t="n">
        <f aca="false">IFERROR(Tableau1[[#This Row],[Score]]/Tableau1[[#This Row],[Nb]],0)</f>
        <v>0.454545454545455</v>
      </c>
    </row>
    <row r="745" customFormat="false" ht="30" hidden="false" customHeight="true" outlineLevel="0" collapsed="false">
      <c r="A745" s="1" t="s">
        <v>1492</v>
      </c>
      <c r="B745" s="2" t="s">
        <v>1493</v>
      </c>
      <c r="C745" s="6" t="n">
        <v>41551</v>
      </c>
      <c r="D745" s="3" t="n">
        <v>11</v>
      </c>
      <c r="E745" s="3" t="n">
        <v>5</v>
      </c>
      <c r="F745" s="7" t="n">
        <f aca="false">IFERROR(Tableau1[[#This Row],[Score]]/Tableau1[[#This Row],[Nb]],0)</f>
        <v>0.454545454545455</v>
      </c>
    </row>
    <row r="746" customFormat="false" ht="30" hidden="false" customHeight="true" outlineLevel="0" collapsed="false">
      <c r="A746" s="1" t="s">
        <v>1494</v>
      </c>
      <c r="B746" s="2" t="s">
        <v>1495</v>
      </c>
      <c r="C746" s="6" t="n">
        <v>41551</v>
      </c>
      <c r="D746" s="3" t="n">
        <v>8</v>
      </c>
      <c r="E746" s="3" t="n">
        <v>4</v>
      </c>
      <c r="F746" s="7" t="n">
        <f aca="false">IFERROR(Tableau1[[#This Row],[Score]]/Tableau1[[#This Row],[Nb]],0)</f>
        <v>0.5</v>
      </c>
    </row>
    <row r="747" customFormat="false" ht="30" hidden="false" customHeight="true" outlineLevel="0" collapsed="false">
      <c r="A747" s="1" t="s">
        <v>1496</v>
      </c>
      <c r="B747" s="2" t="s">
        <v>1497</v>
      </c>
      <c r="C747" s="6" t="n">
        <v>41551</v>
      </c>
      <c r="D747" s="3" t="n">
        <v>10</v>
      </c>
      <c r="E747" s="3" t="n">
        <v>6</v>
      </c>
      <c r="F747" s="7" t="n">
        <f aca="false">IFERROR(Tableau1[[#This Row],[Score]]/Tableau1[[#This Row],[Nb]],0)</f>
        <v>0.6</v>
      </c>
    </row>
    <row r="748" customFormat="false" ht="30" hidden="false" customHeight="true" outlineLevel="0" collapsed="false">
      <c r="A748" s="1" t="s">
        <v>1498</v>
      </c>
      <c r="B748" s="2" t="s">
        <v>1499</v>
      </c>
      <c r="C748" s="6" t="n">
        <v>41551</v>
      </c>
      <c r="D748" s="3" t="n">
        <v>16</v>
      </c>
      <c r="E748" s="3" t="n">
        <v>10</v>
      </c>
      <c r="F748" s="7" t="n">
        <f aca="false">IFERROR(Tableau1[[#This Row],[Score]]/Tableau1[[#This Row],[Nb]],0)</f>
        <v>0.625</v>
      </c>
    </row>
    <row r="749" customFormat="false" ht="30" hidden="false" customHeight="true" outlineLevel="0" collapsed="false">
      <c r="A749" s="1" t="s">
        <v>1500</v>
      </c>
      <c r="B749" s="2" t="s">
        <v>1501</v>
      </c>
      <c r="C749" s="6" t="n">
        <v>41551</v>
      </c>
      <c r="D749" s="3" t="n">
        <v>6</v>
      </c>
      <c r="E749" s="3" t="n">
        <v>4</v>
      </c>
      <c r="F749" s="7" t="n">
        <f aca="false">IFERROR(Tableau1[[#This Row],[Score]]/Tableau1[[#This Row],[Nb]],0)</f>
        <v>0.666666666666667</v>
      </c>
    </row>
    <row r="750" customFormat="false" ht="30" hidden="false" customHeight="true" outlineLevel="0" collapsed="false">
      <c r="A750" s="1" t="s">
        <v>1502</v>
      </c>
      <c r="B750" s="2" t="s">
        <v>1503</v>
      </c>
      <c r="C750" s="6" t="n">
        <v>41551</v>
      </c>
      <c r="D750" s="3" t="n">
        <v>25</v>
      </c>
      <c r="E750" s="3" t="n">
        <v>17</v>
      </c>
      <c r="F750" s="7" t="n">
        <f aca="false">IFERROR(Tableau1[[#This Row],[Score]]/Tableau1[[#This Row],[Nb]],0)</f>
        <v>0.68</v>
      </c>
    </row>
    <row r="751" customFormat="false" ht="30" hidden="false" customHeight="true" outlineLevel="0" collapsed="false">
      <c r="A751" s="1" t="s">
        <v>1504</v>
      </c>
      <c r="B751" s="2" t="s">
        <v>1505</v>
      </c>
      <c r="C751" s="6" t="n">
        <v>41551</v>
      </c>
      <c r="D751" s="3" t="n">
        <v>14</v>
      </c>
      <c r="E751" s="3" t="n">
        <v>10</v>
      </c>
      <c r="F751" s="7" t="n">
        <f aca="false">IFERROR(Tableau1[[#This Row],[Score]]/Tableau1[[#This Row],[Nb]],0)</f>
        <v>0.714285714285714</v>
      </c>
    </row>
    <row r="752" customFormat="false" ht="30" hidden="false" customHeight="true" outlineLevel="0" collapsed="false">
      <c r="A752" s="1" t="s">
        <v>1506</v>
      </c>
      <c r="B752" s="2" t="s">
        <v>1507</v>
      </c>
      <c r="C752" s="6" t="n">
        <v>41551</v>
      </c>
      <c r="D752" s="3" t="n">
        <v>7</v>
      </c>
      <c r="E752" s="3" t="n">
        <v>5</v>
      </c>
      <c r="F752" s="7" t="n">
        <f aca="false">IFERROR(Tableau1[[#This Row],[Score]]/Tableau1[[#This Row],[Nb]],0)</f>
        <v>0.714285714285714</v>
      </c>
    </row>
    <row r="753" customFormat="false" ht="30" hidden="false" customHeight="true" outlineLevel="0" collapsed="false">
      <c r="A753" s="1" t="s">
        <v>1508</v>
      </c>
      <c r="B753" s="2" t="s">
        <v>1509</v>
      </c>
      <c r="C753" s="6" t="n">
        <v>41551</v>
      </c>
      <c r="D753" s="3" t="n">
        <v>11</v>
      </c>
      <c r="E753" s="3" t="n">
        <v>8</v>
      </c>
      <c r="F753" s="7" t="n">
        <f aca="false">IFERROR(Tableau1[[#This Row],[Score]]/Tableau1[[#This Row],[Nb]],0)</f>
        <v>0.727272727272727</v>
      </c>
    </row>
    <row r="754" customFormat="false" ht="30" hidden="false" customHeight="true" outlineLevel="0" collapsed="false">
      <c r="A754" s="1" t="s">
        <v>1510</v>
      </c>
      <c r="B754" s="2" t="s">
        <v>1511</v>
      </c>
      <c r="C754" s="6" t="n">
        <v>41551</v>
      </c>
      <c r="D754" s="3" t="n">
        <v>8</v>
      </c>
      <c r="E754" s="3" t="n">
        <v>6</v>
      </c>
      <c r="F754" s="7" t="n">
        <f aca="false">IFERROR(Tableau1[[#This Row],[Score]]/Tableau1[[#This Row],[Nb]],0)</f>
        <v>0.75</v>
      </c>
    </row>
    <row r="755" customFormat="false" ht="30" hidden="false" customHeight="true" outlineLevel="0" collapsed="false">
      <c r="A755" s="1" t="s">
        <v>1512</v>
      </c>
      <c r="B755" s="2" t="s">
        <v>1513</v>
      </c>
      <c r="C755" s="6" t="n">
        <v>41551</v>
      </c>
      <c r="D755" s="3" t="n">
        <v>8</v>
      </c>
      <c r="E755" s="3" t="n">
        <v>6</v>
      </c>
      <c r="F755" s="7" t="n">
        <f aca="false">IFERROR(Tableau1[[#This Row],[Score]]/Tableau1[[#This Row],[Nb]],0)</f>
        <v>0.75</v>
      </c>
    </row>
    <row r="756" customFormat="false" ht="30" hidden="false" customHeight="true" outlineLevel="0" collapsed="false">
      <c r="A756" s="1" t="s">
        <v>1514</v>
      </c>
      <c r="B756" s="2" t="s">
        <v>1515</v>
      </c>
      <c r="C756" s="6" t="n">
        <v>41551</v>
      </c>
      <c r="D756" s="3" t="n">
        <v>10</v>
      </c>
      <c r="E756" s="3" t="n">
        <v>8</v>
      </c>
      <c r="F756" s="7" t="n">
        <f aca="false">IFERROR(Tableau1[[#This Row],[Score]]/Tableau1[[#This Row],[Nb]],0)</f>
        <v>0.8</v>
      </c>
    </row>
    <row r="757" customFormat="false" ht="30" hidden="false" customHeight="true" outlineLevel="0" collapsed="false">
      <c r="A757" s="1" t="s">
        <v>1516</v>
      </c>
      <c r="B757" s="2" t="s">
        <v>1517</v>
      </c>
      <c r="C757" s="6" t="n">
        <v>41551</v>
      </c>
      <c r="D757" s="3" t="n">
        <v>10</v>
      </c>
      <c r="E757" s="3" t="n">
        <v>8</v>
      </c>
      <c r="F757" s="7" t="n">
        <f aca="false">IFERROR(Tableau1[[#This Row],[Score]]/Tableau1[[#This Row],[Nb]],0)</f>
        <v>0.8</v>
      </c>
    </row>
    <row r="758" customFormat="false" ht="30" hidden="false" customHeight="true" outlineLevel="0" collapsed="false">
      <c r="A758" s="1" t="s">
        <v>1518</v>
      </c>
      <c r="B758" s="2" t="s">
        <v>1519</v>
      </c>
      <c r="C758" s="6" t="n">
        <v>41551</v>
      </c>
      <c r="D758" s="3" t="n">
        <v>11</v>
      </c>
      <c r="E758" s="3" t="n">
        <v>9</v>
      </c>
      <c r="F758" s="7" t="n">
        <f aca="false">IFERROR(Tableau1[[#This Row],[Score]]/Tableau1[[#This Row],[Nb]],0)</f>
        <v>0.818181818181818</v>
      </c>
    </row>
    <row r="759" customFormat="false" ht="30" hidden="false" customHeight="true" outlineLevel="0" collapsed="false">
      <c r="A759" s="1" t="s">
        <v>1520</v>
      </c>
      <c r="B759" s="2" t="s">
        <v>1521</v>
      </c>
      <c r="C759" s="6" t="n">
        <v>41551</v>
      </c>
      <c r="D759" s="3" t="n">
        <v>13</v>
      </c>
      <c r="E759" s="3" t="n">
        <v>11</v>
      </c>
      <c r="F759" s="7" t="n">
        <f aca="false">IFERROR(Tableau1[[#This Row],[Score]]/Tableau1[[#This Row],[Nb]],0)</f>
        <v>0.846153846153846</v>
      </c>
    </row>
    <row r="760" customFormat="false" ht="30" hidden="false" customHeight="true" outlineLevel="0" collapsed="false">
      <c r="A760" s="1" t="s">
        <v>1522</v>
      </c>
      <c r="B760" s="2" t="s">
        <v>1523</v>
      </c>
      <c r="C760" s="6" t="n">
        <v>41551</v>
      </c>
      <c r="D760" s="3" t="n">
        <v>8</v>
      </c>
      <c r="E760" s="3" t="n">
        <v>7</v>
      </c>
      <c r="F760" s="7" t="n">
        <f aca="false">IFERROR(Tableau1[[#This Row],[Score]]/Tableau1[[#This Row],[Nb]],0)</f>
        <v>0.875</v>
      </c>
    </row>
    <row r="761" customFormat="false" ht="30" hidden="false" customHeight="true" outlineLevel="0" collapsed="false">
      <c r="A761" s="1" t="s">
        <v>1524</v>
      </c>
      <c r="B761" s="2" t="s">
        <v>1525</v>
      </c>
      <c r="C761" s="6" t="n">
        <v>41551</v>
      </c>
      <c r="D761" s="3" t="n">
        <v>9</v>
      </c>
      <c r="E761" s="3" t="n">
        <v>8</v>
      </c>
      <c r="F761" s="7" t="n">
        <f aca="false">IFERROR(Tableau1[[#This Row],[Score]]/Tableau1[[#This Row],[Nb]],0)</f>
        <v>0.888888888888889</v>
      </c>
    </row>
    <row r="762" customFormat="false" ht="30" hidden="false" customHeight="true" outlineLevel="0" collapsed="false">
      <c r="A762" s="1" t="s">
        <v>1526</v>
      </c>
      <c r="B762" s="2" t="s">
        <v>1527</v>
      </c>
      <c r="C762" s="6" t="n">
        <v>41551</v>
      </c>
      <c r="D762" s="3" t="n">
        <v>10</v>
      </c>
      <c r="E762" s="3" t="n">
        <v>9</v>
      </c>
      <c r="F762" s="7" t="n">
        <f aca="false">IFERROR(Tableau1[[#This Row],[Score]]/Tableau1[[#This Row],[Nb]],0)</f>
        <v>0.9</v>
      </c>
    </row>
    <row r="763" customFormat="false" ht="30" hidden="false" customHeight="true" outlineLevel="0" collapsed="false">
      <c r="A763" s="1" t="s">
        <v>1528</v>
      </c>
      <c r="B763" s="2" t="s">
        <v>1529</v>
      </c>
      <c r="C763" s="6" t="n">
        <v>41551</v>
      </c>
      <c r="D763" s="3" t="n">
        <v>16</v>
      </c>
      <c r="E763" s="3" t="n">
        <v>15</v>
      </c>
      <c r="F763" s="7" t="n">
        <f aca="false">IFERROR(Tableau1[[#This Row],[Score]]/Tableau1[[#This Row],[Nb]],0)</f>
        <v>0.9375</v>
      </c>
    </row>
    <row r="764" customFormat="false" ht="30" hidden="false" customHeight="true" outlineLevel="0" collapsed="false">
      <c r="A764" s="8" t="s">
        <v>1530</v>
      </c>
      <c r="B764" s="9" t="s">
        <v>1531</v>
      </c>
      <c r="C764" s="6" t="n">
        <v>41551</v>
      </c>
      <c r="D764" s="3" t="n">
        <v>10</v>
      </c>
      <c r="E764" s="3" t="n">
        <v>10</v>
      </c>
      <c r="F764" s="7" t="n">
        <f aca="false">IFERROR(Tableau1[[#This Row],[Score]]/Tableau1[[#This Row],[Nb]],0)</f>
        <v>1</v>
      </c>
    </row>
    <row r="765" customFormat="false" ht="30" hidden="false" customHeight="true" outlineLevel="0" collapsed="false">
      <c r="A765" s="8" t="s">
        <v>1532</v>
      </c>
      <c r="B765" s="9" t="s">
        <v>1533</v>
      </c>
      <c r="C765" s="6" t="n">
        <v>41551</v>
      </c>
      <c r="D765" s="3" t="n">
        <v>10</v>
      </c>
      <c r="E765" s="3" t="n">
        <v>10</v>
      </c>
      <c r="F765" s="7" t="n">
        <f aca="false">IFERROR(Tableau1[[#This Row],[Score]]/Tableau1[[#This Row],[Nb]],0)</f>
        <v>1</v>
      </c>
    </row>
    <row r="766" customFormat="false" ht="30" hidden="false" customHeight="true" outlineLevel="0" collapsed="false">
      <c r="A766" s="8" t="s">
        <v>1534</v>
      </c>
      <c r="B766" s="9" t="s">
        <v>1535</v>
      </c>
      <c r="C766" s="6" t="n">
        <v>41551</v>
      </c>
      <c r="D766" s="3" t="n">
        <v>10</v>
      </c>
      <c r="E766" s="3" t="n">
        <v>10</v>
      </c>
      <c r="F766" s="7" t="n">
        <f aca="false">IFERROR(Tableau1[[#This Row],[Score]]/Tableau1[[#This Row],[Nb]],0)</f>
        <v>1</v>
      </c>
    </row>
    <row r="767" customFormat="false" ht="30" hidden="false" customHeight="true" outlineLevel="0" collapsed="false">
      <c r="A767" s="8" t="s">
        <v>1536</v>
      </c>
      <c r="B767" s="9" t="s">
        <v>1537</v>
      </c>
      <c r="C767" s="6" t="n">
        <v>41551</v>
      </c>
      <c r="D767" s="3" t="n">
        <v>10</v>
      </c>
      <c r="E767" s="3" t="n">
        <v>10</v>
      </c>
      <c r="F767" s="7" t="n">
        <f aca="false">IFERROR(Tableau1[[#This Row],[Score]]/Tableau1[[#This Row],[Nb]],0)</f>
        <v>1</v>
      </c>
    </row>
    <row r="768" customFormat="false" ht="30" hidden="false" customHeight="true" outlineLevel="0" collapsed="false">
      <c r="A768" s="1" t="s">
        <v>1538</v>
      </c>
      <c r="B768" s="2" t="s">
        <v>1539</v>
      </c>
      <c r="C768" s="6" t="n">
        <v>41551</v>
      </c>
      <c r="D768" s="3" t="n">
        <v>8</v>
      </c>
      <c r="E768" s="3" t="n">
        <v>8</v>
      </c>
      <c r="F768" s="7" t="n">
        <f aca="false">IFERROR(Tableau1[[#This Row],[Score]]/Tableau1[[#This Row],[Nb]],0)</f>
        <v>1</v>
      </c>
    </row>
    <row r="769" customFormat="false" ht="30" hidden="false" customHeight="true" outlineLevel="0" collapsed="false">
      <c r="A769" s="1" t="s">
        <v>1540</v>
      </c>
      <c r="B769" s="2" t="s">
        <v>1541</v>
      </c>
      <c r="C769" s="6" t="n">
        <v>41551</v>
      </c>
      <c r="D769" s="3" t="n">
        <v>8</v>
      </c>
      <c r="E769" s="3" t="n">
        <v>8</v>
      </c>
      <c r="F769" s="7" t="n">
        <f aca="false">IFERROR(Tableau1[[#This Row],[Score]]/Tableau1[[#This Row],[Nb]],0)</f>
        <v>1</v>
      </c>
    </row>
    <row r="770" customFormat="false" ht="30" hidden="false" customHeight="true" outlineLevel="0" collapsed="false">
      <c r="A770" s="1" t="s">
        <v>1542</v>
      </c>
      <c r="B770" s="2" t="s">
        <v>1543</v>
      </c>
      <c r="C770" s="6" t="n">
        <v>41551</v>
      </c>
      <c r="D770" s="3" t="n">
        <v>8</v>
      </c>
      <c r="E770" s="3" t="n">
        <v>8</v>
      </c>
      <c r="F770" s="7" t="n">
        <f aca="false">IFERROR(Tableau1[[#This Row],[Score]]/Tableau1[[#This Row],[Nb]],0)</f>
        <v>1</v>
      </c>
    </row>
    <row r="771" customFormat="false" ht="30" hidden="false" customHeight="true" outlineLevel="0" collapsed="false">
      <c r="A771" s="1" t="s">
        <v>1544</v>
      </c>
      <c r="B771" s="2" t="s">
        <v>1545</v>
      </c>
      <c r="C771" s="6" t="n">
        <v>41551</v>
      </c>
      <c r="D771" s="3" t="n">
        <v>8</v>
      </c>
      <c r="E771" s="3" t="n">
        <v>8</v>
      </c>
      <c r="F771" s="7" t="n">
        <f aca="false">IFERROR(Tableau1[[#This Row],[Score]]/Tableau1[[#This Row],[Nb]],0)</f>
        <v>1</v>
      </c>
    </row>
    <row r="772" customFormat="false" ht="30" hidden="false" customHeight="true" outlineLevel="0" collapsed="false">
      <c r="A772" s="1" t="s">
        <v>1546</v>
      </c>
      <c r="B772" s="2" t="s">
        <v>1547</v>
      </c>
      <c r="C772" s="6" t="n">
        <v>41551</v>
      </c>
      <c r="D772" s="3" t="n">
        <v>10</v>
      </c>
      <c r="E772" s="3" t="n">
        <v>10</v>
      </c>
      <c r="F772" s="7" t="n">
        <f aca="false">IFERROR(Tableau1[[#This Row],[Score]]/Tableau1[[#This Row],[Nb]],0)</f>
        <v>1</v>
      </c>
    </row>
    <row r="773" customFormat="false" ht="30" hidden="false" customHeight="true" outlineLevel="0" collapsed="false">
      <c r="A773" s="1" t="s">
        <v>1548</v>
      </c>
      <c r="B773" s="2" t="s">
        <v>1549</v>
      </c>
      <c r="C773" s="6" t="n">
        <v>41551</v>
      </c>
      <c r="D773" s="3" t="n">
        <v>9</v>
      </c>
      <c r="E773" s="3" t="n">
        <v>9</v>
      </c>
      <c r="F773" s="7" t="n">
        <f aca="false">IFERROR(Tableau1[[#This Row],[Score]]/Tableau1[[#This Row],[Nb]],0)</f>
        <v>1</v>
      </c>
    </row>
    <row r="774" customFormat="false" ht="30" hidden="false" customHeight="true" outlineLevel="0" collapsed="false">
      <c r="A774" s="1" t="s">
        <v>1550</v>
      </c>
      <c r="B774" s="2" t="s">
        <v>1551</v>
      </c>
      <c r="C774" s="6" t="n">
        <v>41551</v>
      </c>
      <c r="D774" s="3" t="n">
        <v>10</v>
      </c>
      <c r="E774" s="3" t="n">
        <v>10</v>
      </c>
      <c r="F774" s="7" t="n">
        <f aca="false">IFERROR(Tableau1[[#This Row],[Score]]/Tableau1[[#This Row],[Nb]],0)</f>
        <v>1</v>
      </c>
    </row>
    <row r="775" customFormat="false" ht="30" hidden="false" customHeight="true" outlineLevel="0" collapsed="false">
      <c r="A775" s="1" t="s">
        <v>1552</v>
      </c>
      <c r="B775" s="2" t="s">
        <v>1553</v>
      </c>
      <c r="C775" s="6" t="n">
        <v>41551</v>
      </c>
      <c r="D775" s="3" t="n">
        <v>4</v>
      </c>
      <c r="E775" s="3" t="n">
        <v>4</v>
      </c>
      <c r="F775" s="7" t="n">
        <f aca="false">IFERROR(Tableau1[[#This Row],[Score]]/Tableau1[[#This Row],[Nb]],0)</f>
        <v>1</v>
      </c>
    </row>
    <row r="776" customFormat="false" ht="30" hidden="false" customHeight="true" outlineLevel="0" collapsed="false">
      <c r="A776" s="1" t="s">
        <v>1554</v>
      </c>
      <c r="B776" s="2" t="s">
        <v>1555</v>
      </c>
      <c r="C776" s="6" t="n">
        <v>41551</v>
      </c>
      <c r="D776" s="3" t="n">
        <v>5</v>
      </c>
      <c r="E776" s="3" t="n">
        <v>5</v>
      </c>
      <c r="F776" s="7" t="n">
        <f aca="false">IFERROR(Tableau1[[#This Row],[Score]]/Tableau1[[#This Row],[Nb]],0)</f>
        <v>1</v>
      </c>
    </row>
    <row r="777" customFormat="false" ht="30" hidden="false" customHeight="true" outlineLevel="0" collapsed="false">
      <c r="A777" s="1" t="s">
        <v>1556</v>
      </c>
      <c r="B777" s="2" t="s">
        <v>1557</v>
      </c>
      <c r="C777" s="6" t="n">
        <v>41551</v>
      </c>
      <c r="D777" s="3" t="n">
        <v>6</v>
      </c>
      <c r="E777" s="3" t="n">
        <v>6</v>
      </c>
      <c r="F777" s="7" t="n">
        <f aca="false">IFERROR(Tableau1[[#This Row],[Score]]/Tableau1[[#This Row],[Nb]],0)</f>
        <v>1</v>
      </c>
    </row>
    <row r="778" customFormat="false" ht="30" hidden="false" customHeight="true" outlineLevel="0" collapsed="false">
      <c r="A778" s="1" t="s">
        <v>1558</v>
      </c>
      <c r="B778" s="2" t="s">
        <v>1559</v>
      </c>
      <c r="C778" s="6" t="n">
        <v>41551</v>
      </c>
      <c r="D778" s="3" t="n">
        <v>5</v>
      </c>
      <c r="E778" s="3" t="n">
        <v>5</v>
      </c>
      <c r="F778" s="7" t="n">
        <f aca="false">IFERROR(Tableau1[[#This Row],[Score]]/Tableau1[[#This Row],[Nb]],0)</f>
        <v>1</v>
      </c>
    </row>
    <row r="779" customFormat="false" ht="30" hidden="false" customHeight="true" outlineLevel="0" collapsed="false">
      <c r="A779" s="1" t="s">
        <v>1560</v>
      </c>
      <c r="B779" s="2" t="s">
        <v>1561</v>
      </c>
      <c r="C779" s="6" t="n">
        <v>41551</v>
      </c>
      <c r="D779" s="3" t="n">
        <v>7</v>
      </c>
      <c r="E779" s="3" t="n">
        <v>7</v>
      </c>
      <c r="F779" s="7" t="n">
        <f aca="false">IFERROR(Tableau1[[#This Row],[Score]]/Tableau1[[#This Row],[Nb]],0)</f>
        <v>1</v>
      </c>
    </row>
    <row r="780" customFormat="false" ht="30" hidden="false" customHeight="true" outlineLevel="0" collapsed="false">
      <c r="A780" s="1" t="s">
        <v>1562</v>
      </c>
      <c r="B780" s="2" t="s">
        <v>1563</v>
      </c>
      <c r="C780" s="6" t="n">
        <v>41551</v>
      </c>
      <c r="D780" s="3" t="n">
        <v>7</v>
      </c>
      <c r="E780" s="3" t="n">
        <v>7</v>
      </c>
      <c r="F780" s="7" t="n">
        <f aca="false">IFERROR(Tableau1[[#This Row],[Score]]/Tableau1[[#This Row],[Nb]],0)</f>
        <v>1</v>
      </c>
    </row>
    <row r="781" customFormat="false" ht="30" hidden="false" customHeight="true" outlineLevel="0" collapsed="false">
      <c r="A781" s="1" t="s">
        <v>1564</v>
      </c>
      <c r="B781" s="2" t="s">
        <v>1565</v>
      </c>
      <c r="C781" s="6" t="n">
        <v>41551</v>
      </c>
      <c r="D781" s="3" t="n">
        <v>7</v>
      </c>
      <c r="E781" s="3" t="n">
        <v>7</v>
      </c>
      <c r="F781" s="7" t="n">
        <f aca="false">IFERROR(Tableau1[[#This Row],[Score]]/Tableau1[[#This Row],[Nb]],0)</f>
        <v>1</v>
      </c>
    </row>
    <row r="782" customFormat="false" ht="30" hidden="false" customHeight="true" outlineLevel="0" collapsed="false">
      <c r="A782" s="1" t="s">
        <v>1566</v>
      </c>
      <c r="B782" s="2" t="s">
        <v>1567</v>
      </c>
      <c r="C782" s="6" t="n">
        <v>41551</v>
      </c>
      <c r="D782" s="3" t="n">
        <v>7</v>
      </c>
      <c r="E782" s="3" t="n">
        <v>7</v>
      </c>
      <c r="F782" s="7" t="n">
        <f aca="false">IFERROR(Tableau1[[#This Row],[Score]]/Tableau1[[#This Row],[Nb]],0)</f>
        <v>1</v>
      </c>
    </row>
    <row r="783" customFormat="false" ht="30" hidden="false" customHeight="true" outlineLevel="0" collapsed="false">
      <c r="A783" s="1" t="s">
        <v>1568</v>
      </c>
      <c r="B783" s="2" t="s">
        <v>1569</v>
      </c>
      <c r="C783" s="6" t="n">
        <v>41551</v>
      </c>
      <c r="D783" s="3" t="n">
        <v>8</v>
      </c>
      <c r="E783" s="3" t="n">
        <v>8</v>
      </c>
      <c r="F783" s="7" t="n">
        <f aca="false">IFERROR(Tableau1[[#This Row],[Score]]/Tableau1[[#This Row],[Nb]],0)</f>
        <v>1</v>
      </c>
    </row>
    <row r="784" customFormat="false" ht="30" hidden="false" customHeight="true" outlineLevel="0" collapsed="false">
      <c r="A784" s="8" t="s">
        <v>1570</v>
      </c>
      <c r="B784" s="9" t="s">
        <v>1571</v>
      </c>
      <c r="C784" s="6" t="n">
        <v>41551</v>
      </c>
      <c r="D784" s="3" t="n">
        <v>11</v>
      </c>
      <c r="E784" s="3" t="n">
        <v>11</v>
      </c>
      <c r="F784" s="7" t="n">
        <f aca="false">IFERROR(Tableau1[[#This Row],[Score]]/Tableau1[[#This Row],[Nb]],0)</f>
        <v>1</v>
      </c>
    </row>
    <row r="785" customFormat="false" ht="30" hidden="false" customHeight="true" outlineLevel="0" collapsed="false">
      <c r="A785" s="8" t="s">
        <v>1572</v>
      </c>
      <c r="B785" s="9" t="s">
        <v>1573</v>
      </c>
      <c r="C785" s="6" t="n">
        <v>41551</v>
      </c>
      <c r="D785" s="3" t="n">
        <v>12</v>
      </c>
      <c r="E785" s="3" t="n">
        <v>12</v>
      </c>
      <c r="F785" s="7" t="n">
        <f aca="false">IFERROR(Tableau1[[#This Row],[Score]]/Tableau1[[#This Row],[Nb]],0)</f>
        <v>1</v>
      </c>
    </row>
    <row r="786" customFormat="false" ht="30" hidden="false" customHeight="true" outlineLevel="0" collapsed="false">
      <c r="A786" s="8" t="s">
        <v>1574</v>
      </c>
      <c r="B786" s="9" t="s">
        <v>1575</v>
      </c>
      <c r="C786" s="6" t="n">
        <v>41551</v>
      </c>
      <c r="D786" s="3" t="n">
        <v>15</v>
      </c>
      <c r="E786" s="3" t="n">
        <v>15</v>
      </c>
      <c r="F786" s="7" t="n">
        <f aca="false">IFERROR(Tableau1[[#This Row],[Score]]/Tableau1[[#This Row],[Nb]],0)</f>
        <v>1</v>
      </c>
    </row>
    <row r="787" customFormat="false" ht="30" hidden="false" customHeight="true" outlineLevel="0" collapsed="false">
      <c r="A787" s="1" t="s">
        <v>1576</v>
      </c>
      <c r="B787" s="2" t="s">
        <v>1577</v>
      </c>
      <c r="C787" s="6" t="n">
        <v>41829</v>
      </c>
      <c r="D787" s="3" t="n">
        <v>1</v>
      </c>
      <c r="E787" s="3" t="n">
        <v>-1</v>
      </c>
      <c r="F787" s="7" t="n">
        <f aca="false">IFERROR(Tableau1[[#This Row],[Score]]/Tableau1[[#This Row],[Nb]],0)</f>
        <v>-1</v>
      </c>
    </row>
    <row r="788" customFormat="false" ht="30" hidden="false" customHeight="true" outlineLevel="0" collapsed="false">
      <c r="A788" s="1" t="s">
        <v>1578</v>
      </c>
      <c r="B788" s="2" t="s">
        <v>1579</v>
      </c>
      <c r="C788" s="6" t="n">
        <v>41829</v>
      </c>
      <c r="D788" s="3" t="n">
        <v>8</v>
      </c>
      <c r="E788" s="3" t="n">
        <v>-8</v>
      </c>
      <c r="F788" s="7" t="n">
        <f aca="false">IFERROR(Tableau1[[#This Row],[Score]]/Tableau1[[#This Row],[Nb]],0)</f>
        <v>-1</v>
      </c>
    </row>
    <row r="789" customFormat="false" ht="30" hidden="false" customHeight="true" outlineLevel="0" collapsed="false">
      <c r="A789" s="1" t="s">
        <v>1580</v>
      </c>
      <c r="B789" s="2" t="s">
        <v>1581</v>
      </c>
      <c r="C789" s="6" t="n">
        <v>41829</v>
      </c>
      <c r="D789" s="3" t="n">
        <v>12</v>
      </c>
      <c r="E789" s="3" t="n">
        <v>-8</v>
      </c>
      <c r="F789" s="7" t="n">
        <f aca="false">IFERROR(Tableau1[[#This Row],[Score]]/Tableau1[[#This Row],[Nb]],0)</f>
        <v>-0.666666666666667</v>
      </c>
    </row>
    <row r="790" customFormat="false" ht="30" hidden="false" customHeight="true" outlineLevel="0" collapsed="false">
      <c r="A790" s="1" t="s">
        <v>1582</v>
      </c>
      <c r="B790" s="2" t="s">
        <v>1583</v>
      </c>
      <c r="C790" s="6" t="n">
        <v>41829</v>
      </c>
      <c r="D790" s="3" t="n">
        <v>11</v>
      </c>
      <c r="E790" s="3" t="n">
        <v>-7</v>
      </c>
      <c r="F790" s="7" t="n">
        <f aca="false">IFERROR(Tableau1[[#This Row],[Score]]/Tableau1[[#This Row],[Nb]],0)</f>
        <v>-0.636363636363636</v>
      </c>
    </row>
    <row r="791" customFormat="false" ht="30" hidden="false" customHeight="true" outlineLevel="0" collapsed="false">
      <c r="A791" s="1" t="s">
        <v>1584</v>
      </c>
      <c r="B791" s="2" t="s">
        <v>1585</v>
      </c>
      <c r="C791" s="6" t="n">
        <v>41829</v>
      </c>
      <c r="D791" s="3" t="n">
        <v>14</v>
      </c>
      <c r="E791" s="3" t="n">
        <v>4</v>
      </c>
      <c r="F791" s="7" t="n">
        <f aca="false">IFERROR(Tableau1[[#This Row],[Score]]/Tableau1[[#This Row],[Nb]],0)</f>
        <v>0.285714285714286</v>
      </c>
    </row>
    <row r="792" customFormat="false" ht="30" hidden="false" customHeight="true" outlineLevel="0" collapsed="false">
      <c r="A792" s="1" t="s">
        <v>1586</v>
      </c>
      <c r="B792" s="2" t="s">
        <v>1587</v>
      </c>
      <c r="C792" s="6" t="n">
        <v>41829</v>
      </c>
      <c r="D792" s="3" t="n">
        <v>14</v>
      </c>
      <c r="E792" s="3" t="n">
        <v>6</v>
      </c>
      <c r="F792" s="7" t="n">
        <f aca="false">IFERROR(Tableau1[[#This Row],[Score]]/Tableau1[[#This Row],[Nb]],0)</f>
        <v>0.428571428571429</v>
      </c>
    </row>
    <row r="793" customFormat="false" ht="30" hidden="false" customHeight="true" outlineLevel="0" collapsed="false">
      <c r="A793" s="1" t="s">
        <v>1588</v>
      </c>
      <c r="B793" s="2" t="s">
        <v>1589</v>
      </c>
      <c r="C793" s="6" t="n">
        <v>41829</v>
      </c>
      <c r="D793" s="3" t="n">
        <v>4</v>
      </c>
      <c r="E793" s="3" t="n">
        <v>2</v>
      </c>
      <c r="F793" s="7" t="n">
        <f aca="false">IFERROR(Tableau1[[#This Row],[Score]]/Tableau1[[#This Row],[Nb]],0)</f>
        <v>0.5</v>
      </c>
    </row>
    <row r="794" customFormat="false" ht="30" hidden="false" customHeight="true" outlineLevel="0" collapsed="false">
      <c r="A794" s="1" t="s">
        <v>1590</v>
      </c>
      <c r="B794" s="2" t="s">
        <v>1577</v>
      </c>
      <c r="C794" s="6" t="n">
        <v>41829</v>
      </c>
      <c r="D794" s="3" t="n">
        <v>10</v>
      </c>
      <c r="E794" s="3" t="n">
        <v>6</v>
      </c>
      <c r="F794" s="7" t="n">
        <f aca="false">IFERROR(Tableau1[[#This Row],[Score]]/Tableau1[[#This Row],[Nb]],0)</f>
        <v>0.6</v>
      </c>
    </row>
    <row r="795" customFormat="false" ht="30" hidden="false" customHeight="true" outlineLevel="0" collapsed="false">
      <c r="A795" s="1" t="s">
        <v>1591</v>
      </c>
      <c r="B795" s="2" t="s">
        <v>1592</v>
      </c>
      <c r="C795" s="6" t="n">
        <v>41829</v>
      </c>
      <c r="D795" s="3" t="n">
        <v>7</v>
      </c>
      <c r="E795" s="3" t="n">
        <v>5</v>
      </c>
      <c r="F795" s="7" t="n">
        <f aca="false">IFERROR(Tableau1[[#This Row],[Score]]/Tableau1[[#This Row],[Nb]],0)</f>
        <v>0.714285714285714</v>
      </c>
    </row>
    <row r="796" customFormat="false" ht="30" hidden="false" customHeight="true" outlineLevel="0" collapsed="false">
      <c r="A796" s="8" t="s">
        <v>1593</v>
      </c>
      <c r="B796" s="9" t="s">
        <v>509</v>
      </c>
      <c r="C796" s="6" t="n">
        <v>41829</v>
      </c>
      <c r="D796" s="3" t="n">
        <v>10</v>
      </c>
      <c r="E796" s="3" t="n">
        <v>10</v>
      </c>
      <c r="F796" s="7" t="n">
        <f aca="false">IFERROR(Tableau1[[#This Row],[Score]]/Tableau1[[#This Row],[Nb]],0)</f>
        <v>1</v>
      </c>
    </row>
    <row r="797" customFormat="false" ht="30" hidden="false" customHeight="true" outlineLevel="0" collapsed="false">
      <c r="A797" s="8" t="s">
        <v>1594</v>
      </c>
      <c r="B797" s="9" t="s">
        <v>1595</v>
      </c>
      <c r="C797" s="6" t="n">
        <v>41829</v>
      </c>
      <c r="D797" s="3" t="n">
        <v>10</v>
      </c>
      <c r="E797" s="3" t="n">
        <v>10</v>
      </c>
      <c r="F797" s="7" t="n">
        <f aca="false">IFERROR(Tableau1[[#This Row],[Score]]/Tableau1[[#This Row],[Nb]],0)</f>
        <v>1</v>
      </c>
    </row>
    <row r="798" customFormat="false" ht="30" hidden="false" customHeight="true" outlineLevel="0" collapsed="false">
      <c r="A798" s="1" t="s">
        <v>1596</v>
      </c>
      <c r="B798" s="2" t="s">
        <v>1597</v>
      </c>
      <c r="C798" s="6" t="n">
        <v>41829</v>
      </c>
      <c r="D798" s="3" t="n">
        <v>8</v>
      </c>
      <c r="E798" s="3" t="n">
        <v>8</v>
      </c>
      <c r="F798" s="7" t="n">
        <f aca="false">IFERROR(Tableau1[[#This Row],[Score]]/Tableau1[[#This Row],[Nb]],0)</f>
        <v>1</v>
      </c>
    </row>
    <row r="799" customFormat="false" ht="30" hidden="false" customHeight="true" outlineLevel="0" collapsed="false">
      <c r="A799" s="1" t="s">
        <v>1598</v>
      </c>
      <c r="B799" s="2" t="s">
        <v>1599</v>
      </c>
      <c r="C799" s="6" t="n">
        <v>41829</v>
      </c>
      <c r="D799" s="3" t="n">
        <v>8</v>
      </c>
      <c r="E799" s="3" t="n">
        <v>8</v>
      </c>
      <c r="F799" s="7" t="n">
        <f aca="false">IFERROR(Tableau1[[#This Row],[Score]]/Tableau1[[#This Row],[Nb]],0)</f>
        <v>1</v>
      </c>
    </row>
    <row r="800" customFormat="false" ht="30" hidden="false" customHeight="true" outlineLevel="0" collapsed="false">
      <c r="A800" s="1" t="s">
        <v>1600</v>
      </c>
      <c r="B800" s="2" t="s">
        <v>1601</v>
      </c>
      <c r="C800" s="6" t="n">
        <v>41829</v>
      </c>
      <c r="D800" s="3" t="n">
        <v>8</v>
      </c>
      <c r="E800" s="3" t="n">
        <v>8</v>
      </c>
      <c r="F800" s="7" t="n">
        <f aca="false">IFERROR(Tableau1[[#This Row],[Score]]/Tableau1[[#This Row],[Nb]],0)</f>
        <v>1</v>
      </c>
    </row>
    <row r="801" customFormat="false" ht="30" hidden="false" customHeight="true" outlineLevel="0" collapsed="false">
      <c r="A801" s="1" t="s">
        <v>1602</v>
      </c>
      <c r="B801" s="2" t="s">
        <v>1603</v>
      </c>
      <c r="C801" s="6" t="n">
        <v>41829</v>
      </c>
      <c r="D801" s="3" t="n">
        <v>9</v>
      </c>
      <c r="E801" s="3" t="n">
        <v>9</v>
      </c>
      <c r="F801" s="7" t="n">
        <f aca="false">IFERROR(Tableau1[[#This Row],[Score]]/Tableau1[[#This Row],[Nb]],0)</f>
        <v>1</v>
      </c>
    </row>
    <row r="802" customFormat="false" ht="30" hidden="false" customHeight="true" outlineLevel="0" collapsed="false">
      <c r="A802" s="1" t="s">
        <v>1604</v>
      </c>
      <c r="B802" s="2" t="s">
        <v>1605</v>
      </c>
      <c r="C802" s="6" t="n">
        <v>41829</v>
      </c>
      <c r="D802" s="3" t="n">
        <v>9</v>
      </c>
      <c r="E802" s="3" t="n">
        <v>9</v>
      </c>
      <c r="F802" s="7" t="n">
        <f aca="false">IFERROR(Tableau1[[#This Row],[Score]]/Tableau1[[#This Row],[Nb]],0)</f>
        <v>1</v>
      </c>
    </row>
    <row r="803" customFormat="false" ht="30" hidden="false" customHeight="true" outlineLevel="0" collapsed="false">
      <c r="A803" s="1" t="s">
        <v>1606</v>
      </c>
      <c r="B803" s="2" t="s">
        <v>1607</v>
      </c>
      <c r="C803" s="6" t="n">
        <v>41829</v>
      </c>
      <c r="D803" s="3" t="n">
        <v>9</v>
      </c>
      <c r="E803" s="3" t="n">
        <v>9</v>
      </c>
      <c r="F803" s="7" t="n">
        <f aca="false">IFERROR(Tableau1[[#This Row],[Score]]/Tableau1[[#This Row],[Nb]],0)</f>
        <v>1</v>
      </c>
    </row>
    <row r="804" customFormat="false" ht="30" hidden="false" customHeight="true" outlineLevel="0" collapsed="false">
      <c r="A804" s="1" t="s">
        <v>1608</v>
      </c>
      <c r="B804" s="2" t="s">
        <v>1609</v>
      </c>
      <c r="C804" s="6" t="n">
        <v>41829</v>
      </c>
      <c r="D804" s="3" t="n">
        <v>6</v>
      </c>
      <c r="E804" s="3" t="n">
        <v>6</v>
      </c>
      <c r="F804" s="7" t="n">
        <f aca="false">IFERROR(Tableau1[[#This Row],[Score]]/Tableau1[[#This Row],[Nb]],0)</f>
        <v>1</v>
      </c>
    </row>
    <row r="805" customFormat="false" ht="30" hidden="false" customHeight="true" outlineLevel="0" collapsed="false">
      <c r="A805" s="1" t="s">
        <v>1610</v>
      </c>
      <c r="B805" s="2" t="s">
        <v>1611</v>
      </c>
      <c r="C805" s="6" t="n">
        <v>41829</v>
      </c>
      <c r="D805" s="3" t="n">
        <v>7</v>
      </c>
      <c r="E805" s="3" t="n">
        <v>7</v>
      </c>
      <c r="F805" s="7" t="n">
        <f aca="false">IFERROR(Tableau1[[#This Row],[Score]]/Tableau1[[#This Row],[Nb]],0)</f>
        <v>1</v>
      </c>
    </row>
    <row r="806" customFormat="false" ht="30" hidden="false" customHeight="true" outlineLevel="0" collapsed="false">
      <c r="A806" s="1" t="s">
        <v>1612</v>
      </c>
      <c r="B806" s="2" t="s">
        <v>1613</v>
      </c>
      <c r="C806" s="6" t="n">
        <v>41829</v>
      </c>
      <c r="D806" s="3" t="n">
        <v>7</v>
      </c>
      <c r="E806" s="3" t="n">
        <v>7</v>
      </c>
      <c r="F806" s="7" t="n">
        <f aca="false">IFERROR(Tableau1[[#This Row],[Score]]/Tableau1[[#This Row],[Nb]],0)</f>
        <v>1</v>
      </c>
    </row>
    <row r="807" customFormat="false" ht="30" hidden="false" customHeight="true" outlineLevel="0" collapsed="false">
      <c r="A807" s="1" t="s">
        <v>1614</v>
      </c>
      <c r="B807" s="2" t="s">
        <v>1615</v>
      </c>
      <c r="C807" s="6" t="n">
        <v>43129</v>
      </c>
      <c r="D807" s="3" t="n">
        <v>8</v>
      </c>
      <c r="E807" s="3" t="n">
        <v>-8</v>
      </c>
      <c r="F807" s="7" t="n">
        <f aca="false">IFERROR(Tableau1[[#This Row],[Score]]/Tableau1[[#This Row],[Nb]],0)</f>
        <v>-1</v>
      </c>
    </row>
    <row r="808" customFormat="false" ht="30" hidden="false" customHeight="true" outlineLevel="0" collapsed="false">
      <c r="A808" s="1" t="s">
        <v>1616</v>
      </c>
      <c r="B808" s="2" t="s">
        <v>1617</v>
      </c>
      <c r="C808" s="6" t="n">
        <v>43129</v>
      </c>
      <c r="D808" s="3" t="n">
        <v>6</v>
      </c>
      <c r="E808" s="3" t="n">
        <v>-6</v>
      </c>
      <c r="F808" s="7" t="n">
        <f aca="false">IFERROR(Tableau1[[#This Row],[Score]]/Tableau1[[#This Row],[Nb]],0)</f>
        <v>-1</v>
      </c>
    </row>
    <row r="809" customFormat="false" ht="30" hidden="false" customHeight="true" outlineLevel="0" collapsed="false">
      <c r="A809" s="1" t="s">
        <v>1618</v>
      </c>
      <c r="B809" s="2" t="s">
        <v>1619</v>
      </c>
      <c r="C809" s="6" t="n">
        <v>43129</v>
      </c>
      <c r="D809" s="3" t="n">
        <v>5</v>
      </c>
      <c r="E809" s="3" t="n">
        <v>-5</v>
      </c>
      <c r="F809" s="7" t="n">
        <f aca="false">IFERROR(Tableau1[[#This Row],[Score]]/Tableau1[[#This Row],[Nb]],0)</f>
        <v>-1</v>
      </c>
    </row>
    <row r="810" customFormat="false" ht="30" hidden="false" customHeight="true" outlineLevel="0" collapsed="false">
      <c r="A810" s="1" t="s">
        <v>26</v>
      </c>
      <c r="B810" s="2" t="s">
        <v>1620</v>
      </c>
      <c r="C810" s="6" t="n">
        <v>43129</v>
      </c>
      <c r="D810" s="3" t="n">
        <v>5</v>
      </c>
      <c r="E810" s="3" t="n">
        <v>-5</v>
      </c>
      <c r="F810" s="7" t="n">
        <f aca="false">IFERROR(Tableau1[[#This Row],[Score]]/Tableau1[[#This Row],[Nb]],0)</f>
        <v>-1</v>
      </c>
    </row>
    <row r="811" customFormat="false" ht="30" hidden="false" customHeight="true" outlineLevel="0" collapsed="false">
      <c r="A811" s="1" t="s">
        <v>1621</v>
      </c>
      <c r="B811" s="2" t="s">
        <v>1622</v>
      </c>
      <c r="C811" s="6" t="n">
        <v>43129</v>
      </c>
      <c r="D811" s="3" t="n">
        <v>9</v>
      </c>
      <c r="E811" s="3" t="n">
        <v>-9</v>
      </c>
      <c r="F811" s="7" t="n">
        <f aca="false">IFERROR(Tableau1[[#This Row],[Score]]/Tableau1[[#This Row],[Nb]],0)</f>
        <v>-1</v>
      </c>
    </row>
    <row r="812" customFormat="false" ht="30" hidden="false" customHeight="true" outlineLevel="0" collapsed="false">
      <c r="A812" s="1" t="s">
        <v>1623</v>
      </c>
      <c r="B812" s="2" t="s">
        <v>1624</v>
      </c>
      <c r="C812" s="6" t="n">
        <v>43129</v>
      </c>
      <c r="D812" s="3" t="n">
        <v>7</v>
      </c>
      <c r="E812" s="3" t="n">
        <v>-7</v>
      </c>
      <c r="F812" s="7" t="n">
        <f aca="false">IFERROR(Tableau1[[#This Row],[Score]]/Tableau1[[#This Row],[Nb]],0)</f>
        <v>-1</v>
      </c>
    </row>
    <row r="813" customFormat="false" ht="30" hidden="false" customHeight="true" outlineLevel="0" collapsed="false">
      <c r="A813" s="1" t="s">
        <v>1625</v>
      </c>
      <c r="B813" s="2" t="s">
        <v>1626</v>
      </c>
      <c r="C813" s="6" t="n">
        <v>43129</v>
      </c>
      <c r="D813" s="3" t="n">
        <v>12</v>
      </c>
      <c r="E813" s="3" t="n">
        <v>-10</v>
      </c>
      <c r="F813" s="7" t="n">
        <f aca="false">IFERROR(Tableau1[[#This Row],[Score]]/Tableau1[[#This Row],[Nb]],0)</f>
        <v>-0.833333333333333</v>
      </c>
    </row>
    <row r="814" customFormat="false" ht="30" hidden="false" customHeight="true" outlineLevel="0" collapsed="false">
      <c r="A814" s="1" t="s">
        <v>1627</v>
      </c>
      <c r="B814" s="2" t="s">
        <v>1628</v>
      </c>
      <c r="C814" s="6" t="n">
        <v>43129</v>
      </c>
      <c r="D814" s="3" t="n">
        <v>11</v>
      </c>
      <c r="E814" s="3" t="n">
        <v>-9</v>
      </c>
      <c r="F814" s="7" t="n">
        <f aca="false">IFERROR(Tableau1[[#This Row],[Score]]/Tableau1[[#This Row],[Nb]],0)</f>
        <v>-0.818181818181818</v>
      </c>
    </row>
    <row r="815" customFormat="false" ht="30" hidden="false" customHeight="true" outlineLevel="0" collapsed="false">
      <c r="A815" s="1" t="s">
        <v>1629</v>
      </c>
      <c r="B815" s="2" t="s">
        <v>1630</v>
      </c>
      <c r="C815" s="6" t="n">
        <v>43129</v>
      </c>
      <c r="D815" s="3" t="n">
        <v>8</v>
      </c>
      <c r="E815" s="3" t="n">
        <v>-6</v>
      </c>
      <c r="F815" s="7" t="n">
        <f aca="false">IFERROR(Tableau1[[#This Row],[Score]]/Tableau1[[#This Row],[Nb]],0)</f>
        <v>-0.75</v>
      </c>
    </row>
    <row r="816" customFormat="false" ht="30" hidden="false" customHeight="true" outlineLevel="0" collapsed="false">
      <c r="A816" s="1" t="s">
        <v>1631</v>
      </c>
      <c r="B816" s="2" t="s">
        <v>63</v>
      </c>
      <c r="C816" s="6" t="n">
        <v>43129</v>
      </c>
      <c r="D816" s="3" t="n">
        <v>8</v>
      </c>
      <c r="E816" s="3" t="n">
        <v>-6</v>
      </c>
      <c r="F816" s="7" t="n">
        <f aca="false">IFERROR(Tableau1[[#This Row],[Score]]/Tableau1[[#This Row],[Nb]],0)</f>
        <v>-0.75</v>
      </c>
    </row>
    <row r="817" customFormat="false" ht="30" hidden="false" customHeight="true" outlineLevel="0" collapsed="false">
      <c r="A817" s="1" t="s">
        <v>1632</v>
      </c>
      <c r="B817" s="2" t="s">
        <v>1633</v>
      </c>
      <c r="C817" s="6" t="n">
        <v>43129</v>
      </c>
      <c r="D817" s="3" t="n">
        <v>7</v>
      </c>
      <c r="E817" s="3" t="n">
        <v>-5</v>
      </c>
      <c r="F817" s="7" t="n">
        <f aca="false">IFERROR(Tableau1[[#This Row],[Score]]/Tableau1[[#This Row],[Nb]],0)</f>
        <v>-0.714285714285714</v>
      </c>
    </row>
    <row r="818" customFormat="false" ht="30" hidden="false" customHeight="true" outlineLevel="0" collapsed="false">
      <c r="A818" s="1" t="s">
        <v>1634</v>
      </c>
      <c r="B818" s="2" t="s">
        <v>1635</v>
      </c>
      <c r="C818" s="6" t="n">
        <v>43129</v>
      </c>
      <c r="D818" s="3" t="n">
        <v>11</v>
      </c>
      <c r="E818" s="3" t="n">
        <v>-7</v>
      </c>
      <c r="F818" s="7" t="n">
        <f aca="false">IFERROR(Tableau1[[#This Row],[Score]]/Tableau1[[#This Row],[Nb]],0)</f>
        <v>-0.636363636363636</v>
      </c>
    </row>
    <row r="819" customFormat="false" ht="30" hidden="false" customHeight="true" outlineLevel="0" collapsed="false">
      <c r="A819" s="1" t="s">
        <v>1636</v>
      </c>
      <c r="B819" s="2" t="s">
        <v>1637</v>
      </c>
      <c r="C819" s="6" t="n">
        <v>43129</v>
      </c>
      <c r="D819" s="3" t="n">
        <v>11</v>
      </c>
      <c r="E819" s="3" t="n">
        <v>-7</v>
      </c>
      <c r="F819" s="7" t="n">
        <f aca="false">IFERROR(Tableau1[[#This Row],[Score]]/Tableau1[[#This Row],[Nb]],0)</f>
        <v>-0.636363636363636</v>
      </c>
    </row>
    <row r="820" customFormat="false" ht="30" hidden="false" customHeight="true" outlineLevel="0" collapsed="false">
      <c r="A820" s="1" t="s">
        <v>1638</v>
      </c>
      <c r="B820" s="2" t="s">
        <v>1639</v>
      </c>
      <c r="C820" s="6" t="n">
        <v>43129</v>
      </c>
      <c r="D820" s="3" t="n">
        <v>13</v>
      </c>
      <c r="E820" s="3" t="n">
        <v>-7</v>
      </c>
      <c r="F820" s="7" t="n">
        <f aca="false">IFERROR(Tableau1[[#This Row],[Score]]/Tableau1[[#This Row],[Nb]],0)</f>
        <v>-0.538461538461538</v>
      </c>
    </row>
    <row r="821" customFormat="false" ht="30" hidden="false" customHeight="true" outlineLevel="0" collapsed="false">
      <c r="A821" s="1" t="s">
        <v>1640</v>
      </c>
      <c r="B821" s="2" t="s">
        <v>1641</v>
      </c>
      <c r="C821" s="6" t="n">
        <v>43129</v>
      </c>
      <c r="D821" s="3" t="n">
        <v>4</v>
      </c>
      <c r="E821" s="3" t="n">
        <v>-2</v>
      </c>
      <c r="F821" s="7" t="n">
        <f aca="false">IFERROR(Tableau1[[#This Row],[Score]]/Tableau1[[#This Row],[Nb]],0)</f>
        <v>-0.5</v>
      </c>
    </row>
    <row r="822" customFormat="false" ht="30" hidden="false" customHeight="true" outlineLevel="0" collapsed="false">
      <c r="A822" s="1" t="s">
        <v>1642</v>
      </c>
      <c r="B822" s="2" t="s">
        <v>1643</v>
      </c>
      <c r="C822" s="6" t="n">
        <v>43129</v>
      </c>
      <c r="D822" s="3" t="n">
        <v>12</v>
      </c>
      <c r="E822" s="3" t="n">
        <v>-6</v>
      </c>
      <c r="F822" s="7" t="n">
        <f aca="false">IFERROR(Tableau1[[#This Row],[Score]]/Tableau1[[#This Row],[Nb]],0)</f>
        <v>-0.5</v>
      </c>
    </row>
    <row r="823" customFormat="false" ht="30" hidden="false" customHeight="true" outlineLevel="0" collapsed="false">
      <c r="A823" s="1" t="s">
        <v>1644</v>
      </c>
      <c r="B823" s="2" t="s">
        <v>1645</v>
      </c>
      <c r="C823" s="6" t="n">
        <v>43129</v>
      </c>
      <c r="D823" s="3" t="n">
        <v>8</v>
      </c>
      <c r="E823" s="3" t="n">
        <v>-4</v>
      </c>
      <c r="F823" s="7" t="n">
        <f aca="false">IFERROR(Tableau1[[#This Row],[Score]]/Tableau1[[#This Row],[Nb]],0)</f>
        <v>-0.5</v>
      </c>
    </row>
    <row r="824" customFormat="false" ht="30" hidden="false" customHeight="true" outlineLevel="0" collapsed="false">
      <c r="A824" s="1" t="s">
        <v>1646</v>
      </c>
      <c r="B824" s="2" t="s">
        <v>1647</v>
      </c>
      <c r="C824" s="6" t="n">
        <v>43129</v>
      </c>
      <c r="D824" s="3" t="n">
        <v>4</v>
      </c>
      <c r="E824" s="3" t="n">
        <v>-2</v>
      </c>
      <c r="F824" s="7" t="n">
        <f aca="false">IFERROR(Tableau1[[#This Row],[Score]]/Tableau1[[#This Row],[Nb]],0)</f>
        <v>-0.5</v>
      </c>
    </row>
    <row r="825" customFormat="false" ht="30" hidden="false" customHeight="true" outlineLevel="0" collapsed="false">
      <c r="A825" s="1" t="s">
        <v>1648</v>
      </c>
      <c r="B825" s="2" t="s">
        <v>1649</v>
      </c>
      <c r="C825" s="6" t="n">
        <v>43129</v>
      </c>
      <c r="D825" s="3" t="n">
        <v>14</v>
      </c>
      <c r="E825" s="3" t="n">
        <v>-6</v>
      </c>
      <c r="F825" s="7" t="n">
        <f aca="false">IFERROR(Tableau1[[#This Row],[Score]]/Tableau1[[#This Row],[Nb]],0)</f>
        <v>-0.428571428571429</v>
      </c>
    </row>
    <row r="826" customFormat="false" ht="30" hidden="false" customHeight="true" outlineLevel="0" collapsed="false">
      <c r="A826" s="1" t="s">
        <v>1650</v>
      </c>
      <c r="B826" s="2" t="s">
        <v>1651</v>
      </c>
      <c r="C826" s="6" t="n">
        <v>43129</v>
      </c>
      <c r="D826" s="3" t="n">
        <v>11</v>
      </c>
      <c r="E826" s="3" t="n">
        <v>-5</v>
      </c>
      <c r="F826" s="7" t="n">
        <f aca="false">IFERROR(Tableau1[[#This Row],[Score]]/Tableau1[[#This Row],[Nb]],0)</f>
        <v>-0.454545454545455</v>
      </c>
    </row>
    <row r="827" customFormat="false" ht="30" hidden="false" customHeight="true" outlineLevel="0" collapsed="false">
      <c r="A827" s="1" t="s">
        <v>1652</v>
      </c>
      <c r="B827" s="2" t="s">
        <v>1653</v>
      </c>
      <c r="C827" s="6" t="n">
        <v>43129</v>
      </c>
      <c r="D827" s="3" t="n">
        <v>12</v>
      </c>
      <c r="E827" s="3" t="n">
        <v>-4</v>
      </c>
      <c r="F827" s="7" t="n">
        <f aca="false">IFERROR(Tableau1[[#This Row],[Score]]/Tableau1[[#This Row],[Nb]],0)</f>
        <v>-0.333333333333333</v>
      </c>
    </row>
    <row r="828" customFormat="false" ht="30" hidden="false" customHeight="true" outlineLevel="0" collapsed="false">
      <c r="A828" s="1" t="s">
        <v>1654</v>
      </c>
      <c r="B828" s="2" t="s">
        <v>1655</v>
      </c>
      <c r="C828" s="6" t="n">
        <v>43129</v>
      </c>
      <c r="D828" s="3" t="n">
        <v>9</v>
      </c>
      <c r="E828" s="3" t="n">
        <v>-3</v>
      </c>
      <c r="F828" s="7" t="n">
        <f aca="false">IFERROR(Tableau1[[#This Row],[Score]]/Tableau1[[#This Row],[Nb]],0)</f>
        <v>-0.333333333333333</v>
      </c>
    </row>
    <row r="829" customFormat="false" ht="30" hidden="false" customHeight="true" outlineLevel="0" collapsed="false">
      <c r="A829" s="1" t="s">
        <v>1656</v>
      </c>
      <c r="B829" s="2" t="s">
        <v>1657</v>
      </c>
      <c r="C829" s="6" t="n">
        <v>43129</v>
      </c>
      <c r="D829" s="3" t="n">
        <v>9</v>
      </c>
      <c r="E829" s="3" t="n">
        <v>-3</v>
      </c>
      <c r="F829" s="7" t="n">
        <f aca="false">IFERROR(Tableau1[[#This Row],[Score]]/Tableau1[[#This Row],[Nb]],0)</f>
        <v>-0.333333333333333</v>
      </c>
    </row>
    <row r="830" customFormat="false" ht="30" hidden="false" customHeight="true" outlineLevel="0" collapsed="false">
      <c r="A830" s="1" t="s">
        <v>1658</v>
      </c>
      <c r="B830" s="2" t="s">
        <v>1659</v>
      </c>
      <c r="C830" s="6" t="n">
        <v>43129</v>
      </c>
      <c r="D830" s="3" t="n">
        <v>13</v>
      </c>
      <c r="E830" s="3" t="n">
        <v>-3</v>
      </c>
      <c r="F830" s="7" t="n">
        <f aca="false">IFERROR(Tableau1[[#This Row],[Score]]/Tableau1[[#This Row],[Nb]],0)</f>
        <v>-0.230769230769231</v>
      </c>
    </row>
    <row r="831" customFormat="false" ht="30" hidden="false" customHeight="true" outlineLevel="0" collapsed="false">
      <c r="A831" s="1" t="s">
        <v>1660</v>
      </c>
      <c r="B831" s="2" t="s">
        <v>1661</v>
      </c>
      <c r="C831" s="6" t="n">
        <v>43129</v>
      </c>
      <c r="D831" s="3" t="n">
        <v>9</v>
      </c>
      <c r="E831" s="3" t="n">
        <v>-1</v>
      </c>
      <c r="F831" s="7" t="n">
        <f aca="false">IFERROR(Tableau1[[#This Row],[Score]]/Tableau1[[#This Row],[Nb]],0)</f>
        <v>-0.111111111111111</v>
      </c>
    </row>
    <row r="832" customFormat="false" ht="30" hidden="false" customHeight="true" outlineLevel="0" collapsed="false">
      <c r="A832" s="1" t="s">
        <v>1662</v>
      </c>
      <c r="B832" s="2" t="s">
        <v>1663</v>
      </c>
      <c r="C832" s="6" t="n">
        <v>43129</v>
      </c>
      <c r="D832" s="3" t="n">
        <v>11</v>
      </c>
      <c r="E832" s="3" t="n">
        <v>-1</v>
      </c>
      <c r="F832" s="7" t="n">
        <f aca="false">IFERROR(Tableau1[[#This Row],[Score]]/Tableau1[[#This Row],[Nb]],0)</f>
        <v>-0.0909090909090909</v>
      </c>
    </row>
    <row r="833" customFormat="false" ht="30" hidden="false" customHeight="true" outlineLevel="0" collapsed="false">
      <c r="A833" s="1" t="s">
        <v>1664</v>
      </c>
      <c r="B833" s="2" t="s">
        <v>1665</v>
      </c>
      <c r="C833" s="6" t="n">
        <v>43129</v>
      </c>
      <c r="D833" s="3" t="n">
        <v>11</v>
      </c>
      <c r="E833" s="3" t="n">
        <v>-1</v>
      </c>
      <c r="F833" s="7" t="n">
        <f aca="false">IFERROR(Tableau1[[#This Row],[Score]]/Tableau1[[#This Row],[Nb]],0)</f>
        <v>-0.0909090909090909</v>
      </c>
    </row>
    <row r="834" customFormat="false" ht="30" hidden="false" customHeight="true" outlineLevel="0" collapsed="false">
      <c r="A834" s="1" t="s">
        <v>1666</v>
      </c>
      <c r="B834" s="2" t="s">
        <v>1667</v>
      </c>
      <c r="C834" s="6" t="n">
        <v>43129</v>
      </c>
      <c r="D834" s="3" t="n">
        <v>10</v>
      </c>
      <c r="E834" s="3" t="n">
        <v>0</v>
      </c>
      <c r="F834" s="7" t="n">
        <f aca="false">IFERROR(Tableau1[[#This Row],[Score]]/Tableau1[[#This Row],[Nb]],0)</f>
        <v>0</v>
      </c>
    </row>
    <row r="835" customFormat="false" ht="30" hidden="false" customHeight="true" outlineLevel="0" collapsed="false">
      <c r="A835" s="1" t="s">
        <v>1668</v>
      </c>
      <c r="B835" s="2" t="s">
        <v>1669</v>
      </c>
      <c r="C835" s="6" t="n">
        <v>43129</v>
      </c>
      <c r="D835" s="3" t="n">
        <v>11</v>
      </c>
      <c r="E835" s="3" t="n">
        <v>1</v>
      </c>
      <c r="F835" s="7" t="n">
        <f aca="false">IFERROR(Tableau1[[#This Row],[Score]]/Tableau1[[#This Row],[Nb]],0)</f>
        <v>0.0909090909090909</v>
      </c>
    </row>
    <row r="836" customFormat="false" ht="30" hidden="false" customHeight="true" outlineLevel="0" collapsed="false">
      <c r="A836" s="1" t="s">
        <v>1670</v>
      </c>
      <c r="B836" s="2" t="s">
        <v>1671</v>
      </c>
      <c r="C836" s="6" t="n">
        <v>43129</v>
      </c>
      <c r="D836" s="3" t="n">
        <v>11</v>
      </c>
      <c r="E836" s="3" t="n">
        <v>1</v>
      </c>
      <c r="F836" s="7" t="n">
        <f aca="false">IFERROR(Tableau1[[#This Row],[Score]]/Tableau1[[#This Row],[Nb]],0)</f>
        <v>0.0909090909090909</v>
      </c>
    </row>
    <row r="837" customFormat="false" ht="30" hidden="false" customHeight="true" outlineLevel="0" collapsed="false">
      <c r="A837" s="1" t="s">
        <v>1672</v>
      </c>
      <c r="B837" s="2" t="s">
        <v>1673</v>
      </c>
      <c r="C837" s="6" t="n">
        <v>43129</v>
      </c>
      <c r="D837" s="3" t="n">
        <v>7</v>
      </c>
      <c r="E837" s="3" t="n">
        <v>1</v>
      </c>
      <c r="F837" s="7" t="n">
        <f aca="false">IFERROR(Tableau1[[#This Row],[Score]]/Tableau1[[#This Row],[Nb]],0)</f>
        <v>0.142857142857143</v>
      </c>
    </row>
    <row r="838" customFormat="false" ht="30" hidden="false" customHeight="true" outlineLevel="0" collapsed="false">
      <c r="A838" s="1" t="s">
        <v>1674</v>
      </c>
      <c r="B838" s="2" t="s">
        <v>1675</v>
      </c>
      <c r="C838" s="6" t="n">
        <v>43129</v>
      </c>
      <c r="D838" s="3" t="n">
        <v>12</v>
      </c>
      <c r="E838" s="3" t="n">
        <v>2</v>
      </c>
      <c r="F838" s="7" t="n">
        <f aca="false">IFERROR(Tableau1[[#This Row],[Score]]/Tableau1[[#This Row],[Nb]],0)</f>
        <v>0.166666666666667</v>
      </c>
    </row>
    <row r="839" customFormat="false" ht="30" hidden="false" customHeight="true" outlineLevel="0" collapsed="false">
      <c r="A839" s="1" t="s">
        <v>1676</v>
      </c>
      <c r="B839" s="2" t="s">
        <v>1677</v>
      </c>
      <c r="C839" s="6" t="n">
        <v>43129</v>
      </c>
      <c r="D839" s="3" t="n">
        <v>10</v>
      </c>
      <c r="E839" s="3" t="n">
        <v>2</v>
      </c>
      <c r="F839" s="7" t="n">
        <f aca="false">IFERROR(Tableau1[[#This Row],[Score]]/Tableau1[[#This Row],[Nb]],0)</f>
        <v>0.2</v>
      </c>
    </row>
    <row r="840" customFormat="false" ht="30" hidden="false" customHeight="true" outlineLevel="0" collapsed="false">
      <c r="A840" s="1" t="s">
        <v>1678</v>
      </c>
      <c r="B840" s="2" t="s">
        <v>1679</v>
      </c>
      <c r="C840" s="6" t="n">
        <v>43129</v>
      </c>
      <c r="D840" s="3" t="n">
        <v>18</v>
      </c>
      <c r="E840" s="3" t="n">
        <v>4</v>
      </c>
      <c r="F840" s="7" t="n">
        <f aca="false">IFERROR(Tableau1[[#This Row],[Score]]/Tableau1[[#This Row],[Nb]],0)</f>
        <v>0.222222222222222</v>
      </c>
    </row>
    <row r="841" customFormat="false" ht="30" hidden="false" customHeight="true" outlineLevel="0" collapsed="false">
      <c r="A841" s="1" t="s">
        <v>1680</v>
      </c>
      <c r="B841" s="2" t="s">
        <v>1681</v>
      </c>
      <c r="C841" s="6" t="n">
        <v>43129</v>
      </c>
      <c r="D841" s="3" t="n">
        <v>6</v>
      </c>
      <c r="E841" s="3" t="n">
        <v>2</v>
      </c>
      <c r="F841" s="7" t="n">
        <f aca="false">IFERROR(Tableau1[[#This Row],[Score]]/Tableau1[[#This Row],[Nb]],0)</f>
        <v>0.333333333333333</v>
      </c>
    </row>
    <row r="842" customFormat="false" ht="30" hidden="false" customHeight="true" outlineLevel="0" collapsed="false">
      <c r="A842" s="1" t="s">
        <v>1682</v>
      </c>
      <c r="B842" s="2" t="s">
        <v>1683</v>
      </c>
      <c r="C842" s="6" t="n">
        <v>43129</v>
      </c>
      <c r="D842" s="3" t="n">
        <v>9</v>
      </c>
      <c r="E842" s="3" t="n">
        <v>3</v>
      </c>
      <c r="F842" s="7" t="n">
        <f aca="false">IFERROR(Tableau1[[#This Row],[Score]]/Tableau1[[#This Row],[Nb]],0)</f>
        <v>0.333333333333333</v>
      </c>
    </row>
    <row r="843" customFormat="false" ht="30" hidden="false" customHeight="true" outlineLevel="0" collapsed="false">
      <c r="A843" s="1" t="s">
        <v>1684</v>
      </c>
      <c r="B843" s="2" t="s">
        <v>1685</v>
      </c>
      <c r="C843" s="6" t="n">
        <v>43129</v>
      </c>
      <c r="D843" s="3" t="n">
        <v>6</v>
      </c>
      <c r="E843" s="3" t="n">
        <v>2</v>
      </c>
      <c r="F843" s="7" t="n">
        <f aca="false">IFERROR(Tableau1[[#This Row],[Score]]/Tableau1[[#This Row],[Nb]],0)</f>
        <v>0.333333333333333</v>
      </c>
    </row>
    <row r="844" customFormat="false" ht="30" hidden="false" customHeight="true" outlineLevel="0" collapsed="false">
      <c r="A844" s="1" t="s">
        <v>1686</v>
      </c>
      <c r="B844" s="2" t="s">
        <v>1687</v>
      </c>
      <c r="C844" s="6" t="n">
        <v>43129</v>
      </c>
      <c r="D844" s="3" t="n">
        <v>18</v>
      </c>
      <c r="E844" s="3" t="n">
        <v>6</v>
      </c>
      <c r="F844" s="7" t="n">
        <f aca="false">IFERROR(Tableau1[[#This Row],[Score]]/Tableau1[[#This Row],[Nb]],0)</f>
        <v>0.333333333333333</v>
      </c>
    </row>
    <row r="845" customFormat="false" ht="30" hidden="false" customHeight="true" outlineLevel="0" collapsed="false">
      <c r="A845" s="1" t="s">
        <v>1688</v>
      </c>
      <c r="B845" s="2" t="s">
        <v>1689</v>
      </c>
      <c r="C845" s="6" t="n">
        <v>43129</v>
      </c>
      <c r="D845" s="3" t="n">
        <v>7</v>
      </c>
      <c r="E845" s="3" t="n">
        <v>3</v>
      </c>
      <c r="F845" s="7" t="n">
        <f aca="false">IFERROR(Tableau1[[#This Row],[Score]]/Tableau1[[#This Row],[Nb]],0)</f>
        <v>0.428571428571429</v>
      </c>
    </row>
    <row r="846" customFormat="false" ht="30" hidden="false" customHeight="true" outlineLevel="0" collapsed="false">
      <c r="A846" s="1" t="s">
        <v>1690</v>
      </c>
      <c r="B846" s="2" t="s">
        <v>1691</v>
      </c>
      <c r="C846" s="6" t="n">
        <v>43129</v>
      </c>
      <c r="D846" s="3" t="n">
        <v>11</v>
      </c>
      <c r="E846" s="3" t="n">
        <v>5</v>
      </c>
      <c r="F846" s="7" t="n">
        <f aca="false">IFERROR(Tableau1[[#This Row],[Score]]/Tableau1[[#This Row],[Nb]],0)</f>
        <v>0.454545454545455</v>
      </c>
    </row>
    <row r="847" customFormat="false" ht="30" hidden="false" customHeight="true" outlineLevel="0" collapsed="false">
      <c r="A847" s="1" t="s">
        <v>1692</v>
      </c>
      <c r="B847" s="2" t="s">
        <v>1693</v>
      </c>
      <c r="C847" s="6" t="n">
        <v>43129</v>
      </c>
      <c r="D847" s="3" t="n">
        <v>11</v>
      </c>
      <c r="E847" s="3" t="n">
        <v>5</v>
      </c>
      <c r="F847" s="7" t="n">
        <f aca="false">IFERROR(Tableau1[[#This Row],[Score]]/Tableau1[[#This Row],[Nb]],0)</f>
        <v>0.454545454545455</v>
      </c>
    </row>
    <row r="848" customFormat="false" ht="30" hidden="false" customHeight="true" outlineLevel="0" collapsed="false">
      <c r="A848" s="1" t="s">
        <v>1694</v>
      </c>
      <c r="B848" s="2" t="s">
        <v>1695</v>
      </c>
      <c r="C848" s="6" t="n">
        <v>43129</v>
      </c>
      <c r="D848" s="3" t="n">
        <v>12</v>
      </c>
      <c r="E848" s="3" t="n">
        <v>6</v>
      </c>
      <c r="F848" s="7" t="n">
        <f aca="false">IFERROR(Tableau1[[#This Row],[Score]]/Tableau1[[#This Row],[Nb]],0)</f>
        <v>0.5</v>
      </c>
    </row>
    <row r="849" customFormat="false" ht="30" hidden="false" customHeight="true" outlineLevel="0" collapsed="false">
      <c r="A849" s="1" t="s">
        <v>1696</v>
      </c>
      <c r="B849" s="2" t="s">
        <v>1697</v>
      </c>
      <c r="C849" s="6" t="n">
        <v>43129</v>
      </c>
      <c r="D849" s="3" t="n">
        <v>10</v>
      </c>
      <c r="E849" s="3" t="n">
        <v>6</v>
      </c>
      <c r="F849" s="7" t="n">
        <f aca="false">IFERROR(Tableau1[[#This Row],[Score]]/Tableau1[[#This Row],[Nb]],0)</f>
        <v>0.6</v>
      </c>
    </row>
    <row r="850" customFormat="false" ht="30" hidden="false" customHeight="true" outlineLevel="0" collapsed="false">
      <c r="A850" s="1" t="s">
        <v>1698</v>
      </c>
      <c r="B850" s="2" t="s">
        <v>1699</v>
      </c>
      <c r="C850" s="6" t="n">
        <v>43129</v>
      </c>
      <c r="D850" s="3" t="n">
        <v>5</v>
      </c>
      <c r="E850" s="3" t="n">
        <v>3</v>
      </c>
      <c r="F850" s="7" t="n">
        <f aca="false">IFERROR(Tableau1[[#This Row],[Score]]/Tableau1[[#This Row],[Nb]],0)</f>
        <v>0.6</v>
      </c>
    </row>
    <row r="851" customFormat="false" ht="30" hidden="false" customHeight="true" outlineLevel="0" collapsed="false">
      <c r="A851" s="1" t="s">
        <v>1700</v>
      </c>
      <c r="B851" s="2" t="s">
        <v>1701</v>
      </c>
      <c r="C851" s="6" t="n">
        <v>43129</v>
      </c>
      <c r="D851" s="3" t="n">
        <v>5</v>
      </c>
      <c r="E851" s="3" t="n">
        <v>3</v>
      </c>
      <c r="F851" s="7" t="n">
        <f aca="false">IFERROR(Tableau1[[#This Row],[Score]]/Tableau1[[#This Row],[Nb]],0)</f>
        <v>0.6</v>
      </c>
    </row>
    <row r="852" customFormat="false" ht="30" hidden="false" customHeight="true" outlineLevel="0" collapsed="false">
      <c r="A852" s="1" t="s">
        <v>1702</v>
      </c>
      <c r="B852" s="2" t="s">
        <v>1703</v>
      </c>
      <c r="C852" s="6" t="n">
        <v>43129</v>
      </c>
      <c r="D852" s="3" t="n">
        <v>15</v>
      </c>
      <c r="E852" s="3" t="n">
        <v>9</v>
      </c>
      <c r="F852" s="7" t="n">
        <f aca="false">IFERROR(Tableau1[[#This Row],[Score]]/Tableau1[[#This Row],[Nb]],0)</f>
        <v>0.6</v>
      </c>
    </row>
    <row r="853" customFormat="false" ht="30" hidden="false" customHeight="true" outlineLevel="0" collapsed="false">
      <c r="A853" s="1" t="s">
        <v>1704</v>
      </c>
      <c r="B853" s="2" t="s">
        <v>1705</v>
      </c>
      <c r="C853" s="6" t="n">
        <v>43129</v>
      </c>
      <c r="D853" s="3" t="n">
        <v>12</v>
      </c>
      <c r="E853" s="3" t="n">
        <v>8</v>
      </c>
      <c r="F853" s="7" t="n">
        <f aca="false">IFERROR(Tableau1[[#This Row],[Score]]/Tableau1[[#This Row],[Nb]],0)</f>
        <v>0.666666666666667</v>
      </c>
    </row>
    <row r="854" customFormat="false" ht="30" hidden="false" customHeight="true" outlineLevel="0" collapsed="false">
      <c r="A854" s="1" t="s">
        <v>1706</v>
      </c>
      <c r="B854" s="2" t="s">
        <v>1707</v>
      </c>
      <c r="C854" s="6" t="n">
        <v>43129</v>
      </c>
      <c r="D854" s="3" t="n">
        <v>12</v>
      </c>
      <c r="E854" s="3" t="n">
        <v>8</v>
      </c>
      <c r="F854" s="7" t="n">
        <f aca="false">IFERROR(Tableau1[[#This Row],[Score]]/Tableau1[[#This Row],[Nb]],0)</f>
        <v>0.666666666666667</v>
      </c>
    </row>
    <row r="855" customFormat="false" ht="30" hidden="false" customHeight="true" outlineLevel="0" collapsed="false">
      <c r="A855" s="1" t="s">
        <v>1708</v>
      </c>
      <c r="B855" s="2" t="s">
        <v>1709</v>
      </c>
      <c r="C855" s="6" t="n">
        <v>43129</v>
      </c>
      <c r="D855" s="3" t="n">
        <v>6</v>
      </c>
      <c r="E855" s="3" t="n">
        <v>4</v>
      </c>
      <c r="F855" s="7" t="n">
        <f aca="false">IFERROR(Tableau1[[#This Row],[Score]]/Tableau1[[#This Row],[Nb]],0)</f>
        <v>0.666666666666667</v>
      </c>
    </row>
    <row r="856" customFormat="false" ht="30" hidden="false" customHeight="true" outlineLevel="0" collapsed="false">
      <c r="A856" s="1" t="s">
        <v>1710</v>
      </c>
      <c r="B856" s="2" t="s">
        <v>1711</v>
      </c>
      <c r="C856" s="6" t="n">
        <v>43129</v>
      </c>
      <c r="D856" s="3" t="n">
        <v>8</v>
      </c>
      <c r="E856" s="3" t="n">
        <v>4</v>
      </c>
      <c r="F856" s="7" t="n">
        <f aca="false">IFERROR(Tableau1[[#This Row],[Score]]/Tableau1[[#This Row],[Nb]],0)</f>
        <v>0.5</v>
      </c>
    </row>
    <row r="857" customFormat="false" ht="30" hidden="false" customHeight="true" outlineLevel="0" collapsed="false">
      <c r="A857" s="1" t="s">
        <v>1712</v>
      </c>
      <c r="B857" s="2" t="s">
        <v>1713</v>
      </c>
      <c r="C857" s="6" t="n">
        <v>43129</v>
      </c>
      <c r="D857" s="3" t="n">
        <v>7</v>
      </c>
      <c r="E857" s="3" t="n">
        <v>5</v>
      </c>
      <c r="F857" s="7" t="n">
        <f aca="false">IFERROR(Tableau1[[#This Row],[Score]]/Tableau1[[#This Row],[Nb]],0)</f>
        <v>0.714285714285714</v>
      </c>
    </row>
    <row r="858" customFormat="false" ht="30" hidden="false" customHeight="true" outlineLevel="0" collapsed="false">
      <c r="A858" s="1" t="s">
        <v>1714</v>
      </c>
      <c r="B858" s="2" t="s">
        <v>1715</v>
      </c>
      <c r="C858" s="6" t="n">
        <v>43129</v>
      </c>
      <c r="D858" s="3" t="n">
        <v>7</v>
      </c>
      <c r="E858" s="3" t="n">
        <v>5</v>
      </c>
      <c r="F858" s="7" t="n">
        <f aca="false">IFERROR(Tableau1[[#This Row],[Score]]/Tableau1[[#This Row],[Nb]],0)</f>
        <v>0.714285714285714</v>
      </c>
    </row>
    <row r="859" customFormat="false" ht="30" hidden="false" customHeight="true" outlineLevel="0" collapsed="false">
      <c r="A859" s="1" t="s">
        <v>1716</v>
      </c>
      <c r="B859" s="2" t="s">
        <v>1717</v>
      </c>
      <c r="C859" s="6" t="n">
        <v>43129</v>
      </c>
      <c r="D859" s="3" t="n">
        <v>8</v>
      </c>
      <c r="E859" s="3" t="n">
        <v>6</v>
      </c>
      <c r="F859" s="7" t="n">
        <f aca="false">IFERROR(Tableau1[[#This Row],[Score]]/Tableau1[[#This Row],[Nb]],0)</f>
        <v>0.75</v>
      </c>
    </row>
    <row r="860" customFormat="false" ht="30" hidden="false" customHeight="true" outlineLevel="0" collapsed="false">
      <c r="A860" s="1" t="s">
        <v>1718</v>
      </c>
      <c r="B860" s="2" t="s">
        <v>1719</v>
      </c>
      <c r="C860" s="6" t="n">
        <v>43129</v>
      </c>
      <c r="D860" s="3" t="n">
        <v>9</v>
      </c>
      <c r="E860" s="3" t="n">
        <v>7</v>
      </c>
      <c r="F860" s="7" t="n">
        <f aca="false">IFERROR(Tableau1[[#This Row],[Score]]/Tableau1[[#This Row],[Nb]],0)</f>
        <v>0.777777777777778</v>
      </c>
    </row>
    <row r="861" customFormat="false" ht="30" hidden="false" customHeight="true" outlineLevel="0" collapsed="false">
      <c r="A861" s="1" t="s">
        <v>1720</v>
      </c>
      <c r="B861" s="2" t="s">
        <v>1721</v>
      </c>
      <c r="C861" s="6" t="n">
        <v>43129</v>
      </c>
      <c r="D861" s="3" t="n">
        <v>9</v>
      </c>
      <c r="E861" s="3" t="n">
        <v>7</v>
      </c>
      <c r="F861" s="7" t="n">
        <f aca="false">IFERROR(Tableau1[[#This Row],[Score]]/Tableau1[[#This Row],[Nb]],0)</f>
        <v>0.777777777777778</v>
      </c>
    </row>
    <row r="862" customFormat="false" ht="30" hidden="false" customHeight="true" outlineLevel="0" collapsed="false">
      <c r="A862" s="1" t="s">
        <v>1722</v>
      </c>
      <c r="B862" s="2" t="s">
        <v>1723</v>
      </c>
      <c r="C862" s="6" t="n">
        <v>43129</v>
      </c>
      <c r="D862" s="3" t="n">
        <v>9</v>
      </c>
      <c r="E862" s="3" t="n">
        <v>7</v>
      </c>
      <c r="F862" s="7" t="n">
        <f aca="false">IFERROR(Tableau1[[#This Row],[Score]]/Tableau1[[#This Row],[Nb]],0)</f>
        <v>0.777777777777778</v>
      </c>
    </row>
    <row r="863" customFormat="false" ht="30" hidden="false" customHeight="true" outlineLevel="0" collapsed="false">
      <c r="A863" s="1" t="s">
        <v>1724</v>
      </c>
      <c r="B863" s="2" t="s">
        <v>1725</v>
      </c>
      <c r="C863" s="6" t="n">
        <v>43129</v>
      </c>
      <c r="D863" s="3" t="n">
        <v>9</v>
      </c>
      <c r="E863" s="3" t="n">
        <v>7</v>
      </c>
      <c r="F863" s="7" t="n">
        <f aca="false">IFERROR(Tableau1[[#This Row],[Score]]/Tableau1[[#This Row],[Nb]],0)</f>
        <v>0.777777777777778</v>
      </c>
    </row>
    <row r="864" customFormat="false" ht="30" hidden="false" customHeight="true" outlineLevel="0" collapsed="false">
      <c r="A864" s="1" t="s">
        <v>1116</v>
      </c>
      <c r="B864" s="2" t="s">
        <v>1726</v>
      </c>
      <c r="C864" s="6" t="n">
        <v>43129</v>
      </c>
      <c r="D864" s="3" t="n">
        <v>9</v>
      </c>
      <c r="E864" s="3" t="n">
        <v>7</v>
      </c>
      <c r="F864" s="7" t="n">
        <f aca="false">IFERROR(Tableau1[[#This Row],[Score]]/Tableau1[[#This Row],[Nb]],0)</f>
        <v>0.777777777777778</v>
      </c>
    </row>
    <row r="865" customFormat="false" ht="30" hidden="false" customHeight="true" outlineLevel="0" collapsed="false">
      <c r="A865" s="1" t="s">
        <v>1727</v>
      </c>
      <c r="B865" s="2" t="s">
        <v>1728</v>
      </c>
      <c r="C865" s="6" t="n">
        <v>43129</v>
      </c>
      <c r="D865" s="3" t="n">
        <v>10</v>
      </c>
      <c r="E865" s="3" t="n">
        <v>8</v>
      </c>
      <c r="F865" s="7" t="n">
        <f aca="false">IFERROR(Tableau1[[#This Row],[Score]]/Tableau1[[#This Row],[Nb]],0)</f>
        <v>0.8</v>
      </c>
    </row>
    <row r="866" customFormat="false" ht="30" hidden="false" customHeight="true" outlineLevel="0" collapsed="false">
      <c r="A866" s="1" t="s">
        <v>1729</v>
      </c>
      <c r="B866" s="2" t="s">
        <v>1730</v>
      </c>
      <c r="C866" s="6" t="n">
        <v>43129</v>
      </c>
      <c r="D866" s="3" t="n">
        <v>10</v>
      </c>
      <c r="E866" s="3" t="n">
        <v>8</v>
      </c>
      <c r="F866" s="7" t="n">
        <f aca="false">IFERROR(Tableau1[[#This Row],[Score]]/Tableau1[[#This Row],[Nb]],0)</f>
        <v>0.8</v>
      </c>
    </row>
    <row r="867" customFormat="false" ht="30" hidden="false" customHeight="true" outlineLevel="0" collapsed="false">
      <c r="A867" s="1" t="s">
        <v>1731</v>
      </c>
      <c r="B867" s="2" t="s">
        <v>1732</v>
      </c>
      <c r="C867" s="6" t="n">
        <v>43129</v>
      </c>
      <c r="D867" s="3" t="n">
        <v>11</v>
      </c>
      <c r="E867" s="3" t="n">
        <v>9</v>
      </c>
      <c r="F867" s="7" t="n">
        <f aca="false">IFERROR(Tableau1[[#This Row],[Score]]/Tableau1[[#This Row],[Nb]],0)</f>
        <v>0.818181818181818</v>
      </c>
    </row>
    <row r="868" customFormat="false" ht="30" hidden="false" customHeight="true" outlineLevel="0" collapsed="false">
      <c r="A868" s="1" t="s">
        <v>1733</v>
      </c>
      <c r="B868" s="2" t="s">
        <v>1734</v>
      </c>
      <c r="C868" s="6" t="n">
        <v>43129</v>
      </c>
      <c r="D868" s="3" t="n">
        <v>11</v>
      </c>
      <c r="E868" s="3" t="n">
        <v>9</v>
      </c>
      <c r="F868" s="7" t="n">
        <f aca="false">IFERROR(Tableau1[[#This Row],[Score]]/Tableau1[[#This Row],[Nb]],0)</f>
        <v>0.818181818181818</v>
      </c>
    </row>
    <row r="869" customFormat="false" ht="30" hidden="false" customHeight="true" outlineLevel="0" collapsed="false">
      <c r="A869" s="1" t="s">
        <v>1735</v>
      </c>
      <c r="B869" s="2" t="s">
        <v>1736</v>
      </c>
      <c r="C869" s="6" t="n">
        <v>43129</v>
      </c>
      <c r="D869" s="3" t="n">
        <v>12</v>
      </c>
      <c r="E869" s="3" t="n">
        <v>10</v>
      </c>
      <c r="F869" s="7" t="n">
        <f aca="false">IFERROR(Tableau1[[#This Row],[Score]]/Tableau1[[#This Row],[Nb]],0)</f>
        <v>0.833333333333333</v>
      </c>
    </row>
    <row r="870" customFormat="false" ht="30" hidden="false" customHeight="true" outlineLevel="0" collapsed="false">
      <c r="A870" s="1" t="s">
        <v>1737</v>
      </c>
      <c r="B870" s="2" t="s">
        <v>1738</v>
      </c>
      <c r="C870" s="6" t="n">
        <v>43129</v>
      </c>
      <c r="D870" s="3" t="n">
        <v>13</v>
      </c>
      <c r="E870" s="3" t="n">
        <v>11</v>
      </c>
      <c r="F870" s="7" t="n">
        <f aca="false">IFERROR(Tableau1[[#This Row],[Score]]/Tableau1[[#This Row],[Nb]],0)</f>
        <v>0.846153846153846</v>
      </c>
    </row>
    <row r="871" customFormat="false" ht="30" hidden="false" customHeight="true" outlineLevel="0" collapsed="false">
      <c r="A871" s="1" t="s">
        <v>1739</v>
      </c>
      <c r="B871" s="2" t="s">
        <v>1740</v>
      </c>
      <c r="C871" s="6" t="n">
        <v>43129</v>
      </c>
      <c r="D871" s="3" t="n">
        <v>15</v>
      </c>
      <c r="E871" s="3" t="n">
        <v>13</v>
      </c>
      <c r="F871" s="7" t="n">
        <f aca="false">IFERROR(Tableau1[[#This Row],[Score]]/Tableau1[[#This Row],[Nb]],0)</f>
        <v>0.866666666666667</v>
      </c>
    </row>
    <row r="872" customFormat="false" ht="30" hidden="false" customHeight="true" outlineLevel="0" collapsed="false">
      <c r="A872" s="1" t="s">
        <v>1741</v>
      </c>
      <c r="B872" s="2" t="s">
        <v>1742</v>
      </c>
      <c r="C872" s="6" t="n">
        <v>43129</v>
      </c>
      <c r="D872" s="3" t="n">
        <v>10</v>
      </c>
      <c r="E872" s="3" t="n">
        <v>9</v>
      </c>
      <c r="F872" s="7" t="n">
        <f aca="false">IFERROR(Tableau1[[#This Row],[Score]]/Tableau1[[#This Row],[Nb]],0)</f>
        <v>0.9</v>
      </c>
    </row>
    <row r="873" customFormat="false" ht="30" hidden="false" customHeight="true" outlineLevel="0" collapsed="false">
      <c r="A873" s="1" t="s">
        <v>1743</v>
      </c>
      <c r="B873" s="2" t="s">
        <v>1744</v>
      </c>
      <c r="C873" s="6" t="n">
        <v>43129</v>
      </c>
      <c r="D873" s="3" t="n">
        <v>11</v>
      </c>
      <c r="E873" s="3" t="n">
        <v>10</v>
      </c>
      <c r="F873" s="7" t="n">
        <f aca="false">IFERROR(Tableau1[[#This Row],[Score]]/Tableau1[[#This Row],[Nb]],0)</f>
        <v>0.909090909090909</v>
      </c>
    </row>
    <row r="874" customFormat="false" ht="30" hidden="false" customHeight="true" outlineLevel="0" collapsed="false">
      <c r="A874" s="1" t="s">
        <v>1745</v>
      </c>
      <c r="B874" s="2" t="s">
        <v>1746</v>
      </c>
      <c r="C874" s="6" t="n">
        <v>43129</v>
      </c>
      <c r="D874" s="3" t="n">
        <v>13</v>
      </c>
      <c r="E874" s="3" t="n">
        <v>12</v>
      </c>
      <c r="F874" s="7" t="n">
        <f aca="false">IFERROR(Tableau1[[#This Row],[Score]]/Tableau1[[#This Row],[Nb]],0)</f>
        <v>0.923076923076923</v>
      </c>
    </row>
    <row r="875" customFormat="false" ht="30" hidden="false" customHeight="true" outlineLevel="0" collapsed="false">
      <c r="A875" s="1" t="s">
        <v>1747</v>
      </c>
      <c r="B875" s="2" t="s">
        <v>1748</v>
      </c>
      <c r="C875" s="6" t="n">
        <v>43129</v>
      </c>
      <c r="D875" s="3" t="n">
        <v>16</v>
      </c>
      <c r="E875" s="3" t="n">
        <v>15</v>
      </c>
      <c r="F875" s="7" t="n">
        <f aca="false">IFERROR(Tableau1[[#This Row],[Score]]/Tableau1[[#This Row],[Nb]],0)</f>
        <v>0.9375</v>
      </c>
    </row>
    <row r="876" customFormat="false" ht="30" hidden="false" customHeight="true" outlineLevel="0" collapsed="false">
      <c r="A876" s="8" t="s">
        <v>1749</v>
      </c>
      <c r="B876" s="9" t="s">
        <v>1750</v>
      </c>
      <c r="C876" s="6" t="n">
        <v>43129</v>
      </c>
      <c r="D876" s="3" t="n">
        <v>10</v>
      </c>
      <c r="E876" s="3" t="n">
        <v>10</v>
      </c>
      <c r="F876" s="7" t="n">
        <f aca="false">IFERROR(Tableau1[[#This Row],[Score]]/Tableau1[[#This Row],[Nb]],0)</f>
        <v>1</v>
      </c>
    </row>
    <row r="877" customFormat="false" ht="30" hidden="false" customHeight="true" outlineLevel="0" collapsed="false">
      <c r="A877" s="8" t="s">
        <v>1751</v>
      </c>
      <c r="B877" s="9" t="s">
        <v>1752</v>
      </c>
      <c r="C877" s="6" t="n">
        <v>43129</v>
      </c>
      <c r="D877" s="3" t="n">
        <v>10</v>
      </c>
      <c r="E877" s="3" t="n">
        <v>10</v>
      </c>
      <c r="F877" s="7" t="n">
        <f aca="false">IFERROR(Tableau1[[#This Row],[Score]]/Tableau1[[#This Row],[Nb]],0)</f>
        <v>1</v>
      </c>
    </row>
    <row r="878" customFormat="false" ht="30" hidden="false" customHeight="true" outlineLevel="0" collapsed="false">
      <c r="A878" s="8" t="s">
        <v>1753</v>
      </c>
      <c r="B878" s="9" t="s">
        <v>1754</v>
      </c>
      <c r="C878" s="6" t="n">
        <v>43129</v>
      </c>
      <c r="D878" s="3" t="n">
        <v>10</v>
      </c>
      <c r="E878" s="3" t="n">
        <v>10</v>
      </c>
      <c r="F878" s="7" t="n">
        <f aca="false">IFERROR(Tableau1[[#This Row],[Score]]/Tableau1[[#This Row],[Nb]],0)</f>
        <v>1</v>
      </c>
    </row>
    <row r="879" customFormat="false" ht="30" hidden="false" customHeight="true" outlineLevel="0" collapsed="false">
      <c r="A879" s="8" t="s">
        <v>1755</v>
      </c>
      <c r="B879" s="9" t="s">
        <v>1756</v>
      </c>
      <c r="C879" s="6" t="n">
        <v>43129</v>
      </c>
      <c r="D879" s="3" t="n">
        <v>10</v>
      </c>
      <c r="E879" s="3" t="n">
        <v>10</v>
      </c>
      <c r="F879" s="7" t="n">
        <f aca="false">IFERROR(Tableau1[[#This Row],[Score]]/Tableau1[[#This Row],[Nb]],0)</f>
        <v>1</v>
      </c>
    </row>
    <row r="880" customFormat="false" ht="30" hidden="false" customHeight="true" outlineLevel="0" collapsed="false">
      <c r="A880" s="8" t="s">
        <v>1757</v>
      </c>
      <c r="B880" s="9" t="s">
        <v>1758</v>
      </c>
      <c r="C880" s="6" t="n">
        <v>43129</v>
      </c>
      <c r="D880" s="3" t="n">
        <v>10</v>
      </c>
      <c r="E880" s="3" t="n">
        <v>10</v>
      </c>
      <c r="F880" s="7" t="n">
        <f aca="false">IFERROR(Tableau1[[#This Row],[Score]]/Tableau1[[#This Row],[Nb]],0)</f>
        <v>1</v>
      </c>
    </row>
    <row r="881" customFormat="false" ht="30" hidden="false" customHeight="true" outlineLevel="0" collapsed="false">
      <c r="A881" s="1" t="s">
        <v>1759</v>
      </c>
      <c r="B881" s="2" t="s">
        <v>1760</v>
      </c>
      <c r="C881" s="6" t="n">
        <v>43129</v>
      </c>
      <c r="D881" s="3" t="n">
        <v>8</v>
      </c>
      <c r="E881" s="3" t="n">
        <v>8</v>
      </c>
      <c r="F881" s="7" t="n">
        <f aca="false">IFERROR(Tableau1[[#This Row],[Score]]/Tableau1[[#This Row],[Nb]],0)</f>
        <v>1</v>
      </c>
    </row>
    <row r="882" customFormat="false" ht="30" hidden="false" customHeight="true" outlineLevel="0" collapsed="false">
      <c r="A882" s="1" t="s">
        <v>1761</v>
      </c>
      <c r="B882" s="2" t="s">
        <v>1762</v>
      </c>
      <c r="C882" s="6" t="n">
        <v>43129</v>
      </c>
      <c r="D882" s="3" t="n">
        <v>8</v>
      </c>
      <c r="E882" s="3" t="n">
        <v>8</v>
      </c>
      <c r="F882" s="7" t="n">
        <f aca="false">IFERROR(Tableau1[[#This Row],[Score]]/Tableau1[[#This Row],[Nb]],0)</f>
        <v>1</v>
      </c>
    </row>
    <row r="883" customFormat="false" ht="30" hidden="false" customHeight="true" outlineLevel="0" collapsed="false">
      <c r="A883" s="1" t="s">
        <v>1763</v>
      </c>
      <c r="B883" s="2" t="s">
        <v>1764</v>
      </c>
      <c r="C883" s="6" t="n">
        <v>43129</v>
      </c>
      <c r="D883" s="3" t="n">
        <v>9</v>
      </c>
      <c r="E883" s="3" t="n">
        <v>9</v>
      </c>
      <c r="F883" s="7" t="n">
        <f aca="false">IFERROR(Tableau1[[#This Row],[Score]]/Tableau1[[#This Row],[Nb]],0)</f>
        <v>1</v>
      </c>
    </row>
    <row r="884" customFormat="false" ht="30" hidden="false" customHeight="true" outlineLevel="0" collapsed="false">
      <c r="A884" s="1" t="s">
        <v>1765</v>
      </c>
      <c r="B884" s="2" t="s">
        <v>1766</v>
      </c>
      <c r="C884" s="6" t="n">
        <v>43129</v>
      </c>
      <c r="D884" s="3" t="n">
        <v>8</v>
      </c>
      <c r="E884" s="3" t="n">
        <v>8</v>
      </c>
      <c r="F884" s="7" t="n">
        <f aca="false">IFERROR(Tableau1[[#This Row],[Score]]/Tableau1[[#This Row],[Nb]],0)</f>
        <v>1</v>
      </c>
    </row>
    <row r="885" customFormat="false" ht="30" hidden="false" customHeight="true" outlineLevel="0" collapsed="false">
      <c r="A885" s="1" t="s">
        <v>1767</v>
      </c>
      <c r="B885" s="2" t="s">
        <v>1768</v>
      </c>
      <c r="C885" s="6" t="n">
        <v>43129</v>
      </c>
      <c r="D885" s="3" t="n">
        <v>9</v>
      </c>
      <c r="E885" s="3" t="n">
        <v>9</v>
      </c>
      <c r="F885" s="7" t="n">
        <f aca="false">IFERROR(Tableau1[[#This Row],[Score]]/Tableau1[[#This Row],[Nb]],0)</f>
        <v>1</v>
      </c>
    </row>
    <row r="886" customFormat="false" ht="30" hidden="false" customHeight="true" outlineLevel="0" collapsed="false">
      <c r="A886" s="1" t="s">
        <v>1769</v>
      </c>
      <c r="B886" s="2" t="s">
        <v>1770</v>
      </c>
      <c r="C886" s="6" t="n">
        <v>43129</v>
      </c>
      <c r="D886" s="3" t="n">
        <v>9</v>
      </c>
      <c r="E886" s="3" t="n">
        <v>9</v>
      </c>
      <c r="F886" s="7" t="n">
        <f aca="false">IFERROR(Tableau1[[#This Row],[Score]]/Tableau1[[#This Row],[Nb]],0)</f>
        <v>1</v>
      </c>
    </row>
    <row r="887" customFormat="false" ht="30" hidden="false" customHeight="true" outlineLevel="0" collapsed="false">
      <c r="A887" s="1" t="s">
        <v>1771</v>
      </c>
      <c r="B887" s="2" t="s">
        <v>1772</v>
      </c>
      <c r="C887" s="6" t="n">
        <v>43129</v>
      </c>
      <c r="D887" s="3" t="n">
        <v>9</v>
      </c>
      <c r="E887" s="3" t="n">
        <v>9</v>
      </c>
      <c r="F887" s="7" t="n">
        <f aca="false">IFERROR(Tableau1[[#This Row],[Score]]/Tableau1[[#This Row],[Nb]],0)</f>
        <v>1</v>
      </c>
    </row>
    <row r="888" customFormat="false" ht="30" hidden="false" customHeight="true" outlineLevel="0" collapsed="false">
      <c r="A888" s="1" t="s">
        <v>1773</v>
      </c>
      <c r="B888" s="2" t="s">
        <v>1774</v>
      </c>
      <c r="C888" s="6" t="n">
        <v>43129</v>
      </c>
      <c r="D888" s="3" t="n">
        <v>9</v>
      </c>
      <c r="E888" s="3" t="n">
        <v>9</v>
      </c>
      <c r="F888" s="7" t="n">
        <f aca="false">IFERROR(Tableau1[[#This Row],[Score]]/Tableau1[[#This Row],[Nb]],0)</f>
        <v>1</v>
      </c>
    </row>
    <row r="889" customFormat="false" ht="30" hidden="false" customHeight="true" outlineLevel="0" collapsed="false">
      <c r="A889" s="1" t="s">
        <v>1775</v>
      </c>
      <c r="B889" s="2" t="s">
        <v>1776</v>
      </c>
      <c r="C889" s="6" t="n">
        <v>43129</v>
      </c>
      <c r="D889" s="3" t="n">
        <v>9</v>
      </c>
      <c r="E889" s="3" t="n">
        <v>9</v>
      </c>
      <c r="F889" s="7" t="n">
        <f aca="false">IFERROR(Tableau1[[#This Row],[Score]]/Tableau1[[#This Row],[Nb]],0)</f>
        <v>1</v>
      </c>
    </row>
    <row r="890" customFormat="false" ht="30" hidden="false" customHeight="true" outlineLevel="0" collapsed="false">
      <c r="A890" s="1" t="s">
        <v>1777</v>
      </c>
      <c r="B890" s="2" t="s">
        <v>1778</v>
      </c>
      <c r="C890" s="6" t="n">
        <v>43129</v>
      </c>
      <c r="D890" s="3" t="n">
        <v>9</v>
      </c>
      <c r="E890" s="3" t="n">
        <v>9</v>
      </c>
      <c r="F890" s="7" t="n">
        <f aca="false">IFERROR(Tableau1[[#This Row],[Score]]/Tableau1[[#This Row],[Nb]],0)</f>
        <v>1</v>
      </c>
    </row>
    <row r="891" customFormat="false" ht="30" hidden="false" customHeight="true" outlineLevel="0" collapsed="false">
      <c r="A891" s="1" t="s">
        <v>1779</v>
      </c>
      <c r="B891" s="2" t="s">
        <v>1780</v>
      </c>
      <c r="C891" s="6" t="n">
        <v>43129</v>
      </c>
      <c r="D891" s="3" t="n">
        <v>9</v>
      </c>
      <c r="E891" s="3" t="n">
        <v>9</v>
      </c>
      <c r="F891" s="7" t="n">
        <f aca="false">IFERROR(Tableau1[[#This Row],[Score]]/Tableau1[[#This Row],[Nb]],0)</f>
        <v>1</v>
      </c>
    </row>
    <row r="892" customFormat="false" ht="30" hidden="false" customHeight="true" outlineLevel="0" collapsed="false">
      <c r="A892" s="1" t="s">
        <v>1781</v>
      </c>
      <c r="B892" s="2" t="s">
        <v>1782</v>
      </c>
      <c r="C892" s="6" t="n">
        <v>43129</v>
      </c>
      <c r="D892" s="3" t="n">
        <v>9</v>
      </c>
      <c r="E892" s="3" t="n">
        <v>9</v>
      </c>
      <c r="F892" s="7" t="n">
        <f aca="false">IFERROR(Tableau1[[#This Row],[Score]]/Tableau1[[#This Row],[Nb]],0)</f>
        <v>1</v>
      </c>
    </row>
    <row r="893" customFormat="false" ht="30" hidden="false" customHeight="true" outlineLevel="0" collapsed="false">
      <c r="A893" s="1" t="s">
        <v>1783</v>
      </c>
      <c r="B893" s="2" t="s">
        <v>1784</v>
      </c>
      <c r="C893" s="6" t="n">
        <v>43129</v>
      </c>
      <c r="D893" s="3" t="n">
        <v>9</v>
      </c>
      <c r="E893" s="3" t="n">
        <v>9</v>
      </c>
      <c r="F893" s="7" t="n">
        <f aca="false">IFERROR(Tableau1[[#This Row],[Score]]/Tableau1[[#This Row],[Nb]],0)</f>
        <v>1</v>
      </c>
    </row>
    <row r="894" customFormat="false" ht="30" hidden="false" customHeight="true" outlineLevel="0" collapsed="false">
      <c r="A894" s="1" t="s">
        <v>1785</v>
      </c>
      <c r="B894" s="2" t="s">
        <v>1786</v>
      </c>
      <c r="C894" s="6" t="n">
        <v>43129</v>
      </c>
      <c r="D894" s="3" t="n">
        <v>9</v>
      </c>
      <c r="E894" s="3" t="n">
        <v>9</v>
      </c>
      <c r="F894" s="7" t="n">
        <f aca="false">IFERROR(Tableau1[[#This Row],[Score]]/Tableau1[[#This Row],[Nb]],0)</f>
        <v>1</v>
      </c>
    </row>
    <row r="895" customFormat="false" ht="30" hidden="false" customHeight="true" outlineLevel="0" collapsed="false">
      <c r="A895" s="1" t="s">
        <v>1787</v>
      </c>
      <c r="B895" s="2" t="s">
        <v>1788</v>
      </c>
      <c r="C895" s="6" t="n">
        <v>43129</v>
      </c>
      <c r="D895" s="3" t="n">
        <v>5</v>
      </c>
      <c r="E895" s="3" t="n">
        <v>5</v>
      </c>
      <c r="F895" s="7" t="n">
        <f aca="false">IFERROR(Tableau1[[#This Row],[Score]]/Tableau1[[#This Row],[Nb]],0)</f>
        <v>1</v>
      </c>
    </row>
    <row r="896" customFormat="false" ht="30" hidden="false" customHeight="true" outlineLevel="0" collapsed="false">
      <c r="A896" s="1" t="s">
        <v>1789</v>
      </c>
      <c r="B896" s="2" t="s">
        <v>1790</v>
      </c>
      <c r="C896" s="6" t="n">
        <v>43129</v>
      </c>
      <c r="D896" s="3" t="n">
        <v>5</v>
      </c>
      <c r="E896" s="3" t="n">
        <v>5</v>
      </c>
      <c r="F896" s="7" t="n">
        <f aca="false">IFERROR(Tableau1[[#This Row],[Score]]/Tableau1[[#This Row],[Nb]],0)</f>
        <v>1</v>
      </c>
    </row>
    <row r="897" customFormat="false" ht="30" hidden="false" customHeight="true" outlineLevel="0" collapsed="false">
      <c r="A897" s="1" t="s">
        <v>1791</v>
      </c>
      <c r="B897" s="2" t="s">
        <v>1792</v>
      </c>
      <c r="C897" s="6" t="n">
        <v>43129</v>
      </c>
      <c r="D897" s="3" t="n">
        <v>5</v>
      </c>
      <c r="E897" s="3" t="n">
        <v>5</v>
      </c>
      <c r="F897" s="7" t="n">
        <f aca="false">IFERROR(Tableau1[[#This Row],[Score]]/Tableau1[[#This Row],[Nb]],0)</f>
        <v>1</v>
      </c>
    </row>
    <row r="898" customFormat="false" ht="30" hidden="false" customHeight="true" outlineLevel="0" collapsed="false">
      <c r="A898" s="1" t="s">
        <v>1793</v>
      </c>
      <c r="B898" s="2" t="s">
        <v>1794</v>
      </c>
      <c r="C898" s="6" t="n">
        <v>43129</v>
      </c>
      <c r="D898" s="3" t="n">
        <v>6</v>
      </c>
      <c r="E898" s="3" t="n">
        <v>6</v>
      </c>
      <c r="F898" s="7" t="n">
        <f aca="false">IFERROR(Tableau1[[#This Row],[Score]]/Tableau1[[#This Row],[Nb]],0)</f>
        <v>1</v>
      </c>
    </row>
    <row r="899" customFormat="false" ht="30" hidden="false" customHeight="true" outlineLevel="0" collapsed="false">
      <c r="A899" s="1" t="s">
        <v>1795</v>
      </c>
      <c r="B899" s="2" t="s">
        <v>1796</v>
      </c>
      <c r="C899" s="6" t="n">
        <v>43129</v>
      </c>
      <c r="D899" s="3" t="n">
        <v>7</v>
      </c>
      <c r="E899" s="3" t="n">
        <v>7</v>
      </c>
      <c r="F899" s="7" t="n">
        <f aca="false">IFERROR(Tableau1[[#This Row],[Score]]/Tableau1[[#This Row],[Nb]],0)</f>
        <v>1</v>
      </c>
    </row>
    <row r="900" customFormat="false" ht="30" hidden="false" customHeight="true" outlineLevel="0" collapsed="false">
      <c r="A900" s="1" t="s">
        <v>1797</v>
      </c>
      <c r="B900" s="2" t="s">
        <v>1798</v>
      </c>
      <c r="C900" s="6" t="n">
        <v>43129</v>
      </c>
      <c r="D900" s="3" t="n">
        <v>7</v>
      </c>
      <c r="E900" s="3" t="n">
        <v>7</v>
      </c>
      <c r="F900" s="7" t="n">
        <f aca="false">IFERROR(Tableau1[[#This Row],[Score]]/Tableau1[[#This Row],[Nb]],0)</f>
        <v>1</v>
      </c>
    </row>
    <row r="901" customFormat="false" ht="30" hidden="false" customHeight="true" outlineLevel="0" collapsed="false">
      <c r="A901" s="8" t="s">
        <v>1799</v>
      </c>
      <c r="B901" s="9" t="s">
        <v>1800</v>
      </c>
      <c r="C901" s="6" t="n">
        <v>43129</v>
      </c>
      <c r="D901" s="3" t="n">
        <v>12</v>
      </c>
      <c r="E901" s="3" t="n">
        <v>12</v>
      </c>
      <c r="F901" s="7" t="n">
        <f aca="false">IFERROR(Tableau1[[#This Row],[Score]]/Tableau1[[#This Row],[Nb]],0)</f>
        <v>1</v>
      </c>
    </row>
    <row r="902" customFormat="false" ht="30" hidden="false" customHeight="true" outlineLevel="0" collapsed="false">
      <c r="A902" s="8" t="s">
        <v>1801</v>
      </c>
      <c r="B902" s="9" t="s">
        <v>1802</v>
      </c>
      <c r="C902" s="6" t="n">
        <v>43129</v>
      </c>
      <c r="D902" s="3" t="n">
        <v>15</v>
      </c>
      <c r="E902" s="3" t="n">
        <v>15</v>
      </c>
      <c r="F902" s="7" t="n">
        <f aca="false">IFERROR(Tableau1[[#This Row],[Score]]/Tableau1[[#This Row],[Nb]],0)</f>
        <v>1</v>
      </c>
    </row>
    <row r="903" customFormat="false" ht="30" hidden="false" customHeight="true" outlineLevel="0" collapsed="false">
      <c r="A903" s="1" t="s">
        <v>1803</v>
      </c>
      <c r="B903" s="2" t="s">
        <v>1804</v>
      </c>
      <c r="C903" s="6" t="n">
        <v>43132</v>
      </c>
      <c r="D903" s="3" t="n">
        <v>13</v>
      </c>
      <c r="E903" s="3" t="n">
        <v>9</v>
      </c>
      <c r="F903" s="7" t="n">
        <f aca="false">IFERROR(Tableau1[[#This Row],[Score]]/Tableau1[[#This Row],[Nb]],0)</f>
        <v>0.692307692307692</v>
      </c>
    </row>
    <row r="904" customFormat="false" ht="30" hidden="false" customHeight="true" outlineLevel="0" collapsed="false">
      <c r="A904" s="1" t="s">
        <v>1805</v>
      </c>
      <c r="B904" s="2" t="s">
        <v>1806</v>
      </c>
      <c r="C904" s="6" t="n">
        <v>43134</v>
      </c>
      <c r="D904" s="3" t="n">
        <v>7</v>
      </c>
      <c r="E904" s="3" t="n">
        <v>-5</v>
      </c>
      <c r="F904" s="7" t="n">
        <f aca="false">IFERROR(Tableau1[[#This Row],[Score]]/Tableau1[[#This Row],[Nb]],0)</f>
        <v>-0.714285714285714</v>
      </c>
    </row>
    <row r="905" customFormat="false" ht="30" hidden="false" customHeight="true" outlineLevel="0" collapsed="false">
      <c r="A905" s="1" t="s">
        <v>1807</v>
      </c>
      <c r="B905" s="2" t="s">
        <v>1808</v>
      </c>
      <c r="C905" s="6" t="n">
        <v>43138</v>
      </c>
      <c r="D905" s="3" t="n">
        <v>15</v>
      </c>
      <c r="E905" s="3" t="n">
        <v>9</v>
      </c>
      <c r="F905" s="7" t="n">
        <f aca="false">IFERROR(Tableau1[[#This Row],[Score]]/Tableau1[[#This Row],[Nb]],0)</f>
        <v>0.6</v>
      </c>
    </row>
    <row r="906" customFormat="false" ht="30" hidden="false" customHeight="true" outlineLevel="0" collapsed="false">
      <c r="A906" s="1" t="s">
        <v>1809</v>
      </c>
      <c r="B906" s="2" t="s">
        <v>1810</v>
      </c>
      <c r="C906" s="6" t="n">
        <v>43143</v>
      </c>
      <c r="D906" s="3" t="n">
        <v>10</v>
      </c>
      <c r="E906" s="3" t="n">
        <v>4</v>
      </c>
      <c r="F906" s="7" t="n">
        <f aca="false">IFERROR(Tableau1[[#This Row],[Score]]/Tableau1[[#This Row],[Nb]],0)</f>
        <v>0.4</v>
      </c>
    </row>
    <row r="907" customFormat="false" ht="30" hidden="false" customHeight="true" outlineLevel="0" collapsed="false">
      <c r="A907" s="8" t="s">
        <v>1811</v>
      </c>
      <c r="B907" s="9" t="s">
        <v>1812</v>
      </c>
      <c r="C907" s="6" t="n">
        <v>43143</v>
      </c>
      <c r="D907" s="3" t="n">
        <v>10</v>
      </c>
      <c r="E907" s="3" t="n">
        <v>10</v>
      </c>
      <c r="F907" s="7" t="n">
        <f aca="false">IFERROR(Tableau1[[#This Row],[Score]]/Tableau1[[#This Row],[Nb]],0)</f>
        <v>1</v>
      </c>
    </row>
    <row r="908" customFormat="false" ht="30" hidden="false" customHeight="true" outlineLevel="0" collapsed="false">
      <c r="A908" s="1" t="s">
        <v>1813</v>
      </c>
      <c r="B908" s="2" t="s">
        <v>1814</v>
      </c>
      <c r="C908" s="6" t="n">
        <v>43143</v>
      </c>
      <c r="D908" s="3" t="n">
        <v>9</v>
      </c>
      <c r="E908" s="3" t="n">
        <v>9</v>
      </c>
      <c r="F908" s="7" t="n">
        <f aca="false">IFERROR(Tableau1[[#This Row],[Score]]/Tableau1[[#This Row],[Nb]],0)</f>
        <v>1</v>
      </c>
    </row>
    <row r="909" customFormat="false" ht="30" hidden="false" customHeight="true" outlineLevel="0" collapsed="false">
      <c r="A909" s="1" t="s">
        <v>1815</v>
      </c>
      <c r="B909" s="2" t="s">
        <v>1816</v>
      </c>
      <c r="C909" s="6" t="n">
        <v>43143</v>
      </c>
      <c r="D909" s="3" t="n">
        <v>7</v>
      </c>
      <c r="E909" s="3" t="n">
        <v>7</v>
      </c>
      <c r="F909" s="7" t="n">
        <f aca="false">IFERROR(Tableau1[[#This Row],[Score]]/Tableau1[[#This Row],[Nb]],0)</f>
        <v>1</v>
      </c>
    </row>
    <row r="910" customFormat="false" ht="30" hidden="false" customHeight="true" outlineLevel="0" collapsed="false">
      <c r="A910" s="1" t="s">
        <v>1817</v>
      </c>
      <c r="B910" s="2" t="s">
        <v>1818</v>
      </c>
      <c r="C910" s="6" t="n">
        <v>43145</v>
      </c>
      <c r="D910" s="3" t="n">
        <v>12</v>
      </c>
      <c r="E910" s="3" t="n">
        <v>-10</v>
      </c>
      <c r="F910" s="7" t="n">
        <f aca="false">IFERROR(Tableau1[[#This Row],[Score]]/Tableau1[[#This Row],[Nb]],0)</f>
        <v>-0.833333333333333</v>
      </c>
    </row>
    <row r="911" customFormat="false" ht="30" hidden="false" customHeight="true" outlineLevel="0" collapsed="false">
      <c r="A911" s="1" t="s">
        <v>1819</v>
      </c>
      <c r="B911" s="2" t="s">
        <v>1820</v>
      </c>
      <c r="C911" s="6" t="n">
        <v>43145</v>
      </c>
      <c r="D911" s="3" t="n">
        <v>9</v>
      </c>
      <c r="E911" s="3" t="n">
        <v>-7</v>
      </c>
      <c r="F911" s="7" t="n">
        <f aca="false">IFERROR(Tableau1[[#This Row],[Score]]/Tableau1[[#This Row],[Nb]],0)</f>
        <v>-0.777777777777778</v>
      </c>
    </row>
    <row r="912" customFormat="false" ht="30" hidden="false" customHeight="true" outlineLevel="0" collapsed="false">
      <c r="A912" s="1" t="s">
        <v>1821</v>
      </c>
      <c r="B912" s="2" t="s">
        <v>1822</v>
      </c>
      <c r="C912" s="6" t="n">
        <v>43145</v>
      </c>
      <c r="D912" s="3" t="n">
        <v>5</v>
      </c>
      <c r="E912" s="3" t="n">
        <v>-3</v>
      </c>
      <c r="F912" s="7" t="n">
        <f aca="false">IFERROR(Tableau1[[#This Row],[Score]]/Tableau1[[#This Row],[Nb]],0)</f>
        <v>-0.6</v>
      </c>
    </row>
    <row r="913" customFormat="false" ht="30" hidden="false" customHeight="true" outlineLevel="0" collapsed="false">
      <c r="A913" s="1" t="s">
        <v>1823</v>
      </c>
      <c r="B913" s="2" t="s">
        <v>1824</v>
      </c>
      <c r="C913" s="6" t="n">
        <v>43151</v>
      </c>
      <c r="D913" s="3" t="n">
        <v>6</v>
      </c>
      <c r="E913" s="3" t="n">
        <v>-6</v>
      </c>
      <c r="F913" s="7" t="n">
        <f aca="false">IFERROR(Tableau1[[#This Row],[Score]]/Tableau1[[#This Row],[Nb]],0)</f>
        <v>-1</v>
      </c>
    </row>
    <row r="914" customFormat="false" ht="30" hidden="false" customHeight="true" outlineLevel="0" collapsed="false">
      <c r="A914" s="1" t="s">
        <v>1825</v>
      </c>
      <c r="B914" s="2" t="s">
        <v>1826</v>
      </c>
      <c r="C914" s="6" t="n">
        <v>43151</v>
      </c>
      <c r="D914" s="3" t="n">
        <v>8</v>
      </c>
      <c r="E914" s="3" t="n">
        <v>6</v>
      </c>
      <c r="F914" s="7" t="n">
        <f aca="false">IFERROR(Tableau1[[#This Row],[Score]]/Tableau1[[#This Row],[Nb]],0)</f>
        <v>0.75</v>
      </c>
    </row>
    <row r="915" customFormat="false" ht="30" hidden="false" customHeight="true" outlineLevel="0" collapsed="false">
      <c r="A915" s="1" t="s">
        <v>1827</v>
      </c>
      <c r="B915" s="2" t="s">
        <v>1828</v>
      </c>
      <c r="C915" s="6" t="n">
        <v>43161</v>
      </c>
      <c r="D915" s="3" t="n">
        <v>10</v>
      </c>
      <c r="E915" s="3" t="n">
        <v>-8</v>
      </c>
      <c r="F915" s="7" t="n">
        <f aca="false">IFERROR(Tableau1[[#This Row],[Score]]/Tableau1[[#This Row],[Nb]],0)</f>
        <v>-0.8</v>
      </c>
    </row>
    <row r="916" customFormat="false" ht="30" hidden="false" customHeight="true" outlineLevel="0" collapsed="false">
      <c r="A916" s="1" t="s">
        <v>1829</v>
      </c>
      <c r="B916" s="2" t="s">
        <v>1830</v>
      </c>
      <c r="C916" s="6" t="n">
        <v>43161</v>
      </c>
      <c r="D916" s="3" t="n">
        <v>15</v>
      </c>
      <c r="E916" s="3" t="n">
        <v>1</v>
      </c>
      <c r="F916" s="7" t="n">
        <f aca="false">IFERROR(Tableau1[[#This Row],[Score]]/Tableau1[[#This Row],[Nb]],0)</f>
        <v>0.0666666666666667</v>
      </c>
    </row>
    <row r="917" customFormat="false" ht="30" hidden="false" customHeight="true" outlineLevel="0" collapsed="false">
      <c r="A917" s="1" t="s">
        <v>1831</v>
      </c>
      <c r="B917" s="2" t="s">
        <v>1832</v>
      </c>
      <c r="C917" s="6" t="n">
        <v>43161</v>
      </c>
      <c r="D917" s="3" t="n">
        <v>8</v>
      </c>
      <c r="E917" s="3" t="n">
        <v>2</v>
      </c>
      <c r="F917" s="7" t="n">
        <f aca="false">IFERROR(Tableau1[[#This Row],[Score]]/Tableau1[[#This Row],[Nb]],0)</f>
        <v>0.25</v>
      </c>
    </row>
    <row r="918" customFormat="false" ht="30" hidden="false" customHeight="true" outlineLevel="0" collapsed="false">
      <c r="A918" s="1" t="s">
        <v>1833</v>
      </c>
      <c r="B918" s="2" t="s">
        <v>1834</v>
      </c>
      <c r="C918" s="6" t="n">
        <v>43161</v>
      </c>
      <c r="D918" s="3" t="n">
        <v>4</v>
      </c>
      <c r="E918" s="3" t="n">
        <v>2</v>
      </c>
      <c r="F918" s="7" t="n">
        <f aca="false">IFERROR(Tableau1[[#This Row],[Score]]/Tableau1[[#This Row],[Nb]],0)</f>
        <v>0.5</v>
      </c>
    </row>
    <row r="919" customFormat="false" ht="30" hidden="false" customHeight="true" outlineLevel="0" collapsed="false">
      <c r="A919" s="1" t="s">
        <v>1835</v>
      </c>
      <c r="B919" s="2" t="s">
        <v>1836</v>
      </c>
      <c r="C919" s="6" t="n">
        <v>43161</v>
      </c>
      <c r="D919" s="3" t="n">
        <v>9</v>
      </c>
      <c r="E919" s="3" t="n">
        <v>5</v>
      </c>
      <c r="F919" s="7" t="n">
        <f aca="false">IFERROR(Tableau1[[#This Row],[Score]]/Tableau1[[#This Row],[Nb]],0)</f>
        <v>0.555555555555556</v>
      </c>
    </row>
    <row r="920" customFormat="false" ht="30" hidden="false" customHeight="true" outlineLevel="0" collapsed="false">
      <c r="A920" s="1" t="s">
        <v>1416</v>
      </c>
      <c r="B920" s="2" t="s">
        <v>1837</v>
      </c>
      <c r="C920" s="6" t="n">
        <v>43161</v>
      </c>
      <c r="D920" s="3" t="n">
        <v>7</v>
      </c>
      <c r="E920" s="3" t="n">
        <v>5</v>
      </c>
      <c r="F920" s="7" t="n">
        <f aca="false">IFERROR(Tableau1[[#This Row],[Score]]/Tableau1[[#This Row],[Nb]],0)</f>
        <v>0.714285714285714</v>
      </c>
    </row>
    <row r="921" customFormat="false" ht="30" hidden="false" customHeight="true" outlineLevel="0" collapsed="false">
      <c r="A921" s="1" t="s">
        <v>1838</v>
      </c>
      <c r="B921" s="2" t="s">
        <v>1839</v>
      </c>
      <c r="C921" s="6" t="n">
        <v>43161</v>
      </c>
      <c r="D921" s="3" t="n">
        <v>12</v>
      </c>
      <c r="E921" s="3" t="n">
        <v>10</v>
      </c>
      <c r="F921" s="7" t="n">
        <f aca="false">IFERROR(Tableau1[[#This Row],[Score]]/Tableau1[[#This Row],[Nb]],0)</f>
        <v>0.833333333333333</v>
      </c>
    </row>
    <row r="922" customFormat="false" ht="30" hidden="false" customHeight="true" outlineLevel="0" collapsed="false">
      <c r="A922" s="1" t="s">
        <v>1840</v>
      </c>
      <c r="B922" s="2" t="s">
        <v>1841</v>
      </c>
      <c r="C922" s="6" t="n">
        <v>43161</v>
      </c>
      <c r="D922" s="3" t="n">
        <v>8</v>
      </c>
      <c r="E922" s="3" t="n">
        <v>8</v>
      </c>
      <c r="F922" s="7" t="n">
        <f aca="false">IFERROR(Tableau1[[#This Row],[Score]]/Tableau1[[#This Row],[Nb]],0)</f>
        <v>1</v>
      </c>
    </row>
    <row r="923" customFormat="false" ht="30" hidden="false" customHeight="true" outlineLevel="0" collapsed="false">
      <c r="A923" s="1" t="s">
        <v>1842</v>
      </c>
      <c r="B923" s="2" t="s">
        <v>1843</v>
      </c>
      <c r="C923" s="6" t="n">
        <v>43161</v>
      </c>
      <c r="D923" s="3" t="n">
        <v>6</v>
      </c>
      <c r="E923" s="3" t="n">
        <v>6</v>
      </c>
      <c r="F923" s="7" t="n">
        <f aca="false">IFERROR(Tableau1[[#This Row],[Score]]/Tableau1[[#This Row],[Nb]],0)</f>
        <v>1</v>
      </c>
    </row>
    <row r="924" customFormat="false" ht="30" hidden="false" customHeight="true" outlineLevel="0" collapsed="false">
      <c r="A924" s="1" t="s">
        <v>1844</v>
      </c>
      <c r="B924" s="2" t="s">
        <v>1845</v>
      </c>
      <c r="C924" s="6" t="n">
        <v>43161</v>
      </c>
      <c r="D924" s="3" t="n">
        <v>7</v>
      </c>
      <c r="E924" s="3" t="n">
        <v>7</v>
      </c>
      <c r="F924" s="7" t="n">
        <f aca="false">IFERROR(Tableau1[[#This Row],[Score]]/Tableau1[[#This Row],[Nb]],0)</f>
        <v>1</v>
      </c>
    </row>
    <row r="925" customFormat="false" ht="30" hidden="false" customHeight="true" outlineLevel="0" collapsed="false">
      <c r="A925" s="1" t="s">
        <v>1846</v>
      </c>
      <c r="B925" s="2" t="s">
        <v>1847</v>
      </c>
      <c r="C925" s="6" t="n">
        <v>43171</v>
      </c>
      <c r="D925" s="3" t="n">
        <v>10</v>
      </c>
      <c r="E925" s="3" t="n">
        <v>-10</v>
      </c>
      <c r="F925" s="7" t="n">
        <f aca="false">IFERROR(Tableau1[[#This Row],[Score]]/Tableau1[[#This Row],[Nb]],0)</f>
        <v>-1</v>
      </c>
    </row>
    <row r="926" customFormat="false" ht="30" hidden="false" customHeight="true" outlineLevel="0" collapsed="false">
      <c r="A926" s="1" t="s">
        <v>1848</v>
      </c>
      <c r="B926" s="2" t="s">
        <v>1849</v>
      </c>
      <c r="C926" s="6" t="n">
        <v>43171</v>
      </c>
      <c r="D926" s="3" t="n">
        <v>8</v>
      </c>
      <c r="E926" s="3" t="n">
        <v>-4</v>
      </c>
      <c r="F926" s="7" t="n">
        <f aca="false">IFERROR(Tableau1[[#This Row],[Score]]/Tableau1[[#This Row],[Nb]],0)</f>
        <v>-0.5</v>
      </c>
    </row>
    <row r="927" customFormat="false" ht="30" hidden="false" customHeight="true" outlineLevel="0" collapsed="false">
      <c r="A927" s="1" t="s">
        <v>1850</v>
      </c>
      <c r="B927" s="2" t="s">
        <v>1851</v>
      </c>
      <c r="C927" s="6" t="n">
        <v>43171</v>
      </c>
      <c r="D927" s="3" t="n">
        <v>11</v>
      </c>
      <c r="E927" s="3" t="n">
        <v>-1</v>
      </c>
      <c r="F927" s="7" t="n">
        <f aca="false">IFERROR(Tableau1[[#This Row],[Score]]/Tableau1[[#This Row],[Nb]],0)</f>
        <v>-0.0909090909090909</v>
      </c>
    </row>
    <row r="928" customFormat="false" ht="30" hidden="false" customHeight="true" outlineLevel="0" collapsed="false">
      <c r="A928" s="1" t="s">
        <v>1082</v>
      </c>
      <c r="B928" s="2" t="s">
        <v>1852</v>
      </c>
      <c r="C928" s="6" t="n">
        <v>43171</v>
      </c>
      <c r="D928" s="3" t="n">
        <v>9</v>
      </c>
      <c r="E928" s="3" t="n">
        <v>1</v>
      </c>
      <c r="F928" s="7" t="n">
        <f aca="false">IFERROR(Tableau1[[#This Row],[Score]]/Tableau1[[#This Row],[Nb]],0)</f>
        <v>0.111111111111111</v>
      </c>
    </row>
    <row r="929" customFormat="false" ht="30" hidden="false" customHeight="true" outlineLevel="0" collapsed="false">
      <c r="A929" s="1" t="s">
        <v>1853</v>
      </c>
      <c r="B929" s="2" t="s">
        <v>1854</v>
      </c>
      <c r="C929" s="6" t="n">
        <v>43171</v>
      </c>
      <c r="D929" s="3" t="n">
        <v>11</v>
      </c>
      <c r="E929" s="3" t="n">
        <v>3</v>
      </c>
      <c r="F929" s="7" t="n">
        <f aca="false">IFERROR(Tableau1[[#This Row],[Score]]/Tableau1[[#This Row],[Nb]],0)</f>
        <v>0.272727272727273</v>
      </c>
    </row>
    <row r="930" customFormat="false" ht="30" hidden="false" customHeight="true" outlineLevel="0" collapsed="false">
      <c r="A930" s="1" t="s">
        <v>1855</v>
      </c>
      <c r="B930" s="2" t="s">
        <v>1856</v>
      </c>
      <c r="C930" s="6" t="n">
        <v>43171</v>
      </c>
      <c r="D930" s="3" t="n">
        <v>10</v>
      </c>
      <c r="E930" s="3" t="n">
        <v>8</v>
      </c>
      <c r="F930" s="7" t="n">
        <f aca="false">IFERROR(Tableau1[[#This Row],[Score]]/Tableau1[[#This Row],[Nb]],0)</f>
        <v>0.8</v>
      </c>
    </row>
    <row r="931" customFormat="false" ht="30" hidden="false" customHeight="true" outlineLevel="0" collapsed="false">
      <c r="A931" s="1" t="s">
        <v>1857</v>
      </c>
      <c r="B931" s="2" t="s">
        <v>1858</v>
      </c>
      <c r="C931" s="6" t="n">
        <v>43171</v>
      </c>
      <c r="D931" s="3" t="n">
        <v>17</v>
      </c>
      <c r="E931" s="3" t="n">
        <v>15</v>
      </c>
      <c r="F931" s="7" t="n">
        <f aca="false">IFERROR(Tableau1[[#This Row],[Score]]/Tableau1[[#This Row],[Nb]],0)</f>
        <v>0.882352941176471</v>
      </c>
    </row>
    <row r="932" customFormat="false" ht="30" hidden="false" customHeight="true" outlineLevel="0" collapsed="false">
      <c r="A932" s="8" t="s">
        <v>1859</v>
      </c>
      <c r="B932" s="9" t="s">
        <v>1860</v>
      </c>
      <c r="C932" s="6" t="n">
        <v>43171</v>
      </c>
      <c r="D932" s="3" t="n">
        <v>10</v>
      </c>
      <c r="E932" s="3" t="n">
        <v>10</v>
      </c>
      <c r="F932" s="7" t="n">
        <f aca="false">IFERROR(Tableau1[[#This Row],[Score]]/Tableau1[[#This Row],[Nb]],0)</f>
        <v>1</v>
      </c>
    </row>
    <row r="933" customFormat="false" ht="30" hidden="false" customHeight="true" outlineLevel="0" collapsed="false">
      <c r="A933" s="1" t="s">
        <v>1861</v>
      </c>
      <c r="B933" s="2" t="s">
        <v>1862</v>
      </c>
      <c r="C933" s="6" t="n">
        <v>43173</v>
      </c>
      <c r="D933" s="3" t="n">
        <v>16</v>
      </c>
      <c r="E933" s="3" t="n">
        <v>-14</v>
      </c>
      <c r="F933" s="7" t="n">
        <f aca="false">IFERROR(Tableau1[[#This Row],[Score]]/Tableau1[[#This Row],[Nb]],0)</f>
        <v>-0.875</v>
      </c>
    </row>
    <row r="934" customFormat="false" ht="30" hidden="false" customHeight="true" outlineLevel="0" collapsed="false">
      <c r="A934" s="1" t="s">
        <v>1863</v>
      </c>
      <c r="B934" s="2" t="s">
        <v>1864</v>
      </c>
      <c r="C934" s="6" t="n">
        <v>43180</v>
      </c>
      <c r="D934" s="3" t="n">
        <v>9</v>
      </c>
      <c r="E934" s="3" t="n">
        <v>-9</v>
      </c>
      <c r="F934" s="7" t="n">
        <f aca="false">IFERROR(Tableau1[[#This Row],[Score]]/Tableau1[[#This Row],[Nb]],0)</f>
        <v>-1</v>
      </c>
    </row>
    <row r="935" customFormat="false" ht="30" hidden="false" customHeight="true" outlineLevel="0" collapsed="false">
      <c r="A935" s="1" t="s">
        <v>1865</v>
      </c>
      <c r="B935" s="2" t="s">
        <v>1866</v>
      </c>
      <c r="C935" s="6" t="n">
        <v>43190</v>
      </c>
      <c r="D935" s="3" t="n">
        <v>9</v>
      </c>
      <c r="E935" s="3" t="n">
        <v>-9</v>
      </c>
      <c r="F935" s="7" t="n">
        <f aca="false">IFERROR(Tableau1[[#This Row],[Score]]/Tableau1[[#This Row],[Nb]],0)</f>
        <v>-1</v>
      </c>
    </row>
    <row r="936" customFormat="false" ht="30" hidden="false" customHeight="true" outlineLevel="0" collapsed="false">
      <c r="A936" s="1" t="s">
        <v>1867</v>
      </c>
      <c r="B936" s="2" t="s">
        <v>1868</v>
      </c>
      <c r="C936" s="6" t="n">
        <v>43190</v>
      </c>
      <c r="D936" s="3" t="n">
        <v>11</v>
      </c>
      <c r="E936" s="3" t="n">
        <v>9</v>
      </c>
      <c r="F936" s="7" t="n">
        <f aca="false">IFERROR(Tableau1[[#This Row],[Score]]/Tableau1[[#This Row],[Nb]],0)</f>
        <v>0.818181818181818</v>
      </c>
    </row>
    <row r="937" customFormat="false" ht="30" hidden="false" customHeight="true" outlineLevel="0" collapsed="false">
      <c r="A937" s="1" t="s">
        <v>1869</v>
      </c>
      <c r="B937" s="2" t="s">
        <v>1870</v>
      </c>
      <c r="C937" s="6" t="n">
        <v>43193</v>
      </c>
      <c r="D937" s="3" t="n">
        <v>5</v>
      </c>
      <c r="E937" s="3" t="n">
        <v>3</v>
      </c>
      <c r="F937" s="7" t="n">
        <f aca="false">IFERROR(Tableau1[[#This Row],[Score]]/Tableau1[[#This Row],[Nb]],0)</f>
        <v>0.6</v>
      </c>
    </row>
    <row r="938" customFormat="false" ht="30" hidden="false" customHeight="true" outlineLevel="0" collapsed="false">
      <c r="A938" s="1" t="s">
        <v>1871</v>
      </c>
      <c r="B938" s="2" t="s">
        <v>1872</v>
      </c>
      <c r="C938" s="6" t="n">
        <v>43194</v>
      </c>
      <c r="D938" s="3" t="n">
        <v>7</v>
      </c>
      <c r="E938" s="3" t="n">
        <v>1</v>
      </c>
      <c r="F938" s="7" t="n">
        <f aca="false">IFERROR(Tableau1[[#This Row],[Score]]/Tableau1[[#This Row],[Nb]],0)</f>
        <v>0.142857142857143</v>
      </c>
    </row>
    <row r="939" customFormat="false" ht="30" hidden="false" customHeight="true" outlineLevel="0" collapsed="false">
      <c r="A939" s="1" t="s">
        <v>1873</v>
      </c>
      <c r="B939" s="2" t="s">
        <v>1874</v>
      </c>
      <c r="C939" s="6" t="n">
        <v>43194</v>
      </c>
      <c r="D939" s="3" t="n">
        <v>8</v>
      </c>
      <c r="E939" s="3" t="n">
        <v>4</v>
      </c>
      <c r="F939" s="7" t="n">
        <f aca="false">IFERROR(Tableau1[[#This Row],[Score]]/Tableau1[[#This Row],[Nb]],0)</f>
        <v>0.5</v>
      </c>
    </row>
    <row r="940" customFormat="false" ht="30" hidden="false" customHeight="true" outlineLevel="0" collapsed="false">
      <c r="A940" s="1" t="s">
        <v>1875</v>
      </c>
      <c r="B940" s="2" t="s">
        <v>1876</v>
      </c>
      <c r="C940" s="6" t="n">
        <v>43195</v>
      </c>
      <c r="D940" s="3" t="n">
        <v>9</v>
      </c>
      <c r="E940" s="3" t="n">
        <v>-9</v>
      </c>
      <c r="F940" s="7" t="n">
        <f aca="false">IFERROR(Tableau1[[#This Row],[Score]]/Tableau1[[#This Row],[Nb]],0)</f>
        <v>-1</v>
      </c>
    </row>
    <row r="941" customFormat="false" ht="30" hidden="false" customHeight="true" outlineLevel="0" collapsed="false">
      <c r="A941" s="1" t="s">
        <v>1877</v>
      </c>
      <c r="B941" s="2" t="s">
        <v>1878</v>
      </c>
      <c r="C941" s="6" t="n">
        <v>43195</v>
      </c>
      <c r="D941" s="3" t="n">
        <v>10</v>
      </c>
      <c r="E941" s="3" t="n">
        <v>2</v>
      </c>
      <c r="F941" s="7" t="n">
        <f aca="false">IFERROR(Tableau1[[#This Row],[Score]]/Tableau1[[#This Row],[Nb]],0)</f>
        <v>0.2</v>
      </c>
    </row>
    <row r="942" customFormat="false" ht="30" hidden="false" customHeight="true" outlineLevel="0" collapsed="false">
      <c r="A942" s="1" t="s">
        <v>1879</v>
      </c>
      <c r="B942" s="2" t="s">
        <v>1880</v>
      </c>
      <c r="C942" s="6" t="n">
        <v>43195</v>
      </c>
      <c r="D942" s="3" t="n">
        <v>12</v>
      </c>
      <c r="E942" s="3" t="n">
        <v>8</v>
      </c>
      <c r="F942" s="7" t="n">
        <f aca="false">IFERROR(Tableau1[[#This Row],[Score]]/Tableau1[[#This Row],[Nb]],0)</f>
        <v>0.666666666666667</v>
      </c>
    </row>
    <row r="943" customFormat="false" ht="30" hidden="false" customHeight="true" outlineLevel="0" collapsed="false">
      <c r="A943" s="1" t="s">
        <v>1881</v>
      </c>
      <c r="B943" s="2" t="s">
        <v>1882</v>
      </c>
      <c r="C943" s="6" t="n">
        <v>43195</v>
      </c>
      <c r="D943" s="3" t="n">
        <v>11</v>
      </c>
      <c r="E943" s="3" t="n">
        <v>9</v>
      </c>
      <c r="F943" s="7" t="n">
        <f aca="false">IFERROR(Tableau1[[#This Row],[Score]]/Tableau1[[#This Row],[Nb]],0)</f>
        <v>0.818181818181818</v>
      </c>
    </row>
    <row r="944" customFormat="false" ht="30" hidden="false" customHeight="true" outlineLevel="0" collapsed="false">
      <c r="A944" s="1" t="s">
        <v>1883</v>
      </c>
      <c r="B944" s="2" t="s">
        <v>1884</v>
      </c>
      <c r="C944" s="6" t="n">
        <v>43195</v>
      </c>
      <c r="D944" s="3" t="n">
        <v>14</v>
      </c>
      <c r="E944" s="3" t="n">
        <v>12</v>
      </c>
      <c r="F944" s="7" t="n">
        <f aca="false">IFERROR(Tableau1[[#This Row],[Score]]/Tableau1[[#This Row],[Nb]],0)</f>
        <v>0.857142857142857</v>
      </c>
    </row>
    <row r="945" customFormat="false" ht="30" hidden="false" customHeight="true" outlineLevel="0" collapsed="false">
      <c r="A945" s="1" t="s">
        <v>1885</v>
      </c>
      <c r="B945" s="2" t="s">
        <v>1886</v>
      </c>
      <c r="C945" s="6" t="n">
        <v>43198</v>
      </c>
      <c r="D945" s="3" t="n">
        <v>6</v>
      </c>
      <c r="E945" s="3" t="n">
        <v>-4</v>
      </c>
      <c r="F945" s="7" t="n">
        <f aca="false">IFERROR(Tableau1[[#This Row],[Score]]/Tableau1[[#This Row],[Nb]],0)</f>
        <v>-0.666666666666667</v>
      </c>
    </row>
    <row r="946" customFormat="false" ht="30" hidden="false" customHeight="true" outlineLevel="0" collapsed="false">
      <c r="A946" s="1" t="s">
        <v>1887</v>
      </c>
      <c r="B946" s="2" t="s">
        <v>1888</v>
      </c>
      <c r="C946" s="6" t="n">
        <v>43198</v>
      </c>
      <c r="D946" s="3" t="n">
        <v>8</v>
      </c>
      <c r="E946" s="3" t="n">
        <v>4</v>
      </c>
      <c r="F946" s="7" t="n">
        <f aca="false">IFERROR(Tableau1[[#This Row],[Score]]/Tableau1[[#This Row],[Nb]],0)</f>
        <v>0.5</v>
      </c>
    </row>
    <row r="947" customFormat="false" ht="30" hidden="false" customHeight="true" outlineLevel="0" collapsed="false">
      <c r="A947" s="1" t="s">
        <v>1889</v>
      </c>
      <c r="B947" s="2" t="s">
        <v>1890</v>
      </c>
      <c r="C947" s="6" t="n">
        <v>43198</v>
      </c>
      <c r="D947" s="3" t="n">
        <v>21</v>
      </c>
      <c r="E947" s="3" t="n">
        <v>17</v>
      </c>
      <c r="F947" s="7" t="n">
        <f aca="false">IFERROR(Tableau1[[#This Row],[Score]]/Tableau1[[#This Row],[Nb]],0)</f>
        <v>0.80952380952381</v>
      </c>
    </row>
    <row r="948" customFormat="false" ht="30" hidden="false" customHeight="true" outlineLevel="0" collapsed="false">
      <c r="A948" s="8" t="s">
        <v>1891</v>
      </c>
      <c r="B948" s="9" t="s">
        <v>1892</v>
      </c>
      <c r="C948" s="6" t="n">
        <v>43198</v>
      </c>
      <c r="D948" s="3" t="n">
        <v>10</v>
      </c>
      <c r="E948" s="3" t="n">
        <v>10</v>
      </c>
      <c r="F948" s="7" t="n">
        <f aca="false">IFERROR(Tableau1[[#This Row],[Score]]/Tableau1[[#This Row],[Nb]],0)</f>
        <v>1</v>
      </c>
    </row>
    <row r="949" customFormat="false" ht="30" hidden="false" customHeight="true" outlineLevel="0" collapsed="false">
      <c r="A949" s="1" t="s">
        <v>1893</v>
      </c>
      <c r="B949" s="2" t="s">
        <v>1894</v>
      </c>
      <c r="C949" s="6" t="n">
        <v>43199</v>
      </c>
      <c r="D949" s="3" t="n">
        <v>10</v>
      </c>
      <c r="E949" s="3" t="n">
        <v>-10</v>
      </c>
      <c r="F949" s="7" t="n">
        <f aca="false">IFERROR(Tableau1[[#This Row],[Score]]/Tableau1[[#This Row],[Nb]],0)</f>
        <v>-1</v>
      </c>
    </row>
    <row r="950" customFormat="false" ht="30" hidden="false" customHeight="true" outlineLevel="0" collapsed="false">
      <c r="A950" s="1" t="s">
        <v>1895</v>
      </c>
      <c r="B950" s="2" t="s">
        <v>1896</v>
      </c>
      <c r="C950" s="6" t="n">
        <v>43199</v>
      </c>
      <c r="D950" s="3" t="n">
        <v>8</v>
      </c>
      <c r="E950" s="3" t="n">
        <v>-8</v>
      </c>
      <c r="F950" s="7" t="n">
        <f aca="false">IFERROR(Tableau1[[#This Row],[Score]]/Tableau1[[#This Row],[Nb]],0)</f>
        <v>-1</v>
      </c>
    </row>
    <row r="951" customFormat="false" ht="30" hidden="false" customHeight="true" outlineLevel="0" collapsed="false">
      <c r="A951" s="1" t="s">
        <v>1897</v>
      </c>
      <c r="B951" s="2" t="s">
        <v>1898</v>
      </c>
      <c r="C951" s="6" t="n">
        <v>43199</v>
      </c>
      <c r="D951" s="3" t="n">
        <v>11</v>
      </c>
      <c r="E951" s="3" t="n">
        <v>-11</v>
      </c>
      <c r="F951" s="7" t="n">
        <f aca="false">IFERROR(Tableau1[[#This Row],[Score]]/Tableau1[[#This Row],[Nb]],0)</f>
        <v>-1</v>
      </c>
    </row>
    <row r="952" customFormat="false" ht="30" hidden="false" customHeight="true" outlineLevel="0" collapsed="false">
      <c r="A952" s="1" t="s">
        <v>1899</v>
      </c>
      <c r="B952" s="2" t="s">
        <v>1900</v>
      </c>
      <c r="C952" s="6" t="n">
        <v>43199</v>
      </c>
      <c r="D952" s="3" t="n">
        <v>5</v>
      </c>
      <c r="E952" s="3" t="n">
        <v>-3</v>
      </c>
      <c r="F952" s="7" t="n">
        <f aca="false">IFERROR(Tableau1[[#This Row],[Score]]/Tableau1[[#This Row],[Nb]],0)</f>
        <v>-0.6</v>
      </c>
    </row>
    <row r="953" customFormat="false" ht="30" hidden="false" customHeight="true" outlineLevel="0" collapsed="false">
      <c r="A953" s="1" t="s">
        <v>1901</v>
      </c>
      <c r="B953" s="2" t="s">
        <v>1902</v>
      </c>
      <c r="C953" s="6" t="n">
        <v>43199</v>
      </c>
      <c r="D953" s="3" t="n">
        <v>8</v>
      </c>
      <c r="E953" s="3" t="n">
        <v>-4</v>
      </c>
      <c r="F953" s="7" t="n">
        <f aca="false">IFERROR(Tableau1[[#This Row],[Score]]/Tableau1[[#This Row],[Nb]],0)</f>
        <v>-0.5</v>
      </c>
    </row>
    <row r="954" customFormat="false" ht="30" hidden="false" customHeight="true" outlineLevel="0" collapsed="false">
      <c r="A954" s="1" t="s">
        <v>1903</v>
      </c>
      <c r="B954" s="2" t="s">
        <v>1904</v>
      </c>
      <c r="C954" s="6" t="n">
        <v>43199</v>
      </c>
      <c r="D954" s="3" t="n">
        <v>12</v>
      </c>
      <c r="E954" s="3" t="n">
        <v>-2</v>
      </c>
      <c r="F954" s="7" t="n">
        <f aca="false">IFERROR(Tableau1[[#This Row],[Score]]/Tableau1[[#This Row],[Nb]],0)</f>
        <v>-0.166666666666667</v>
      </c>
    </row>
    <row r="955" customFormat="false" ht="30" hidden="false" customHeight="true" outlineLevel="0" collapsed="false">
      <c r="A955" s="1" t="s">
        <v>1905</v>
      </c>
      <c r="B955" s="2" t="s">
        <v>1906</v>
      </c>
      <c r="C955" s="6" t="n">
        <v>43199</v>
      </c>
      <c r="D955" s="3" t="n">
        <v>8</v>
      </c>
      <c r="E955" s="3" t="n">
        <v>0</v>
      </c>
      <c r="F955" s="7" t="n">
        <f aca="false">IFERROR(Tableau1[[#This Row],[Score]]/Tableau1[[#This Row],[Nb]],0)</f>
        <v>0</v>
      </c>
    </row>
    <row r="956" customFormat="false" ht="30" hidden="false" customHeight="true" outlineLevel="0" collapsed="false">
      <c r="A956" s="1" t="s">
        <v>1907</v>
      </c>
      <c r="B956" s="2" t="s">
        <v>1908</v>
      </c>
      <c r="C956" s="6" t="n">
        <v>43199</v>
      </c>
      <c r="D956" s="3" t="n">
        <v>13</v>
      </c>
      <c r="E956" s="3" t="n">
        <v>9</v>
      </c>
      <c r="F956" s="7" t="n">
        <f aca="false">IFERROR(Tableau1[[#This Row],[Score]]/Tableau1[[#This Row],[Nb]],0)</f>
        <v>0.692307692307692</v>
      </c>
    </row>
    <row r="957" customFormat="false" ht="30" hidden="false" customHeight="true" outlineLevel="0" collapsed="false">
      <c r="A957" s="1" t="s">
        <v>1909</v>
      </c>
      <c r="B957" s="2" t="s">
        <v>1910</v>
      </c>
      <c r="C957" s="6" t="n">
        <v>43199</v>
      </c>
      <c r="D957" s="3" t="n">
        <v>14</v>
      </c>
      <c r="E957" s="3" t="n">
        <v>12</v>
      </c>
      <c r="F957" s="7" t="n">
        <f aca="false">IFERROR(Tableau1[[#This Row],[Score]]/Tableau1[[#This Row],[Nb]],0)</f>
        <v>0.857142857142857</v>
      </c>
    </row>
    <row r="958" customFormat="false" ht="30" hidden="false" customHeight="true" outlineLevel="0" collapsed="false">
      <c r="A958" s="1" t="s">
        <v>1911</v>
      </c>
      <c r="B958" s="2" t="s">
        <v>1912</v>
      </c>
      <c r="C958" s="6" t="n">
        <v>43199</v>
      </c>
      <c r="D958" s="3" t="n">
        <v>14</v>
      </c>
      <c r="E958" s="3" t="n">
        <v>12</v>
      </c>
      <c r="F958" s="7" t="n">
        <f aca="false">IFERROR(Tableau1[[#This Row],[Score]]/Tableau1[[#This Row],[Nb]],0)</f>
        <v>0.857142857142857</v>
      </c>
    </row>
    <row r="959" customFormat="false" ht="30" hidden="false" customHeight="true" outlineLevel="0" collapsed="false">
      <c r="A959" s="8" t="s">
        <v>1913</v>
      </c>
      <c r="B959" s="9" t="s">
        <v>1914</v>
      </c>
      <c r="C959" s="6" t="n">
        <v>43199</v>
      </c>
      <c r="D959" s="3" t="n">
        <v>10</v>
      </c>
      <c r="E959" s="3" t="n">
        <v>10</v>
      </c>
      <c r="F959" s="7" t="n">
        <f aca="false">IFERROR(Tableau1[[#This Row],[Score]]/Tableau1[[#This Row],[Nb]],0)</f>
        <v>1</v>
      </c>
    </row>
    <row r="960" customFormat="false" ht="30" hidden="false" customHeight="true" outlineLevel="0" collapsed="false">
      <c r="A960" s="1" t="s">
        <v>1915</v>
      </c>
      <c r="B960" s="2" t="s">
        <v>1916</v>
      </c>
      <c r="C960" s="6" t="n">
        <v>43199</v>
      </c>
      <c r="D960" s="3" t="n">
        <v>8</v>
      </c>
      <c r="E960" s="3" t="n">
        <v>8</v>
      </c>
      <c r="F960" s="7" t="n">
        <f aca="false">IFERROR(Tableau1[[#This Row],[Score]]/Tableau1[[#This Row],[Nb]],0)</f>
        <v>1</v>
      </c>
    </row>
    <row r="961" customFormat="false" ht="30" hidden="false" customHeight="true" outlineLevel="0" collapsed="false">
      <c r="A961" s="1" t="s">
        <v>1917</v>
      </c>
      <c r="B961" s="2" t="s">
        <v>1918</v>
      </c>
      <c r="C961" s="6" t="n">
        <v>43199</v>
      </c>
      <c r="D961" s="3" t="n">
        <v>4</v>
      </c>
      <c r="E961" s="3" t="n">
        <v>4</v>
      </c>
      <c r="F961" s="7" t="n">
        <f aca="false">IFERROR(Tableau1[[#This Row],[Score]]/Tableau1[[#This Row],[Nb]],0)</f>
        <v>1</v>
      </c>
    </row>
    <row r="962" customFormat="false" ht="30" hidden="false" customHeight="true" outlineLevel="0" collapsed="false">
      <c r="A962" s="1" t="s">
        <v>1919</v>
      </c>
      <c r="B962" s="2" t="s">
        <v>1920</v>
      </c>
      <c r="C962" s="6" t="n">
        <v>43199</v>
      </c>
      <c r="D962" s="3" t="n">
        <v>7</v>
      </c>
      <c r="E962" s="3" t="n">
        <v>7</v>
      </c>
      <c r="F962" s="7" t="n">
        <f aca="false">IFERROR(Tableau1[[#This Row],[Score]]/Tableau1[[#This Row],[Nb]],0)</f>
        <v>1</v>
      </c>
    </row>
    <row r="963" customFormat="false" ht="30" hidden="false" customHeight="true" outlineLevel="0" collapsed="false">
      <c r="A963" s="1" t="s">
        <v>1921</v>
      </c>
      <c r="B963" s="2" t="s">
        <v>1922</v>
      </c>
      <c r="C963" s="6" t="n">
        <v>43200</v>
      </c>
      <c r="D963" s="3" t="n">
        <v>10</v>
      </c>
      <c r="E963" s="3" t="n">
        <v>6</v>
      </c>
      <c r="F963" s="7" t="n">
        <f aca="false">IFERROR(Tableau1[[#This Row],[Score]]/Tableau1[[#This Row],[Nb]],0)</f>
        <v>0.6</v>
      </c>
    </row>
    <row r="964" customFormat="false" ht="30" hidden="false" customHeight="true" outlineLevel="0" collapsed="false">
      <c r="A964" s="1" t="s">
        <v>1923</v>
      </c>
      <c r="B964" s="2" t="s">
        <v>1924</v>
      </c>
      <c r="C964" s="6" t="n">
        <v>43201</v>
      </c>
      <c r="D964" s="3" t="n">
        <v>11</v>
      </c>
      <c r="E964" s="3" t="n">
        <v>-1</v>
      </c>
      <c r="F964" s="7" t="n">
        <f aca="false">IFERROR(Tableau1[[#This Row],[Score]]/Tableau1[[#This Row],[Nb]],0)</f>
        <v>-0.0909090909090909</v>
      </c>
    </row>
    <row r="965" customFormat="false" ht="30" hidden="false" customHeight="true" outlineLevel="0" collapsed="false">
      <c r="A965" s="1" t="s">
        <v>1925</v>
      </c>
      <c r="B965" s="2" t="s">
        <v>1926</v>
      </c>
      <c r="C965" s="6" t="n">
        <v>43201</v>
      </c>
      <c r="D965" s="3" t="n">
        <v>6</v>
      </c>
      <c r="E965" s="3" t="n">
        <v>1</v>
      </c>
      <c r="F965" s="7" t="n">
        <f aca="false">IFERROR(Tableau1[[#This Row],[Score]]/Tableau1[[#This Row],[Nb]],0)</f>
        <v>0.166666666666667</v>
      </c>
    </row>
    <row r="966" customFormat="false" ht="30" hidden="false" customHeight="true" outlineLevel="0" collapsed="false">
      <c r="A966" s="1" t="s">
        <v>1927</v>
      </c>
      <c r="B966" s="2" t="s">
        <v>1928</v>
      </c>
      <c r="C966" s="6" t="n">
        <v>43201</v>
      </c>
      <c r="D966" s="3" t="n">
        <v>14</v>
      </c>
      <c r="E966" s="3" t="n">
        <v>10</v>
      </c>
      <c r="F966" s="7" t="n">
        <f aca="false">IFERROR(Tableau1[[#This Row],[Score]]/Tableau1[[#This Row],[Nb]],0)</f>
        <v>0.714285714285714</v>
      </c>
    </row>
    <row r="967" customFormat="false" ht="30" hidden="false" customHeight="true" outlineLevel="0" collapsed="false">
      <c r="A967" s="1" t="s">
        <v>1929</v>
      </c>
      <c r="B967" s="2" t="s">
        <v>1930</v>
      </c>
      <c r="C967" s="6" t="n">
        <v>43201</v>
      </c>
      <c r="D967" s="3" t="n">
        <v>14</v>
      </c>
      <c r="E967" s="3" t="n">
        <v>13</v>
      </c>
      <c r="F967" s="7" t="n">
        <f aca="false">IFERROR(Tableau1[[#This Row],[Score]]/Tableau1[[#This Row],[Nb]],0)</f>
        <v>0.928571428571429</v>
      </c>
    </row>
    <row r="968" customFormat="false" ht="30" hidden="false" customHeight="true" outlineLevel="0" collapsed="false">
      <c r="A968" s="1" t="s">
        <v>1931</v>
      </c>
      <c r="B968" s="2" t="s">
        <v>1932</v>
      </c>
      <c r="C968" s="6" t="n">
        <v>43201</v>
      </c>
      <c r="D968" s="3" t="n">
        <v>8</v>
      </c>
      <c r="E968" s="3" t="n">
        <v>8</v>
      </c>
      <c r="F968" s="7" t="n">
        <f aca="false">IFERROR(Tableau1[[#This Row],[Score]]/Tableau1[[#This Row],[Nb]],0)</f>
        <v>1</v>
      </c>
    </row>
    <row r="969" customFormat="false" ht="30" hidden="false" customHeight="true" outlineLevel="0" collapsed="false">
      <c r="A969" s="1" t="s">
        <v>1933</v>
      </c>
      <c r="B969" s="2" t="s">
        <v>1934</v>
      </c>
      <c r="C969" s="6" t="n">
        <v>43203</v>
      </c>
      <c r="D969" s="3" t="n">
        <v>11</v>
      </c>
      <c r="E969" s="3" t="n">
        <v>-5</v>
      </c>
      <c r="F969" s="7" t="n">
        <f aca="false">IFERROR(Tableau1[[#This Row],[Score]]/Tableau1[[#This Row],[Nb]],0)</f>
        <v>-0.454545454545455</v>
      </c>
    </row>
    <row r="970" customFormat="false" ht="30" hidden="false" customHeight="true" outlineLevel="0" collapsed="false">
      <c r="A970" s="1" t="s">
        <v>1935</v>
      </c>
      <c r="B970" s="2" t="s">
        <v>1936</v>
      </c>
      <c r="C970" s="6" t="n">
        <v>43203</v>
      </c>
      <c r="D970" s="3" t="n">
        <v>13</v>
      </c>
      <c r="E970" s="3" t="n">
        <v>-5</v>
      </c>
      <c r="F970" s="7" t="n">
        <f aca="false">IFERROR(Tableau1[[#This Row],[Score]]/Tableau1[[#This Row],[Nb]],0)</f>
        <v>-0.384615384615385</v>
      </c>
    </row>
    <row r="971" customFormat="false" ht="30" hidden="false" customHeight="true" outlineLevel="0" collapsed="false">
      <c r="A971" s="1" t="s">
        <v>1937</v>
      </c>
      <c r="B971" s="2" t="s">
        <v>1938</v>
      </c>
      <c r="C971" s="6" t="n">
        <v>43203</v>
      </c>
      <c r="D971" s="3" t="n">
        <v>11</v>
      </c>
      <c r="E971" s="3" t="n">
        <v>9</v>
      </c>
      <c r="F971" s="7" t="n">
        <f aca="false">IFERROR(Tableau1[[#This Row],[Score]]/Tableau1[[#This Row],[Nb]],0)</f>
        <v>0.818181818181818</v>
      </c>
    </row>
    <row r="972" customFormat="false" ht="30" hidden="false" customHeight="true" outlineLevel="0" collapsed="false">
      <c r="A972" s="1" t="s">
        <v>1939</v>
      </c>
      <c r="B972" s="2" t="s">
        <v>1940</v>
      </c>
      <c r="C972" s="6" t="n">
        <v>43203</v>
      </c>
      <c r="D972" s="3" t="n">
        <v>12</v>
      </c>
      <c r="E972" s="3" t="n">
        <v>10</v>
      </c>
      <c r="F972" s="7" t="n">
        <f aca="false">IFERROR(Tableau1[[#This Row],[Score]]/Tableau1[[#This Row],[Nb]],0)</f>
        <v>0.833333333333333</v>
      </c>
    </row>
    <row r="973" customFormat="false" ht="30" hidden="false" customHeight="true" outlineLevel="0" collapsed="false">
      <c r="A973" s="1" t="s">
        <v>1941</v>
      </c>
      <c r="B973" s="2" t="s">
        <v>1942</v>
      </c>
      <c r="C973" s="6" t="n">
        <v>43203</v>
      </c>
      <c r="D973" s="3" t="n">
        <v>12</v>
      </c>
      <c r="E973" s="3" t="n">
        <v>10</v>
      </c>
      <c r="F973" s="7" t="n">
        <f aca="false">IFERROR(Tableau1[[#This Row],[Score]]/Tableau1[[#This Row],[Nb]],0)</f>
        <v>0.833333333333333</v>
      </c>
    </row>
    <row r="974" customFormat="false" ht="30" hidden="false" customHeight="true" outlineLevel="0" collapsed="false">
      <c r="A974" s="1" t="s">
        <v>1943</v>
      </c>
      <c r="B974" s="2" t="s">
        <v>1944</v>
      </c>
      <c r="C974" s="6" t="n">
        <v>43203</v>
      </c>
      <c r="D974" s="3" t="n">
        <v>18</v>
      </c>
      <c r="E974" s="3" t="n">
        <v>16</v>
      </c>
      <c r="F974" s="7" t="n">
        <f aca="false">IFERROR(Tableau1[[#This Row],[Score]]/Tableau1[[#This Row],[Nb]],0)</f>
        <v>0.888888888888889</v>
      </c>
    </row>
    <row r="975" customFormat="false" ht="30" hidden="false" customHeight="true" outlineLevel="0" collapsed="false">
      <c r="A975" s="1" t="s">
        <v>1945</v>
      </c>
      <c r="B975" s="2" t="s">
        <v>1946</v>
      </c>
      <c r="C975" s="6" t="n">
        <v>43203</v>
      </c>
      <c r="D975" s="3" t="n">
        <v>10</v>
      </c>
      <c r="E975" s="3" t="n">
        <v>9</v>
      </c>
      <c r="F975" s="7" t="n">
        <f aca="false">IFERROR(Tableau1[[#This Row],[Score]]/Tableau1[[#This Row],[Nb]],0)</f>
        <v>0.9</v>
      </c>
    </row>
    <row r="976" customFormat="false" ht="30" hidden="false" customHeight="true" outlineLevel="0" collapsed="false">
      <c r="A976" s="1" t="s">
        <v>1947</v>
      </c>
      <c r="B976" s="2" t="s">
        <v>1948</v>
      </c>
      <c r="C976" s="6" t="n">
        <v>43203</v>
      </c>
      <c r="D976" s="3" t="n">
        <v>13</v>
      </c>
      <c r="E976" s="3" t="n">
        <v>12</v>
      </c>
      <c r="F976" s="7" t="n">
        <f aca="false">IFERROR(Tableau1[[#This Row],[Score]]/Tableau1[[#This Row],[Nb]],0)</f>
        <v>0.923076923076923</v>
      </c>
    </row>
    <row r="977" customFormat="false" ht="30" hidden="false" customHeight="true" outlineLevel="0" collapsed="false">
      <c r="A977" s="1" t="s">
        <v>1949</v>
      </c>
      <c r="B977" s="2" t="s">
        <v>1950</v>
      </c>
      <c r="C977" s="6" t="n">
        <v>43203</v>
      </c>
      <c r="D977" s="3" t="n">
        <v>16</v>
      </c>
      <c r="E977" s="3" t="n">
        <v>15</v>
      </c>
      <c r="F977" s="7" t="n">
        <f aca="false">IFERROR(Tableau1[[#This Row],[Score]]/Tableau1[[#This Row],[Nb]],0)</f>
        <v>0.9375</v>
      </c>
    </row>
    <row r="978" customFormat="false" ht="30" hidden="false" customHeight="true" outlineLevel="0" collapsed="false">
      <c r="A978" s="1" t="s">
        <v>1951</v>
      </c>
      <c r="B978" s="2" t="s">
        <v>1952</v>
      </c>
      <c r="C978" s="6" t="n">
        <v>43203</v>
      </c>
      <c r="D978" s="3" t="n">
        <v>6</v>
      </c>
      <c r="E978" s="3" t="n">
        <v>6</v>
      </c>
      <c r="F978" s="7" t="n">
        <f aca="false">IFERROR(Tableau1[[#This Row],[Score]]/Tableau1[[#This Row],[Nb]],0)</f>
        <v>1</v>
      </c>
    </row>
    <row r="979" customFormat="false" ht="30" hidden="false" customHeight="true" outlineLevel="0" collapsed="false">
      <c r="A979" s="1" t="s">
        <v>1953</v>
      </c>
      <c r="B979" s="2" t="s">
        <v>1954</v>
      </c>
      <c r="C979" s="6" t="n">
        <v>43204</v>
      </c>
      <c r="D979" s="3" t="n">
        <v>9</v>
      </c>
      <c r="E979" s="3" t="n">
        <v>9</v>
      </c>
      <c r="F979" s="7" t="n">
        <f aca="false">IFERROR(Tableau1[[#This Row],[Score]]/Tableau1[[#This Row],[Nb]],0)</f>
        <v>1</v>
      </c>
    </row>
    <row r="980" customFormat="false" ht="30" hidden="false" customHeight="true" outlineLevel="0" collapsed="false">
      <c r="A980" s="1" t="s">
        <v>1955</v>
      </c>
      <c r="B980" s="2" t="s">
        <v>1956</v>
      </c>
      <c r="C980" s="6" t="n">
        <v>43206</v>
      </c>
      <c r="D980" s="3" t="n">
        <v>13</v>
      </c>
      <c r="E980" s="3" t="n">
        <v>5</v>
      </c>
      <c r="F980" s="7" t="n">
        <f aca="false">IFERROR(Tableau1[[#This Row],[Score]]/Tableau1[[#This Row],[Nb]],0)</f>
        <v>0.384615384615385</v>
      </c>
    </row>
    <row r="981" customFormat="false" ht="30" hidden="false" customHeight="true" outlineLevel="0" collapsed="false">
      <c r="A981" s="1" t="s">
        <v>1957</v>
      </c>
      <c r="B981" s="2" t="s">
        <v>1958</v>
      </c>
      <c r="C981" s="6" t="n">
        <v>43206</v>
      </c>
      <c r="D981" s="3" t="n">
        <v>8</v>
      </c>
      <c r="E981" s="3" t="n">
        <v>6</v>
      </c>
      <c r="F981" s="7" t="n">
        <f aca="false">IFERROR(Tableau1[[#This Row],[Score]]/Tableau1[[#This Row],[Nb]],0)</f>
        <v>0.75</v>
      </c>
    </row>
    <row r="982" customFormat="false" ht="30" hidden="false" customHeight="true" outlineLevel="0" collapsed="false">
      <c r="A982" s="1" t="s">
        <v>1959</v>
      </c>
      <c r="B982" s="2" t="s">
        <v>1960</v>
      </c>
      <c r="C982" s="6" t="n">
        <v>43206</v>
      </c>
      <c r="D982" s="3" t="n">
        <v>9</v>
      </c>
      <c r="E982" s="3" t="n">
        <v>9</v>
      </c>
      <c r="F982" s="7" t="n">
        <f aca="false">IFERROR(Tableau1[[#This Row],[Score]]/Tableau1[[#This Row],[Nb]],0)</f>
        <v>1</v>
      </c>
    </row>
    <row r="983" customFormat="false" ht="30" hidden="false" customHeight="true" outlineLevel="0" collapsed="false">
      <c r="A983" s="1" t="s">
        <v>1961</v>
      </c>
      <c r="B983" s="2" t="s">
        <v>1962</v>
      </c>
      <c r="C983" s="6" t="n">
        <v>43206</v>
      </c>
      <c r="D983" s="3" t="n">
        <v>3</v>
      </c>
      <c r="E983" s="3" t="n">
        <v>3</v>
      </c>
      <c r="F983" s="7" t="n">
        <f aca="false">IFERROR(Tableau1[[#This Row],[Score]]/Tableau1[[#This Row],[Nb]],0)</f>
        <v>1</v>
      </c>
    </row>
    <row r="984" customFormat="false" ht="30" hidden="false" customHeight="true" outlineLevel="0" collapsed="false">
      <c r="A984" s="1" t="s">
        <v>1963</v>
      </c>
      <c r="B984" s="2" t="s">
        <v>1964</v>
      </c>
      <c r="C984" s="6" t="n">
        <v>43206</v>
      </c>
      <c r="D984" s="3" t="n">
        <v>7</v>
      </c>
      <c r="E984" s="3" t="n">
        <v>7</v>
      </c>
      <c r="F984" s="7" t="n">
        <f aca="false">IFERROR(Tableau1[[#This Row],[Score]]/Tableau1[[#This Row],[Nb]],0)</f>
        <v>1</v>
      </c>
    </row>
    <row r="985" customFormat="false" ht="30" hidden="false" customHeight="true" outlineLevel="0" collapsed="false">
      <c r="A985" s="1" t="s">
        <v>1965</v>
      </c>
      <c r="B985" s="2" t="s">
        <v>1966</v>
      </c>
      <c r="C985" s="6" t="n">
        <v>43207</v>
      </c>
      <c r="D985" s="3" t="n">
        <v>11</v>
      </c>
      <c r="E985" s="3" t="n">
        <v>-11</v>
      </c>
      <c r="F985" s="7" t="n">
        <f aca="false">IFERROR(Tableau1[[#This Row],[Score]]/Tableau1[[#This Row],[Nb]],0)</f>
        <v>-1</v>
      </c>
    </row>
    <row r="986" customFormat="false" ht="30" hidden="false" customHeight="true" outlineLevel="0" collapsed="false">
      <c r="A986" s="1" t="s">
        <v>1967</v>
      </c>
      <c r="B986" s="2" t="s">
        <v>1968</v>
      </c>
      <c r="C986" s="6" t="n">
        <v>43207</v>
      </c>
      <c r="D986" s="3" t="n">
        <v>13</v>
      </c>
      <c r="E986" s="3" t="n">
        <v>-11</v>
      </c>
      <c r="F986" s="7" t="n">
        <f aca="false">IFERROR(Tableau1[[#This Row],[Score]]/Tableau1[[#This Row],[Nb]],0)</f>
        <v>-0.846153846153846</v>
      </c>
    </row>
    <row r="987" customFormat="false" ht="30" hidden="false" customHeight="true" outlineLevel="0" collapsed="false">
      <c r="A987" s="1" t="s">
        <v>1969</v>
      </c>
      <c r="B987" s="2" t="s">
        <v>1970</v>
      </c>
      <c r="C987" s="6" t="n">
        <v>43207</v>
      </c>
      <c r="D987" s="3" t="n">
        <v>12</v>
      </c>
      <c r="E987" s="3" t="n">
        <v>-8</v>
      </c>
      <c r="F987" s="7" t="n">
        <f aca="false">IFERROR(Tableau1[[#This Row],[Score]]/Tableau1[[#This Row],[Nb]],0)</f>
        <v>-0.666666666666667</v>
      </c>
    </row>
    <row r="988" customFormat="false" ht="30" hidden="false" customHeight="true" outlineLevel="0" collapsed="false">
      <c r="A988" s="1" t="s">
        <v>1971</v>
      </c>
      <c r="B988" s="2" t="s">
        <v>1972</v>
      </c>
      <c r="C988" s="6" t="n">
        <v>43207</v>
      </c>
      <c r="D988" s="3" t="n">
        <v>9</v>
      </c>
      <c r="E988" s="3" t="n">
        <v>-5</v>
      </c>
      <c r="F988" s="7" t="n">
        <f aca="false">IFERROR(Tableau1[[#This Row],[Score]]/Tableau1[[#This Row],[Nb]],0)</f>
        <v>-0.555555555555556</v>
      </c>
    </row>
    <row r="989" customFormat="false" ht="30" hidden="false" customHeight="true" outlineLevel="0" collapsed="false">
      <c r="A989" s="1" t="s">
        <v>1973</v>
      </c>
      <c r="B989" s="2" t="s">
        <v>1974</v>
      </c>
      <c r="C989" s="6" t="n">
        <v>43207</v>
      </c>
      <c r="D989" s="3" t="n">
        <v>15</v>
      </c>
      <c r="E989" s="3" t="n">
        <v>-3</v>
      </c>
      <c r="F989" s="7" t="n">
        <f aca="false">IFERROR(Tableau1[[#This Row],[Score]]/Tableau1[[#This Row],[Nb]],0)</f>
        <v>-0.2</v>
      </c>
    </row>
    <row r="990" customFormat="false" ht="30" hidden="false" customHeight="true" outlineLevel="0" collapsed="false">
      <c r="A990" s="1" t="s">
        <v>1975</v>
      </c>
      <c r="B990" s="2" t="s">
        <v>1976</v>
      </c>
      <c r="C990" s="6" t="n">
        <v>43207</v>
      </c>
      <c r="D990" s="3" t="n">
        <v>11</v>
      </c>
      <c r="E990" s="3" t="n">
        <v>3</v>
      </c>
      <c r="F990" s="7" t="n">
        <f aca="false">IFERROR(Tableau1[[#This Row],[Score]]/Tableau1[[#This Row],[Nb]],0)</f>
        <v>0.272727272727273</v>
      </c>
    </row>
    <row r="991" customFormat="false" ht="30" hidden="false" customHeight="true" outlineLevel="0" collapsed="false">
      <c r="A991" s="1" t="s">
        <v>1977</v>
      </c>
      <c r="B991" s="2" t="s">
        <v>1978</v>
      </c>
      <c r="C991" s="6" t="n">
        <v>43207</v>
      </c>
      <c r="D991" s="3" t="n">
        <v>6</v>
      </c>
      <c r="E991" s="3" t="n">
        <v>2</v>
      </c>
      <c r="F991" s="7" t="n">
        <f aca="false">IFERROR(Tableau1[[#This Row],[Score]]/Tableau1[[#This Row],[Nb]],0)</f>
        <v>0.333333333333333</v>
      </c>
    </row>
    <row r="992" customFormat="false" ht="30" hidden="false" customHeight="true" outlineLevel="0" collapsed="false">
      <c r="A992" s="1" t="s">
        <v>1979</v>
      </c>
      <c r="B992" s="2" t="s">
        <v>1980</v>
      </c>
      <c r="C992" s="6" t="n">
        <v>43207</v>
      </c>
      <c r="D992" s="3" t="n">
        <v>10</v>
      </c>
      <c r="E992" s="3" t="n">
        <v>4</v>
      </c>
      <c r="F992" s="7" t="n">
        <f aca="false">IFERROR(Tableau1[[#This Row],[Score]]/Tableau1[[#This Row],[Nb]],0)</f>
        <v>0.4</v>
      </c>
    </row>
    <row r="993" customFormat="false" ht="30" hidden="false" customHeight="true" outlineLevel="0" collapsed="false">
      <c r="A993" s="1" t="s">
        <v>1981</v>
      </c>
      <c r="B993" s="2" t="s">
        <v>1982</v>
      </c>
      <c r="C993" s="6" t="n">
        <v>43207</v>
      </c>
      <c r="D993" s="3" t="n">
        <v>7</v>
      </c>
      <c r="E993" s="3" t="n">
        <v>5</v>
      </c>
      <c r="F993" s="7" t="n">
        <f aca="false">IFERROR(Tableau1[[#This Row],[Score]]/Tableau1[[#This Row],[Nb]],0)</f>
        <v>0.714285714285714</v>
      </c>
    </row>
    <row r="994" customFormat="false" ht="30" hidden="false" customHeight="true" outlineLevel="0" collapsed="false">
      <c r="A994" s="1" t="s">
        <v>1983</v>
      </c>
      <c r="B994" s="2" t="s">
        <v>1984</v>
      </c>
      <c r="C994" s="6" t="n">
        <v>43207</v>
      </c>
      <c r="D994" s="3" t="n">
        <v>8</v>
      </c>
      <c r="E994" s="3" t="n">
        <v>8</v>
      </c>
      <c r="F994" s="7" t="n">
        <f aca="false">IFERROR(Tableau1[[#This Row],[Score]]/Tableau1[[#This Row],[Nb]],0)</f>
        <v>1</v>
      </c>
    </row>
    <row r="995" customFormat="false" ht="30" hidden="false" customHeight="true" outlineLevel="0" collapsed="false">
      <c r="A995" s="1" t="s">
        <v>1985</v>
      </c>
      <c r="B995" s="2" t="s">
        <v>1986</v>
      </c>
      <c r="C995" s="6" t="n">
        <v>43207</v>
      </c>
      <c r="D995" s="3" t="n">
        <v>7</v>
      </c>
      <c r="E995" s="3" t="n">
        <v>7</v>
      </c>
      <c r="F995" s="7" t="n">
        <f aca="false">IFERROR(Tableau1[[#This Row],[Score]]/Tableau1[[#This Row],[Nb]],0)</f>
        <v>1</v>
      </c>
    </row>
    <row r="996" customFormat="false" ht="30" hidden="false" customHeight="true" outlineLevel="0" collapsed="false">
      <c r="A996" s="1" t="s">
        <v>1987</v>
      </c>
      <c r="B996" s="2" t="s">
        <v>1988</v>
      </c>
      <c r="C996" s="6" t="n">
        <v>43208</v>
      </c>
      <c r="D996" s="3" t="n">
        <v>12</v>
      </c>
      <c r="E996" s="3" t="n">
        <v>0</v>
      </c>
      <c r="F996" s="7" t="n">
        <f aca="false">IFERROR(Tableau1[[#This Row],[Score]]/Tableau1[[#This Row],[Nb]],0)</f>
        <v>0</v>
      </c>
    </row>
    <row r="997" customFormat="false" ht="30" hidden="false" customHeight="true" outlineLevel="0" collapsed="false">
      <c r="A997" s="1" t="s">
        <v>1989</v>
      </c>
      <c r="B997" s="2" t="s">
        <v>1990</v>
      </c>
      <c r="C997" s="6" t="n">
        <v>43208</v>
      </c>
      <c r="D997" s="3" t="n">
        <v>9</v>
      </c>
      <c r="E997" s="3" t="n">
        <v>1</v>
      </c>
      <c r="F997" s="7" t="n">
        <f aca="false">IFERROR(Tableau1[[#This Row],[Score]]/Tableau1[[#This Row],[Nb]],0)</f>
        <v>0.111111111111111</v>
      </c>
    </row>
    <row r="998" customFormat="false" ht="30" hidden="false" customHeight="true" outlineLevel="0" collapsed="false">
      <c r="A998" s="1" t="s">
        <v>1304</v>
      </c>
      <c r="B998" s="2" t="s">
        <v>1991</v>
      </c>
      <c r="C998" s="6" t="n">
        <v>43208</v>
      </c>
      <c r="D998" s="3" t="n">
        <v>14</v>
      </c>
      <c r="E998" s="3" t="n">
        <v>8</v>
      </c>
      <c r="F998" s="7" t="n">
        <f aca="false">IFERROR(Tableau1[[#This Row],[Score]]/Tableau1[[#This Row],[Nb]],0)</f>
        <v>0.571428571428571</v>
      </c>
    </row>
    <row r="999" customFormat="false" ht="30" hidden="false" customHeight="true" outlineLevel="0" collapsed="false">
      <c r="A999" s="1" t="s">
        <v>1992</v>
      </c>
      <c r="B999" s="2" t="s">
        <v>1993</v>
      </c>
      <c r="C999" s="6" t="n">
        <v>43208</v>
      </c>
      <c r="D999" s="3" t="n">
        <v>12</v>
      </c>
      <c r="E999" s="3" t="n">
        <v>8</v>
      </c>
      <c r="F999" s="7" t="n">
        <f aca="false">IFERROR(Tableau1[[#This Row],[Score]]/Tableau1[[#This Row],[Nb]],0)</f>
        <v>0.666666666666667</v>
      </c>
    </row>
    <row r="1000" customFormat="false" ht="30" hidden="false" customHeight="true" outlineLevel="0" collapsed="false">
      <c r="A1000" s="1" t="s">
        <v>1994</v>
      </c>
      <c r="B1000" s="2" t="s">
        <v>1995</v>
      </c>
      <c r="C1000" s="6" t="n">
        <v>43208</v>
      </c>
      <c r="D1000" s="3" t="n">
        <v>13</v>
      </c>
      <c r="E1000" s="3" t="n">
        <v>9</v>
      </c>
      <c r="F1000" s="7" t="n">
        <f aca="false">IFERROR(Tableau1[[#This Row],[Score]]/Tableau1[[#This Row],[Nb]],0)</f>
        <v>0.692307692307692</v>
      </c>
    </row>
    <row r="1001" customFormat="false" ht="30" hidden="false" customHeight="true" outlineLevel="0" collapsed="false">
      <c r="A1001" s="1" t="s">
        <v>1996</v>
      </c>
      <c r="B1001" s="2" t="s">
        <v>1997</v>
      </c>
      <c r="C1001" s="6" t="n">
        <v>43208</v>
      </c>
      <c r="D1001" s="3" t="n">
        <v>12</v>
      </c>
      <c r="E1001" s="3" t="n">
        <v>10</v>
      </c>
      <c r="F1001" s="7" t="n">
        <f aca="false">IFERROR(Tableau1[[#This Row],[Score]]/Tableau1[[#This Row],[Nb]],0)</f>
        <v>0.833333333333333</v>
      </c>
    </row>
    <row r="1002" customFormat="false" ht="30" hidden="false" customHeight="true" outlineLevel="0" collapsed="false">
      <c r="A1002" s="1" t="s">
        <v>1998</v>
      </c>
      <c r="B1002" s="2" t="s">
        <v>1999</v>
      </c>
      <c r="C1002" s="6" t="n">
        <v>43208</v>
      </c>
      <c r="D1002" s="3" t="n">
        <v>14</v>
      </c>
      <c r="E1002" s="3" t="n">
        <v>12</v>
      </c>
      <c r="F1002" s="7" t="n">
        <f aca="false">IFERROR(Tableau1[[#This Row],[Score]]/Tableau1[[#This Row],[Nb]],0)</f>
        <v>0.857142857142857</v>
      </c>
    </row>
    <row r="1003" customFormat="false" ht="30" hidden="false" customHeight="true" outlineLevel="0" collapsed="false">
      <c r="A1003" s="1" t="s">
        <v>2000</v>
      </c>
      <c r="B1003" s="2" t="s">
        <v>2001</v>
      </c>
      <c r="C1003" s="6" t="n">
        <v>43208</v>
      </c>
      <c r="D1003" s="3" t="n">
        <v>8</v>
      </c>
      <c r="E1003" s="3" t="n">
        <v>8</v>
      </c>
      <c r="F1003" s="7" t="n">
        <f aca="false">IFERROR(Tableau1[[#This Row],[Score]]/Tableau1[[#This Row],[Nb]],0)</f>
        <v>1</v>
      </c>
    </row>
    <row r="1004" customFormat="false" ht="30" hidden="false" customHeight="true" outlineLevel="0" collapsed="false">
      <c r="A1004" s="1" t="s">
        <v>2002</v>
      </c>
      <c r="B1004" s="2" t="s">
        <v>2003</v>
      </c>
      <c r="C1004" s="6" t="n">
        <v>43209</v>
      </c>
      <c r="D1004" s="3" t="n">
        <v>7</v>
      </c>
      <c r="E1004" s="3" t="n">
        <v>-7</v>
      </c>
      <c r="F1004" s="7" t="n">
        <f aca="false">IFERROR(Tableau1[[#This Row],[Score]]/Tableau1[[#This Row],[Nb]],0)</f>
        <v>-1</v>
      </c>
    </row>
    <row r="1005" customFormat="false" ht="30" hidden="false" customHeight="true" outlineLevel="0" collapsed="false">
      <c r="A1005" s="1" t="s">
        <v>2004</v>
      </c>
      <c r="B1005" s="2" t="s">
        <v>2005</v>
      </c>
      <c r="C1005" s="6" t="n">
        <v>43209</v>
      </c>
      <c r="D1005" s="3" t="n">
        <v>14</v>
      </c>
      <c r="E1005" s="3" t="n">
        <v>-14</v>
      </c>
      <c r="F1005" s="7" t="n">
        <f aca="false">IFERROR(Tableau1[[#This Row],[Score]]/Tableau1[[#This Row],[Nb]],0)</f>
        <v>-1</v>
      </c>
    </row>
    <row r="1006" customFormat="false" ht="30" hidden="false" customHeight="true" outlineLevel="0" collapsed="false">
      <c r="A1006" s="1" t="s">
        <v>2006</v>
      </c>
      <c r="B1006" s="2" t="s">
        <v>2007</v>
      </c>
      <c r="C1006" s="6" t="n">
        <v>43209</v>
      </c>
      <c r="D1006" s="3" t="n">
        <v>15</v>
      </c>
      <c r="E1006" s="3" t="n">
        <v>-9</v>
      </c>
      <c r="F1006" s="7" t="n">
        <f aca="false">IFERROR(Tableau1[[#This Row],[Score]]/Tableau1[[#This Row],[Nb]],0)</f>
        <v>-0.6</v>
      </c>
    </row>
    <row r="1007" customFormat="false" ht="30" hidden="false" customHeight="true" outlineLevel="0" collapsed="false">
      <c r="A1007" s="1" t="s">
        <v>2008</v>
      </c>
      <c r="B1007" s="2" t="s">
        <v>2009</v>
      </c>
      <c r="C1007" s="6" t="n">
        <v>43209</v>
      </c>
      <c r="D1007" s="3" t="n">
        <v>13</v>
      </c>
      <c r="E1007" s="3" t="n">
        <v>-5</v>
      </c>
      <c r="F1007" s="7" t="n">
        <f aca="false">IFERROR(Tableau1[[#This Row],[Score]]/Tableau1[[#This Row],[Nb]],0)</f>
        <v>-0.384615384615385</v>
      </c>
    </row>
    <row r="1008" customFormat="false" ht="30" hidden="false" customHeight="true" outlineLevel="0" collapsed="false">
      <c r="A1008" s="1" t="s">
        <v>2010</v>
      </c>
      <c r="B1008" s="2" t="s">
        <v>2011</v>
      </c>
      <c r="C1008" s="6" t="n">
        <v>43209</v>
      </c>
      <c r="D1008" s="3" t="n">
        <v>10</v>
      </c>
      <c r="E1008" s="3" t="n">
        <v>2</v>
      </c>
      <c r="F1008" s="7" t="n">
        <f aca="false">IFERROR(Tableau1[[#This Row],[Score]]/Tableau1[[#This Row],[Nb]],0)</f>
        <v>0.2</v>
      </c>
    </row>
    <row r="1009" customFormat="false" ht="30" hidden="false" customHeight="true" outlineLevel="0" collapsed="false">
      <c r="A1009" s="8" t="s">
        <v>2012</v>
      </c>
      <c r="B1009" s="9" t="s">
        <v>2013</v>
      </c>
      <c r="C1009" s="6" t="n">
        <v>43209</v>
      </c>
      <c r="D1009" s="3" t="n">
        <v>11</v>
      </c>
      <c r="E1009" s="3" t="n">
        <v>11</v>
      </c>
      <c r="F1009" s="7" t="n">
        <f aca="false">IFERROR(Tableau1[[#This Row],[Score]]/Tableau1[[#This Row],[Nb]],0)</f>
        <v>1</v>
      </c>
    </row>
    <row r="1010" customFormat="false" ht="30" hidden="false" customHeight="true" outlineLevel="0" collapsed="false">
      <c r="A1010" s="1" t="s">
        <v>2014</v>
      </c>
      <c r="B1010" s="2" t="s">
        <v>2015</v>
      </c>
      <c r="C1010" s="6" t="n">
        <v>43209</v>
      </c>
      <c r="D1010" s="3" t="n">
        <v>8</v>
      </c>
      <c r="E1010" s="3" t="n">
        <v>8</v>
      </c>
      <c r="F1010" s="7" t="n">
        <f aca="false">IFERROR(Tableau1[[#This Row],[Score]]/Tableau1[[#This Row],[Nb]],0)</f>
        <v>1</v>
      </c>
    </row>
    <row r="1011" customFormat="false" ht="30" hidden="false" customHeight="true" outlineLevel="0" collapsed="false">
      <c r="A1011" s="1" t="s">
        <v>2016</v>
      </c>
      <c r="B1011" s="2" t="s">
        <v>2017</v>
      </c>
      <c r="C1011" s="6" t="n">
        <v>43209</v>
      </c>
      <c r="D1011" s="3" t="n">
        <v>9</v>
      </c>
      <c r="E1011" s="3" t="n">
        <v>9</v>
      </c>
      <c r="F1011" s="7" t="n">
        <f aca="false">IFERROR(Tableau1[[#This Row],[Score]]/Tableau1[[#This Row],[Nb]],0)</f>
        <v>1</v>
      </c>
    </row>
    <row r="1012" customFormat="false" ht="30" hidden="false" customHeight="true" outlineLevel="0" collapsed="false">
      <c r="A1012" s="1" t="s">
        <v>2018</v>
      </c>
      <c r="B1012" s="2" t="s">
        <v>2019</v>
      </c>
      <c r="C1012" s="6" t="n">
        <v>43210</v>
      </c>
      <c r="D1012" s="3" t="n">
        <v>14</v>
      </c>
      <c r="E1012" s="3" t="n">
        <v>-8</v>
      </c>
      <c r="F1012" s="7" t="n">
        <f aca="false">IFERROR(Tableau1[[#This Row],[Score]]/Tableau1[[#This Row],[Nb]],0)</f>
        <v>-0.571428571428571</v>
      </c>
    </row>
    <row r="1013" customFormat="false" ht="30" hidden="false" customHeight="true" outlineLevel="0" collapsed="false">
      <c r="A1013" s="1" t="s">
        <v>2020</v>
      </c>
      <c r="B1013" s="2" t="s">
        <v>2021</v>
      </c>
      <c r="C1013" s="6" t="n">
        <v>43210</v>
      </c>
      <c r="D1013" s="3" t="n">
        <v>14</v>
      </c>
      <c r="E1013" s="3" t="n">
        <v>-4</v>
      </c>
      <c r="F1013" s="7" t="n">
        <f aca="false">IFERROR(Tableau1[[#This Row],[Score]]/Tableau1[[#This Row],[Nb]],0)</f>
        <v>-0.285714285714286</v>
      </c>
    </row>
    <row r="1014" customFormat="false" ht="30" hidden="false" customHeight="true" outlineLevel="0" collapsed="false">
      <c r="A1014" s="1" t="s">
        <v>2022</v>
      </c>
      <c r="B1014" s="2" t="s">
        <v>2023</v>
      </c>
      <c r="C1014" s="6" t="n">
        <v>43210</v>
      </c>
      <c r="D1014" s="3" t="n">
        <v>12</v>
      </c>
      <c r="E1014" s="3" t="n">
        <v>0</v>
      </c>
      <c r="F1014" s="7" t="n">
        <f aca="false">IFERROR(Tableau1[[#This Row],[Score]]/Tableau1[[#This Row],[Nb]],0)</f>
        <v>0</v>
      </c>
    </row>
    <row r="1015" customFormat="false" ht="30" hidden="false" customHeight="true" outlineLevel="0" collapsed="false">
      <c r="A1015" s="1" t="s">
        <v>2024</v>
      </c>
      <c r="B1015" s="2" t="s">
        <v>2025</v>
      </c>
      <c r="C1015" s="6" t="n">
        <v>43210</v>
      </c>
      <c r="D1015" s="3" t="n">
        <v>10</v>
      </c>
      <c r="E1015" s="3" t="n">
        <v>4</v>
      </c>
      <c r="F1015" s="7" t="n">
        <f aca="false">IFERROR(Tableau1[[#This Row],[Score]]/Tableau1[[#This Row],[Nb]],0)</f>
        <v>0.4</v>
      </c>
    </row>
    <row r="1016" customFormat="false" ht="30" hidden="false" customHeight="true" outlineLevel="0" collapsed="false">
      <c r="A1016" s="1" t="s">
        <v>2026</v>
      </c>
      <c r="B1016" s="2" t="s">
        <v>2027</v>
      </c>
      <c r="C1016" s="6" t="n">
        <v>43210</v>
      </c>
      <c r="D1016" s="3" t="n">
        <v>12</v>
      </c>
      <c r="E1016" s="3" t="n">
        <v>10</v>
      </c>
      <c r="F1016" s="7" t="n">
        <f aca="false">IFERROR(Tableau1[[#This Row],[Score]]/Tableau1[[#This Row],[Nb]],0)</f>
        <v>0.833333333333333</v>
      </c>
    </row>
    <row r="1017" customFormat="false" ht="30" hidden="false" customHeight="true" outlineLevel="0" collapsed="false">
      <c r="A1017" s="1" t="s">
        <v>2028</v>
      </c>
      <c r="B1017" s="2" t="s">
        <v>2029</v>
      </c>
      <c r="C1017" s="6" t="n">
        <v>43213</v>
      </c>
      <c r="D1017" s="3" t="n">
        <v>8</v>
      </c>
      <c r="E1017" s="3" t="n">
        <v>-8</v>
      </c>
      <c r="F1017" s="7" t="n">
        <f aca="false">IFERROR(Tableau1[[#This Row],[Score]]/Tableau1[[#This Row],[Nb]],0)</f>
        <v>-1</v>
      </c>
    </row>
    <row r="1018" customFormat="false" ht="30" hidden="false" customHeight="true" outlineLevel="0" collapsed="false">
      <c r="A1018" s="1" t="s">
        <v>2030</v>
      </c>
      <c r="B1018" s="2" t="s">
        <v>2031</v>
      </c>
      <c r="C1018" s="6" t="n">
        <v>43213</v>
      </c>
      <c r="D1018" s="3" t="n">
        <v>13</v>
      </c>
      <c r="E1018" s="3" t="n">
        <v>-11</v>
      </c>
      <c r="F1018" s="7" t="n">
        <f aca="false">IFERROR(Tableau1[[#This Row],[Score]]/Tableau1[[#This Row],[Nb]],0)</f>
        <v>-0.846153846153846</v>
      </c>
    </row>
    <row r="1019" customFormat="false" ht="30" hidden="false" customHeight="true" outlineLevel="0" collapsed="false">
      <c r="A1019" s="1" t="s">
        <v>2032</v>
      </c>
      <c r="B1019" s="2" t="s">
        <v>2033</v>
      </c>
      <c r="C1019" s="6" t="n">
        <v>43213</v>
      </c>
      <c r="D1019" s="3" t="n">
        <v>10</v>
      </c>
      <c r="E1019" s="3" t="n">
        <v>-6</v>
      </c>
      <c r="F1019" s="7" t="n">
        <f aca="false">IFERROR(Tableau1[[#This Row],[Score]]/Tableau1[[#This Row],[Nb]],0)</f>
        <v>-0.6</v>
      </c>
    </row>
    <row r="1020" customFormat="false" ht="30" hidden="false" customHeight="true" outlineLevel="0" collapsed="false">
      <c r="A1020" s="1" t="s">
        <v>2034</v>
      </c>
      <c r="B1020" s="2" t="s">
        <v>2035</v>
      </c>
      <c r="C1020" s="6" t="n">
        <v>43213</v>
      </c>
      <c r="D1020" s="3" t="n">
        <v>9</v>
      </c>
      <c r="E1020" s="3" t="n">
        <v>-5</v>
      </c>
      <c r="F1020" s="7" t="n">
        <f aca="false">IFERROR(Tableau1[[#This Row],[Score]]/Tableau1[[#This Row],[Nb]],0)</f>
        <v>-0.555555555555556</v>
      </c>
    </row>
    <row r="1021" customFormat="false" ht="30" hidden="false" customHeight="true" outlineLevel="0" collapsed="false">
      <c r="A1021" s="1" t="s">
        <v>2036</v>
      </c>
      <c r="B1021" s="2" t="s">
        <v>2037</v>
      </c>
      <c r="C1021" s="6" t="n">
        <v>43213</v>
      </c>
      <c r="D1021" s="3" t="n">
        <v>8</v>
      </c>
      <c r="E1021" s="3" t="n">
        <v>-2</v>
      </c>
      <c r="F1021" s="7" t="n">
        <f aca="false">IFERROR(Tableau1[[#This Row],[Score]]/Tableau1[[#This Row],[Nb]],0)</f>
        <v>-0.25</v>
      </c>
    </row>
    <row r="1022" customFormat="false" ht="30" hidden="false" customHeight="true" outlineLevel="0" collapsed="false">
      <c r="A1022" s="1" t="s">
        <v>2038</v>
      </c>
      <c r="B1022" s="2" t="s">
        <v>2039</v>
      </c>
      <c r="C1022" s="6" t="n">
        <v>43213</v>
      </c>
      <c r="D1022" s="3" t="n">
        <v>16</v>
      </c>
      <c r="E1022" s="3" t="n">
        <v>-2</v>
      </c>
      <c r="F1022" s="7" t="n">
        <f aca="false">IFERROR(Tableau1[[#This Row],[Score]]/Tableau1[[#This Row],[Nb]],0)</f>
        <v>-0.125</v>
      </c>
    </row>
    <row r="1023" customFormat="false" ht="30" hidden="false" customHeight="true" outlineLevel="0" collapsed="false">
      <c r="A1023" s="1" t="s">
        <v>2040</v>
      </c>
      <c r="B1023" s="2" t="s">
        <v>2041</v>
      </c>
      <c r="C1023" s="6" t="n">
        <v>43213</v>
      </c>
      <c r="D1023" s="3" t="n">
        <v>12</v>
      </c>
      <c r="E1023" s="3" t="n">
        <v>4</v>
      </c>
      <c r="F1023" s="7" t="n">
        <f aca="false">IFERROR(Tableau1[[#This Row],[Score]]/Tableau1[[#This Row],[Nb]],0)</f>
        <v>0.333333333333333</v>
      </c>
    </row>
    <row r="1024" customFormat="false" ht="30" hidden="false" customHeight="true" outlineLevel="0" collapsed="false">
      <c r="A1024" s="1" t="s">
        <v>2042</v>
      </c>
      <c r="B1024" s="2" t="s">
        <v>2043</v>
      </c>
      <c r="C1024" s="6" t="n">
        <v>43213</v>
      </c>
      <c r="D1024" s="3" t="n">
        <v>14</v>
      </c>
      <c r="E1024" s="3" t="n">
        <v>10</v>
      </c>
      <c r="F1024" s="7" t="n">
        <f aca="false">IFERROR(Tableau1[[#This Row],[Score]]/Tableau1[[#This Row],[Nb]],0)</f>
        <v>0.714285714285714</v>
      </c>
    </row>
    <row r="1025" customFormat="false" ht="30" hidden="false" customHeight="true" outlineLevel="0" collapsed="false">
      <c r="A1025" s="1" t="s">
        <v>2044</v>
      </c>
      <c r="B1025" s="2" t="s">
        <v>2045</v>
      </c>
      <c r="C1025" s="6" t="n">
        <v>43213</v>
      </c>
      <c r="D1025" s="3" t="n">
        <v>14</v>
      </c>
      <c r="E1025" s="3" t="n">
        <v>12</v>
      </c>
      <c r="F1025" s="7" t="n">
        <f aca="false">IFERROR(Tableau1[[#This Row],[Score]]/Tableau1[[#This Row],[Nb]],0)</f>
        <v>0.857142857142857</v>
      </c>
    </row>
    <row r="1026" customFormat="false" ht="30" hidden="false" customHeight="true" outlineLevel="0" collapsed="false">
      <c r="A1026" s="1" t="s">
        <v>2046</v>
      </c>
      <c r="B1026" s="2" t="s">
        <v>2047</v>
      </c>
      <c r="C1026" s="6" t="n">
        <v>43214</v>
      </c>
      <c r="D1026" s="3" t="n">
        <v>10</v>
      </c>
      <c r="E1026" s="3" t="n">
        <v>-10</v>
      </c>
      <c r="F1026" s="7" t="n">
        <f aca="false">IFERROR(Tableau1[[#This Row],[Score]]/Tableau1[[#This Row],[Nb]],0)</f>
        <v>-1</v>
      </c>
    </row>
    <row r="1027" customFormat="false" ht="30" hidden="false" customHeight="true" outlineLevel="0" collapsed="false">
      <c r="A1027" s="1" t="s">
        <v>2048</v>
      </c>
      <c r="B1027" s="2" t="s">
        <v>2049</v>
      </c>
      <c r="C1027" s="6" t="n">
        <v>43214</v>
      </c>
      <c r="D1027" s="3" t="n">
        <v>14</v>
      </c>
      <c r="E1027" s="3" t="n">
        <v>-12</v>
      </c>
      <c r="F1027" s="7" t="n">
        <f aca="false">IFERROR(Tableau1[[#This Row],[Score]]/Tableau1[[#This Row],[Nb]],0)</f>
        <v>-0.857142857142857</v>
      </c>
    </row>
    <row r="1028" customFormat="false" ht="30" hidden="false" customHeight="true" outlineLevel="0" collapsed="false">
      <c r="A1028" s="1" t="s">
        <v>2050</v>
      </c>
      <c r="B1028" s="2" t="s">
        <v>2051</v>
      </c>
      <c r="C1028" s="6" t="n">
        <v>43214</v>
      </c>
      <c r="D1028" s="3" t="n">
        <v>8</v>
      </c>
      <c r="E1028" s="3" t="n">
        <v>-6</v>
      </c>
      <c r="F1028" s="7" t="n">
        <f aca="false">IFERROR(Tableau1[[#This Row],[Score]]/Tableau1[[#This Row],[Nb]],0)</f>
        <v>-0.75</v>
      </c>
    </row>
    <row r="1029" customFormat="false" ht="30" hidden="false" customHeight="true" outlineLevel="0" collapsed="false">
      <c r="A1029" s="1" t="s">
        <v>2052</v>
      </c>
      <c r="B1029" s="2" t="s">
        <v>2053</v>
      </c>
      <c r="C1029" s="6" t="n">
        <v>43214</v>
      </c>
      <c r="D1029" s="3" t="n">
        <v>8</v>
      </c>
      <c r="E1029" s="3" t="n">
        <v>-4</v>
      </c>
      <c r="F1029" s="7" t="n">
        <f aca="false">IFERROR(Tableau1[[#This Row],[Score]]/Tableau1[[#This Row],[Nb]],0)</f>
        <v>-0.5</v>
      </c>
    </row>
    <row r="1030" customFormat="false" ht="30" hidden="false" customHeight="true" outlineLevel="0" collapsed="false">
      <c r="A1030" s="1" t="s">
        <v>2054</v>
      </c>
      <c r="B1030" s="2" t="s">
        <v>2055</v>
      </c>
      <c r="C1030" s="6" t="n">
        <v>43214</v>
      </c>
      <c r="D1030" s="3" t="n">
        <v>10</v>
      </c>
      <c r="E1030" s="3" t="n">
        <v>0</v>
      </c>
      <c r="F1030" s="7" t="n">
        <f aca="false">IFERROR(Tableau1[[#This Row],[Score]]/Tableau1[[#This Row],[Nb]],0)</f>
        <v>0</v>
      </c>
    </row>
    <row r="1031" customFormat="false" ht="30" hidden="false" customHeight="true" outlineLevel="0" collapsed="false">
      <c r="A1031" s="1" t="s">
        <v>2056</v>
      </c>
      <c r="B1031" s="2" t="s">
        <v>2057</v>
      </c>
      <c r="C1031" s="6" t="n">
        <v>43214</v>
      </c>
      <c r="D1031" s="3" t="n">
        <v>8</v>
      </c>
      <c r="E1031" s="3" t="n">
        <v>0</v>
      </c>
      <c r="F1031" s="7" t="n">
        <f aca="false">IFERROR(Tableau1[[#This Row],[Score]]/Tableau1[[#This Row],[Nb]],0)</f>
        <v>0</v>
      </c>
    </row>
    <row r="1032" customFormat="false" ht="30" hidden="false" customHeight="true" outlineLevel="0" collapsed="false">
      <c r="A1032" s="1" t="s">
        <v>2058</v>
      </c>
      <c r="B1032" s="2" t="s">
        <v>2059</v>
      </c>
      <c r="C1032" s="6" t="n">
        <v>43214</v>
      </c>
      <c r="D1032" s="3" t="n">
        <v>11</v>
      </c>
      <c r="E1032" s="3" t="n">
        <v>1</v>
      </c>
      <c r="F1032" s="7" t="n">
        <f aca="false">IFERROR(Tableau1[[#This Row],[Score]]/Tableau1[[#This Row],[Nb]],0)</f>
        <v>0.0909090909090909</v>
      </c>
    </row>
    <row r="1033" customFormat="false" ht="30" hidden="false" customHeight="true" outlineLevel="0" collapsed="false">
      <c r="A1033" s="1" t="s">
        <v>2060</v>
      </c>
      <c r="B1033" s="2" t="s">
        <v>2061</v>
      </c>
      <c r="C1033" s="6" t="n">
        <v>43214</v>
      </c>
      <c r="D1033" s="3" t="n">
        <v>15</v>
      </c>
      <c r="E1033" s="3" t="n">
        <v>3</v>
      </c>
      <c r="F1033" s="7" t="n">
        <f aca="false">IFERROR(Tableau1[[#This Row],[Score]]/Tableau1[[#This Row],[Nb]],0)</f>
        <v>0.2</v>
      </c>
    </row>
    <row r="1034" customFormat="false" ht="30" hidden="false" customHeight="true" outlineLevel="0" collapsed="false">
      <c r="A1034" s="1" t="s">
        <v>2062</v>
      </c>
      <c r="B1034" s="2" t="s">
        <v>2063</v>
      </c>
      <c r="C1034" s="6" t="n">
        <v>43214</v>
      </c>
      <c r="D1034" s="3" t="n">
        <v>7</v>
      </c>
      <c r="E1034" s="3" t="n">
        <v>1</v>
      </c>
      <c r="F1034" s="7" t="n">
        <f aca="false">IFERROR(Tableau1[[#This Row],[Score]]/Tableau1[[#This Row],[Nb]],0)</f>
        <v>0.142857142857143</v>
      </c>
    </row>
    <row r="1035" customFormat="false" ht="30" hidden="false" customHeight="true" outlineLevel="0" collapsed="false">
      <c r="A1035" s="1" t="s">
        <v>2064</v>
      </c>
      <c r="B1035" s="2" t="s">
        <v>2065</v>
      </c>
      <c r="C1035" s="6" t="n">
        <v>43214</v>
      </c>
      <c r="D1035" s="3" t="n">
        <v>11</v>
      </c>
      <c r="E1035" s="3" t="n">
        <v>3</v>
      </c>
      <c r="F1035" s="7" t="n">
        <f aca="false">IFERROR(Tableau1[[#This Row],[Score]]/Tableau1[[#This Row],[Nb]],0)</f>
        <v>0.272727272727273</v>
      </c>
    </row>
    <row r="1036" customFormat="false" ht="30" hidden="false" customHeight="true" outlineLevel="0" collapsed="false">
      <c r="A1036" s="1" t="s">
        <v>2066</v>
      </c>
      <c r="B1036" s="2" t="s">
        <v>2067</v>
      </c>
      <c r="C1036" s="6" t="n">
        <v>43214</v>
      </c>
      <c r="D1036" s="3" t="n">
        <v>4</v>
      </c>
      <c r="E1036" s="3" t="n">
        <v>2</v>
      </c>
      <c r="F1036" s="7" t="n">
        <f aca="false">IFERROR(Tableau1[[#This Row],[Score]]/Tableau1[[#This Row],[Nb]],0)</f>
        <v>0.5</v>
      </c>
    </row>
    <row r="1037" customFormat="false" ht="30" hidden="false" customHeight="true" outlineLevel="0" collapsed="false">
      <c r="A1037" s="1" t="s">
        <v>2068</v>
      </c>
      <c r="B1037" s="2" t="s">
        <v>2069</v>
      </c>
      <c r="C1037" s="6" t="n">
        <v>43214</v>
      </c>
      <c r="D1037" s="3" t="n">
        <v>12</v>
      </c>
      <c r="E1037" s="3" t="n">
        <v>8</v>
      </c>
      <c r="F1037" s="7" t="n">
        <f aca="false">IFERROR(Tableau1[[#This Row],[Score]]/Tableau1[[#This Row],[Nb]],0)</f>
        <v>0.666666666666667</v>
      </c>
    </row>
    <row r="1038" customFormat="false" ht="30" hidden="false" customHeight="true" outlineLevel="0" collapsed="false">
      <c r="A1038" s="8" t="s">
        <v>2070</v>
      </c>
      <c r="B1038" s="9" t="s">
        <v>2071</v>
      </c>
      <c r="C1038" s="6" t="n">
        <v>43214</v>
      </c>
      <c r="D1038" s="3" t="n">
        <v>10</v>
      </c>
      <c r="E1038" s="3" t="n">
        <v>10</v>
      </c>
      <c r="F1038" s="7" t="n">
        <f aca="false">IFERROR(Tableau1[[#This Row],[Score]]/Tableau1[[#This Row],[Nb]],0)</f>
        <v>1</v>
      </c>
    </row>
    <row r="1039" customFormat="false" ht="30" hidden="false" customHeight="true" outlineLevel="0" collapsed="false">
      <c r="A1039" s="8" t="s">
        <v>2072</v>
      </c>
      <c r="B1039" s="9" t="s">
        <v>2073</v>
      </c>
      <c r="C1039" s="6" t="n">
        <v>43214</v>
      </c>
      <c r="D1039" s="3" t="n">
        <v>10</v>
      </c>
      <c r="E1039" s="3" t="n">
        <v>10</v>
      </c>
      <c r="F1039" s="7" t="n">
        <f aca="false">IFERROR(Tableau1[[#This Row],[Score]]/Tableau1[[#This Row],[Nb]],0)</f>
        <v>1</v>
      </c>
    </row>
    <row r="1040" customFormat="false" ht="30" hidden="false" customHeight="true" outlineLevel="0" collapsed="false">
      <c r="A1040" s="1" t="s">
        <v>2074</v>
      </c>
      <c r="B1040" s="2" t="s">
        <v>2075</v>
      </c>
      <c r="C1040" s="6" t="n">
        <v>43214</v>
      </c>
      <c r="D1040" s="3" t="n">
        <v>7</v>
      </c>
      <c r="E1040" s="3" t="n">
        <v>7</v>
      </c>
      <c r="F1040" s="7" t="n">
        <f aca="false">IFERROR(Tableau1[[#This Row],[Score]]/Tableau1[[#This Row],[Nb]],0)</f>
        <v>1</v>
      </c>
    </row>
    <row r="1041" customFormat="false" ht="30" hidden="false" customHeight="true" outlineLevel="0" collapsed="false">
      <c r="A1041" s="1" t="s">
        <v>2076</v>
      </c>
      <c r="B1041" s="2" t="s">
        <v>2077</v>
      </c>
      <c r="C1041" s="6" t="n">
        <v>43215</v>
      </c>
      <c r="D1041" s="3" t="n">
        <v>16</v>
      </c>
      <c r="E1041" s="3" t="n">
        <v>-4</v>
      </c>
      <c r="F1041" s="7" t="n">
        <f aca="false">IFERROR(Tableau1[[#This Row],[Score]]/Tableau1[[#This Row],[Nb]],0)</f>
        <v>-0.25</v>
      </c>
    </row>
    <row r="1042" customFormat="false" ht="30" hidden="false" customHeight="true" outlineLevel="0" collapsed="false">
      <c r="A1042" s="1" t="s">
        <v>2078</v>
      </c>
      <c r="B1042" s="2" t="s">
        <v>2079</v>
      </c>
      <c r="C1042" s="6" t="n">
        <v>43215</v>
      </c>
      <c r="D1042" s="3" t="n">
        <v>13</v>
      </c>
      <c r="E1042" s="3" t="n">
        <v>3</v>
      </c>
      <c r="F1042" s="7" t="n">
        <f aca="false">IFERROR(Tableau1[[#This Row],[Score]]/Tableau1[[#This Row],[Nb]],0)</f>
        <v>0.230769230769231</v>
      </c>
    </row>
    <row r="1043" customFormat="false" ht="30" hidden="false" customHeight="true" outlineLevel="0" collapsed="false">
      <c r="A1043" s="1" t="s">
        <v>2080</v>
      </c>
      <c r="B1043" s="2" t="s">
        <v>2081</v>
      </c>
      <c r="C1043" s="6" t="n">
        <v>43215</v>
      </c>
      <c r="D1043" s="3" t="n">
        <v>3</v>
      </c>
      <c r="E1043" s="3" t="n">
        <v>1</v>
      </c>
      <c r="F1043" s="7" t="n">
        <f aca="false">IFERROR(Tableau1[[#This Row],[Score]]/Tableau1[[#This Row],[Nb]],0)</f>
        <v>0.333333333333333</v>
      </c>
    </row>
    <row r="1044" customFormat="false" ht="30" hidden="false" customHeight="true" outlineLevel="0" collapsed="false">
      <c r="A1044" s="1" t="s">
        <v>2082</v>
      </c>
      <c r="B1044" s="2" t="s">
        <v>2083</v>
      </c>
      <c r="C1044" s="6" t="n">
        <v>43216</v>
      </c>
      <c r="D1044" s="3" t="n">
        <v>10</v>
      </c>
      <c r="E1044" s="3" t="n">
        <v>0</v>
      </c>
      <c r="F1044" s="7" t="n">
        <f aca="false">IFERROR(Tableau1[[#This Row],[Score]]/Tableau1[[#This Row],[Nb]],0)</f>
        <v>0</v>
      </c>
    </row>
    <row r="1045" customFormat="false" ht="30" hidden="false" customHeight="true" outlineLevel="0" collapsed="false">
      <c r="A1045" s="1" t="s">
        <v>2084</v>
      </c>
      <c r="B1045" s="2" t="s">
        <v>2085</v>
      </c>
      <c r="C1045" s="6" t="n">
        <v>43216</v>
      </c>
      <c r="D1045" s="3" t="n">
        <v>10</v>
      </c>
      <c r="E1045" s="3" t="n">
        <v>2</v>
      </c>
      <c r="F1045" s="7" t="n">
        <f aca="false">IFERROR(Tableau1[[#This Row],[Score]]/Tableau1[[#This Row],[Nb]],0)</f>
        <v>0.2</v>
      </c>
    </row>
    <row r="1046" customFormat="false" ht="30" hidden="false" customHeight="true" outlineLevel="0" collapsed="false">
      <c r="A1046" s="1" t="s">
        <v>2086</v>
      </c>
      <c r="B1046" s="2" t="s">
        <v>2087</v>
      </c>
      <c r="C1046" s="6" t="n">
        <v>43216</v>
      </c>
      <c r="D1046" s="3" t="n">
        <v>11</v>
      </c>
      <c r="E1046" s="3" t="n">
        <v>3</v>
      </c>
      <c r="F1046" s="7" t="n">
        <f aca="false">IFERROR(Tableau1[[#This Row],[Score]]/Tableau1[[#This Row],[Nb]],0)</f>
        <v>0.272727272727273</v>
      </c>
    </row>
    <row r="1047" customFormat="false" ht="30" hidden="false" customHeight="true" outlineLevel="0" collapsed="false">
      <c r="A1047" s="1" t="s">
        <v>2088</v>
      </c>
      <c r="B1047" s="2" t="s">
        <v>2089</v>
      </c>
      <c r="C1047" s="6" t="n">
        <v>43216</v>
      </c>
      <c r="D1047" s="3" t="n">
        <v>14</v>
      </c>
      <c r="E1047" s="3" t="n">
        <v>8</v>
      </c>
      <c r="F1047" s="7" t="n">
        <f aca="false">IFERROR(Tableau1[[#This Row],[Score]]/Tableau1[[#This Row],[Nb]],0)</f>
        <v>0.571428571428571</v>
      </c>
    </row>
    <row r="1048" customFormat="false" ht="30" hidden="false" customHeight="true" outlineLevel="0" collapsed="false">
      <c r="A1048" s="1" t="s">
        <v>2090</v>
      </c>
      <c r="B1048" s="2" t="s">
        <v>2091</v>
      </c>
      <c r="C1048" s="6" t="n">
        <v>43216</v>
      </c>
      <c r="D1048" s="3" t="n">
        <v>15</v>
      </c>
      <c r="E1048" s="3" t="n">
        <v>11</v>
      </c>
      <c r="F1048" s="7" t="n">
        <f aca="false">IFERROR(Tableau1[[#This Row],[Score]]/Tableau1[[#This Row],[Nb]],0)</f>
        <v>0.733333333333333</v>
      </c>
    </row>
    <row r="1049" customFormat="false" ht="30" hidden="false" customHeight="true" outlineLevel="0" collapsed="false">
      <c r="A1049" s="1" t="s">
        <v>2092</v>
      </c>
      <c r="B1049" s="2" t="s">
        <v>2093</v>
      </c>
      <c r="C1049" s="6" t="n">
        <v>43216</v>
      </c>
      <c r="D1049" s="3" t="n">
        <v>12</v>
      </c>
      <c r="E1049" s="3" t="n">
        <v>10</v>
      </c>
      <c r="F1049" s="7" t="n">
        <f aca="false">IFERROR(Tableau1[[#This Row],[Score]]/Tableau1[[#This Row],[Nb]],0)</f>
        <v>0.833333333333333</v>
      </c>
    </row>
    <row r="1050" customFormat="false" ht="30" hidden="false" customHeight="true" outlineLevel="0" collapsed="false">
      <c r="A1050" s="8" t="s">
        <v>2094</v>
      </c>
      <c r="B1050" s="9" t="s">
        <v>2095</v>
      </c>
      <c r="C1050" s="6" t="n">
        <v>43216</v>
      </c>
      <c r="D1050" s="3" t="n">
        <v>10</v>
      </c>
      <c r="E1050" s="3" t="n">
        <v>10</v>
      </c>
      <c r="F1050" s="7" t="n">
        <f aca="false">IFERROR(Tableau1[[#This Row],[Score]]/Tableau1[[#This Row],[Nb]],0)</f>
        <v>1</v>
      </c>
    </row>
    <row r="1051" customFormat="false" ht="30" hidden="false" customHeight="true" outlineLevel="0" collapsed="false">
      <c r="A1051" s="1" t="s">
        <v>2096</v>
      </c>
      <c r="B1051" s="2" t="s">
        <v>2097</v>
      </c>
      <c r="C1051" s="6" t="n">
        <v>43216</v>
      </c>
      <c r="D1051" s="3" t="n">
        <v>5</v>
      </c>
      <c r="E1051" s="3" t="n">
        <v>5</v>
      </c>
      <c r="F1051" s="7" t="n">
        <f aca="false">IFERROR(Tableau1[[#This Row],[Score]]/Tableau1[[#This Row],[Nb]],0)</f>
        <v>1</v>
      </c>
    </row>
    <row r="1052" customFormat="false" ht="30" hidden="false" customHeight="true" outlineLevel="0" collapsed="false">
      <c r="A1052" s="1" t="s">
        <v>2098</v>
      </c>
      <c r="B1052" s="2" t="s">
        <v>2099</v>
      </c>
      <c r="C1052" s="6" t="n">
        <v>43216</v>
      </c>
      <c r="D1052" s="3" t="n">
        <v>6</v>
      </c>
      <c r="E1052" s="3" t="n">
        <v>6</v>
      </c>
      <c r="F1052" s="7" t="n">
        <f aca="false">IFERROR(Tableau1[[#This Row],[Score]]/Tableau1[[#This Row],[Nb]],0)</f>
        <v>1</v>
      </c>
    </row>
    <row r="1053" customFormat="false" ht="30" hidden="false" customHeight="true" outlineLevel="0" collapsed="false">
      <c r="A1053" s="1" t="s">
        <v>2100</v>
      </c>
      <c r="B1053" s="2" t="s">
        <v>2101</v>
      </c>
      <c r="C1053" s="6" t="n">
        <v>43216</v>
      </c>
      <c r="D1053" s="3" t="n">
        <v>7</v>
      </c>
      <c r="E1053" s="3" t="n">
        <v>7</v>
      </c>
      <c r="F1053" s="7" t="n">
        <f aca="false">IFERROR(Tableau1[[#This Row],[Score]]/Tableau1[[#This Row],[Nb]],0)</f>
        <v>1</v>
      </c>
    </row>
    <row r="1054" customFormat="false" ht="30" hidden="false" customHeight="true" outlineLevel="0" collapsed="false">
      <c r="A1054" s="1" t="s">
        <v>2102</v>
      </c>
      <c r="B1054" s="2" t="s">
        <v>2103</v>
      </c>
      <c r="C1054" s="6" t="n">
        <v>43217</v>
      </c>
      <c r="D1054" s="3" t="n">
        <v>7</v>
      </c>
      <c r="E1054" s="3" t="n">
        <v>-7</v>
      </c>
      <c r="F1054" s="7" t="n">
        <f aca="false">IFERROR(Tableau1[[#This Row],[Score]]/Tableau1[[#This Row],[Nb]],0)</f>
        <v>-1</v>
      </c>
    </row>
    <row r="1055" customFormat="false" ht="30" hidden="false" customHeight="true" outlineLevel="0" collapsed="false">
      <c r="A1055" s="1" t="s">
        <v>2104</v>
      </c>
      <c r="B1055" s="2" t="s">
        <v>2105</v>
      </c>
      <c r="C1055" s="6" t="n">
        <v>43217</v>
      </c>
      <c r="D1055" s="3" t="n">
        <v>7</v>
      </c>
      <c r="E1055" s="3" t="n">
        <v>-5</v>
      </c>
      <c r="F1055" s="7" t="n">
        <f aca="false">IFERROR(Tableau1[[#This Row],[Score]]/Tableau1[[#This Row],[Nb]],0)</f>
        <v>-0.714285714285714</v>
      </c>
    </row>
    <row r="1056" customFormat="false" ht="30" hidden="false" customHeight="true" outlineLevel="0" collapsed="false">
      <c r="A1056" s="1" t="s">
        <v>2106</v>
      </c>
      <c r="B1056" s="2" t="s">
        <v>2107</v>
      </c>
      <c r="C1056" s="6" t="n">
        <v>43217</v>
      </c>
      <c r="D1056" s="3" t="n">
        <v>9</v>
      </c>
      <c r="E1056" s="3" t="n">
        <v>-3</v>
      </c>
      <c r="F1056" s="7" t="n">
        <f aca="false">IFERROR(Tableau1[[#This Row],[Score]]/Tableau1[[#This Row],[Nb]],0)</f>
        <v>-0.333333333333333</v>
      </c>
    </row>
    <row r="1057" customFormat="false" ht="30" hidden="false" customHeight="true" outlineLevel="0" collapsed="false">
      <c r="A1057" s="1" t="s">
        <v>2108</v>
      </c>
      <c r="B1057" s="2" t="s">
        <v>2109</v>
      </c>
      <c r="C1057" s="6" t="n">
        <v>43217</v>
      </c>
      <c r="D1057" s="3" t="n">
        <v>9</v>
      </c>
      <c r="E1057" s="3" t="n">
        <v>-2</v>
      </c>
      <c r="F1057" s="7" t="n">
        <f aca="false">IFERROR(Tableau1[[#This Row],[Score]]/Tableau1[[#This Row],[Nb]],0)</f>
        <v>-0.222222222222222</v>
      </c>
    </row>
    <row r="1058" customFormat="false" ht="30" hidden="false" customHeight="true" outlineLevel="0" collapsed="false">
      <c r="A1058" s="1" t="s">
        <v>2110</v>
      </c>
      <c r="B1058" s="2" t="s">
        <v>2111</v>
      </c>
      <c r="C1058" s="6" t="n">
        <v>43217</v>
      </c>
      <c r="D1058" s="3" t="n">
        <v>10</v>
      </c>
      <c r="E1058" s="3" t="n">
        <v>-2</v>
      </c>
      <c r="F1058" s="7" t="n">
        <f aca="false">IFERROR(Tableau1[[#This Row],[Score]]/Tableau1[[#This Row],[Nb]],0)</f>
        <v>-0.2</v>
      </c>
    </row>
    <row r="1059" customFormat="false" ht="30" hidden="false" customHeight="true" outlineLevel="0" collapsed="false">
      <c r="A1059" s="1" t="s">
        <v>2112</v>
      </c>
      <c r="B1059" s="2" t="s">
        <v>2113</v>
      </c>
      <c r="C1059" s="6" t="n">
        <v>43217</v>
      </c>
      <c r="D1059" s="3" t="n">
        <v>11</v>
      </c>
      <c r="E1059" s="3" t="n">
        <v>1</v>
      </c>
      <c r="F1059" s="7" t="n">
        <f aca="false">IFERROR(Tableau1[[#This Row],[Score]]/Tableau1[[#This Row],[Nb]],0)</f>
        <v>0.0909090909090909</v>
      </c>
    </row>
    <row r="1060" customFormat="false" ht="30" hidden="false" customHeight="true" outlineLevel="0" collapsed="false">
      <c r="A1060" s="1" t="s">
        <v>2114</v>
      </c>
      <c r="B1060" s="2" t="s">
        <v>2115</v>
      </c>
      <c r="C1060" s="6" t="n">
        <v>43217</v>
      </c>
      <c r="D1060" s="3" t="n">
        <v>7</v>
      </c>
      <c r="E1060" s="3" t="n">
        <v>3</v>
      </c>
      <c r="F1060" s="7" t="n">
        <f aca="false">IFERROR(Tableau1[[#This Row],[Score]]/Tableau1[[#This Row],[Nb]],0)</f>
        <v>0.428571428571429</v>
      </c>
    </row>
    <row r="1061" customFormat="false" ht="30" hidden="false" customHeight="true" outlineLevel="0" collapsed="false">
      <c r="A1061" s="1" t="s">
        <v>2116</v>
      </c>
      <c r="B1061" s="2" t="s">
        <v>2117</v>
      </c>
      <c r="C1061" s="6" t="n">
        <v>43217</v>
      </c>
      <c r="D1061" s="3" t="n">
        <v>10</v>
      </c>
      <c r="E1061" s="3" t="n">
        <v>5</v>
      </c>
      <c r="F1061" s="7" t="n">
        <f aca="false">IFERROR(Tableau1[[#This Row],[Score]]/Tableau1[[#This Row],[Nb]],0)</f>
        <v>0.5</v>
      </c>
    </row>
    <row r="1062" customFormat="false" ht="30" hidden="false" customHeight="true" outlineLevel="0" collapsed="false">
      <c r="A1062" s="1" t="s">
        <v>2118</v>
      </c>
      <c r="B1062" s="2" t="s">
        <v>2119</v>
      </c>
      <c r="C1062" s="6" t="n">
        <v>43217</v>
      </c>
      <c r="D1062" s="3" t="n">
        <v>4</v>
      </c>
      <c r="E1062" s="3" t="n">
        <v>2</v>
      </c>
      <c r="F1062" s="7" t="n">
        <f aca="false">IFERROR(Tableau1[[#This Row],[Score]]/Tableau1[[#This Row],[Nb]],0)</f>
        <v>0.5</v>
      </c>
    </row>
    <row r="1063" customFormat="false" ht="30" hidden="false" customHeight="true" outlineLevel="0" collapsed="false">
      <c r="A1063" s="1" t="s">
        <v>2120</v>
      </c>
      <c r="B1063" s="2" t="s">
        <v>2121</v>
      </c>
      <c r="C1063" s="6" t="n">
        <v>43217</v>
      </c>
      <c r="D1063" s="3" t="n">
        <v>10</v>
      </c>
      <c r="E1063" s="3" t="n">
        <v>6</v>
      </c>
      <c r="F1063" s="7" t="n">
        <f aca="false">IFERROR(Tableau1[[#This Row],[Score]]/Tableau1[[#This Row],[Nb]],0)</f>
        <v>0.6</v>
      </c>
    </row>
    <row r="1064" customFormat="false" ht="30" hidden="false" customHeight="true" outlineLevel="0" collapsed="false">
      <c r="A1064" s="1" t="s">
        <v>2122</v>
      </c>
      <c r="B1064" s="2" t="s">
        <v>2123</v>
      </c>
      <c r="C1064" s="6" t="n">
        <v>43217</v>
      </c>
      <c r="D1064" s="3" t="n">
        <v>13</v>
      </c>
      <c r="E1064" s="3" t="n">
        <v>9</v>
      </c>
      <c r="F1064" s="7" t="n">
        <f aca="false">IFERROR(Tableau1[[#This Row],[Score]]/Tableau1[[#This Row],[Nb]],0)</f>
        <v>0.692307692307692</v>
      </c>
    </row>
    <row r="1065" customFormat="false" ht="30" hidden="false" customHeight="true" outlineLevel="0" collapsed="false">
      <c r="A1065" s="1" t="s">
        <v>2124</v>
      </c>
      <c r="B1065" s="2" t="s">
        <v>2125</v>
      </c>
      <c r="C1065" s="6" t="n">
        <v>43217</v>
      </c>
      <c r="D1065" s="3" t="n">
        <v>7</v>
      </c>
      <c r="E1065" s="3" t="n">
        <v>5</v>
      </c>
      <c r="F1065" s="7" t="n">
        <f aca="false">IFERROR(Tableau1[[#This Row],[Score]]/Tableau1[[#This Row],[Nb]],0)</f>
        <v>0.714285714285714</v>
      </c>
    </row>
    <row r="1066" customFormat="false" ht="30" hidden="false" customHeight="true" outlineLevel="0" collapsed="false">
      <c r="A1066" s="1" t="s">
        <v>2126</v>
      </c>
      <c r="B1066" s="2" t="s">
        <v>2127</v>
      </c>
      <c r="C1066" s="6" t="n">
        <v>43217</v>
      </c>
      <c r="D1066" s="3" t="n">
        <v>15</v>
      </c>
      <c r="E1066" s="3" t="n">
        <v>11</v>
      </c>
      <c r="F1066" s="7" t="n">
        <f aca="false">IFERROR(Tableau1[[#This Row],[Score]]/Tableau1[[#This Row],[Nb]],0)</f>
        <v>0.733333333333333</v>
      </c>
    </row>
    <row r="1067" customFormat="false" ht="30" hidden="false" customHeight="true" outlineLevel="0" collapsed="false">
      <c r="A1067" s="1" t="s">
        <v>2128</v>
      </c>
      <c r="B1067" s="2" t="s">
        <v>2129</v>
      </c>
      <c r="C1067" s="6" t="n">
        <v>43217</v>
      </c>
      <c r="D1067" s="3" t="n">
        <v>23</v>
      </c>
      <c r="E1067" s="3" t="n">
        <v>19</v>
      </c>
      <c r="F1067" s="7" t="n">
        <f aca="false">IFERROR(Tableau1[[#This Row],[Score]]/Tableau1[[#This Row],[Nb]],0)</f>
        <v>0.826086956521739</v>
      </c>
    </row>
    <row r="1068" customFormat="false" ht="30" hidden="false" customHeight="true" outlineLevel="0" collapsed="false">
      <c r="A1068" s="1" t="s">
        <v>2130</v>
      </c>
      <c r="B1068" s="2" t="s">
        <v>2131</v>
      </c>
      <c r="C1068" s="6" t="n">
        <v>43217</v>
      </c>
      <c r="D1068" s="3" t="n">
        <v>14</v>
      </c>
      <c r="E1068" s="3" t="n">
        <v>12</v>
      </c>
      <c r="F1068" s="7" t="n">
        <f aca="false">IFERROR(Tableau1[[#This Row],[Score]]/Tableau1[[#This Row],[Nb]],0)</f>
        <v>0.857142857142857</v>
      </c>
    </row>
    <row r="1069" customFormat="false" ht="30" hidden="false" customHeight="true" outlineLevel="0" collapsed="false">
      <c r="A1069" s="1" t="s">
        <v>2132</v>
      </c>
      <c r="B1069" s="2" t="s">
        <v>2133</v>
      </c>
      <c r="C1069" s="6" t="n">
        <v>43217</v>
      </c>
      <c r="D1069" s="3" t="n">
        <v>11</v>
      </c>
      <c r="E1069" s="3" t="n">
        <v>10</v>
      </c>
      <c r="F1069" s="7" t="n">
        <f aca="false">IFERROR(Tableau1[[#This Row],[Score]]/Tableau1[[#This Row],[Nb]],0)</f>
        <v>0.909090909090909</v>
      </c>
    </row>
    <row r="1070" customFormat="false" ht="30" hidden="false" customHeight="true" outlineLevel="0" collapsed="false">
      <c r="A1070" s="1" t="s">
        <v>2134</v>
      </c>
      <c r="B1070" s="2" t="s">
        <v>2135</v>
      </c>
      <c r="C1070" s="6" t="n">
        <v>43217</v>
      </c>
      <c r="D1070" s="3" t="n">
        <v>16</v>
      </c>
      <c r="E1070" s="3" t="n">
        <v>15</v>
      </c>
      <c r="F1070" s="7" t="n">
        <f aca="false">IFERROR(Tableau1[[#This Row],[Score]]/Tableau1[[#This Row],[Nb]],0)</f>
        <v>0.9375</v>
      </c>
    </row>
    <row r="1071" customFormat="false" ht="30" hidden="false" customHeight="true" outlineLevel="0" collapsed="false">
      <c r="A1071" s="1" t="s">
        <v>2136</v>
      </c>
      <c r="C1071" s="6" t="n">
        <v>43217</v>
      </c>
      <c r="D1071" s="3" t="n">
        <v>16</v>
      </c>
      <c r="E1071" s="3" t="n">
        <v>15</v>
      </c>
      <c r="F1071" s="7" t="n">
        <f aca="false">IFERROR(Tableau1[[#This Row],[Score]]/Tableau1[[#This Row],[Nb]],0)</f>
        <v>0.9375</v>
      </c>
    </row>
    <row r="1072" customFormat="false" ht="30" hidden="false" customHeight="true" outlineLevel="0" collapsed="false">
      <c r="A1072" s="8" t="s">
        <v>2137</v>
      </c>
      <c r="B1072" s="9"/>
      <c r="C1072" s="6" t="n">
        <v>43217</v>
      </c>
      <c r="D1072" s="3" t="n">
        <v>10</v>
      </c>
      <c r="E1072" s="3" t="n">
        <v>10</v>
      </c>
      <c r="F1072" s="7" t="n">
        <f aca="false">IFERROR(Tableau1[[#This Row],[Score]]/Tableau1[[#This Row],[Nb]],0)</f>
        <v>1</v>
      </c>
    </row>
    <row r="1073" customFormat="false" ht="30" hidden="false" customHeight="true" outlineLevel="0" collapsed="false">
      <c r="A1073" s="8" t="s">
        <v>2138</v>
      </c>
      <c r="B1073" s="9"/>
      <c r="C1073" s="6" t="n">
        <v>43217</v>
      </c>
      <c r="D1073" s="3" t="n">
        <v>10</v>
      </c>
      <c r="E1073" s="3" t="n">
        <v>10</v>
      </c>
      <c r="F1073" s="7" t="n">
        <f aca="false">IFERROR(Tableau1[[#This Row],[Score]]/Tableau1[[#This Row],[Nb]],0)</f>
        <v>1</v>
      </c>
    </row>
    <row r="1074" customFormat="false" ht="30" hidden="false" customHeight="true" outlineLevel="0" collapsed="false">
      <c r="A1074" s="8" t="s">
        <v>2139</v>
      </c>
      <c r="B1074" s="9"/>
      <c r="C1074" s="6" t="n">
        <v>43217</v>
      </c>
      <c r="D1074" s="3" t="n">
        <v>11</v>
      </c>
      <c r="E1074" s="3" t="n">
        <v>11</v>
      </c>
      <c r="F1074" s="7" t="n">
        <f aca="false">IFERROR(Tableau1[[#This Row],[Score]]/Tableau1[[#This Row],[Nb]],0)</f>
        <v>1</v>
      </c>
    </row>
    <row r="1075" customFormat="false" ht="30" hidden="false" customHeight="true" outlineLevel="0" collapsed="false">
      <c r="A1075" s="1" t="s">
        <v>2140</v>
      </c>
      <c r="C1075" s="6" t="n">
        <v>43217</v>
      </c>
      <c r="D1075" s="3" t="n">
        <v>9</v>
      </c>
      <c r="E1075" s="3" t="n">
        <v>9</v>
      </c>
      <c r="F1075" s="7" t="n">
        <f aca="false">IFERROR(Tableau1[[#This Row],[Score]]/Tableau1[[#This Row],[Nb]],0)</f>
        <v>1</v>
      </c>
    </row>
    <row r="1076" customFormat="false" ht="30" hidden="false" customHeight="true" outlineLevel="0" collapsed="false">
      <c r="A1076" s="1" t="s">
        <v>2141</v>
      </c>
      <c r="C1076" s="6" t="n">
        <v>43217</v>
      </c>
      <c r="D1076" s="3" t="n">
        <v>9</v>
      </c>
      <c r="E1076" s="3" t="n">
        <v>9</v>
      </c>
      <c r="F1076" s="7" t="n">
        <f aca="false">IFERROR(Tableau1[[#This Row],[Score]]/Tableau1[[#This Row],[Nb]],0)</f>
        <v>1</v>
      </c>
    </row>
    <row r="1077" customFormat="false" ht="30" hidden="false" customHeight="true" outlineLevel="0" collapsed="false">
      <c r="A1077" s="1" t="s">
        <v>2142</v>
      </c>
      <c r="C1077" s="6" t="n">
        <v>43217</v>
      </c>
      <c r="D1077" s="3" t="n">
        <v>6</v>
      </c>
      <c r="E1077" s="3" t="n">
        <v>6</v>
      </c>
      <c r="F1077" s="7" t="n">
        <f aca="false">IFERROR(Tableau1[[#This Row],[Score]]/Tableau1[[#This Row],[Nb]],0)</f>
        <v>1</v>
      </c>
    </row>
    <row r="1078" customFormat="false" ht="30" hidden="false" customHeight="true" outlineLevel="0" collapsed="false">
      <c r="A1078" s="1" t="s">
        <v>2143</v>
      </c>
      <c r="C1078" s="6" t="n">
        <v>43217</v>
      </c>
      <c r="D1078" s="3" t="n">
        <v>6</v>
      </c>
      <c r="E1078" s="3" t="n">
        <v>6</v>
      </c>
      <c r="F1078" s="7" t="n">
        <f aca="false">IFERROR(Tableau1[[#This Row],[Score]]/Tableau1[[#This Row],[Nb]],0)</f>
        <v>1</v>
      </c>
    </row>
    <row r="1079" customFormat="false" ht="30" hidden="false" customHeight="true" outlineLevel="0" collapsed="false">
      <c r="A1079" s="1" t="s">
        <v>2144</v>
      </c>
      <c r="C1079" s="6" t="n">
        <v>43217</v>
      </c>
      <c r="D1079" s="3" t="n">
        <v>7</v>
      </c>
      <c r="E1079" s="3" t="n">
        <v>7</v>
      </c>
      <c r="F1079" s="7" t="n">
        <f aca="false">IFERROR(Tableau1[[#This Row],[Score]]/Tableau1[[#This Row],[Nb]],0)</f>
        <v>1</v>
      </c>
    </row>
    <row r="1080" customFormat="false" ht="30" hidden="false" customHeight="true" outlineLevel="0" collapsed="false">
      <c r="A1080" s="8" t="s">
        <v>2145</v>
      </c>
      <c r="B1080" s="9" t="s">
        <v>2146</v>
      </c>
      <c r="C1080" s="6" t="n">
        <v>43217</v>
      </c>
      <c r="D1080" s="3" t="n">
        <v>12</v>
      </c>
      <c r="E1080" s="3" t="n">
        <v>12</v>
      </c>
      <c r="F1080" s="7" t="n">
        <f aca="false">IFERROR(Tableau1[[#This Row],[Score]]/Tableau1[[#This Row],[Nb]],0)</f>
        <v>1</v>
      </c>
    </row>
    <row r="1081" customFormat="false" ht="30" hidden="false" customHeight="true" outlineLevel="0" collapsed="false">
      <c r="A1081" s="8" t="s">
        <v>2147</v>
      </c>
      <c r="B1081" s="9"/>
      <c r="C1081" s="6" t="n">
        <v>43217</v>
      </c>
      <c r="D1081" s="3" t="n">
        <v>12</v>
      </c>
      <c r="E1081" s="3" t="n">
        <v>12</v>
      </c>
      <c r="F1081" s="7" t="n">
        <f aca="false">IFERROR(Tableau1[[#This Row],[Score]]/Tableau1[[#This Row],[Nb]],0)</f>
        <v>1</v>
      </c>
    </row>
    <row r="1082" customFormat="false" ht="30" hidden="false" customHeight="true" outlineLevel="0" collapsed="false">
      <c r="A1082" s="1" t="s">
        <v>2148</v>
      </c>
      <c r="B1082" s="2" t="s">
        <v>2149</v>
      </c>
      <c r="C1082" s="6" t="n">
        <v>43218</v>
      </c>
      <c r="D1082" s="3" t="n">
        <v>5</v>
      </c>
      <c r="E1082" s="3" t="n">
        <v>5</v>
      </c>
      <c r="F1082" s="7" t="n">
        <f aca="false">IFERROR(Tableau1[[#This Row],[Score]]/Tableau1[[#This Row],[Nb]],0)</f>
        <v>1</v>
      </c>
    </row>
    <row r="1083" customFormat="false" ht="30" hidden="false" customHeight="true" outlineLevel="0" collapsed="false">
      <c r="A1083" s="1" t="s">
        <v>2150</v>
      </c>
      <c r="B1083" s="2" t="s">
        <v>2151</v>
      </c>
      <c r="C1083" s="6" t="n">
        <v>43219</v>
      </c>
      <c r="D1083" s="3" t="n">
        <v>10</v>
      </c>
      <c r="E1083" s="3" t="n">
        <v>-10</v>
      </c>
      <c r="F1083" s="7" t="n">
        <f aca="false">IFERROR(Tableau1[[#This Row],[Score]]/Tableau1[[#This Row],[Nb]],0)</f>
        <v>-1</v>
      </c>
    </row>
    <row r="1084" customFormat="false" ht="30" hidden="false" customHeight="true" outlineLevel="0" collapsed="false">
      <c r="A1084" s="1" t="s">
        <v>2152</v>
      </c>
      <c r="B1084" s="2" t="s">
        <v>2153</v>
      </c>
      <c r="C1084" s="6" t="n">
        <v>43219</v>
      </c>
      <c r="D1084" s="3" t="n">
        <v>7</v>
      </c>
      <c r="E1084" s="3" t="n">
        <v>-7</v>
      </c>
      <c r="F1084" s="7" t="n">
        <f aca="false">IFERROR(Tableau1[[#This Row],[Score]]/Tableau1[[#This Row],[Nb]],0)</f>
        <v>-1</v>
      </c>
    </row>
    <row r="1085" customFormat="false" ht="30" hidden="false" customHeight="true" outlineLevel="0" collapsed="false">
      <c r="A1085" s="1" t="s">
        <v>2154</v>
      </c>
      <c r="B1085" s="2" t="s">
        <v>2155</v>
      </c>
      <c r="C1085" s="6" t="n">
        <v>43219</v>
      </c>
      <c r="D1085" s="3" t="n">
        <v>5</v>
      </c>
      <c r="E1085" s="3" t="n">
        <v>-5</v>
      </c>
      <c r="F1085" s="7" t="n">
        <f aca="false">IFERROR(Tableau1[[#This Row],[Score]]/Tableau1[[#This Row],[Nb]],0)</f>
        <v>-1</v>
      </c>
    </row>
    <row r="1086" customFormat="false" ht="30" hidden="false" customHeight="true" outlineLevel="0" collapsed="false">
      <c r="A1086" s="1" t="s">
        <v>2156</v>
      </c>
      <c r="B1086" s="2" t="s">
        <v>2157</v>
      </c>
      <c r="C1086" s="6" t="n">
        <v>43219</v>
      </c>
      <c r="D1086" s="3" t="n">
        <v>9</v>
      </c>
      <c r="E1086" s="3" t="n">
        <v>-9</v>
      </c>
      <c r="F1086" s="7" t="n">
        <f aca="false">IFERROR(Tableau1[[#This Row],[Score]]/Tableau1[[#This Row],[Nb]],0)</f>
        <v>-1</v>
      </c>
    </row>
    <row r="1087" customFormat="false" ht="30" hidden="false" customHeight="true" outlineLevel="0" collapsed="false">
      <c r="A1087" s="1" t="s">
        <v>2158</v>
      </c>
      <c r="B1087" s="2" t="s">
        <v>2159</v>
      </c>
      <c r="C1087" s="6" t="n">
        <v>43219</v>
      </c>
      <c r="D1087" s="3" t="n">
        <v>9</v>
      </c>
      <c r="E1087" s="3" t="n">
        <v>-9</v>
      </c>
      <c r="F1087" s="7" t="n">
        <f aca="false">IFERROR(Tableau1[[#This Row],[Score]]/Tableau1[[#This Row],[Nb]],0)</f>
        <v>-1</v>
      </c>
    </row>
    <row r="1088" customFormat="false" ht="30" hidden="false" customHeight="true" outlineLevel="0" collapsed="false">
      <c r="A1088" s="1" t="s">
        <v>2160</v>
      </c>
      <c r="B1088" s="2" t="s">
        <v>2161</v>
      </c>
      <c r="C1088" s="6" t="n">
        <v>43219</v>
      </c>
      <c r="D1088" s="3" t="n">
        <v>8</v>
      </c>
      <c r="E1088" s="3" t="n">
        <v>-8</v>
      </c>
      <c r="F1088" s="7" t="n">
        <f aca="false">IFERROR(Tableau1[[#This Row],[Score]]/Tableau1[[#This Row],[Nb]],0)</f>
        <v>-1</v>
      </c>
    </row>
    <row r="1089" customFormat="false" ht="30" hidden="false" customHeight="true" outlineLevel="0" collapsed="false">
      <c r="A1089" s="1" t="s">
        <v>2162</v>
      </c>
      <c r="B1089" s="2" t="s">
        <v>2163</v>
      </c>
      <c r="C1089" s="6" t="n">
        <v>43219</v>
      </c>
      <c r="D1089" s="3" t="n">
        <v>9</v>
      </c>
      <c r="E1089" s="3" t="n">
        <v>-9</v>
      </c>
      <c r="F1089" s="7" t="n">
        <f aca="false">IFERROR(Tableau1[[#This Row],[Score]]/Tableau1[[#This Row],[Nb]],0)</f>
        <v>-1</v>
      </c>
    </row>
    <row r="1090" customFormat="false" ht="30" hidden="false" customHeight="true" outlineLevel="0" collapsed="false">
      <c r="A1090" s="1" t="s">
        <v>2164</v>
      </c>
      <c r="B1090" s="2" t="s">
        <v>2165</v>
      </c>
      <c r="C1090" s="6" t="n">
        <v>43219</v>
      </c>
      <c r="D1090" s="3" t="n">
        <v>6</v>
      </c>
      <c r="E1090" s="3" t="n">
        <v>-6</v>
      </c>
      <c r="F1090" s="7" t="n">
        <f aca="false">IFERROR(Tableau1[[#This Row],[Score]]/Tableau1[[#This Row],[Nb]],0)</f>
        <v>-1</v>
      </c>
    </row>
    <row r="1091" customFormat="false" ht="30" hidden="false" customHeight="true" outlineLevel="0" collapsed="false">
      <c r="A1091" s="1" t="s">
        <v>2166</v>
      </c>
      <c r="B1091" s="2" t="s">
        <v>2167</v>
      </c>
      <c r="C1091" s="6" t="n">
        <v>43219</v>
      </c>
      <c r="D1091" s="3" t="n">
        <v>12</v>
      </c>
      <c r="E1091" s="3" t="n">
        <v>-12</v>
      </c>
      <c r="F1091" s="7" t="n">
        <f aca="false">IFERROR(Tableau1[[#This Row],[Score]]/Tableau1[[#This Row],[Nb]],0)</f>
        <v>-1</v>
      </c>
    </row>
    <row r="1092" customFormat="false" ht="30" hidden="false" customHeight="true" outlineLevel="0" collapsed="false">
      <c r="A1092" s="1" t="s">
        <v>2168</v>
      </c>
      <c r="B1092" s="2" t="s">
        <v>2169</v>
      </c>
      <c r="C1092" s="6" t="n">
        <v>43219</v>
      </c>
      <c r="D1092" s="3" t="n">
        <v>10</v>
      </c>
      <c r="E1092" s="3" t="n">
        <v>-8</v>
      </c>
      <c r="F1092" s="7" t="n">
        <f aca="false">IFERROR(Tableau1[[#This Row],[Score]]/Tableau1[[#This Row],[Nb]],0)</f>
        <v>-0.8</v>
      </c>
    </row>
    <row r="1093" customFormat="false" ht="30" hidden="false" customHeight="true" outlineLevel="0" collapsed="false">
      <c r="A1093" s="1" t="s">
        <v>2170</v>
      </c>
      <c r="B1093" s="2" t="s">
        <v>2171</v>
      </c>
      <c r="C1093" s="6" t="n">
        <v>43219</v>
      </c>
      <c r="D1093" s="3" t="n">
        <v>10</v>
      </c>
      <c r="E1093" s="3" t="n">
        <v>-8</v>
      </c>
      <c r="F1093" s="7" t="n">
        <f aca="false">IFERROR(Tableau1[[#This Row],[Score]]/Tableau1[[#This Row],[Nb]],0)</f>
        <v>-0.8</v>
      </c>
    </row>
    <row r="1094" customFormat="false" ht="30" hidden="false" customHeight="true" outlineLevel="0" collapsed="false">
      <c r="A1094" s="1" t="s">
        <v>2172</v>
      </c>
      <c r="B1094" s="2" t="s">
        <v>2173</v>
      </c>
      <c r="C1094" s="6" t="n">
        <v>43219</v>
      </c>
      <c r="D1094" s="3" t="n">
        <v>8</v>
      </c>
      <c r="E1094" s="3" t="n">
        <v>-6</v>
      </c>
      <c r="F1094" s="7" t="n">
        <f aca="false">IFERROR(Tableau1[[#This Row],[Score]]/Tableau1[[#This Row],[Nb]],0)</f>
        <v>-0.75</v>
      </c>
    </row>
    <row r="1095" customFormat="false" ht="30" hidden="false" customHeight="true" outlineLevel="0" collapsed="false">
      <c r="A1095" s="1" t="s">
        <v>2174</v>
      </c>
      <c r="B1095" s="2" t="s">
        <v>2175</v>
      </c>
      <c r="C1095" s="6" t="n">
        <v>43219</v>
      </c>
      <c r="D1095" s="3" t="n">
        <v>8</v>
      </c>
      <c r="E1095" s="3" t="n">
        <v>-6</v>
      </c>
      <c r="F1095" s="7" t="n">
        <f aca="false">IFERROR(Tableau1[[#This Row],[Score]]/Tableau1[[#This Row],[Nb]],0)</f>
        <v>-0.75</v>
      </c>
    </row>
    <row r="1096" customFormat="false" ht="30" hidden="false" customHeight="true" outlineLevel="0" collapsed="false">
      <c r="A1096" s="1" t="s">
        <v>2176</v>
      </c>
      <c r="B1096" s="2" t="s">
        <v>2177</v>
      </c>
      <c r="C1096" s="6" t="n">
        <v>43219</v>
      </c>
      <c r="D1096" s="3" t="n">
        <v>7</v>
      </c>
      <c r="E1096" s="3" t="n">
        <v>-5</v>
      </c>
      <c r="F1096" s="7" t="n">
        <f aca="false">IFERROR(Tableau1[[#This Row],[Score]]/Tableau1[[#This Row],[Nb]],0)</f>
        <v>-0.714285714285714</v>
      </c>
    </row>
    <row r="1097" customFormat="false" ht="30" hidden="false" customHeight="true" outlineLevel="0" collapsed="false">
      <c r="A1097" s="1" t="s">
        <v>2178</v>
      </c>
      <c r="B1097" s="2" t="s">
        <v>2179</v>
      </c>
      <c r="C1097" s="6" t="n">
        <v>43219</v>
      </c>
      <c r="D1097" s="3" t="n">
        <v>7</v>
      </c>
      <c r="E1097" s="3" t="n">
        <v>-5</v>
      </c>
      <c r="F1097" s="7" t="n">
        <f aca="false">IFERROR(Tableau1[[#This Row],[Score]]/Tableau1[[#This Row],[Nb]],0)</f>
        <v>-0.714285714285714</v>
      </c>
    </row>
    <row r="1098" customFormat="false" ht="30" hidden="false" customHeight="true" outlineLevel="0" collapsed="false">
      <c r="A1098" s="1" t="s">
        <v>2180</v>
      </c>
      <c r="B1098" s="2" t="s">
        <v>2181</v>
      </c>
      <c r="C1098" s="6" t="n">
        <v>43219</v>
      </c>
      <c r="D1098" s="3" t="n">
        <v>11</v>
      </c>
      <c r="E1098" s="3" t="n">
        <v>-7</v>
      </c>
      <c r="F1098" s="7" t="n">
        <f aca="false">IFERROR(Tableau1[[#This Row],[Score]]/Tableau1[[#This Row],[Nb]],0)</f>
        <v>-0.636363636363636</v>
      </c>
    </row>
    <row r="1099" customFormat="false" ht="30" hidden="false" customHeight="true" outlineLevel="0" collapsed="false">
      <c r="A1099" s="1" t="s">
        <v>2182</v>
      </c>
      <c r="B1099" s="2" t="s">
        <v>2183</v>
      </c>
      <c r="C1099" s="6" t="n">
        <v>43219</v>
      </c>
      <c r="D1099" s="3" t="n">
        <v>11</v>
      </c>
      <c r="E1099" s="3" t="n">
        <v>-7</v>
      </c>
      <c r="F1099" s="7" t="n">
        <f aca="false">IFERROR(Tableau1[[#This Row],[Score]]/Tableau1[[#This Row],[Nb]],0)</f>
        <v>-0.636363636363636</v>
      </c>
    </row>
    <row r="1100" customFormat="false" ht="30" hidden="false" customHeight="true" outlineLevel="0" collapsed="false">
      <c r="A1100" s="1" t="s">
        <v>2184</v>
      </c>
      <c r="B1100" s="2" t="s">
        <v>2185</v>
      </c>
      <c r="C1100" s="6" t="n">
        <v>43219</v>
      </c>
      <c r="D1100" s="3" t="n">
        <v>14</v>
      </c>
      <c r="E1100" s="3" t="n">
        <v>-8</v>
      </c>
      <c r="F1100" s="7" t="n">
        <f aca="false">IFERROR(Tableau1[[#This Row],[Score]]/Tableau1[[#This Row],[Nb]],0)</f>
        <v>-0.571428571428571</v>
      </c>
    </row>
    <row r="1101" customFormat="false" ht="30" hidden="false" customHeight="true" outlineLevel="0" collapsed="false">
      <c r="A1101" s="1" t="s">
        <v>2186</v>
      </c>
      <c r="B1101" s="2" t="s">
        <v>2187</v>
      </c>
      <c r="C1101" s="6" t="n">
        <v>43219</v>
      </c>
      <c r="D1101" s="3" t="n">
        <v>9</v>
      </c>
      <c r="E1101" s="3" t="n">
        <v>-5</v>
      </c>
      <c r="F1101" s="7" t="n">
        <f aca="false">IFERROR(Tableau1[[#This Row],[Score]]/Tableau1[[#This Row],[Nb]],0)</f>
        <v>-0.555555555555556</v>
      </c>
    </row>
    <row r="1102" customFormat="false" ht="30" hidden="false" customHeight="true" outlineLevel="0" collapsed="false">
      <c r="A1102" s="1" t="s">
        <v>2188</v>
      </c>
      <c r="B1102" s="2" t="s">
        <v>2189</v>
      </c>
      <c r="C1102" s="6" t="n">
        <v>43219</v>
      </c>
      <c r="D1102" s="3" t="n">
        <v>9</v>
      </c>
      <c r="E1102" s="3" t="n">
        <v>-5</v>
      </c>
      <c r="F1102" s="7" t="n">
        <f aca="false">IFERROR(Tableau1[[#This Row],[Score]]/Tableau1[[#This Row],[Nb]],0)</f>
        <v>-0.555555555555556</v>
      </c>
    </row>
    <row r="1103" customFormat="false" ht="30" hidden="false" customHeight="true" outlineLevel="0" collapsed="false">
      <c r="A1103" s="1" t="s">
        <v>2190</v>
      </c>
      <c r="B1103" s="2" t="s">
        <v>1075</v>
      </c>
      <c r="C1103" s="6" t="n">
        <v>43219</v>
      </c>
      <c r="D1103" s="3" t="n">
        <v>9</v>
      </c>
      <c r="E1103" s="3" t="n">
        <v>-5</v>
      </c>
      <c r="F1103" s="7" t="n">
        <f aca="false">IFERROR(Tableau1[[#This Row],[Score]]/Tableau1[[#This Row],[Nb]],0)</f>
        <v>-0.555555555555556</v>
      </c>
    </row>
    <row r="1104" customFormat="false" ht="30" hidden="false" customHeight="true" outlineLevel="0" collapsed="false">
      <c r="A1104" s="1" t="s">
        <v>2191</v>
      </c>
      <c r="B1104" s="2" t="s">
        <v>2192</v>
      </c>
      <c r="C1104" s="6" t="n">
        <v>43219</v>
      </c>
      <c r="D1104" s="3" t="n">
        <v>13</v>
      </c>
      <c r="E1104" s="3" t="n">
        <v>-7</v>
      </c>
      <c r="F1104" s="7" t="n">
        <f aca="false">IFERROR(Tableau1[[#This Row],[Score]]/Tableau1[[#This Row],[Nb]],0)</f>
        <v>-0.538461538461538</v>
      </c>
    </row>
    <row r="1105" customFormat="false" ht="30" hidden="false" customHeight="true" outlineLevel="0" collapsed="false">
      <c r="A1105" s="1" t="s">
        <v>2193</v>
      </c>
      <c r="B1105" s="2" t="s">
        <v>2194</v>
      </c>
      <c r="C1105" s="6" t="n">
        <v>43219</v>
      </c>
      <c r="D1105" s="3" t="n">
        <v>4</v>
      </c>
      <c r="E1105" s="3" t="n">
        <v>-2</v>
      </c>
      <c r="F1105" s="7" t="n">
        <f aca="false">IFERROR(Tableau1[[#This Row],[Score]]/Tableau1[[#This Row],[Nb]],0)</f>
        <v>-0.5</v>
      </c>
    </row>
    <row r="1106" customFormat="false" ht="30" hidden="false" customHeight="true" outlineLevel="0" collapsed="false">
      <c r="A1106" s="1" t="s">
        <v>2195</v>
      </c>
      <c r="B1106" s="2" t="s">
        <v>2196</v>
      </c>
      <c r="C1106" s="6" t="n">
        <v>43219</v>
      </c>
      <c r="D1106" s="3" t="n">
        <v>4</v>
      </c>
      <c r="E1106" s="3" t="n">
        <v>-2</v>
      </c>
      <c r="F1106" s="7" t="n">
        <f aca="false">IFERROR(Tableau1[[#This Row],[Score]]/Tableau1[[#This Row],[Nb]],0)</f>
        <v>-0.5</v>
      </c>
    </row>
    <row r="1107" customFormat="false" ht="30" hidden="false" customHeight="true" outlineLevel="0" collapsed="false">
      <c r="A1107" s="1" t="s">
        <v>2197</v>
      </c>
      <c r="B1107" s="2" t="s">
        <v>2198</v>
      </c>
      <c r="C1107" s="6" t="n">
        <v>43219</v>
      </c>
      <c r="D1107" s="3" t="n">
        <v>11</v>
      </c>
      <c r="E1107" s="3" t="n">
        <v>-5</v>
      </c>
      <c r="F1107" s="7" t="n">
        <f aca="false">IFERROR(Tableau1[[#This Row],[Score]]/Tableau1[[#This Row],[Nb]],0)</f>
        <v>-0.454545454545455</v>
      </c>
    </row>
    <row r="1108" customFormat="false" ht="30" hidden="false" customHeight="true" outlineLevel="0" collapsed="false">
      <c r="A1108" s="1" t="s">
        <v>2199</v>
      </c>
      <c r="B1108" s="2" t="s">
        <v>2200</v>
      </c>
      <c r="C1108" s="6" t="n">
        <v>43219</v>
      </c>
      <c r="D1108" s="3" t="n">
        <v>13</v>
      </c>
      <c r="E1108" s="3" t="n">
        <v>-5</v>
      </c>
      <c r="F1108" s="7" t="n">
        <f aca="false">IFERROR(Tableau1[[#This Row],[Score]]/Tableau1[[#This Row],[Nb]],0)</f>
        <v>-0.384615384615385</v>
      </c>
    </row>
    <row r="1109" customFormat="false" ht="30" hidden="false" customHeight="true" outlineLevel="0" collapsed="false">
      <c r="A1109" s="1" t="s">
        <v>2201</v>
      </c>
      <c r="B1109" s="2" t="s">
        <v>2202</v>
      </c>
      <c r="C1109" s="6" t="n">
        <v>43219</v>
      </c>
      <c r="D1109" s="3" t="n">
        <v>9</v>
      </c>
      <c r="E1109" s="3" t="n">
        <v>-3</v>
      </c>
      <c r="F1109" s="7" t="n">
        <f aca="false">IFERROR(Tableau1[[#This Row],[Score]]/Tableau1[[#This Row],[Nb]],0)</f>
        <v>-0.333333333333333</v>
      </c>
    </row>
    <row r="1110" customFormat="false" ht="30" hidden="false" customHeight="true" outlineLevel="0" collapsed="false">
      <c r="A1110" s="1" t="s">
        <v>2203</v>
      </c>
      <c r="B1110" s="2" t="s">
        <v>2204</v>
      </c>
      <c r="C1110" s="6" t="n">
        <v>43219</v>
      </c>
      <c r="D1110" s="3" t="n">
        <v>15</v>
      </c>
      <c r="E1110" s="3" t="n">
        <v>-5</v>
      </c>
      <c r="F1110" s="7" t="n">
        <f aca="false">IFERROR(Tableau1[[#This Row],[Score]]/Tableau1[[#This Row],[Nb]],0)</f>
        <v>-0.333333333333333</v>
      </c>
    </row>
    <row r="1111" customFormat="false" ht="30" hidden="false" customHeight="true" outlineLevel="0" collapsed="false">
      <c r="A1111" s="1" t="s">
        <v>2205</v>
      </c>
      <c r="B1111" s="2" t="s">
        <v>2206</v>
      </c>
      <c r="C1111" s="6" t="n">
        <v>43219</v>
      </c>
      <c r="D1111" s="3" t="n">
        <v>8</v>
      </c>
      <c r="E1111" s="3" t="n">
        <v>-2</v>
      </c>
      <c r="F1111" s="7" t="n">
        <f aca="false">IFERROR(Tableau1[[#This Row],[Score]]/Tableau1[[#This Row],[Nb]],0)</f>
        <v>-0.25</v>
      </c>
    </row>
    <row r="1112" customFormat="false" ht="30" hidden="false" customHeight="true" outlineLevel="0" collapsed="false">
      <c r="A1112" s="1" t="s">
        <v>2207</v>
      </c>
      <c r="B1112" s="2" t="s">
        <v>2208</v>
      </c>
      <c r="C1112" s="6" t="n">
        <v>43219</v>
      </c>
      <c r="D1112" s="3" t="n">
        <v>13</v>
      </c>
      <c r="E1112" s="3" t="n">
        <v>-3</v>
      </c>
      <c r="F1112" s="7" t="n">
        <f aca="false">IFERROR(Tableau1[[#This Row],[Score]]/Tableau1[[#This Row],[Nb]],0)</f>
        <v>-0.230769230769231</v>
      </c>
    </row>
    <row r="1113" customFormat="false" ht="30" hidden="false" customHeight="true" outlineLevel="0" collapsed="false">
      <c r="A1113" s="1" t="s">
        <v>2209</v>
      </c>
      <c r="B1113" s="2" t="s">
        <v>2210</v>
      </c>
      <c r="C1113" s="6" t="n">
        <v>43219</v>
      </c>
      <c r="D1113" s="3" t="n">
        <v>9</v>
      </c>
      <c r="E1113" s="3" t="n">
        <v>-1</v>
      </c>
      <c r="F1113" s="7" t="n">
        <f aca="false">IFERROR(Tableau1[[#This Row],[Score]]/Tableau1[[#This Row],[Nb]],0)</f>
        <v>-0.111111111111111</v>
      </c>
    </row>
    <row r="1114" customFormat="false" ht="30" hidden="false" customHeight="true" outlineLevel="0" collapsed="false">
      <c r="A1114" s="1" t="s">
        <v>2211</v>
      </c>
      <c r="B1114" s="2" t="s">
        <v>2212</v>
      </c>
      <c r="C1114" s="6" t="n">
        <v>43219</v>
      </c>
      <c r="D1114" s="3" t="n">
        <v>10</v>
      </c>
      <c r="E1114" s="3" t="n">
        <v>0</v>
      </c>
      <c r="F1114" s="7" t="n">
        <f aca="false">IFERROR(Tableau1[[#This Row],[Score]]/Tableau1[[#This Row],[Nb]],0)</f>
        <v>0</v>
      </c>
    </row>
    <row r="1115" customFormat="false" ht="30" hidden="false" customHeight="true" outlineLevel="0" collapsed="false">
      <c r="A1115" s="1" t="s">
        <v>2213</v>
      </c>
      <c r="B1115" s="2" t="s">
        <v>2214</v>
      </c>
      <c r="C1115" s="6" t="n">
        <v>43219</v>
      </c>
      <c r="D1115" s="3" t="n">
        <v>8</v>
      </c>
      <c r="E1115" s="3" t="n">
        <v>0</v>
      </c>
      <c r="F1115" s="7" t="n">
        <f aca="false">IFERROR(Tableau1[[#This Row],[Score]]/Tableau1[[#This Row],[Nb]],0)</f>
        <v>0</v>
      </c>
    </row>
    <row r="1116" customFormat="false" ht="30" hidden="false" customHeight="true" outlineLevel="0" collapsed="false">
      <c r="A1116" s="1" t="s">
        <v>2215</v>
      </c>
      <c r="B1116" s="2" t="s">
        <v>2216</v>
      </c>
      <c r="C1116" s="6" t="n">
        <v>43219</v>
      </c>
      <c r="D1116" s="3" t="n">
        <v>4</v>
      </c>
      <c r="E1116" s="3" t="n">
        <v>0</v>
      </c>
      <c r="F1116" s="7" t="n">
        <f aca="false">IFERROR(Tableau1[[#This Row],[Score]]/Tableau1[[#This Row],[Nb]],0)</f>
        <v>0</v>
      </c>
    </row>
    <row r="1117" customFormat="false" ht="30" hidden="false" customHeight="true" outlineLevel="0" collapsed="false">
      <c r="A1117" s="1" t="s">
        <v>2217</v>
      </c>
      <c r="B1117" s="2" t="s">
        <v>2218</v>
      </c>
      <c r="C1117" s="6" t="n">
        <v>43219</v>
      </c>
      <c r="D1117" s="3" t="n">
        <v>7</v>
      </c>
      <c r="E1117" s="3" t="n">
        <v>1</v>
      </c>
      <c r="F1117" s="7" t="n">
        <f aca="false">IFERROR(Tableau1[[#This Row],[Score]]/Tableau1[[#This Row],[Nb]],0)</f>
        <v>0.142857142857143</v>
      </c>
    </row>
    <row r="1118" customFormat="false" ht="30" hidden="false" customHeight="true" outlineLevel="0" collapsed="false">
      <c r="A1118" s="1" t="s">
        <v>2219</v>
      </c>
      <c r="B1118" s="2" t="s">
        <v>2220</v>
      </c>
      <c r="C1118" s="6" t="n">
        <v>43219</v>
      </c>
      <c r="D1118" s="3" t="n">
        <v>7</v>
      </c>
      <c r="E1118" s="3" t="n">
        <v>1</v>
      </c>
      <c r="F1118" s="7" t="n">
        <f aca="false">IFERROR(Tableau1[[#This Row],[Score]]/Tableau1[[#This Row],[Nb]],0)</f>
        <v>0.142857142857143</v>
      </c>
    </row>
    <row r="1119" customFormat="false" ht="30" hidden="false" customHeight="true" outlineLevel="0" collapsed="false">
      <c r="A1119" s="1" t="s">
        <v>2221</v>
      </c>
      <c r="B1119" s="2" t="s">
        <v>2222</v>
      </c>
      <c r="C1119" s="6" t="n">
        <v>43219</v>
      </c>
      <c r="D1119" s="3" t="n">
        <v>14</v>
      </c>
      <c r="E1119" s="3" t="n">
        <v>2</v>
      </c>
      <c r="F1119" s="7" t="n">
        <f aca="false">IFERROR(Tableau1[[#This Row],[Score]]/Tableau1[[#This Row],[Nb]],0)</f>
        <v>0.142857142857143</v>
      </c>
    </row>
    <row r="1120" customFormat="false" ht="30" hidden="false" customHeight="true" outlineLevel="0" collapsed="false">
      <c r="A1120" s="1" t="s">
        <v>2223</v>
      </c>
      <c r="B1120" s="2" t="s">
        <v>2224</v>
      </c>
      <c r="C1120" s="6" t="n">
        <v>43219</v>
      </c>
      <c r="D1120" s="3" t="n">
        <v>10</v>
      </c>
      <c r="E1120" s="3" t="n">
        <v>2</v>
      </c>
      <c r="F1120" s="7" t="n">
        <f aca="false">IFERROR(Tableau1[[#This Row],[Score]]/Tableau1[[#This Row],[Nb]],0)</f>
        <v>0.2</v>
      </c>
    </row>
    <row r="1121" customFormat="false" ht="30" hidden="false" customHeight="true" outlineLevel="0" collapsed="false">
      <c r="A1121" s="1" t="s">
        <v>2225</v>
      </c>
      <c r="B1121" s="2" t="s">
        <v>2226</v>
      </c>
      <c r="C1121" s="6" t="n">
        <v>43219</v>
      </c>
      <c r="D1121" s="3" t="n">
        <v>5</v>
      </c>
      <c r="E1121" s="3" t="n">
        <v>1</v>
      </c>
      <c r="F1121" s="7" t="n">
        <f aca="false">IFERROR(Tableau1[[#This Row],[Score]]/Tableau1[[#This Row],[Nb]],0)</f>
        <v>0.2</v>
      </c>
    </row>
    <row r="1122" customFormat="false" ht="30" hidden="false" customHeight="true" outlineLevel="0" collapsed="false">
      <c r="A1122" s="1" t="s">
        <v>2227</v>
      </c>
      <c r="B1122" s="2" t="s">
        <v>2228</v>
      </c>
      <c r="C1122" s="6" t="n">
        <v>43219</v>
      </c>
      <c r="D1122" s="3" t="n">
        <v>13</v>
      </c>
      <c r="E1122" s="3" t="n">
        <v>3</v>
      </c>
      <c r="F1122" s="7" t="n">
        <f aca="false">IFERROR(Tableau1[[#This Row],[Score]]/Tableau1[[#This Row],[Nb]],0)</f>
        <v>0.230769230769231</v>
      </c>
    </row>
    <row r="1123" customFormat="false" ht="30" hidden="false" customHeight="true" outlineLevel="0" collapsed="false">
      <c r="A1123" s="1" t="s">
        <v>2229</v>
      </c>
      <c r="B1123" s="2" t="s">
        <v>2230</v>
      </c>
      <c r="C1123" s="6" t="n">
        <v>43219</v>
      </c>
      <c r="D1123" s="3" t="n">
        <v>14</v>
      </c>
      <c r="E1123" s="3" t="n">
        <v>2</v>
      </c>
      <c r="F1123" s="7" t="n">
        <f aca="false">IFERROR(Tableau1[[#This Row],[Score]]/Tableau1[[#This Row],[Nb]],0)</f>
        <v>0.142857142857143</v>
      </c>
    </row>
    <row r="1124" customFormat="false" ht="30" hidden="false" customHeight="true" outlineLevel="0" collapsed="false">
      <c r="A1124" s="1" t="s">
        <v>2231</v>
      </c>
      <c r="B1124" s="2" t="s">
        <v>2232</v>
      </c>
      <c r="C1124" s="6" t="n">
        <v>43219</v>
      </c>
      <c r="D1124" s="3" t="n">
        <v>8</v>
      </c>
      <c r="E1124" s="3" t="n">
        <v>2</v>
      </c>
      <c r="F1124" s="7" t="n">
        <f aca="false">IFERROR(Tableau1[[#This Row],[Score]]/Tableau1[[#This Row],[Nb]],0)</f>
        <v>0.25</v>
      </c>
    </row>
    <row r="1125" customFormat="false" ht="30" hidden="false" customHeight="true" outlineLevel="0" collapsed="false">
      <c r="A1125" s="1" t="s">
        <v>2233</v>
      </c>
      <c r="B1125" s="2" t="s">
        <v>2234</v>
      </c>
      <c r="C1125" s="6" t="n">
        <v>43219</v>
      </c>
      <c r="D1125" s="3" t="n">
        <v>8</v>
      </c>
      <c r="E1125" s="3" t="n">
        <v>2</v>
      </c>
      <c r="F1125" s="7" t="n">
        <f aca="false">IFERROR(Tableau1[[#This Row],[Score]]/Tableau1[[#This Row],[Nb]],0)</f>
        <v>0.25</v>
      </c>
    </row>
    <row r="1126" customFormat="false" ht="30" hidden="false" customHeight="true" outlineLevel="0" collapsed="false">
      <c r="A1126" s="1" t="s">
        <v>2235</v>
      </c>
      <c r="B1126" s="2" t="s">
        <v>1966</v>
      </c>
      <c r="C1126" s="6" t="n">
        <v>43219</v>
      </c>
      <c r="D1126" s="3" t="n">
        <v>9</v>
      </c>
      <c r="E1126" s="3" t="n">
        <v>3</v>
      </c>
      <c r="F1126" s="7" t="n">
        <f aca="false">IFERROR(Tableau1[[#This Row],[Score]]/Tableau1[[#This Row],[Nb]],0)</f>
        <v>0.333333333333333</v>
      </c>
    </row>
    <row r="1127" customFormat="false" ht="30" hidden="false" customHeight="true" outlineLevel="0" collapsed="false">
      <c r="A1127" s="1" t="s">
        <v>2236</v>
      </c>
      <c r="B1127" s="2" t="s">
        <v>2237</v>
      </c>
      <c r="C1127" s="6" t="n">
        <v>43219</v>
      </c>
      <c r="D1127" s="3" t="n">
        <v>13</v>
      </c>
      <c r="E1127" s="3" t="n">
        <v>5</v>
      </c>
      <c r="F1127" s="7" t="n">
        <f aca="false">IFERROR(Tableau1[[#This Row],[Score]]/Tableau1[[#This Row],[Nb]],0)</f>
        <v>0.384615384615385</v>
      </c>
    </row>
    <row r="1128" customFormat="false" ht="30" hidden="false" customHeight="true" outlineLevel="0" collapsed="false">
      <c r="A1128" s="1" t="s">
        <v>2238</v>
      </c>
      <c r="B1128" s="2" t="s">
        <v>2239</v>
      </c>
      <c r="C1128" s="6" t="n">
        <v>43219</v>
      </c>
      <c r="D1128" s="3" t="n">
        <v>10</v>
      </c>
      <c r="E1128" s="3" t="n">
        <v>4</v>
      </c>
      <c r="F1128" s="7" t="n">
        <f aca="false">IFERROR(Tableau1[[#This Row],[Score]]/Tableau1[[#This Row],[Nb]],0)</f>
        <v>0.4</v>
      </c>
    </row>
    <row r="1129" customFormat="false" ht="30" hidden="false" customHeight="true" outlineLevel="0" collapsed="false">
      <c r="A1129" s="1" t="s">
        <v>2240</v>
      </c>
      <c r="B1129" s="2" t="s">
        <v>2241</v>
      </c>
      <c r="C1129" s="6" t="n">
        <v>43219</v>
      </c>
      <c r="D1129" s="3" t="n">
        <v>11</v>
      </c>
      <c r="E1129" s="3" t="n">
        <v>5</v>
      </c>
      <c r="F1129" s="7" t="n">
        <f aca="false">IFERROR(Tableau1[[#This Row],[Score]]/Tableau1[[#This Row],[Nb]],0)</f>
        <v>0.454545454545455</v>
      </c>
    </row>
    <row r="1130" customFormat="false" ht="30" hidden="false" customHeight="true" outlineLevel="0" collapsed="false">
      <c r="A1130" s="1" t="s">
        <v>2242</v>
      </c>
      <c r="B1130" s="2" t="s">
        <v>2243</v>
      </c>
      <c r="C1130" s="6" t="n">
        <v>43219</v>
      </c>
      <c r="D1130" s="3" t="n">
        <v>12</v>
      </c>
      <c r="E1130" s="3" t="n">
        <v>6</v>
      </c>
      <c r="F1130" s="7" t="n">
        <f aca="false">IFERROR(Tableau1[[#This Row],[Score]]/Tableau1[[#This Row],[Nb]],0)</f>
        <v>0.5</v>
      </c>
    </row>
    <row r="1131" customFormat="false" ht="30" hidden="false" customHeight="true" outlineLevel="0" collapsed="false">
      <c r="A1131" s="1" t="s">
        <v>2244</v>
      </c>
      <c r="B1131" s="2" t="s">
        <v>2245</v>
      </c>
      <c r="C1131" s="6" t="n">
        <v>43219</v>
      </c>
      <c r="D1131" s="3" t="n">
        <v>8</v>
      </c>
      <c r="E1131" s="3" t="n">
        <v>4</v>
      </c>
      <c r="F1131" s="7" t="n">
        <f aca="false">IFERROR(Tableau1[[#This Row],[Score]]/Tableau1[[#This Row],[Nb]],0)</f>
        <v>0.5</v>
      </c>
    </row>
    <row r="1132" customFormat="false" ht="30" hidden="false" customHeight="true" outlineLevel="0" collapsed="false">
      <c r="A1132" s="1" t="s">
        <v>2246</v>
      </c>
      <c r="B1132" s="2" t="s">
        <v>2247</v>
      </c>
      <c r="C1132" s="6" t="n">
        <v>43219</v>
      </c>
      <c r="D1132" s="3" t="n">
        <v>13</v>
      </c>
      <c r="E1132" s="3" t="n">
        <v>7</v>
      </c>
      <c r="F1132" s="7" t="n">
        <f aca="false">IFERROR(Tableau1[[#This Row],[Score]]/Tableau1[[#This Row],[Nb]],0)</f>
        <v>0.538461538461538</v>
      </c>
    </row>
    <row r="1133" customFormat="false" ht="30" hidden="false" customHeight="true" outlineLevel="0" collapsed="false">
      <c r="A1133" s="1" t="s">
        <v>2248</v>
      </c>
      <c r="B1133" s="2" t="s">
        <v>2249</v>
      </c>
      <c r="C1133" s="6" t="n">
        <v>43219</v>
      </c>
      <c r="D1133" s="3" t="n">
        <v>9</v>
      </c>
      <c r="E1133" s="3" t="n">
        <v>5</v>
      </c>
      <c r="F1133" s="7" t="n">
        <f aca="false">IFERROR(Tableau1[[#This Row],[Score]]/Tableau1[[#This Row],[Nb]],0)</f>
        <v>0.555555555555556</v>
      </c>
    </row>
    <row r="1134" customFormat="false" ht="30" hidden="false" customHeight="true" outlineLevel="0" collapsed="false">
      <c r="A1134" s="1" t="s">
        <v>2250</v>
      </c>
      <c r="B1134" s="2" t="s">
        <v>2251</v>
      </c>
      <c r="C1134" s="6" t="n">
        <v>43219</v>
      </c>
      <c r="D1134" s="3" t="n">
        <v>14</v>
      </c>
      <c r="E1134" s="3" t="n">
        <v>8</v>
      </c>
      <c r="F1134" s="7" t="n">
        <f aca="false">IFERROR(Tableau1[[#This Row],[Score]]/Tableau1[[#This Row],[Nb]],0)</f>
        <v>0.571428571428571</v>
      </c>
    </row>
    <row r="1135" customFormat="false" ht="30" hidden="false" customHeight="true" outlineLevel="0" collapsed="false">
      <c r="A1135" s="1" t="s">
        <v>2252</v>
      </c>
      <c r="B1135" s="2" t="s">
        <v>2253</v>
      </c>
      <c r="C1135" s="6" t="n">
        <v>43219</v>
      </c>
      <c r="D1135" s="3" t="n">
        <v>10</v>
      </c>
      <c r="E1135" s="3" t="n">
        <v>6</v>
      </c>
      <c r="F1135" s="7" t="n">
        <f aca="false">IFERROR(Tableau1[[#This Row],[Score]]/Tableau1[[#This Row],[Nb]],0)</f>
        <v>0.6</v>
      </c>
    </row>
    <row r="1136" customFormat="false" ht="30" hidden="false" customHeight="true" outlineLevel="0" collapsed="false">
      <c r="A1136" s="1" t="s">
        <v>2254</v>
      </c>
      <c r="B1136" s="2" t="s">
        <v>2255</v>
      </c>
      <c r="C1136" s="6" t="n">
        <v>43219</v>
      </c>
      <c r="D1136" s="3" t="n">
        <v>10</v>
      </c>
      <c r="E1136" s="3" t="n">
        <v>6</v>
      </c>
      <c r="F1136" s="7" t="n">
        <f aca="false">IFERROR(Tableau1[[#This Row],[Score]]/Tableau1[[#This Row],[Nb]],0)</f>
        <v>0.6</v>
      </c>
    </row>
    <row r="1137" customFormat="false" ht="30" hidden="false" customHeight="true" outlineLevel="0" collapsed="false">
      <c r="A1137" s="1" t="s">
        <v>2256</v>
      </c>
      <c r="B1137" s="2" t="s">
        <v>2257</v>
      </c>
      <c r="C1137" s="6" t="n">
        <v>43219</v>
      </c>
      <c r="D1137" s="3" t="n">
        <v>15</v>
      </c>
      <c r="E1137" s="3" t="n">
        <v>9</v>
      </c>
      <c r="F1137" s="7" t="n">
        <f aca="false">IFERROR(Tableau1[[#This Row],[Score]]/Tableau1[[#This Row],[Nb]],0)</f>
        <v>0.6</v>
      </c>
    </row>
    <row r="1138" customFormat="false" ht="30" hidden="false" customHeight="true" outlineLevel="0" collapsed="false">
      <c r="A1138" s="1" t="s">
        <v>2258</v>
      </c>
      <c r="B1138" s="2" t="s">
        <v>2259</v>
      </c>
      <c r="C1138" s="6" t="n">
        <v>43219</v>
      </c>
      <c r="D1138" s="3" t="n">
        <v>6</v>
      </c>
      <c r="E1138" s="3" t="n">
        <v>4</v>
      </c>
      <c r="F1138" s="7" t="n">
        <f aca="false">IFERROR(Tableau1[[#This Row],[Score]]/Tableau1[[#This Row],[Nb]],0)</f>
        <v>0.666666666666667</v>
      </c>
    </row>
    <row r="1139" customFormat="false" ht="30" hidden="false" customHeight="true" outlineLevel="0" collapsed="false">
      <c r="A1139" s="1" t="s">
        <v>2260</v>
      </c>
      <c r="B1139" s="2" t="s">
        <v>2261</v>
      </c>
      <c r="C1139" s="6" t="n">
        <v>43219</v>
      </c>
      <c r="D1139" s="3" t="n">
        <v>13</v>
      </c>
      <c r="E1139" s="3" t="n">
        <v>9</v>
      </c>
      <c r="F1139" s="7" t="n">
        <f aca="false">IFERROR(Tableau1[[#This Row],[Score]]/Tableau1[[#This Row],[Nb]],0)</f>
        <v>0.692307692307692</v>
      </c>
    </row>
    <row r="1140" customFormat="false" ht="30" hidden="false" customHeight="true" outlineLevel="0" collapsed="false">
      <c r="A1140" s="1" t="s">
        <v>2262</v>
      </c>
      <c r="B1140" s="2" t="s">
        <v>2263</v>
      </c>
      <c r="C1140" s="6" t="n">
        <v>43219</v>
      </c>
      <c r="D1140" s="3" t="n">
        <v>13</v>
      </c>
      <c r="E1140" s="3" t="n">
        <v>9</v>
      </c>
      <c r="F1140" s="7" t="n">
        <f aca="false">IFERROR(Tableau1[[#This Row],[Score]]/Tableau1[[#This Row],[Nb]],0)</f>
        <v>0.692307692307692</v>
      </c>
    </row>
    <row r="1141" customFormat="false" ht="30" hidden="false" customHeight="true" outlineLevel="0" collapsed="false">
      <c r="A1141" s="1" t="s">
        <v>2264</v>
      </c>
      <c r="B1141" s="2" t="s">
        <v>2265</v>
      </c>
      <c r="C1141" s="6" t="n">
        <v>43219</v>
      </c>
      <c r="D1141" s="3" t="n">
        <v>7</v>
      </c>
      <c r="E1141" s="3" t="n">
        <v>5</v>
      </c>
      <c r="F1141" s="7" t="n">
        <f aca="false">IFERROR(Tableau1[[#This Row],[Score]]/Tableau1[[#This Row],[Nb]],0)</f>
        <v>0.714285714285714</v>
      </c>
    </row>
    <row r="1142" customFormat="false" ht="30" hidden="false" customHeight="true" outlineLevel="0" collapsed="false">
      <c r="A1142" s="1" t="s">
        <v>2266</v>
      </c>
      <c r="B1142" s="2" t="s">
        <v>2267</v>
      </c>
      <c r="C1142" s="6" t="n">
        <v>43219</v>
      </c>
      <c r="D1142" s="3" t="n">
        <v>9</v>
      </c>
      <c r="E1142" s="3" t="n">
        <v>5</v>
      </c>
      <c r="F1142" s="7" t="n">
        <f aca="false">IFERROR(Tableau1[[#This Row],[Score]]/Tableau1[[#This Row],[Nb]],0)</f>
        <v>0.555555555555556</v>
      </c>
    </row>
    <row r="1143" customFormat="false" ht="30" hidden="false" customHeight="true" outlineLevel="0" collapsed="false">
      <c r="A1143" s="1" t="s">
        <v>2268</v>
      </c>
      <c r="B1143" s="2" t="s">
        <v>2269</v>
      </c>
      <c r="C1143" s="6" t="n">
        <v>43219</v>
      </c>
      <c r="D1143" s="3" t="n">
        <v>8</v>
      </c>
      <c r="E1143" s="3" t="n">
        <v>6</v>
      </c>
      <c r="F1143" s="7" t="n">
        <f aca="false">IFERROR(Tableau1[[#This Row],[Score]]/Tableau1[[#This Row],[Nb]],0)</f>
        <v>0.75</v>
      </c>
    </row>
    <row r="1144" customFormat="false" ht="30" hidden="false" customHeight="true" outlineLevel="0" collapsed="false">
      <c r="A1144" s="1" t="s">
        <v>2270</v>
      </c>
      <c r="B1144" s="2" t="s">
        <v>2271</v>
      </c>
      <c r="C1144" s="6" t="n">
        <v>43219</v>
      </c>
      <c r="D1144" s="3" t="n">
        <v>8</v>
      </c>
      <c r="E1144" s="3" t="n">
        <v>6</v>
      </c>
      <c r="F1144" s="7" t="n">
        <f aca="false">IFERROR(Tableau1[[#This Row],[Score]]/Tableau1[[#This Row],[Nb]],0)</f>
        <v>0.75</v>
      </c>
    </row>
    <row r="1145" customFormat="false" ht="30" hidden="false" customHeight="true" outlineLevel="0" collapsed="false">
      <c r="A1145" s="1" t="s">
        <v>2272</v>
      </c>
      <c r="B1145" s="2" t="s">
        <v>2273</v>
      </c>
      <c r="C1145" s="6" t="n">
        <v>43219</v>
      </c>
      <c r="D1145" s="3" t="n">
        <v>9</v>
      </c>
      <c r="E1145" s="3" t="n">
        <v>7</v>
      </c>
      <c r="F1145" s="7" t="n">
        <f aca="false">IFERROR(Tableau1[[#This Row],[Score]]/Tableau1[[#This Row],[Nb]],0)</f>
        <v>0.777777777777778</v>
      </c>
    </row>
    <row r="1146" customFormat="false" ht="30" hidden="false" customHeight="true" outlineLevel="0" collapsed="false">
      <c r="A1146" s="1" t="s">
        <v>2274</v>
      </c>
      <c r="B1146" s="2" t="s">
        <v>2275</v>
      </c>
      <c r="C1146" s="6" t="n">
        <v>43219</v>
      </c>
      <c r="D1146" s="3" t="n">
        <v>9</v>
      </c>
      <c r="E1146" s="3" t="n">
        <v>7</v>
      </c>
      <c r="F1146" s="7" t="n">
        <f aca="false">IFERROR(Tableau1[[#This Row],[Score]]/Tableau1[[#This Row],[Nb]],0)</f>
        <v>0.777777777777778</v>
      </c>
    </row>
    <row r="1147" customFormat="false" ht="30" hidden="false" customHeight="true" outlineLevel="0" collapsed="false">
      <c r="A1147" s="1" t="s">
        <v>2276</v>
      </c>
      <c r="B1147" s="2" t="s">
        <v>2277</v>
      </c>
      <c r="C1147" s="6" t="n">
        <v>43219</v>
      </c>
      <c r="D1147" s="3" t="n">
        <v>18</v>
      </c>
      <c r="E1147" s="3" t="n">
        <v>14</v>
      </c>
      <c r="F1147" s="7" t="n">
        <f aca="false">IFERROR(Tableau1[[#This Row],[Score]]/Tableau1[[#This Row],[Nb]],0)</f>
        <v>0.777777777777778</v>
      </c>
    </row>
    <row r="1148" customFormat="false" ht="30" hidden="false" customHeight="true" outlineLevel="0" collapsed="false">
      <c r="A1148" s="1" t="s">
        <v>2278</v>
      </c>
      <c r="B1148" s="2" t="s">
        <v>2279</v>
      </c>
      <c r="C1148" s="6" t="n">
        <v>43219</v>
      </c>
      <c r="D1148" s="3" t="n">
        <v>10</v>
      </c>
      <c r="E1148" s="3" t="n">
        <v>8</v>
      </c>
      <c r="F1148" s="7" t="n">
        <f aca="false">IFERROR(Tableau1[[#This Row],[Score]]/Tableau1[[#This Row],[Nb]],0)</f>
        <v>0.8</v>
      </c>
    </row>
    <row r="1149" customFormat="false" ht="30" hidden="false" customHeight="true" outlineLevel="0" collapsed="false">
      <c r="A1149" s="1" t="s">
        <v>2280</v>
      </c>
      <c r="B1149" s="2" t="s">
        <v>2281</v>
      </c>
      <c r="C1149" s="6" t="n">
        <v>43219</v>
      </c>
      <c r="D1149" s="3" t="n">
        <v>11</v>
      </c>
      <c r="E1149" s="3" t="n">
        <v>9</v>
      </c>
      <c r="F1149" s="7" t="n">
        <f aca="false">IFERROR(Tableau1[[#This Row],[Score]]/Tableau1[[#This Row],[Nb]],0)</f>
        <v>0.818181818181818</v>
      </c>
    </row>
    <row r="1150" customFormat="false" ht="30" hidden="false" customHeight="true" outlineLevel="0" collapsed="false">
      <c r="A1150" s="1" t="s">
        <v>2282</v>
      </c>
      <c r="B1150" s="2" t="s">
        <v>2283</v>
      </c>
      <c r="C1150" s="6" t="n">
        <v>43219</v>
      </c>
      <c r="D1150" s="3" t="n">
        <v>11</v>
      </c>
      <c r="E1150" s="3" t="n">
        <v>9</v>
      </c>
      <c r="F1150" s="7" t="n">
        <f aca="false">IFERROR(Tableau1[[#This Row],[Score]]/Tableau1[[#This Row],[Nb]],0)</f>
        <v>0.818181818181818</v>
      </c>
    </row>
    <row r="1151" customFormat="false" ht="30" hidden="false" customHeight="true" outlineLevel="0" collapsed="false">
      <c r="A1151" s="1" t="s">
        <v>2284</v>
      </c>
      <c r="B1151" s="2" t="s">
        <v>2285</v>
      </c>
      <c r="C1151" s="6" t="n">
        <v>43219</v>
      </c>
      <c r="D1151" s="3" t="n">
        <v>13</v>
      </c>
      <c r="E1151" s="3" t="n">
        <v>11</v>
      </c>
      <c r="F1151" s="7" t="n">
        <f aca="false">IFERROR(Tableau1[[#This Row],[Score]]/Tableau1[[#This Row],[Nb]],0)</f>
        <v>0.846153846153846</v>
      </c>
    </row>
    <row r="1152" customFormat="false" ht="30" hidden="false" customHeight="true" outlineLevel="0" collapsed="false">
      <c r="A1152" s="1" t="s">
        <v>2286</v>
      </c>
      <c r="B1152" s="2" t="s">
        <v>2287</v>
      </c>
      <c r="C1152" s="6" t="n">
        <v>43219</v>
      </c>
      <c r="D1152" s="3" t="n">
        <v>13</v>
      </c>
      <c r="E1152" s="3" t="n">
        <v>11</v>
      </c>
      <c r="F1152" s="7" t="n">
        <f aca="false">IFERROR(Tableau1[[#This Row],[Score]]/Tableau1[[#This Row],[Nb]],0)</f>
        <v>0.846153846153846</v>
      </c>
    </row>
    <row r="1153" customFormat="false" ht="30" hidden="false" customHeight="true" outlineLevel="0" collapsed="false">
      <c r="A1153" s="1" t="s">
        <v>2288</v>
      </c>
      <c r="B1153" s="2" t="s">
        <v>2289</v>
      </c>
      <c r="C1153" s="6" t="n">
        <v>43219</v>
      </c>
      <c r="D1153" s="3" t="n">
        <v>14</v>
      </c>
      <c r="E1153" s="3" t="n">
        <v>12</v>
      </c>
      <c r="F1153" s="7" t="n">
        <f aca="false">IFERROR(Tableau1[[#This Row],[Score]]/Tableau1[[#This Row],[Nb]],0)</f>
        <v>0.857142857142857</v>
      </c>
    </row>
    <row r="1154" customFormat="false" ht="30" hidden="false" customHeight="true" outlineLevel="0" collapsed="false">
      <c r="A1154" s="1" t="s">
        <v>2290</v>
      </c>
      <c r="B1154" s="2" t="s">
        <v>2291</v>
      </c>
      <c r="C1154" s="6" t="n">
        <v>43219</v>
      </c>
      <c r="D1154" s="3" t="n">
        <v>14</v>
      </c>
      <c r="E1154" s="3" t="n">
        <v>12</v>
      </c>
      <c r="F1154" s="7" t="n">
        <f aca="false">IFERROR(Tableau1[[#This Row],[Score]]/Tableau1[[#This Row],[Nb]],0)</f>
        <v>0.857142857142857</v>
      </c>
    </row>
    <row r="1155" customFormat="false" ht="30" hidden="false" customHeight="true" outlineLevel="0" collapsed="false">
      <c r="A1155" s="1" t="s">
        <v>2292</v>
      </c>
      <c r="B1155" s="2" t="s">
        <v>2293</v>
      </c>
      <c r="C1155" s="6" t="n">
        <v>43219</v>
      </c>
      <c r="D1155" s="3" t="n">
        <v>15</v>
      </c>
      <c r="E1155" s="3" t="n">
        <v>13</v>
      </c>
      <c r="F1155" s="7" t="n">
        <f aca="false">IFERROR(Tableau1[[#This Row],[Score]]/Tableau1[[#This Row],[Nb]],0)</f>
        <v>0.866666666666667</v>
      </c>
    </row>
    <row r="1156" customFormat="false" ht="30" hidden="false" customHeight="true" outlineLevel="0" collapsed="false">
      <c r="A1156" s="1" t="s">
        <v>2294</v>
      </c>
      <c r="B1156" s="2" t="s">
        <v>2295</v>
      </c>
      <c r="C1156" s="6" t="n">
        <v>43219</v>
      </c>
      <c r="D1156" s="3" t="n">
        <v>9</v>
      </c>
      <c r="E1156" s="3" t="n">
        <v>8</v>
      </c>
      <c r="F1156" s="7" t="n">
        <f aca="false">IFERROR(Tableau1[[#This Row],[Score]]/Tableau1[[#This Row],[Nb]],0)</f>
        <v>0.888888888888889</v>
      </c>
    </row>
    <row r="1157" customFormat="false" ht="30" hidden="false" customHeight="true" outlineLevel="0" collapsed="false">
      <c r="A1157" s="1" t="s">
        <v>2296</v>
      </c>
      <c r="B1157" s="2" t="s">
        <v>2297</v>
      </c>
      <c r="C1157" s="6" t="n">
        <v>43219</v>
      </c>
      <c r="D1157" s="3" t="n">
        <v>10</v>
      </c>
      <c r="E1157" s="3" t="n">
        <v>9</v>
      </c>
      <c r="F1157" s="7" t="n">
        <f aca="false">IFERROR(Tableau1[[#This Row],[Score]]/Tableau1[[#This Row],[Nb]],0)</f>
        <v>0.9</v>
      </c>
    </row>
    <row r="1158" customFormat="false" ht="30" hidden="false" customHeight="true" outlineLevel="0" collapsed="false">
      <c r="A1158" s="1" t="s">
        <v>2298</v>
      </c>
      <c r="B1158" s="2" t="s">
        <v>2299</v>
      </c>
      <c r="C1158" s="6" t="n">
        <v>43219</v>
      </c>
      <c r="D1158" s="3" t="n">
        <v>15</v>
      </c>
      <c r="E1158" s="3" t="n">
        <v>14</v>
      </c>
      <c r="F1158" s="7" t="n">
        <f aca="false">IFERROR(Tableau1[[#This Row],[Score]]/Tableau1[[#This Row],[Nb]],0)</f>
        <v>0.933333333333333</v>
      </c>
    </row>
    <row r="1159" customFormat="false" ht="30" hidden="false" customHeight="true" outlineLevel="0" collapsed="false">
      <c r="A1159" s="8" t="s">
        <v>2300</v>
      </c>
      <c r="B1159" s="9" t="s">
        <v>2301</v>
      </c>
      <c r="C1159" s="6" t="n">
        <v>43219</v>
      </c>
      <c r="D1159" s="3" t="n">
        <v>10</v>
      </c>
      <c r="E1159" s="3" t="n">
        <v>10</v>
      </c>
      <c r="F1159" s="7" t="n">
        <f aca="false">IFERROR(Tableau1[[#This Row],[Score]]/Tableau1[[#This Row],[Nb]],0)</f>
        <v>1</v>
      </c>
    </row>
    <row r="1160" customFormat="false" ht="30" hidden="false" customHeight="true" outlineLevel="0" collapsed="false">
      <c r="A1160" s="8" t="s">
        <v>2302</v>
      </c>
      <c r="B1160" s="9" t="s">
        <v>2303</v>
      </c>
      <c r="C1160" s="6" t="n">
        <v>43219</v>
      </c>
      <c r="D1160" s="3" t="n">
        <v>10</v>
      </c>
      <c r="E1160" s="3" t="n">
        <v>10</v>
      </c>
      <c r="F1160" s="7" t="n">
        <f aca="false">IFERROR(Tableau1[[#This Row],[Score]]/Tableau1[[#This Row],[Nb]],0)</f>
        <v>1</v>
      </c>
    </row>
    <row r="1161" customFormat="false" ht="30" hidden="false" customHeight="true" outlineLevel="0" collapsed="false">
      <c r="A1161" s="8" t="s">
        <v>2304</v>
      </c>
      <c r="B1161" s="9" t="s">
        <v>2305</v>
      </c>
      <c r="C1161" s="6" t="n">
        <v>43219</v>
      </c>
      <c r="D1161" s="3" t="n">
        <v>10</v>
      </c>
      <c r="E1161" s="3" t="n">
        <v>10</v>
      </c>
      <c r="F1161" s="7" t="n">
        <f aca="false">IFERROR(Tableau1[[#This Row],[Score]]/Tableau1[[#This Row],[Nb]],0)</f>
        <v>1</v>
      </c>
    </row>
    <row r="1162" customFormat="false" ht="30" hidden="false" customHeight="true" outlineLevel="0" collapsed="false">
      <c r="A1162" s="8" t="s">
        <v>2306</v>
      </c>
      <c r="B1162" s="9" t="s">
        <v>2307</v>
      </c>
      <c r="C1162" s="6" t="n">
        <v>43219</v>
      </c>
      <c r="D1162" s="3" t="n">
        <v>10</v>
      </c>
      <c r="E1162" s="3" t="n">
        <v>10</v>
      </c>
      <c r="F1162" s="7" t="n">
        <f aca="false">IFERROR(Tableau1[[#This Row],[Score]]/Tableau1[[#This Row],[Nb]],0)</f>
        <v>1</v>
      </c>
    </row>
    <row r="1163" customFormat="false" ht="30" hidden="false" customHeight="true" outlineLevel="0" collapsed="false">
      <c r="A1163" s="1" t="s">
        <v>2308</v>
      </c>
      <c r="B1163" s="2" t="s">
        <v>2309</v>
      </c>
      <c r="C1163" s="6" t="n">
        <v>43219</v>
      </c>
      <c r="D1163" s="3" t="n">
        <v>8</v>
      </c>
      <c r="E1163" s="3" t="n">
        <v>8</v>
      </c>
      <c r="F1163" s="7" t="n">
        <f aca="false">IFERROR(Tableau1[[#This Row],[Score]]/Tableau1[[#This Row],[Nb]],0)</f>
        <v>1</v>
      </c>
    </row>
    <row r="1164" customFormat="false" ht="30" hidden="false" customHeight="true" outlineLevel="0" collapsed="false">
      <c r="A1164" s="1" t="s">
        <v>2310</v>
      </c>
      <c r="B1164" s="2" t="s">
        <v>2311</v>
      </c>
      <c r="C1164" s="6" t="n">
        <v>43219</v>
      </c>
      <c r="D1164" s="3" t="n">
        <v>9</v>
      </c>
      <c r="E1164" s="3" t="n">
        <v>9</v>
      </c>
      <c r="F1164" s="7" t="n">
        <f aca="false">IFERROR(Tableau1[[#This Row],[Score]]/Tableau1[[#This Row],[Nb]],0)</f>
        <v>1</v>
      </c>
    </row>
    <row r="1165" customFormat="false" ht="30" hidden="false" customHeight="true" outlineLevel="0" collapsed="false">
      <c r="A1165" s="1" t="s">
        <v>2312</v>
      </c>
      <c r="B1165" s="2" t="s">
        <v>2313</v>
      </c>
      <c r="C1165" s="6" t="n">
        <v>43219</v>
      </c>
      <c r="D1165" s="3" t="n">
        <v>9</v>
      </c>
      <c r="E1165" s="3" t="n">
        <v>9</v>
      </c>
      <c r="F1165" s="7" t="n">
        <f aca="false">IFERROR(Tableau1[[#This Row],[Score]]/Tableau1[[#This Row],[Nb]],0)</f>
        <v>1</v>
      </c>
    </row>
    <row r="1166" customFormat="false" ht="30" hidden="false" customHeight="true" outlineLevel="0" collapsed="false">
      <c r="A1166" s="1" t="s">
        <v>2314</v>
      </c>
      <c r="B1166" s="2" t="s">
        <v>2315</v>
      </c>
      <c r="C1166" s="6" t="n">
        <v>43219</v>
      </c>
      <c r="D1166" s="3" t="n">
        <v>9</v>
      </c>
      <c r="E1166" s="3" t="n">
        <v>9</v>
      </c>
      <c r="F1166" s="7" t="n">
        <f aca="false">IFERROR(Tableau1[[#This Row],[Score]]/Tableau1[[#This Row],[Nb]],0)</f>
        <v>1</v>
      </c>
    </row>
    <row r="1167" customFormat="false" ht="30" hidden="false" customHeight="true" outlineLevel="0" collapsed="false">
      <c r="A1167" s="1" t="s">
        <v>2316</v>
      </c>
      <c r="B1167" s="2" t="s">
        <v>2317</v>
      </c>
      <c r="C1167" s="6" t="n">
        <v>43219</v>
      </c>
      <c r="D1167" s="3" t="n">
        <v>4</v>
      </c>
      <c r="E1167" s="3" t="n">
        <v>4</v>
      </c>
      <c r="F1167" s="7" t="n">
        <f aca="false">IFERROR(Tableau1[[#This Row],[Score]]/Tableau1[[#This Row],[Nb]],0)</f>
        <v>1</v>
      </c>
    </row>
    <row r="1168" customFormat="false" ht="30" hidden="false" customHeight="true" outlineLevel="0" collapsed="false">
      <c r="A1168" s="1" t="s">
        <v>2318</v>
      </c>
      <c r="B1168" s="2" t="s">
        <v>2319</v>
      </c>
      <c r="C1168" s="6" t="n">
        <v>43219</v>
      </c>
      <c r="D1168" s="3" t="n">
        <v>5</v>
      </c>
      <c r="E1168" s="3" t="n">
        <v>5</v>
      </c>
      <c r="F1168" s="7" t="n">
        <f aca="false">IFERROR(Tableau1[[#This Row],[Score]]/Tableau1[[#This Row],[Nb]],0)</f>
        <v>1</v>
      </c>
    </row>
    <row r="1169" customFormat="false" ht="30" hidden="false" customHeight="true" outlineLevel="0" collapsed="false">
      <c r="A1169" s="1" t="s">
        <v>2320</v>
      </c>
      <c r="B1169" s="2" t="s">
        <v>2321</v>
      </c>
      <c r="C1169" s="6" t="n">
        <v>43219</v>
      </c>
      <c r="D1169" s="3" t="n">
        <v>6</v>
      </c>
      <c r="E1169" s="3" t="n">
        <v>6</v>
      </c>
      <c r="F1169" s="7" t="n">
        <f aca="false">IFERROR(Tableau1[[#This Row],[Score]]/Tableau1[[#This Row],[Nb]],0)</f>
        <v>1</v>
      </c>
    </row>
    <row r="1170" customFormat="false" ht="30" hidden="false" customHeight="true" outlineLevel="0" collapsed="false">
      <c r="A1170" s="1" t="s">
        <v>1208</v>
      </c>
      <c r="B1170" s="2" t="s">
        <v>1209</v>
      </c>
      <c r="C1170" s="6" t="n">
        <v>43219</v>
      </c>
      <c r="D1170" s="3" t="n">
        <v>7</v>
      </c>
      <c r="E1170" s="3" t="n">
        <v>7</v>
      </c>
      <c r="F1170" s="7" t="n">
        <f aca="false">IFERROR(Tableau1[[#This Row],[Score]]/Tableau1[[#This Row],[Nb]],0)</f>
        <v>1</v>
      </c>
    </row>
    <row r="1171" customFormat="false" ht="30" hidden="false" customHeight="true" outlineLevel="0" collapsed="false">
      <c r="A1171" s="1" t="s">
        <v>2322</v>
      </c>
      <c r="B1171" s="2" t="s">
        <v>2323</v>
      </c>
      <c r="C1171" s="6" t="n">
        <v>43220</v>
      </c>
      <c r="D1171" s="3" t="n">
        <v>4</v>
      </c>
      <c r="E1171" s="3" t="n">
        <v>-4</v>
      </c>
      <c r="F1171" s="7" t="n">
        <f aca="false">IFERROR(Tableau1[[#This Row],[Score]]/Tableau1[[#This Row],[Nb]],0)</f>
        <v>-1</v>
      </c>
    </row>
    <row r="1172" customFormat="false" ht="30" hidden="false" customHeight="true" outlineLevel="0" collapsed="false">
      <c r="A1172" s="1" t="s">
        <v>2324</v>
      </c>
      <c r="B1172" s="2" t="s">
        <v>2325</v>
      </c>
      <c r="C1172" s="6" t="n">
        <v>43220</v>
      </c>
      <c r="D1172" s="3" t="n">
        <v>4</v>
      </c>
      <c r="E1172" s="3" t="n">
        <v>-4</v>
      </c>
      <c r="F1172" s="7" t="n">
        <f aca="false">IFERROR(Tableau1[[#This Row],[Score]]/Tableau1[[#This Row],[Nb]],0)</f>
        <v>-1</v>
      </c>
    </row>
    <row r="1173" customFormat="false" ht="30" hidden="false" customHeight="true" outlineLevel="0" collapsed="false">
      <c r="A1173" s="1" t="s">
        <v>2326</v>
      </c>
      <c r="B1173" s="2" t="s">
        <v>2327</v>
      </c>
      <c r="C1173" s="6" t="n">
        <v>43220</v>
      </c>
      <c r="D1173" s="3" t="n">
        <v>4</v>
      </c>
      <c r="E1173" s="3" t="n">
        <v>-4</v>
      </c>
      <c r="F1173" s="7" t="n">
        <f aca="false">IFERROR(Tableau1[[#This Row],[Score]]/Tableau1[[#This Row],[Nb]],0)</f>
        <v>-1</v>
      </c>
    </row>
    <row r="1174" customFormat="false" ht="30" hidden="false" customHeight="true" outlineLevel="0" collapsed="false">
      <c r="A1174" s="1" t="s">
        <v>2328</v>
      </c>
      <c r="B1174" s="2" t="s">
        <v>2329</v>
      </c>
      <c r="C1174" s="6" t="n">
        <v>43220</v>
      </c>
      <c r="D1174" s="3" t="n">
        <v>16</v>
      </c>
      <c r="E1174" s="3" t="n">
        <v>-15</v>
      </c>
      <c r="F1174" s="7" t="n">
        <f aca="false">IFERROR(Tableau1[[#This Row],[Score]]/Tableau1[[#This Row],[Nb]],0)</f>
        <v>-0.9375</v>
      </c>
    </row>
    <row r="1175" customFormat="false" ht="30" hidden="false" customHeight="true" outlineLevel="0" collapsed="false">
      <c r="A1175" s="1" t="s">
        <v>2330</v>
      </c>
      <c r="B1175" s="2" t="s">
        <v>2331</v>
      </c>
      <c r="C1175" s="6" t="n">
        <v>43220</v>
      </c>
      <c r="D1175" s="3" t="n">
        <v>11</v>
      </c>
      <c r="E1175" s="3" t="n">
        <v>-9</v>
      </c>
      <c r="F1175" s="7" t="n">
        <f aca="false">IFERROR(Tableau1[[#This Row],[Score]]/Tableau1[[#This Row],[Nb]],0)</f>
        <v>-0.818181818181818</v>
      </c>
    </row>
    <row r="1176" customFormat="false" ht="30" hidden="false" customHeight="true" outlineLevel="0" collapsed="false">
      <c r="A1176" s="1" t="s">
        <v>2332</v>
      </c>
      <c r="B1176" s="2" t="s">
        <v>2333</v>
      </c>
      <c r="C1176" s="6" t="n">
        <v>43220</v>
      </c>
      <c r="D1176" s="3" t="n">
        <v>7</v>
      </c>
      <c r="E1176" s="3" t="n">
        <v>-5</v>
      </c>
      <c r="F1176" s="7" t="n">
        <f aca="false">IFERROR(Tableau1[[#This Row],[Score]]/Tableau1[[#This Row],[Nb]],0)</f>
        <v>-0.714285714285714</v>
      </c>
    </row>
    <row r="1177" customFormat="false" ht="30" hidden="false" customHeight="true" outlineLevel="0" collapsed="false">
      <c r="A1177" s="1" t="s">
        <v>2334</v>
      </c>
      <c r="B1177" s="2" t="s">
        <v>2335</v>
      </c>
      <c r="C1177" s="6" t="n">
        <v>43220</v>
      </c>
      <c r="D1177" s="3" t="n">
        <v>12</v>
      </c>
      <c r="E1177" s="3" t="n">
        <v>-8</v>
      </c>
      <c r="F1177" s="7" t="n">
        <f aca="false">IFERROR(Tableau1[[#This Row],[Score]]/Tableau1[[#This Row],[Nb]],0)</f>
        <v>-0.666666666666667</v>
      </c>
    </row>
    <row r="1178" customFormat="false" ht="30" hidden="false" customHeight="true" outlineLevel="0" collapsed="false">
      <c r="A1178" s="1" t="s">
        <v>430</v>
      </c>
      <c r="B1178" s="2" t="s">
        <v>2336</v>
      </c>
      <c r="C1178" s="6" t="n">
        <v>43220</v>
      </c>
      <c r="D1178" s="3" t="n">
        <v>5</v>
      </c>
      <c r="E1178" s="3" t="n">
        <v>-3</v>
      </c>
      <c r="F1178" s="7" t="n">
        <f aca="false">IFERROR(Tableau1[[#This Row],[Score]]/Tableau1[[#This Row],[Nb]],0)</f>
        <v>-0.6</v>
      </c>
    </row>
    <row r="1179" customFormat="false" ht="30" hidden="false" customHeight="true" outlineLevel="0" collapsed="false">
      <c r="A1179" s="1" t="s">
        <v>2337</v>
      </c>
      <c r="B1179" s="2" t="s">
        <v>2338</v>
      </c>
      <c r="C1179" s="6" t="n">
        <v>43220</v>
      </c>
      <c r="D1179" s="3" t="n">
        <v>5</v>
      </c>
      <c r="E1179" s="3" t="n">
        <v>-3</v>
      </c>
      <c r="F1179" s="7" t="n">
        <f aca="false">IFERROR(Tableau1[[#This Row],[Score]]/Tableau1[[#This Row],[Nb]],0)</f>
        <v>-0.6</v>
      </c>
    </row>
    <row r="1180" customFormat="false" ht="30" hidden="false" customHeight="true" outlineLevel="0" collapsed="false">
      <c r="A1180" s="1" t="s">
        <v>2339</v>
      </c>
      <c r="B1180" s="2" t="s">
        <v>2340</v>
      </c>
      <c r="C1180" s="6" t="n">
        <v>43220</v>
      </c>
      <c r="D1180" s="3" t="n">
        <v>8</v>
      </c>
      <c r="E1180" s="3" t="n">
        <v>-4</v>
      </c>
      <c r="F1180" s="7" t="n">
        <f aca="false">IFERROR(Tableau1[[#This Row],[Score]]/Tableau1[[#This Row],[Nb]],0)</f>
        <v>-0.5</v>
      </c>
    </row>
    <row r="1181" customFormat="false" ht="30" hidden="false" customHeight="true" outlineLevel="0" collapsed="false">
      <c r="A1181" s="1" t="s">
        <v>2341</v>
      </c>
      <c r="B1181" s="2" t="s">
        <v>2342</v>
      </c>
      <c r="C1181" s="6" t="n">
        <v>43220</v>
      </c>
      <c r="D1181" s="3" t="n">
        <v>4</v>
      </c>
      <c r="E1181" s="3" t="n">
        <v>-2</v>
      </c>
      <c r="F1181" s="7" t="n">
        <f aca="false">IFERROR(Tableau1[[#This Row],[Score]]/Tableau1[[#This Row],[Nb]],0)</f>
        <v>-0.5</v>
      </c>
    </row>
    <row r="1182" customFormat="false" ht="30" hidden="false" customHeight="true" outlineLevel="0" collapsed="false">
      <c r="A1182" s="1" t="s">
        <v>2343</v>
      </c>
      <c r="B1182" s="2" t="s">
        <v>2344</v>
      </c>
      <c r="C1182" s="6" t="n">
        <v>43220</v>
      </c>
      <c r="D1182" s="3" t="n">
        <v>8</v>
      </c>
      <c r="E1182" s="3" t="n">
        <v>-4</v>
      </c>
      <c r="F1182" s="7" t="n">
        <f aca="false">IFERROR(Tableau1[[#This Row],[Score]]/Tableau1[[#This Row],[Nb]],0)</f>
        <v>-0.5</v>
      </c>
    </row>
    <row r="1183" customFormat="false" ht="30" hidden="false" customHeight="true" outlineLevel="0" collapsed="false">
      <c r="A1183" s="1" t="s">
        <v>2345</v>
      </c>
      <c r="B1183" s="2" t="s">
        <v>2346</v>
      </c>
      <c r="C1183" s="6" t="n">
        <v>43220</v>
      </c>
      <c r="D1183" s="3" t="n">
        <v>9</v>
      </c>
      <c r="E1183" s="3" t="n">
        <v>-3</v>
      </c>
      <c r="F1183" s="7" t="n">
        <f aca="false">IFERROR(Tableau1[[#This Row],[Score]]/Tableau1[[#This Row],[Nb]],0)</f>
        <v>-0.333333333333333</v>
      </c>
    </row>
    <row r="1184" customFormat="false" ht="30" hidden="false" customHeight="true" outlineLevel="0" collapsed="false">
      <c r="A1184" s="1" t="s">
        <v>2347</v>
      </c>
      <c r="B1184" s="2" t="s">
        <v>2348</v>
      </c>
      <c r="C1184" s="6" t="n">
        <v>43220</v>
      </c>
      <c r="D1184" s="3" t="n">
        <v>14</v>
      </c>
      <c r="E1184" s="3" t="n">
        <v>-4</v>
      </c>
      <c r="F1184" s="7" t="n">
        <f aca="false">IFERROR(Tableau1[[#This Row],[Score]]/Tableau1[[#This Row],[Nb]],0)</f>
        <v>-0.285714285714286</v>
      </c>
    </row>
    <row r="1185" customFormat="false" ht="30" hidden="false" customHeight="true" outlineLevel="0" collapsed="false">
      <c r="A1185" s="1" t="s">
        <v>2349</v>
      </c>
      <c r="B1185" s="2" t="s">
        <v>2350</v>
      </c>
      <c r="C1185" s="6" t="n">
        <v>43220</v>
      </c>
      <c r="D1185" s="3" t="n">
        <v>11</v>
      </c>
      <c r="E1185" s="3" t="n">
        <v>-3</v>
      </c>
      <c r="F1185" s="7" t="n">
        <f aca="false">IFERROR(Tableau1[[#This Row],[Score]]/Tableau1[[#This Row],[Nb]],0)</f>
        <v>-0.272727272727273</v>
      </c>
    </row>
    <row r="1186" customFormat="false" ht="30" hidden="false" customHeight="true" outlineLevel="0" collapsed="false">
      <c r="A1186" s="1" t="s">
        <v>2351</v>
      </c>
      <c r="B1186" s="2" t="s">
        <v>2352</v>
      </c>
      <c r="C1186" s="6" t="n">
        <v>43220</v>
      </c>
      <c r="D1186" s="3" t="n">
        <v>8</v>
      </c>
      <c r="E1186" s="3" t="n">
        <v>0</v>
      </c>
      <c r="F1186" s="7" t="n">
        <f aca="false">IFERROR(Tableau1[[#This Row],[Score]]/Tableau1[[#This Row],[Nb]],0)</f>
        <v>0</v>
      </c>
    </row>
    <row r="1187" customFormat="false" ht="30" hidden="false" customHeight="true" outlineLevel="0" collapsed="false">
      <c r="A1187" s="1" t="s">
        <v>2353</v>
      </c>
      <c r="B1187" s="2" t="s">
        <v>2354</v>
      </c>
      <c r="C1187" s="6" t="n">
        <v>43220</v>
      </c>
      <c r="D1187" s="3" t="n">
        <v>5</v>
      </c>
      <c r="E1187" s="3" t="n">
        <v>1</v>
      </c>
      <c r="F1187" s="7" t="n">
        <f aca="false">IFERROR(Tableau1[[#This Row],[Score]]/Tableau1[[#This Row],[Nb]],0)</f>
        <v>0.2</v>
      </c>
    </row>
    <row r="1188" customFormat="false" ht="30" hidden="false" customHeight="true" outlineLevel="0" collapsed="false">
      <c r="A1188" s="1" t="s">
        <v>2355</v>
      </c>
      <c r="B1188" s="2" t="s">
        <v>2356</v>
      </c>
      <c r="C1188" s="6" t="n">
        <v>43220</v>
      </c>
      <c r="D1188" s="3" t="n">
        <v>13</v>
      </c>
      <c r="E1188" s="3" t="n">
        <v>3</v>
      </c>
      <c r="F1188" s="7" t="n">
        <f aca="false">IFERROR(Tableau1[[#This Row],[Score]]/Tableau1[[#This Row],[Nb]],0)</f>
        <v>0.230769230769231</v>
      </c>
    </row>
    <row r="1189" customFormat="false" ht="30" hidden="false" customHeight="true" outlineLevel="0" collapsed="false">
      <c r="A1189" s="1" t="s">
        <v>2357</v>
      </c>
      <c r="B1189" s="2" t="s">
        <v>2358</v>
      </c>
      <c r="C1189" s="6" t="n">
        <v>43220</v>
      </c>
      <c r="D1189" s="3" t="n">
        <v>12</v>
      </c>
      <c r="E1189" s="3" t="n">
        <v>4</v>
      </c>
      <c r="F1189" s="7" t="n">
        <f aca="false">IFERROR(Tableau1[[#This Row],[Score]]/Tableau1[[#This Row],[Nb]],0)</f>
        <v>0.333333333333333</v>
      </c>
    </row>
    <row r="1190" customFormat="false" ht="30" hidden="false" customHeight="true" outlineLevel="0" collapsed="false">
      <c r="A1190" s="1" t="s">
        <v>2359</v>
      </c>
      <c r="B1190" s="2" t="s">
        <v>2360</v>
      </c>
      <c r="C1190" s="6" t="n">
        <v>43220</v>
      </c>
      <c r="D1190" s="3" t="n">
        <v>11</v>
      </c>
      <c r="E1190" s="3" t="n">
        <v>5</v>
      </c>
      <c r="F1190" s="7" t="n">
        <f aca="false">IFERROR(Tableau1[[#This Row],[Score]]/Tableau1[[#This Row],[Nb]],0)</f>
        <v>0.454545454545455</v>
      </c>
    </row>
    <row r="1191" customFormat="false" ht="30" hidden="false" customHeight="true" outlineLevel="0" collapsed="false">
      <c r="A1191" s="1" t="s">
        <v>2361</v>
      </c>
      <c r="B1191" s="2" t="s">
        <v>2362</v>
      </c>
      <c r="C1191" s="6" t="n">
        <v>43220</v>
      </c>
      <c r="D1191" s="3" t="n">
        <v>15</v>
      </c>
      <c r="E1191" s="3" t="n">
        <v>6</v>
      </c>
      <c r="F1191" s="7" t="n">
        <f aca="false">IFERROR(Tableau1[[#This Row],[Score]]/Tableau1[[#This Row],[Nb]],0)</f>
        <v>0.4</v>
      </c>
    </row>
    <row r="1192" customFormat="false" ht="30" hidden="false" customHeight="true" outlineLevel="0" collapsed="false">
      <c r="A1192" s="1" t="s">
        <v>2363</v>
      </c>
      <c r="B1192" s="2" t="s">
        <v>2364</v>
      </c>
      <c r="C1192" s="6" t="n">
        <v>43220</v>
      </c>
      <c r="D1192" s="3" t="n">
        <v>8</v>
      </c>
      <c r="E1192" s="3" t="n">
        <v>4</v>
      </c>
      <c r="F1192" s="7" t="n">
        <f aca="false">IFERROR(Tableau1[[#This Row],[Score]]/Tableau1[[#This Row],[Nb]],0)</f>
        <v>0.5</v>
      </c>
    </row>
    <row r="1193" customFormat="false" ht="30" hidden="false" customHeight="true" outlineLevel="0" collapsed="false">
      <c r="A1193" s="1" t="s">
        <v>2365</v>
      </c>
      <c r="B1193" s="2" t="s">
        <v>2366</v>
      </c>
      <c r="C1193" s="6" t="n">
        <v>43220</v>
      </c>
      <c r="D1193" s="3" t="n">
        <v>8</v>
      </c>
      <c r="E1193" s="3" t="n">
        <v>4</v>
      </c>
      <c r="F1193" s="7" t="n">
        <f aca="false">IFERROR(Tableau1[[#This Row],[Score]]/Tableau1[[#This Row],[Nb]],0)</f>
        <v>0.5</v>
      </c>
    </row>
    <row r="1194" customFormat="false" ht="30" hidden="false" customHeight="true" outlineLevel="0" collapsed="false">
      <c r="A1194" s="1" t="s">
        <v>2367</v>
      </c>
      <c r="B1194" s="2" t="s">
        <v>2368</v>
      </c>
      <c r="C1194" s="6" t="n">
        <v>43220</v>
      </c>
      <c r="D1194" s="3" t="n">
        <v>8</v>
      </c>
      <c r="E1194" s="3" t="n">
        <v>4</v>
      </c>
      <c r="F1194" s="7" t="n">
        <f aca="false">IFERROR(Tableau1[[#This Row],[Score]]/Tableau1[[#This Row],[Nb]],0)</f>
        <v>0.5</v>
      </c>
    </row>
    <row r="1195" customFormat="false" ht="30" hidden="false" customHeight="true" outlineLevel="0" collapsed="false">
      <c r="A1195" s="1" t="s">
        <v>2369</v>
      </c>
      <c r="B1195" s="2" t="s">
        <v>2370</v>
      </c>
      <c r="C1195" s="6" t="n">
        <v>43220</v>
      </c>
      <c r="D1195" s="3" t="n">
        <v>9</v>
      </c>
      <c r="E1195" s="3" t="n">
        <v>5</v>
      </c>
      <c r="F1195" s="7" t="n">
        <f aca="false">IFERROR(Tableau1[[#This Row],[Score]]/Tableau1[[#This Row],[Nb]],0)</f>
        <v>0.555555555555556</v>
      </c>
    </row>
    <row r="1196" customFormat="false" ht="30" hidden="false" customHeight="true" outlineLevel="0" collapsed="false">
      <c r="A1196" s="1" t="s">
        <v>2371</v>
      </c>
      <c r="B1196" s="2" t="s">
        <v>2372</v>
      </c>
      <c r="C1196" s="6" t="n">
        <v>43220</v>
      </c>
      <c r="D1196" s="3" t="n">
        <v>10</v>
      </c>
      <c r="E1196" s="3" t="n">
        <v>6</v>
      </c>
      <c r="F1196" s="7" t="n">
        <f aca="false">IFERROR(Tableau1[[#This Row],[Score]]/Tableau1[[#This Row],[Nb]],0)</f>
        <v>0.6</v>
      </c>
    </row>
    <row r="1197" customFormat="false" ht="30" hidden="false" customHeight="true" outlineLevel="0" collapsed="false">
      <c r="A1197" s="1" t="s">
        <v>2373</v>
      </c>
      <c r="B1197" s="2" t="s">
        <v>2374</v>
      </c>
      <c r="C1197" s="6" t="n">
        <v>43220</v>
      </c>
      <c r="D1197" s="3" t="n">
        <v>11</v>
      </c>
      <c r="E1197" s="3" t="n">
        <v>7</v>
      </c>
      <c r="F1197" s="7" t="n">
        <f aca="false">IFERROR(Tableau1[[#This Row],[Score]]/Tableau1[[#This Row],[Nb]],0)</f>
        <v>0.636363636363636</v>
      </c>
    </row>
    <row r="1198" customFormat="false" ht="30" hidden="false" customHeight="true" outlineLevel="0" collapsed="false">
      <c r="A1198" s="1" t="s">
        <v>876</v>
      </c>
      <c r="B1198" s="2" t="s">
        <v>877</v>
      </c>
      <c r="C1198" s="6" t="n">
        <v>43220</v>
      </c>
      <c r="D1198" s="3" t="n">
        <v>11</v>
      </c>
      <c r="E1198" s="3" t="n">
        <v>7</v>
      </c>
      <c r="F1198" s="7" t="n">
        <f aca="false">IFERROR(Tableau1[[#This Row],[Score]]/Tableau1[[#This Row],[Nb]],0)</f>
        <v>0.636363636363636</v>
      </c>
    </row>
    <row r="1199" customFormat="false" ht="30" hidden="false" customHeight="true" outlineLevel="0" collapsed="false">
      <c r="A1199" s="1" t="s">
        <v>2375</v>
      </c>
      <c r="B1199" s="2" t="s">
        <v>2376</v>
      </c>
      <c r="C1199" s="6" t="n">
        <v>43220</v>
      </c>
      <c r="D1199" s="3" t="n">
        <v>12</v>
      </c>
      <c r="E1199" s="3" t="n">
        <v>8</v>
      </c>
      <c r="F1199" s="7" t="n">
        <f aca="false">IFERROR(Tableau1[[#This Row],[Score]]/Tableau1[[#This Row],[Nb]],0)</f>
        <v>0.666666666666667</v>
      </c>
    </row>
    <row r="1200" customFormat="false" ht="30" hidden="false" customHeight="true" outlineLevel="0" collapsed="false">
      <c r="A1200" s="1" t="s">
        <v>2377</v>
      </c>
      <c r="B1200" s="2" t="s">
        <v>2378</v>
      </c>
      <c r="C1200" s="6" t="n">
        <v>43220</v>
      </c>
      <c r="D1200" s="3" t="n">
        <v>14</v>
      </c>
      <c r="E1200" s="3" t="n">
        <v>10</v>
      </c>
      <c r="F1200" s="7" t="n">
        <f aca="false">IFERROR(Tableau1[[#This Row],[Score]]/Tableau1[[#This Row],[Nb]],0)</f>
        <v>0.714285714285714</v>
      </c>
    </row>
    <row r="1201" customFormat="false" ht="30" hidden="false" customHeight="true" outlineLevel="0" collapsed="false">
      <c r="A1201" s="1" t="s">
        <v>2379</v>
      </c>
      <c r="B1201" s="2" t="s">
        <v>2380</v>
      </c>
      <c r="C1201" s="6" t="n">
        <v>43220</v>
      </c>
      <c r="D1201" s="3" t="n">
        <v>8</v>
      </c>
      <c r="E1201" s="3" t="n">
        <v>6</v>
      </c>
      <c r="F1201" s="7" t="n">
        <f aca="false">IFERROR(Tableau1[[#This Row],[Score]]/Tableau1[[#This Row],[Nb]],0)</f>
        <v>0.75</v>
      </c>
    </row>
    <row r="1202" customFormat="false" ht="30" hidden="false" customHeight="true" outlineLevel="0" collapsed="false">
      <c r="A1202" s="1" t="s">
        <v>1182</v>
      </c>
      <c r="B1202" s="2" t="s">
        <v>1183</v>
      </c>
      <c r="C1202" s="6" t="n">
        <v>43220</v>
      </c>
      <c r="D1202" s="3" t="n">
        <v>7</v>
      </c>
      <c r="E1202" s="3" t="n">
        <v>5</v>
      </c>
      <c r="F1202" s="7" t="n">
        <f aca="false">IFERROR(Tableau1[[#This Row],[Score]]/Tableau1[[#This Row],[Nb]],0)</f>
        <v>0.714285714285714</v>
      </c>
    </row>
    <row r="1203" customFormat="false" ht="30" hidden="false" customHeight="true" outlineLevel="0" collapsed="false">
      <c r="A1203" s="1" t="s">
        <v>2381</v>
      </c>
      <c r="B1203" s="2" t="s">
        <v>2382</v>
      </c>
      <c r="C1203" s="6" t="n">
        <v>43220</v>
      </c>
      <c r="D1203" s="3" t="n">
        <v>15</v>
      </c>
      <c r="E1203" s="3" t="n">
        <v>11</v>
      </c>
      <c r="F1203" s="7" t="n">
        <f aca="false">IFERROR(Tableau1[[#This Row],[Score]]/Tableau1[[#This Row],[Nb]],0)</f>
        <v>0.733333333333333</v>
      </c>
    </row>
    <row r="1204" customFormat="false" ht="30" hidden="false" customHeight="true" outlineLevel="0" collapsed="false">
      <c r="A1204" s="1" t="s">
        <v>2383</v>
      </c>
      <c r="B1204" s="2" t="s">
        <v>2384</v>
      </c>
      <c r="C1204" s="6" t="n">
        <v>43220</v>
      </c>
      <c r="D1204" s="3" t="n">
        <v>8</v>
      </c>
      <c r="E1204" s="3" t="n">
        <v>6</v>
      </c>
      <c r="F1204" s="7" t="n">
        <f aca="false">IFERROR(Tableau1[[#This Row],[Score]]/Tableau1[[#This Row],[Nb]],0)</f>
        <v>0.75</v>
      </c>
    </row>
    <row r="1205" customFormat="false" ht="30" hidden="false" customHeight="true" outlineLevel="0" collapsed="false">
      <c r="A1205" s="1" t="s">
        <v>2385</v>
      </c>
      <c r="B1205" s="2" t="s">
        <v>2386</v>
      </c>
      <c r="C1205" s="6" t="n">
        <v>43220</v>
      </c>
      <c r="D1205" s="3" t="n">
        <v>8</v>
      </c>
      <c r="E1205" s="3" t="n">
        <v>6</v>
      </c>
      <c r="F1205" s="7" t="n">
        <f aca="false">IFERROR(Tableau1[[#This Row],[Score]]/Tableau1[[#This Row],[Nb]],0)</f>
        <v>0.75</v>
      </c>
    </row>
    <row r="1206" customFormat="false" ht="30" hidden="false" customHeight="true" outlineLevel="0" collapsed="false">
      <c r="A1206" s="1" t="s">
        <v>2387</v>
      </c>
      <c r="B1206" s="2" t="s">
        <v>2388</v>
      </c>
      <c r="C1206" s="6" t="n">
        <v>43220</v>
      </c>
      <c r="D1206" s="3" t="n">
        <v>8</v>
      </c>
      <c r="E1206" s="3" t="n">
        <v>6</v>
      </c>
      <c r="F1206" s="7" t="n">
        <f aca="false">IFERROR(Tableau1[[#This Row],[Score]]/Tableau1[[#This Row],[Nb]],0)</f>
        <v>0.75</v>
      </c>
    </row>
    <row r="1207" customFormat="false" ht="30" hidden="false" customHeight="true" outlineLevel="0" collapsed="false">
      <c r="A1207" s="1" t="s">
        <v>2389</v>
      </c>
      <c r="B1207" s="2" t="s">
        <v>2390</v>
      </c>
      <c r="C1207" s="6" t="n">
        <v>43220</v>
      </c>
      <c r="D1207" s="3" t="n">
        <v>8</v>
      </c>
      <c r="E1207" s="3" t="n">
        <v>6</v>
      </c>
      <c r="F1207" s="7" t="n">
        <f aca="false">IFERROR(Tableau1[[#This Row],[Score]]/Tableau1[[#This Row],[Nb]],0)</f>
        <v>0.75</v>
      </c>
    </row>
    <row r="1208" customFormat="false" ht="30" hidden="false" customHeight="true" outlineLevel="0" collapsed="false">
      <c r="A1208" s="1" t="s">
        <v>2391</v>
      </c>
      <c r="B1208" s="2" t="s">
        <v>2392</v>
      </c>
      <c r="C1208" s="6" t="n">
        <v>43220</v>
      </c>
      <c r="D1208" s="3" t="n">
        <v>17</v>
      </c>
      <c r="E1208" s="3" t="n">
        <v>13</v>
      </c>
      <c r="F1208" s="7" t="n">
        <f aca="false">IFERROR(Tableau1[[#This Row],[Score]]/Tableau1[[#This Row],[Nb]],0)</f>
        <v>0.764705882352941</v>
      </c>
    </row>
    <row r="1209" customFormat="false" ht="30" hidden="false" customHeight="true" outlineLevel="0" collapsed="false">
      <c r="A1209" s="1" t="s">
        <v>2393</v>
      </c>
      <c r="B1209" s="2" t="s">
        <v>2394</v>
      </c>
      <c r="C1209" s="6" t="n">
        <v>43220</v>
      </c>
      <c r="D1209" s="3" t="n">
        <v>9</v>
      </c>
      <c r="E1209" s="3" t="n">
        <v>7</v>
      </c>
      <c r="F1209" s="7" t="n">
        <f aca="false">IFERROR(Tableau1[[#This Row],[Score]]/Tableau1[[#This Row],[Nb]],0)</f>
        <v>0.777777777777778</v>
      </c>
    </row>
    <row r="1210" customFormat="false" ht="30" hidden="false" customHeight="true" outlineLevel="0" collapsed="false">
      <c r="A1210" s="1" t="s">
        <v>2395</v>
      </c>
      <c r="B1210" s="2" t="s">
        <v>2396</v>
      </c>
      <c r="C1210" s="6" t="n">
        <v>43220</v>
      </c>
      <c r="D1210" s="3" t="n">
        <v>19</v>
      </c>
      <c r="E1210" s="3" t="n">
        <v>3</v>
      </c>
      <c r="F1210" s="7" t="n">
        <f aca="false">IFERROR(Tableau1[[#This Row],[Score]]/Tableau1[[#This Row],[Nb]],0)</f>
        <v>0.157894736842105</v>
      </c>
    </row>
    <row r="1211" customFormat="false" ht="30" hidden="false" customHeight="true" outlineLevel="0" collapsed="false">
      <c r="A1211" s="1" t="s">
        <v>2397</v>
      </c>
      <c r="B1211" s="2" t="s">
        <v>2398</v>
      </c>
      <c r="C1211" s="6" t="n">
        <v>43220</v>
      </c>
      <c r="D1211" s="3" t="n">
        <v>10</v>
      </c>
      <c r="E1211" s="3" t="n">
        <v>8</v>
      </c>
      <c r="F1211" s="7" t="n">
        <f aca="false">IFERROR(Tableau1[[#This Row],[Score]]/Tableau1[[#This Row],[Nb]],0)</f>
        <v>0.8</v>
      </c>
    </row>
    <row r="1212" customFormat="false" ht="30" hidden="false" customHeight="true" outlineLevel="0" collapsed="false">
      <c r="A1212" s="1" t="s">
        <v>2399</v>
      </c>
      <c r="B1212" s="2" t="s">
        <v>2400</v>
      </c>
      <c r="C1212" s="6" t="n">
        <v>43220</v>
      </c>
      <c r="D1212" s="3" t="n">
        <v>13</v>
      </c>
      <c r="E1212" s="3" t="n">
        <v>11</v>
      </c>
      <c r="F1212" s="7" t="n">
        <f aca="false">IFERROR(Tableau1[[#This Row],[Score]]/Tableau1[[#This Row],[Nb]],0)</f>
        <v>0.846153846153846</v>
      </c>
    </row>
    <row r="1213" customFormat="false" ht="30" hidden="false" customHeight="true" outlineLevel="0" collapsed="false">
      <c r="A1213" s="1" t="s">
        <v>2401</v>
      </c>
      <c r="B1213" s="2" t="s">
        <v>2402</v>
      </c>
      <c r="C1213" s="6" t="n">
        <v>43220</v>
      </c>
      <c r="D1213" s="3" t="n">
        <v>13</v>
      </c>
      <c r="E1213" s="3" t="n">
        <v>11</v>
      </c>
      <c r="F1213" s="7" t="n">
        <f aca="false">IFERROR(Tableau1[[#This Row],[Score]]/Tableau1[[#This Row],[Nb]],0)</f>
        <v>0.846153846153846</v>
      </c>
    </row>
    <row r="1214" customFormat="false" ht="30" hidden="false" customHeight="true" outlineLevel="0" collapsed="false">
      <c r="A1214" s="1" t="s">
        <v>2403</v>
      </c>
      <c r="B1214" s="2" t="s">
        <v>2404</v>
      </c>
      <c r="C1214" s="6" t="n">
        <v>43220</v>
      </c>
      <c r="D1214" s="3" t="n">
        <v>18</v>
      </c>
      <c r="E1214" s="3" t="n">
        <v>16</v>
      </c>
      <c r="F1214" s="7" t="n">
        <f aca="false">IFERROR(Tableau1[[#This Row],[Score]]/Tableau1[[#This Row],[Nb]],0)</f>
        <v>0.888888888888889</v>
      </c>
    </row>
    <row r="1215" customFormat="false" ht="30" hidden="false" customHeight="true" outlineLevel="0" collapsed="false">
      <c r="A1215" s="1" t="s">
        <v>2405</v>
      </c>
      <c r="B1215" s="2" t="s">
        <v>2406</v>
      </c>
      <c r="C1215" s="6" t="n">
        <v>43220</v>
      </c>
      <c r="D1215" s="3" t="n">
        <v>18</v>
      </c>
      <c r="E1215" s="3" t="n">
        <v>16</v>
      </c>
      <c r="F1215" s="7" t="n">
        <f aca="false">IFERROR(Tableau1[[#This Row],[Score]]/Tableau1[[#This Row],[Nb]],0)</f>
        <v>0.888888888888889</v>
      </c>
    </row>
    <row r="1216" customFormat="false" ht="30" hidden="false" customHeight="true" outlineLevel="0" collapsed="false">
      <c r="A1216" s="8" t="s">
        <v>2407</v>
      </c>
      <c r="B1216" s="9" t="s">
        <v>2408</v>
      </c>
      <c r="C1216" s="6" t="n">
        <v>43220</v>
      </c>
      <c r="D1216" s="3" t="n">
        <v>10</v>
      </c>
      <c r="E1216" s="3" t="n">
        <v>10</v>
      </c>
      <c r="F1216" s="7" t="n">
        <f aca="false">IFERROR(Tableau1[[#This Row],[Score]]/Tableau1[[#This Row],[Nb]],0)</f>
        <v>1</v>
      </c>
    </row>
    <row r="1217" customFormat="false" ht="30" hidden="false" customHeight="true" outlineLevel="0" collapsed="false">
      <c r="A1217" s="1" t="s">
        <v>2409</v>
      </c>
      <c r="B1217" s="2" t="s">
        <v>2410</v>
      </c>
      <c r="C1217" s="6" t="n">
        <v>43220</v>
      </c>
      <c r="D1217" s="3" t="n">
        <v>8</v>
      </c>
      <c r="E1217" s="3" t="n">
        <v>8</v>
      </c>
      <c r="F1217" s="7" t="n">
        <f aca="false">IFERROR(Tableau1[[#This Row],[Score]]/Tableau1[[#This Row],[Nb]],0)</f>
        <v>1</v>
      </c>
    </row>
    <row r="1218" customFormat="false" ht="30" hidden="false" customHeight="true" outlineLevel="0" collapsed="false">
      <c r="A1218" s="1" t="s">
        <v>2411</v>
      </c>
      <c r="B1218" s="2" t="s">
        <v>2412</v>
      </c>
      <c r="C1218" s="6" t="n">
        <v>43220</v>
      </c>
      <c r="D1218" s="3" t="n">
        <v>8</v>
      </c>
      <c r="E1218" s="3" t="n">
        <v>8</v>
      </c>
      <c r="F1218" s="7" t="n">
        <f aca="false">IFERROR(Tableau1[[#This Row],[Score]]/Tableau1[[#This Row],[Nb]],0)</f>
        <v>1</v>
      </c>
    </row>
    <row r="1219" customFormat="false" ht="30" hidden="false" customHeight="true" outlineLevel="0" collapsed="false">
      <c r="A1219" s="1" t="s">
        <v>2413</v>
      </c>
      <c r="B1219" s="2" t="s">
        <v>2414</v>
      </c>
      <c r="C1219" s="6" t="n">
        <v>43220</v>
      </c>
      <c r="D1219" s="3" t="n">
        <v>9</v>
      </c>
      <c r="E1219" s="3" t="n">
        <v>9</v>
      </c>
      <c r="F1219" s="7" t="n">
        <f aca="false">IFERROR(Tableau1[[#This Row],[Score]]/Tableau1[[#This Row],[Nb]],0)</f>
        <v>1</v>
      </c>
    </row>
    <row r="1220" customFormat="false" ht="30" hidden="false" customHeight="true" outlineLevel="0" collapsed="false">
      <c r="A1220" s="1" t="s">
        <v>2415</v>
      </c>
      <c r="B1220" s="2" t="s">
        <v>2416</v>
      </c>
      <c r="C1220" s="6" t="n">
        <v>43220</v>
      </c>
      <c r="D1220" s="3" t="n">
        <v>10</v>
      </c>
      <c r="E1220" s="3" t="n">
        <v>10</v>
      </c>
      <c r="F1220" s="7" t="n">
        <f aca="false">IFERROR(Tableau1[[#This Row],[Score]]/Tableau1[[#This Row],[Nb]],0)</f>
        <v>1</v>
      </c>
    </row>
    <row r="1221" customFormat="false" ht="30" hidden="false" customHeight="true" outlineLevel="0" collapsed="false">
      <c r="A1221" s="1" t="s">
        <v>2417</v>
      </c>
      <c r="B1221" s="2" t="s">
        <v>2418</v>
      </c>
      <c r="C1221" s="6" t="n">
        <v>43220</v>
      </c>
      <c r="D1221" s="3" t="n">
        <v>4</v>
      </c>
      <c r="E1221" s="3" t="n">
        <v>4</v>
      </c>
      <c r="F1221" s="7" t="n">
        <f aca="false">IFERROR(Tableau1[[#This Row],[Score]]/Tableau1[[#This Row],[Nb]],0)</f>
        <v>1</v>
      </c>
    </row>
    <row r="1222" customFormat="false" ht="30" hidden="false" customHeight="true" outlineLevel="0" collapsed="false">
      <c r="A1222" s="1" t="s">
        <v>2419</v>
      </c>
      <c r="B1222" s="2" t="s">
        <v>2420</v>
      </c>
      <c r="C1222" s="6" t="n">
        <v>43220</v>
      </c>
      <c r="D1222" s="3" t="n">
        <v>6</v>
      </c>
      <c r="E1222" s="3" t="n">
        <v>6</v>
      </c>
      <c r="F1222" s="7" t="n">
        <f aca="false">IFERROR(Tableau1[[#This Row],[Score]]/Tableau1[[#This Row],[Nb]],0)</f>
        <v>1</v>
      </c>
    </row>
    <row r="1223" customFormat="false" ht="30" hidden="false" customHeight="true" outlineLevel="0" collapsed="false">
      <c r="A1223" s="1" t="s">
        <v>2421</v>
      </c>
      <c r="B1223" s="2" t="s">
        <v>2422</v>
      </c>
      <c r="C1223" s="6" t="n">
        <v>43220</v>
      </c>
      <c r="D1223" s="3" t="n">
        <v>19</v>
      </c>
      <c r="E1223" s="3" t="n">
        <v>15</v>
      </c>
      <c r="F1223" s="7" t="n">
        <f aca="false">IFERROR(Tableau1[[#This Row],[Score]]/Tableau1[[#This Row],[Nb]],0)</f>
        <v>0.789473684210526</v>
      </c>
    </row>
    <row r="1224" customFormat="false" ht="30" hidden="false" customHeight="true" outlineLevel="0" collapsed="false">
      <c r="A1224" s="1" t="s">
        <v>2423</v>
      </c>
      <c r="B1224" s="2" t="s">
        <v>2424</v>
      </c>
      <c r="C1224" s="6" t="n">
        <v>43221</v>
      </c>
      <c r="D1224" s="3" t="n">
        <v>4</v>
      </c>
      <c r="E1224" s="3" t="n">
        <v>-4</v>
      </c>
      <c r="F1224" s="7" t="n">
        <f aca="false">IFERROR(Tableau1[[#This Row],[Score]]/Tableau1[[#This Row],[Nb]],0)</f>
        <v>-1</v>
      </c>
    </row>
    <row r="1225" customFormat="false" ht="30" hidden="false" customHeight="true" outlineLevel="0" collapsed="false">
      <c r="A1225" s="1" t="s">
        <v>2425</v>
      </c>
      <c r="B1225" s="2" t="s">
        <v>2426</v>
      </c>
      <c r="C1225" s="6" t="n">
        <v>43221</v>
      </c>
      <c r="D1225" s="3" t="n">
        <v>9</v>
      </c>
      <c r="E1225" s="3" t="n">
        <v>-9</v>
      </c>
      <c r="F1225" s="7" t="n">
        <f aca="false">IFERROR(Tableau1[[#This Row],[Score]]/Tableau1[[#This Row],[Nb]],0)</f>
        <v>-1</v>
      </c>
    </row>
    <row r="1226" customFormat="false" ht="30" hidden="false" customHeight="true" outlineLevel="0" collapsed="false">
      <c r="A1226" s="1" t="s">
        <v>2427</v>
      </c>
      <c r="B1226" s="2" t="s">
        <v>2428</v>
      </c>
      <c r="C1226" s="6" t="n">
        <v>43221</v>
      </c>
      <c r="D1226" s="3" t="n">
        <v>11</v>
      </c>
      <c r="E1226" s="3" t="n">
        <v>-9</v>
      </c>
      <c r="F1226" s="7" t="n">
        <f aca="false">IFERROR(Tableau1[[#This Row],[Score]]/Tableau1[[#This Row],[Nb]],0)</f>
        <v>-0.818181818181818</v>
      </c>
    </row>
    <row r="1227" customFormat="false" ht="30" hidden="false" customHeight="true" outlineLevel="0" collapsed="false">
      <c r="A1227" s="1" t="s">
        <v>2429</v>
      </c>
      <c r="B1227" s="2" t="s">
        <v>2430</v>
      </c>
      <c r="C1227" s="6" t="n">
        <v>43221</v>
      </c>
      <c r="D1227" s="3" t="n">
        <v>12</v>
      </c>
      <c r="E1227" s="3" t="n">
        <v>-8</v>
      </c>
      <c r="F1227" s="7" t="n">
        <f aca="false">IFERROR(Tableau1[[#This Row],[Score]]/Tableau1[[#This Row],[Nb]],0)</f>
        <v>-0.666666666666667</v>
      </c>
    </row>
    <row r="1228" customFormat="false" ht="30" hidden="false" customHeight="true" outlineLevel="0" collapsed="false">
      <c r="A1228" s="1" t="s">
        <v>2431</v>
      </c>
      <c r="B1228" s="2" t="s">
        <v>2432</v>
      </c>
      <c r="C1228" s="6" t="n">
        <v>43221</v>
      </c>
      <c r="D1228" s="3" t="n">
        <v>5</v>
      </c>
      <c r="E1228" s="3" t="n">
        <v>-3</v>
      </c>
      <c r="F1228" s="7" t="n">
        <f aca="false">IFERROR(Tableau1[[#This Row],[Score]]/Tableau1[[#This Row],[Nb]],0)</f>
        <v>-0.6</v>
      </c>
    </row>
    <row r="1229" customFormat="false" ht="30" hidden="false" customHeight="true" outlineLevel="0" collapsed="false">
      <c r="A1229" s="1" t="s">
        <v>2433</v>
      </c>
      <c r="B1229" s="2" t="s">
        <v>2434</v>
      </c>
      <c r="C1229" s="6" t="n">
        <v>43221</v>
      </c>
      <c r="D1229" s="3" t="n">
        <v>10</v>
      </c>
      <c r="E1229" s="3" t="n">
        <v>-4</v>
      </c>
      <c r="F1229" s="7" t="n">
        <f aca="false">IFERROR(Tableau1[[#This Row],[Score]]/Tableau1[[#This Row],[Nb]],0)</f>
        <v>-0.4</v>
      </c>
    </row>
    <row r="1230" customFormat="false" ht="30" hidden="false" customHeight="true" outlineLevel="0" collapsed="false">
      <c r="A1230" s="1" t="s">
        <v>2435</v>
      </c>
      <c r="B1230" s="2" t="s">
        <v>2436</v>
      </c>
      <c r="C1230" s="6" t="n">
        <v>43221</v>
      </c>
      <c r="D1230" s="3" t="n">
        <v>11</v>
      </c>
      <c r="E1230" s="3" t="n">
        <v>-3</v>
      </c>
      <c r="F1230" s="7" t="n">
        <f aca="false">IFERROR(Tableau1[[#This Row],[Score]]/Tableau1[[#This Row],[Nb]],0)</f>
        <v>-0.272727272727273</v>
      </c>
    </row>
    <row r="1231" customFormat="false" ht="30" hidden="false" customHeight="true" outlineLevel="0" collapsed="false">
      <c r="A1231" s="1" t="s">
        <v>2437</v>
      </c>
      <c r="B1231" s="2" t="s">
        <v>2438</v>
      </c>
      <c r="C1231" s="6" t="n">
        <v>43221</v>
      </c>
      <c r="D1231" s="3" t="n">
        <v>5</v>
      </c>
      <c r="E1231" s="3" t="n">
        <v>-1</v>
      </c>
      <c r="F1231" s="7" t="n">
        <f aca="false">IFERROR(Tableau1[[#This Row],[Score]]/Tableau1[[#This Row],[Nb]],0)</f>
        <v>-0.2</v>
      </c>
    </row>
    <row r="1232" customFormat="false" ht="30" hidden="false" customHeight="true" outlineLevel="0" collapsed="false">
      <c r="A1232" s="1" t="s">
        <v>2439</v>
      </c>
      <c r="B1232" s="2" t="s">
        <v>2440</v>
      </c>
      <c r="C1232" s="6" t="n">
        <v>43221</v>
      </c>
      <c r="D1232" s="3" t="n">
        <v>15</v>
      </c>
      <c r="E1232" s="3" t="n">
        <v>-3</v>
      </c>
      <c r="F1232" s="7" t="n">
        <f aca="false">IFERROR(Tableau1[[#This Row],[Score]]/Tableau1[[#This Row],[Nb]],0)</f>
        <v>-0.2</v>
      </c>
    </row>
    <row r="1233" customFormat="false" ht="30" hidden="false" customHeight="true" outlineLevel="0" collapsed="false">
      <c r="A1233" s="1" t="s">
        <v>2441</v>
      </c>
      <c r="B1233" s="2" t="s">
        <v>2442</v>
      </c>
      <c r="C1233" s="6" t="n">
        <v>43221</v>
      </c>
      <c r="D1233" s="3" t="n">
        <v>7</v>
      </c>
      <c r="E1233" s="3" t="n">
        <v>-1</v>
      </c>
      <c r="F1233" s="7" t="n">
        <f aca="false">IFERROR(Tableau1[[#This Row],[Score]]/Tableau1[[#This Row],[Nb]],0)</f>
        <v>-0.142857142857143</v>
      </c>
    </row>
    <row r="1234" customFormat="false" ht="30" hidden="false" customHeight="true" outlineLevel="0" collapsed="false">
      <c r="A1234" s="1" t="s">
        <v>2443</v>
      </c>
      <c r="B1234" s="2" t="s">
        <v>2444</v>
      </c>
      <c r="C1234" s="6" t="n">
        <v>43221</v>
      </c>
      <c r="D1234" s="3" t="n">
        <v>13</v>
      </c>
      <c r="E1234" s="3" t="n">
        <v>-1</v>
      </c>
      <c r="F1234" s="7" t="n">
        <f aca="false">IFERROR(Tableau1[[#This Row],[Score]]/Tableau1[[#This Row],[Nb]],0)</f>
        <v>-0.0769230769230769</v>
      </c>
    </row>
    <row r="1235" customFormat="false" ht="30" hidden="false" customHeight="true" outlineLevel="0" collapsed="false">
      <c r="A1235" s="1" t="s">
        <v>2445</v>
      </c>
      <c r="B1235" s="2" t="s">
        <v>2446</v>
      </c>
      <c r="C1235" s="6" t="n">
        <v>43221</v>
      </c>
      <c r="D1235" s="3" t="n">
        <v>7</v>
      </c>
      <c r="E1235" s="3" t="n">
        <v>1</v>
      </c>
      <c r="F1235" s="7" t="n">
        <f aca="false">IFERROR(Tableau1[[#This Row],[Score]]/Tableau1[[#This Row],[Nb]],0)</f>
        <v>0.142857142857143</v>
      </c>
    </row>
    <row r="1236" customFormat="false" ht="30" hidden="false" customHeight="true" outlineLevel="0" collapsed="false">
      <c r="A1236" s="1" t="s">
        <v>2447</v>
      </c>
      <c r="B1236" s="2" t="s">
        <v>2448</v>
      </c>
      <c r="C1236" s="6" t="n">
        <v>43221</v>
      </c>
      <c r="D1236" s="3" t="n">
        <v>12</v>
      </c>
      <c r="E1236" s="3" t="n">
        <v>4</v>
      </c>
      <c r="F1236" s="7" t="n">
        <f aca="false">IFERROR(Tableau1[[#This Row],[Score]]/Tableau1[[#This Row],[Nb]],0)</f>
        <v>0.333333333333333</v>
      </c>
    </row>
    <row r="1237" customFormat="false" ht="30" hidden="false" customHeight="true" outlineLevel="0" collapsed="false">
      <c r="A1237" s="1" t="s">
        <v>2449</v>
      </c>
      <c r="B1237" s="2" t="s">
        <v>2450</v>
      </c>
      <c r="C1237" s="6" t="n">
        <v>43221</v>
      </c>
      <c r="D1237" s="3" t="n">
        <v>14</v>
      </c>
      <c r="E1237" s="3" t="n">
        <v>8</v>
      </c>
      <c r="F1237" s="7" t="n">
        <f aca="false">IFERROR(Tableau1[[#This Row],[Score]]/Tableau1[[#This Row],[Nb]],0)</f>
        <v>0.571428571428571</v>
      </c>
    </row>
    <row r="1238" customFormat="false" ht="30" hidden="false" customHeight="true" outlineLevel="0" collapsed="false">
      <c r="A1238" s="1" t="s">
        <v>2451</v>
      </c>
      <c r="B1238" s="2" t="s">
        <v>2452</v>
      </c>
      <c r="C1238" s="6" t="n">
        <v>43221</v>
      </c>
      <c r="D1238" s="3" t="n">
        <v>11</v>
      </c>
      <c r="E1238" s="3" t="n">
        <v>7</v>
      </c>
      <c r="F1238" s="7" t="n">
        <f aca="false">IFERROR(Tableau1[[#This Row],[Score]]/Tableau1[[#This Row],[Nb]],0)</f>
        <v>0.636363636363636</v>
      </c>
    </row>
    <row r="1239" customFormat="false" ht="30" hidden="false" customHeight="true" outlineLevel="0" collapsed="false">
      <c r="A1239" s="1" t="s">
        <v>2453</v>
      </c>
      <c r="B1239" s="2" t="s">
        <v>2454</v>
      </c>
      <c r="C1239" s="6" t="n">
        <v>43221</v>
      </c>
      <c r="D1239" s="3" t="n">
        <v>10</v>
      </c>
      <c r="E1239" s="3" t="n">
        <v>8</v>
      </c>
      <c r="F1239" s="7" t="n">
        <f aca="false">IFERROR(Tableau1[[#This Row],[Score]]/Tableau1[[#This Row],[Nb]],0)</f>
        <v>0.8</v>
      </c>
    </row>
    <row r="1240" customFormat="false" ht="30" hidden="false" customHeight="true" outlineLevel="0" collapsed="false">
      <c r="A1240" s="1" t="s">
        <v>2455</v>
      </c>
      <c r="B1240" s="2" t="s">
        <v>2456</v>
      </c>
      <c r="C1240" s="6" t="n">
        <v>43221</v>
      </c>
      <c r="D1240" s="3" t="n">
        <v>13</v>
      </c>
      <c r="E1240" s="3" t="n">
        <v>11</v>
      </c>
      <c r="F1240" s="7" t="n">
        <f aca="false">IFERROR(Tableau1[[#This Row],[Score]]/Tableau1[[#This Row],[Nb]],0)</f>
        <v>0.846153846153846</v>
      </c>
    </row>
    <row r="1241" customFormat="false" ht="30" hidden="false" customHeight="true" outlineLevel="0" collapsed="false">
      <c r="A1241" s="1" t="s">
        <v>2457</v>
      </c>
      <c r="B1241" s="2" t="s">
        <v>2458</v>
      </c>
      <c r="C1241" s="6" t="n">
        <v>43221</v>
      </c>
      <c r="D1241" s="3" t="n">
        <v>14</v>
      </c>
      <c r="E1241" s="3" t="n">
        <v>12</v>
      </c>
      <c r="F1241" s="7" t="n">
        <f aca="false">IFERROR(Tableau1[[#This Row],[Score]]/Tableau1[[#This Row],[Nb]],0)</f>
        <v>0.857142857142857</v>
      </c>
    </row>
    <row r="1242" customFormat="false" ht="30" hidden="false" customHeight="true" outlineLevel="0" collapsed="false">
      <c r="A1242" s="8" t="s">
        <v>2459</v>
      </c>
      <c r="B1242" s="9" t="s">
        <v>2460</v>
      </c>
      <c r="C1242" s="6" t="n">
        <v>43221</v>
      </c>
      <c r="D1242" s="3" t="n">
        <v>11</v>
      </c>
      <c r="E1242" s="3" t="n">
        <v>11</v>
      </c>
      <c r="F1242" s="7" t="n">
        <f aca="false">IFERROR(Tableau1[[#This Row],[Score]]/Tableau1[[#This Row],[Nb]],0)</f>
        <v>1</v>
      </c>
    </row>
    <row r="1243" customFormat="false" ht="30" hidden="false" customHeight="true" outlineLevel="0" collapsed="false">
      <c r="A1243" s="1" t="s">
        <v>2461</v>
      </c>
      <c r="B1243" s="2" t="s">
        <v>2462</v>
      </c>
      <c r="C1243" s="6" t="n">
        <v>43221</v>
      </c>
      <c r="D1243" s="3" t="n">
        <v>8</v>
      </c>
      <c r="E1243" s="3" t="n">
        <v>8</v>
      </c>
      <c r="F1243" s="7" t="n">
        <f aca="false">IFERROR(Tableau1[[#This Row],[Score]]/Tableau1[[#This Row],[Nb]],0)</f>
        <v>1</v>
      </c>
    </row>
    <row r="1244" customFormat="false" ht="30" hidden="false" customHeight="true" outlineLevel="0" collapsed="false">
      <c r="A1244" s="1" t="s">
        <v>2463</v>
      </c>
      <c r="B1244" s="2" t="s">
        <v>2464</v>
      </c>
      <c r="C1244" s="6" t="n">
        <v>43221</v>
      </c>
      <c r="D1244" s="3" t="n">
        <v>10</v>
      </c>
      <c r="E1244" s="3" t="n">
        <v>10</v>
      </c>
      <c r="F1244" s="7" t="n">
        <f aca="false">IFERROR(Tableau1[[#This Row],[Score]]/Tableau1[[#This Row],[Nb]],0)</f>
        <v>1</v>
      </c>
    </row>
    <row r="1245" customFormat="false" ht="30" hidden="false" customHeight="true" outlineLevel="0" collapsed="false">
      <c r="A1245" s="1" t="s">
        <v>2465</v>
      </c>
      <c r="B1245" s="2" t="s">
        <v>2466</v>
      </c>
      <c r="C1245" s="6" t="n">
        <v>43221</v>
      </c>
      <c r="D1245" s="3" t="n">
        <v>9</v>
      </c>
      <c r="E1245" s="3" t="n">
        <v>9</v>
      </c>
      <c r="F1245" s="7" t="n">
        <f aca="false">IFERROR(Tableau1[[#This Row],[Score]]/Tableau1[[#This Row],[Nb]],0)</f>
        <v>1</v>
      </c>
    </row>
    <row r="1246" customFormat="false" ht="30" hidden="false" customHeight="true" outlineLevel="0" collapsed="false">
      <c r="A1246" s="1" t="s">
        <v>2467</v>
      </c>
      <c r="B1246" s="2" t="s">
        <v>2468</v>
      </c>
      <c r="C1246" s="6" t="n">
        <v>43221</v>
      </c>
      <c r="D1246" s="3" t="n">
        <v>7</v>
      </c>
      <c r="E1246" s="3" t="n">
        <v>7</v>
      </c>
      <c r="F1246" s="7" t="n">
        <f aca="false">IFERROR(Tableau1[[#This Row],[Score]]/Tableau1[[#This Row],[Nb]],0)</f>
        <v>1</v>
      </c>
    </row>
    <row r="1247" customFormat="false" ht="30" hidden="false" customHeight="true" outlineLevel="0" collapsed="false">
      <c r="A1247" s="1" t="s">
        <v>2469</v>
      </c>
      <c r="B1247" s="2" t="s">
        <v>2470</v>
      </c>
      <c r="C1247" s="6" t="n">
        <v>43221</v>
      </c>
      <c r="D1247" s="3" t="n">
        <v>6</v>
      </c>
      <c r="E1247" s="3" t="n">
        <v>6</v>
      </c>
      <c r="F1247" s="7" t="n">
        <f aca="false">IFERROR(Tableau1[[#This Row],[Score]]/Tableau1[[#This Row],[Nb]],0)</f>
        <v>1</v>
      </c>
    </row>
    <row r="1248" customFormat="false" ht="30" hidden="false" customHeight="true" outlineLevel="0" collapsed="false">
      <c r="A1248" s="1" t="s">
        <v>2471</v>
      </c>
      <c r="B1248" s="2" t="s">
        <v>2472</v>
      </c>
      <c r="C1248" s="6" t="n">
        <v>43222</v>
      </c>
      <c r="D1248" s="3" t="n">
        <v>5</v>
      </c>
      <c r="E1248" s="3" t="n">
        <v>-5</v>
      </c>
      <c r="F1248" s="7" t="n">
        <f aca="false">IFERROR(Tableau1[[#This Row],[Score]]/Tableau1[[#This Row],[Nb]],0)</f>
        <v>-1</v>
      </c>
    </row>
    <row r="1249" customFormat="false" ht="30" hidden="false" customHeight="true" outlineLevel="0" collapsed="false">
      <c r="A1249" s="1" t="s">
        <v>2473</v>
      </c>
      <c r="B1249" s="2" t="s">
        <v>2474</v>
      </c>
      <c r="C1249" s="6" t="n">
        <v>43222</v>
      </c>
      <c r="D1249" s="3" t="n">
        <v>8</v>
      </c>
      <c r="E1249" s="3" t="n">
        <v>-8</v>
      </c>
      <c r="F1249" s="7" t="n">
        <f aca="false">IFERROR(Tableau1[[#This Row],[Score]]/Tableau1[[#This Row],[Nb]],0)</f>
        <v>-1</v>
      </c>
    </row>
    <row r="1250" customFormat="false" ht="30" hidden="false" customHeight="true" outlineLevel="0" collapsed="false">
      <c r="A1250" s="1" t="s">
        <v>2475</v>
      </c>
      <c r="B1250" s="2" t="s">
        <v>2476</v>
      </c>
      <c r="C1250" s="6" t="n">
        <v>43222</v>
      </c>
      <c r="D1250" s="3" t="n">
        <v>11</v>
      </c>
      <c r="E1250" s="3" t="n">
        <v>-9</v>
      </c>
      <c r="F1250" s="7" t="n">
        <f aca="false">IFERROR(Tableau1[[#This Row],[Score]]/Tableau1[[#This Row],[Nb]],0)</f>
        <v>-0.818181818181818</v>
      </c>
    </row>
    <row r="1251" customFormat="false" ht="30" hidden="false" customHeight="true" outlineLevel="0" collapsed="false">
      <c r="A1251" s="1" t="s">
        <v>2477</v>
      </c>
      <c r="B1251" s="2" t="s">
        <v>2478</v>
      </c>
      <c r="C1251" s="6" t="n">
        <v>43222</v>
      </c>
      <c r="D1251" s="3" t="n">
        <v>11</v>
      </c>
      <c r="E1251" s="3" t="n">
        <v>-9</v>
      </c>
      <c r="F1251" s="7" t="n">
        <f aca="false">IFERROR(Tableau1[[#This Row],[Score]]/Tableau1[[#This Row],[Nb]],0)</f>
        <v>-0.818181818181818</v>
      </c>
    </row>
    <row r="1252" customFormat="false" ht="30" hidden="false" customHeight="true" outlineLevel="0" collapsed="false">
      <c r="A1252" s="1" t="s">
        <v>2479</v>
      </c>
      <c r="B1252" s="2" t="s">
        <v>2480</v>
      </c>
      <c r="C1252" s="6" t="n">
        <v>43222</v>
      </c>
      <c r="D1252" s="3" t="n">
        <v>9</v>
      </c>
      <c r="E1252" s="3" t="n">
        <v>-7</v>
      </c>
      <c r="F1252" s="7" t="n">
        <f aca="false">IFERROR(Tableau1[[#This Row],[Score]]/Tableau1[[#This Row],[Nb]],0)</f>
        <v>-0.777777777777778</v>
      </c>
    </row>
    <row r="1253" customFormat="false" ht="30" hidden="false" customHeight="true" outlineLevel="0" collapsed="false">
      <c r="A1253" s="1" t="s">
        <v>2481</v>
      </c>
      <c r="B1253" s="2" t="s">
        <v>2482</v>
      </c>
      <c r="C1253" s="6" t="n">
        <v>43222</v>
      </c>
      <c r="D1253" s="3" t="n">
        <v>7</v>
      </c>
      <c r="E1253" s="3" t="n">
        <v>-5</v>
      </c>
      <c r="F1253" s="7" t="n">
        <f aca="false">IFERROR(Tableau1[[#This Row],[Score]]/Tableau1[[#This Row],[Nb]],0)</f>
        <v>-0.714285714285714</v>
      </c>
    </row>
    <row r="1254" customFormat="false" ht="30" hidden="false" customHeight="true" outlineLevel="0" collapsed="false">
      <c r="A1254" s="1" t="s">
        <v>2483</v>
      </c>
      <c r="B1254" s="2" t="s">
        <v>2484</v>
      </c>
      <c r="C1254" s="6" t="n">
        <v>43222</v>
      </c>
      <c r="D1254" s="3" t="n">
        <v>6</v>
      </c>
      <c r="E1254" s="3" t="n">
        <v>-4</v>
      </c>
      <c r="F1254" s="7" t="n">
        <f aca="false">IFERROR(Tableau1[[#This Row],[Score]]/Tableau1[[#This Row],[Nb]],0)</f>
        <v>-0.666666666666667</v>
      </c>
    </row>
    <row r="1255" customFormat="false" ht="30" hidden="false" customHeight="true" outlineLevel="0" collapsed="false">
      <c r="A1255" s="1" t="s">
        <v>2485</v>
      </c>
      <c r="B1255" s="2" t="s">
        <v>2486</v>
      </c>
      <c r="C1255" s="6" t="n">
        <v>43222</v>
      </c>
      <c r="D1255" s="3" t="n">
        <v>6</v>
      </c>
      <c r="E1255" s="3" t="n">
        <v>-4</v>
      </c>
      <c r="F1255" s="7" t="n">
        <f aca="false">IFERROR(Tableau1[[#This Row],[Score]]/Tableau1[[#This Row],[Nb]],0)</f>
        <v>-0.666666666666667</v>
      </c>
    </row>
    <row r="1256" customFormat="false" ht="30" hidden="false" customHeight="true" outlineLevel="0" collapsed="false">
      <c r="A1256" s="1" t="s">
        <v>2487</v>
      </c>
      <c r="B1256" s="2" t="s">
        <v>2488</v>
      </c>
      <c r="C1256" s="6" t="n">
        <v>43222</v>
      </c>
      <c r="D1256" s="3" t="n">
        <v>8</v>
      </c>
      <c r="E1256" s="3" t="n">
        <v>-4</v>
      </c>
      <c r="F1256" s="7" t="n">
        <f aca="false">IFERROR(Tableau1[[#This Row],[Score]]/Tableau1[[#This Row],[Nb]],0)</f>
        <v>-0.5</v>
      </c>
    </row>
    <row r="1257" customFormat="false" ht="30" hidden="false" customHeight="true" outlineLevel="0" collapsed="false">
      <c r="A1257" s="1" t="s">
        <v>2489</v>
      </c>
      <c r="B1257" s="2" t="s">
        <v>2490</v>
      </c>
      <c r="C1257" s="6" t="n">
        <v>43222</v>
      </c>
      <c r="D1257" s="3" t="n">
        <v>9</v>
      </c>
      <c r="E1257" s="3" t="n">
        <v>-1</v>
      </c>
      <c r="F1257" s="7" t="n">
        <f aca="false">IFERROR(Tableau1[[#This Row],[Score]]/Tableau1[[#This Row],[Nb]],0)</f>
        <v>-0.111111111111111</v>
      </c>
    </row>
    <row r="1258" customFormat="false" ht="30" hidden="false" customHeight="true" outlineLevel="0" collapsed="false">
      <c r="A1258" s="1" t="s">
        <v>2491</v>
      </c>
      <c r="B1258" s="2" t="s">
        <v>2492</v>
      </c>
      <c r="C1258" s="6" t="n">
        <v>43222</v>
      </c>
      <c r="D1258" s="3" t="n">
        <v>10</v>
      </c>
      <c r="E1258" s="3" t="n">
        <v>0</v>
      </c>
      <c r="F1258" s="7" t="n">
        <f aca="false">IFERROR(Tableau1[[#This Row],[Score]]/Tableau1[[#This Row],[Nb]],0)</f>
        <v>0</v>
      </c>
    </row>
    <row r="1259" customFormat="false" ht="30" hidden="false" customHeight="true" outlineLevel="0" collapsed="false">
      <c r="A1259" s="1" t="s">
        <v>2493</v>
      </c>
      <c r="B1259" s="2" t="s">
        <v>2494</v>
      </c>
      <c r="C1259" s="6" t="n">
        <v>43222</v>
      </c>
      <c r="D1259" s="3" t="n">
        <v>8</v>
      </c>
      <c r="E1259" s="3" t="n">
        <v>0</v>
      </c>
      <c r="F1259" s="7" t="n">
        <f aca="false">IFERROR(Tableau1[[#This Row],[Score]]/Tableau1[[#This Row],[Nb]],0)</f>
        <v>0</v>
      </c>
    </row>
    <row r="1260" customFormat="false" ht="30" hidden="false" customHeight="true" outlineLevel="0" collapsed="false">
      <c r="A1260" s="1" t="s">
        <v>2495</v>
      </c>
      <c r="B1260" s="2" t="s">
        <v>2496</v>
      </c>
      <c r="C1260" s="6" t="n">
        <v>43222</v>
      </c>
      <c r="D1260" s="3" t="n">
        <v>6</v>
      </c>
      <c r="E1260" s="3" t="n">
        <v>0</v>
      </c>
      <c r="F1260" s="7" t="n">
        <f aca="false">IFERROR(Tableau1[[#This Row],[Score]]/Tableau1[[#This Row],[Nb]],0)</f>
        <v>0</v>
      </c>
    </row>
    <row r="1261" customFormat="false" ht="30" hidden="false" customHeight="true" outlineLevel="0" collapsed="false">
      <c r="A1261" s="1" t="s">
        <v>2497</v>
      </c>
      <c r="B1261" s="2" t="s">
        <v>2498</v>
      </c>
      <c r="C1261" s="6" t="n">
        <v>43222</v>
      </c>
      <c r="D1261" s="3" t="n">
        <v>9</v>
      </c>
      <c r="E1261" s="3" t="n">
        <v>1</v>
      </c>
      <c r="F1261" s="7" t="n">
        <f aca="false">IFERROR(Tableau1[[#This Row],[Score]]/Tableau1[[#This Row],[Nb]],0)</f>
        <v>0.111111111111111</v>
      </c>
    </row>
    <row r="1262" customFormat="false" ht="30" hidden="false" customHeight="true" outlineLevel="0" collapsed="false">
      <c r="A1262" s="1" t="s">
        <v>2499</v>
      </c>
      <c r="B1262" s="2" t="s">
        <v>2500</v>
      </c>
      <c r="C1262" s="6" t="n">
        <v>43222</v>
      </c>
      <c r="D1262" s="3" t="n">
        <v>9</v>
      </c>
      <c r="E1262" s="3" t="n">
        <v>1</v>
      </c>
      <c r="F1262" s="7" t="n">
        <f aca="false">IFERROR(Tableau1[[#This Row],[Score]]/Tableau1[[#This Row],[Nb]],0)</f>
        <v>0.111111111111111</v>
      </c>
    </row>
    <row r="1263" customFormat="false" ht="30" hidden="false" customHeight="true" outlineLevel="0" collapsed="false">
      <c r="A1263" s="1" t="s">
        <v>2501</v>
      </c>
      <c r="B1263" s="2" t="s">
        <v>2502</v>
      </c>
      <c r="C1263" s="6" t="n">
        <v>43222</v>
      </c>
      <c r="D1263" s="3" t="n">
        <v>14</v>
      </c>
      <c r="E1263" s="3" t="n">
        <v>2</v>
      </c>
      <c r="F1263" s="7" t="n">
        <f aca="false">IFERROR(Tableau1[[#This Row],[Score]]/Tableau1[[#This Row],[Nb]],0)</f>
        <v>0.142857142857143</v>
      </c>
    </row>
    <row r="1264" customFormat="false" ht="30" hidden="false" customHeight="true" outlineLevel="0" collapsed="false">
      <c r="A1264" s="1" t="s">
        <v>2503</v>
      </c>
      <c r="B1264" s="2" t="s">
        <v>2504</v>
      </c>
      <c r="C1264" s="6" t="n">
        <v>43222</v>
      </c>
      <c r="D1264" s="3" t="n">
        <v>7</v>
      </c>
      <c r="E1264" s="3" t="n">
        <v>1</v>
      </c>
      <c r="F1264" s="7" t="n">
        <f aca="false">IFERROR(Tableau1[[#This Row],[Score]]/Tableau1[[#This Row],[Nb]],0)</f>
        <v>0.142857142857143</v>
      </c>
    </row>
    <row r="1265" customFormat="false" ht="30" hidden="false" customHeight="true" outlineLevel="0" collapsed="false">
      <c r="A1265" s="1" t="s">
        <v>2505</v>
      </c>
      <c r="B1265" s="2" t="s">
        <v>2506</v>
      </c>
      <c r="C1265" s="6" t="n">
        <v>43222</v>
      </c>
      <c r="D1265" s="3" t="n">
        <v>12</v>
      </c>
      <c r="E1265" s="3" t="n">
        <v>4</v>
      </c>
      <c r="F1265" s="7" t="n">
        <f aca="false">IFERROR(Tableau1[[#This Row],[Score]]/Tableau1[[#This Row],[Nb]],0)</f>
        <v>0.333333333333333</v>
      </c>
    </row>
    <row r="1266" customFormat="false" ht="30" hidden="false" customHeight="true" outlineLevel="0" collapsed="false">
      <c r="A1266" s="1" t="s">
        <v>2507</v>
      </c>
      <c r="B1266" s="2" t="s">
        <v>2508</v>
      </c>
      <c r="C1266" s="6" t="n">
        <v>43222</v>
      </c>
      <c r="D1266" s="3" t="n">
        <v>6</v>
      </c>
      <c r="E1266" s="3" t="n">
        <v>2</v>
      </c>
      <c r="F1266" s="7" t="n">
        <f aca="false">IFERROR(Tableau1[[#This Row],[Score]]/Tableau1[[#This Row],[Nb]],0)</f>
        <v>0.333333333333333</v>
      </c>
    </row>
    <row r="1267" customFormat="false" ht="30" hidden="false" customHeight="true" outlineLevel="0" collapsed="false">
      <c r="A1267" s="1" t="s">
        <v>2509</v>
      </c>
      <c r="B1267" s="2" t="s">
        <v>2510</v>
      </c>
      <c r="C1267" s="6" t="n">
        <v>43222</v>
      </c>
      <c r="D1267" s="3" t="n">
        <v>13</v>
      </c>
      <c r="E1267" s="3" t="n">
        <v>5</v>
      </c>
      <c r="F1267" s="7" t="n">
        <f aca="false">IFERROR(Tableau1[[#This Row],[Score]]/Tableau1[[#This Row],[Nb]],0)</f>
        <v>0.384615384615385</v>
      </c>
    </row>
    <row r="1268" customFormat="false" ht="30" hidden="false" customHeight="true" outlineLevel="0" collapsed="false">
      <c r="A1268" s="1" t="s">
        <v>2511</v>
      </c>
      <c r="B1268" s="2" t="s">
        <v>2512</v>
      </c>
      <c r="C1268" s="6" t="n">
        <v>43222</v>
      </c>
      <c r="D1268" s="3" t="n">
        <v>10</v>
      </c>
      <c r="E1268" s="3" t="n">
        <v>4</v>
      </c>
      <c r="F1268" s="7" t="n">
        <f aca="false">IFERROR(Tableau1[[#This Row],[Score]]/Tableau1[[#This Row],[Nb]],0)</f>
        <v>0.4</v>
      </c>
    </row>
    <row r="1269" customFormat="false" ht="30" hidden="false" customHeight="true" outlineLevel="0" collapsed="false">
      <c r="A1269" s="1" t="s">
        <v>2513</v>
      </c>
      <c r="B1269" s="2" t="s">
        <v>2514</v>
      </c>
      <c r="C1269" s="6" t="n">
        <v>43222</v>
      </c>
      <c r="D1269" s="3" t="n">
        <v>11</v>
      </c>
      <c r="E1269" s="3" t="n">
        <v>5</v>
      </c>
      <c r="F1269" s="7" t="n">
        <f aca="false">IFERROR(Tableau1[[#This Row],[Score]]/Tableau1[[#This Row],[Nb]],0)</f>
        <v>0.454545454545455</v>
      </c>
    </row>
    <row r="1270" customFormat="false" ht="30" hidden="false" customHeight="true" outlineLevel="0" collapsed="false">
      <c r="A1270" s="1" t="s">
        <v>2515</v>
      </c>
      <c r="B1270" s="2" t="s">
        <v>2516</v>
      </c>
      <c r="C1270" s="6" t="n">
        <v>43222</v>
      </c>
      <c r="D1270" s="3" t="n">
        <v>12</v>
      </c>
      <c r="E1270" s="3" t="n">
        <v>6</v>
      </c>
      <c r="F1270" s="7" t="n">
        <f aca="false">IFERROR(Tableau1[[#This Row],[Score]]/Tableau1[[#This Row],[Nb]],0)</f>
        <v>0.5</v>
      </c>
    </row>
    <row r="1271" customFormat="false" ht="30" hidden="false" customHeight="true" outlineLevel="0" collapsed="false">
      <c r="A1271" s="1" t="s">
        <v>2517</v>
      </c>
      <c r="B1271" s="2" t="s">
        <v>2518</v>
      </c>
      <c r="C1271" s="6" t="n">
        <v>43222</v>
      </c>
      <c r="D1271" s="3" t="n">
        <v>12</v>
      </c>
      <c r="E1271" s="3" t="n">
        <v>8</v>
      </c>
      <c r="F1271" s="7" t="n">
        <f aca="false">IFERROR(Tableau1[[#This Row],[Score]]/Tableau1[[#This Row],[Nb]],0)</f>
        <v>0.666666666666667</v>
      </c>
    </row>
    <row r="1272" customFormat="false" ht="30" hidden="false" customHeight="true" outlineLevel="0" collapsed="false">
      <c r="A1272" s="1" t="s">
        <v>2519</v>
      </c>
      <c r="B1272" s="2" t="s">
        <v>2520</v>
      </c>
      <c r="C1272" s="6" t="n">
        <v>43222</v>
      </c>
      <c r="D1272" s="3" t="n">
        <v>12</v>
      </c>
      <c r="E1272" s="3" t="n">
        <v>9</v>
      </c>
      <c r="F1272" s="7" t="n">
        <f aca="false">IFERROR(Tableau1[[#This Row],[Score]]/Tableau1[[#This Row],[Nb]],0)</f>
        <v>0.75</v>
      </c>
    </row>
    <row r="1273" customFormat="false" ht="30" hidden="false" customHeight="true" outlineLevel="0" collapsed="false">
      <c r="A1273" s="1" t="s">
        <v>2521</v>
      </c>
      <c r="B1273" s="2" t="s">
        <v>2522</v>
      </c>
      <c r="C1273" s="6" t="n">
        <v>43222</v>
      </c>
      <c r="D1273" s="3" t="n">
        <v>9</v>
      </c>
      <c r="E1273" s="3" t="n">
        <v>7</v>
      </c>
      <c r="F1273" s="7" t="n">
        <f aca="false">IFERROR(Tableau1[[#This Row],[Score]]/Tableau1[[#This Row],[Nb]],0)</f>
        <v>0.777777777777778</v>
      </c>
    </row>
    <row r="1274" customFormat="false" ht="30" hidden="false" customHeight="true" outlineLevel="0" collapsed="false">
      <c r="A1274" s="1" t="s">
        <v>2523</v>
      </c>
      <c r="B1274" s="2" t="s">
        <v>2524</v>
      </c>
      <c r="C1274" s="6" t="n">
        <v>43222</v>
      </c>
      <c r="D1274" s="3" t="n">
        <v>11</v>
      </c>
      <c r="E1274" s="3" t="n">
        <v>9</v>
      </c>
      <c r="F1274" s="7" t="n">
        <f aca="false">IFERROR(Tableau1[[#This Row],[Score]]/Tableau1[[#This Row],[Nb]],0)</f>
        <v>0.818181818181818</v>
      </c>
    </row>
    <row r="1275" customFormat="false" ht="30" hidden="false" customHeight="true" outlineLevel="0" collapsed="false">
      <c r="A1275" s="1" t="s">
        <v>2525</v>
      </c>
      <c r="B1275" s="2" t="s">
        <v>2526</v>
      </c>
      <c r="C1275" s="6" t="n">
        <v>43222</v>
      </c>
      <c r="D1275" s="3" t="n">
        <v>17</v>
      </c>
      <c r="E1275" s="3" t="n">
        <v>14</v>
      </c>
      <c r="F1275" s="7" t="n">
        <f aca="false">IFERROR(Tableau1[[#This Row],[Score]]/Tableau1[[#This Row],[Nb]],0)</f>
        <v>0.823529411764706</v>
      </c>
    </row>
    <row r="1276" customFormat="false" ht="30" hidden="false" customHeight="true" outlineLevel="0" collapsed="false">
      <c r="A1276" s="1" t="s">
        <v>2527</v>
      </c>
      <c r="B1276" s="2" t="s">
        <v>2528</v>
      </c>
      <c r="C1276" s="6" t="n">
        <v>43222</v>
      </c>
      <c r="D1276" s="3" t="n">
        <v>17</v>
      </c>
      <c r="E1276" s="3" t="n">
        <v>14</v>
      </c>
      <c r="F1276" s="7" t="n">
        <f aca="false">IFERROR(Tableau1[[#This Row],[Score]]/Tableau1[[#This Row],[Nb]],0)</f>
        <v>0.823529411764706</v>
      </c>
    </row>
    <row r="1277" customFormat="false" ht="30" hidden="false" customHeight="true" outlineLevel="0" collapsed="false">
      <c r="A1277" s="1" t="s">
        <v>2529</v>
      </c>
      <c r="B1277" s="2" t="s">
        <v>2530</v>
      </c>
      <c r="C1277" s="6" t="n">
        <v>43222</v>
      </c>
      <c r="D1277" s="3" t="n">
        <v>12</v>
      </c>
      <c r="E1277" s="3" t="n">
        <v>11</v>
      </c>
      <c r="F1277" s="7" t="n">
        <f aca="false">IFERROR(Tableau1[[#This Row],[Score]]/Tableau1[[#This Row],[Nb]],0)</f>
        <v>0.916666666666667</v>
      </c>
    </row>
    <row r="1278" customFormat="false" ht="30" hidden="false" customHeight="true" outlineLevel="0" collapsed="false">
      <c r="A1278" s="8" t="s">
        <v>2531</v>
      </c>
      <c r="B1278" s="9" t="s">
        <v>2532</v>
      </c>
      <c r="C1278" s="6" t="n">
        <v>43222</v>
      </c>
      <c r="D1278" s="3" t="n">
        <v>11</v>
      </c>
      <c r="E1278" s="3" t="n">
        <v>11</v>
      </c>
      <c r="F1278" s="7" t="n">
        <f aca="false">IFERROR(Tableau1[[#This Row],[Score]]/Tableau1[[#This Row],[Nb]],0)</f>
        <v>1</v>
      </c>
    </row>
    <row r="1279" customFormat="false" ht="30" hidden="false" customHeight="true" outlineLevel="0" collapsed="false">
      <c r="A1279" s="1" t="s">
        <v>2533</v>
      </c>
      <c r="B1279" s="2" t="s">
        <v>2534</v>
      </c>
      <c r="C1279" s="6" t="n">
        <v>43222</v>
      </c>
      <c r="D1279" s="3" t="n">
        <v>9</v>
      </c>
      <c r="E1279" s="3" t="n">
        <v>9</v>
      </c>
      <c r="F1279" s="7" t="n">
        <f aca="false">IFERROR(Tableau1[[#This Row],[Score]]/Tableau1[[#This Row],[Nb]],0)</f>
        <v>1</v>
      </c>
    </row>
    <row r="1280" customFormat="false" ht="30" hidden="false" customHeight="true" outlineLevel="0" collapsed="false">
      <c r="A1280" s="1" t="s">
        <v>2535</v>
      </c>
      <c r="B1280" s="2" t="s">
        <v>2536</v>
      </c>
      <c r="C1280" s="6" t="n">
        <v>43222</v>
      </c>
      <c r="D1280" s="3" t="n">
        <v>9</v>
      </c>
      <c r="E1280" s="3" t="n">
        <v>9</v>
      </c>
      <c r="F1280" s="7" t="n">
        <f aca="false">IFERROR(Tableau1[[#This Row],[Score]]/Tableau1[[#This Row],[Nb]],0)</f>
        <v>1</v>
      </c>
    </row>
    <row r="1281" customFormat="false" ht="30" hidden="false" customHeight="true" outlineLevel="0" collapsed="false">
      <c r="A1281" s="1" t="s">
        <v>2537</v>
      </c>
      <c r="B1281" s="2" t="s">
        <v>2538</v>
      </c>
      <c r="C1281" s="6" t="n">
        <v>43222</v>
      </c>
      <c r="D1281" s="3" t="n">
        <v>7</v>
      </c>
      <c r="E1281" s="3" t="n">
        <v>7</v>
      </c>
      <c r="F1281" s="7" t="n">
        <f aca="false">IFERROR(Tableau1[[#This Row],[Score]]/Tableau1[[#This Row],[Nb]],0)</f>
        <v>1</v>
      </c>
    </row>
    <row r="1282" customFormat="false" ht="30" hidden="false" customHeight="true" outlineLevel="0" collapsed="false">
      <c r="A1282" s="1" t="s">
        <v>2539</v>
      </c>
      <c r="B1282" s="2" t="s">
        <v>2540</v>
      </c>
      <c r="C1282" s="6" t="n">
        <v>43223</v>
      </c>
      <c r="D1282" s="3" t="n">
        <v>8</v>
      </c>
      <c r="E1282" s="3" t="n">
        <v>-8</v>
      </c>
      <c r="F1282" s="7" t="n">
        <f aca="false">IFERROR(Tableau1[[#This Row],[Score]]/Tableau1[[#This Row],[Nb]],0)</f>
        <v>-1</v>
      </c>
    </row>
    <row r="1283" customFormat="false" ht="30" hidden="false" customHeight="true" outlineLevel="0" collapsed="false">
      <c r="A1283" s="1" t="s">
        <v>2541</v>
      </c>
      <c r="B1283" s="2" t="s">
        <v>2542</v>
      </c>
      <c r="C1283" s="6" t="n">
        <v>43223</v>
      </c>
      <c r="D1283" s="3" t="n">
        <v>5</v>
      </c>
      <c r="E1283" s="3" t="n">
        <v>-5</v>
      </c>
      <c r="F1283" s="7" t="n">
        <f aca="false">IFERROR(Tableau1[[#This Row],[Score]]/Tableau1[[#This Row],[Nb]],0)</f>
        <v>-1</v>
      </c>
    </row>
    <row r="1284" customFormat="false" ht="30" hidden="false" customHeight="true" outlineLevel="0" collapsed="false">
      <c r="A1284" s="1" t="s">
        <v>2543</v>
      </c>
      <c r="B1284" s="2" t="s">
        <v>2544</v>
      </c>
      <c r="C1284" s="6" t="n">
        <v>43223</v>
      </c>
      <c r="D1284" s="3" t="n">
        <v>8</v>
      </c>
      <c r="E1284" s="3" t="n">
        <v>-8</v>
      </c>
      <c r="F1284" s="7" t="n">
        <f aca="false">IFERROR(Tableau1[[#This Row],[Score]]/Tableau1[[#This Row],[Nb]],0)</f>
        <v>-1</v>
      </c>
    </row>
    <row r="1285" customFormat="false" ht="30" hidden="false" customHeight="true" outlineLevel="0" collapsed="false">
      <c r="A1285" s="1" t="s">
        <v>2545</v>
      </c>
      <c r="B1285" s="2" t="s">
        <v>2546</v>
      </c>
      <c r="C1285" s="6" t="n">
        <v>43223</v>
      </c>
      <c r="D1285" s="3" t="n">
        <v>10</v>
      </c>
      <c r="E1285" s="3" t="n">
        <v>-8</v>
      </c>
      <c r="F1285" s="7" t="n">
        <f aca="false">IFERROR(Tableau1[[#This Row],[Score]]/Tableau1[[#This Row],[Nb]],0)</f>
        <v>-0.8</v>
      </c>
    </row>
    <row r="1286" customFormat="false" ht="30" hidden="false" customHeight="true" outlineLevel="0" collapsed="false">
      <c r="A1286" s="1" t="s">
        <v>2547</v>
      </c>
      <c r="B1286" s="2" t="s">
        <v>2548</v>
      </c>
      <c r="C1286" s="6" t="n">
        <v>43223</v>
      </c>
      <c r="D1286" s="3" t="n">
        <v>13</v>
      </c>
      <c r="E1286" s="3" t="n">
        <v>-7</v>
      </c>
      <c r="F1286" s="7" t="n">
        <f aca="false">IFERROR(Tableau1[[#This Row],[Score]]/Tableau1[[#This Row],[Nb]],0)</f>
        <v>-0.538461538461538</v>
      </c>
    </row>
    <row r="1287" customFormat="false" ht="30" hidden="false" customHeight="true" outlineLevel="0" collapsed="false">
      <c r="A1287" s="1" t="s">
        <v>2549</v>
      </c>
      <c r="B1287" s="2" t="s">
        <v>2550</v>
      </c>
      <c r="C1287" s="6" t="n">
        <v>43223</v>
      </c>
      <c r="D1287" s="3" t="n">
        <v>8</v>
      </c>
      <c r="E1287" s="3" t="n">
        <v>-4</v>
      </c>
      <c r="F1287" s="7" t="n">
        <f aca="false">IFERROR(Tableau1[[#This Row],[Score]]/Tableau1[[#This Row],[Nb]],0)</f>
        <v>-0.5</v>
      </c>
    </row>
    <row r="1288" customFormat="false" ht="30" hidden="false" customHeight="true" outlineLevel="0" collapsed="false">
      <c r="A1288" s="1" t="s">
        <v>2551</v>
      </c>
      <c r="B1288" s="2" t="s">
        <v>2552</v>
      </c>
      <c r="C1288" s="6" t="n">
        <v>43223</v>
      </c>
      <c r="D1288" s="3" t="n">
        <v>13</v>
      </c>
      <c r="E1288" s="3" t="n">
        <v>-5</v>
      </c>
      <c r="F1288" s="7" t="n">
        <f aca="false">IFERROR(Tableau1[[#This Row],[Score]]/Tableau1[[#This Row],[Nb]],0)</f>
        <v>-0.384615384615385</v>
      </c>
    </row>
    <row r="1289" customFormat="false" ht="30" hidden="false" customHeight="true" outlineLevel="0" collapsed="false">
      <c r="A1289" s="1" t="s">
        <v>2553</v>
      </c>
      <c r="B1289" s="2" t="s">
        <v>2554</v>
      </c>
      <c r="C1289" s="6" t="n">
        <v>43223</v>
      </c>
      <c r="D1289" s="3" t="n">
        <v>6</v>
      </c>
      <c r="E1289" s="3" t="n">
        <v>-2</v>
      </c>
      <c r="F1289" s="7" t="n">
        <f aca="false">IFERROR(Tableau1[[#This Row],[Score]]/Tableau1[[#This Row],[Nb]],0)</f>
        <v>-0.333333333333333</v>
      </c>
    </row>
    <row r="1290" customFormat="false" ht="30" hidden="false" customHeight="true" outlineLevel="0" collapsed="false">
      <c r="A1290" s="1" t="s">
        <v>2555</v>
      </c>
      <c r="B1290" s="2" t="s">
        <v>2556</v>
      </c>
      <c r="C1290" s="6" t="n">
        <v>43223</v>
      </c>
      <c r="D1290" s="3" t="n">
        <v>9</v>
      </c>
      <c r="E1290" s="3" t="n">
        <v>-3</v>
      </c>
      <c r="F1290" s="7" t="n">
        <f aca="false">IFERROR(Tableau1[[#This Row],[Score]]/Tableau1[[#This Row],[Nb]],0)</f>
        <v>-0.333333333333333</v>
      </c>
    </row>
    <row r="1291" customFormat="false" ht="30" hidden="false" customHeight="true" outlineLevel="0" collapsed="false">
      <c r="A1291" s="1" t="s">
        <v>2557</v>
      </c>
      <c r="B1291" s="2" t="s">
        <v>2558</v>
      </c>
      <c r="C1291" s="6" t="n">
        <v>43223</v>
      </c>
      <c r="D1291" s="3" t="n">
        <v>10</v>
      </c>
      <c r="E1291" s="3" t="n">
        <v>-2</v>
      </c>
      <c r="F1291" s="7" t="n">
        <f aca="false">IFERROR(Tableau1[[#This Row],[Score]]/Tableau1[[#This Row],[Nb]],0)</f>
        <v>-0.2</v>
      </c>
    </row>
    <row r="1292" customFormat="false" ht="30" hidden="false" customHeight="true" outlineLevel="0" collapsed="false">
      <c r="A1292" s="1" t="s">
        <v>2559</v>
      </c>
      <c r="B1292" s="2" t="s">
        <v>2560</v>
      </c>
      <c r="C1292" s="6" t="n">
        <v>43223</v>
      </c>
      <c r="D1292" s="3" t="n">
        <v>9</v>
      </c>
      <c r="E1292" s="3" t="n">
        <v>-1</v>
      </c>
      <c r="F1292" s="7" t="n">
        <f aca="false">IFERROR(Tableau1[[#This Row],[Score]]/Tableau1[[#This Row],[Nb]],0)</f>
        <v>-0.111111111111111</v>
      </c>
    </row>
    <row r="1293" customFormat="false" ht="30" hidden="false" customHeight="true" outlineLevel="0" collapsed="false">
      <c r="A1293" s="1" t="s">
        <v>2561</v>
      </c>
      <c r="B1293" s="2" t="s">
        <v>2562</v>
      </c>
      <c r="C1293" s="6" t="n">
        <v>43223</v>
      </c>
      <c r="D1293" s="3" t="n">
        <v>13</v>
      </c>
      <c r="E1293" s="3" t="n">
        <v>-1</v>
      </c>
      <c r="F1293" s="7" t="n">
        <f aca="false">IFERROR(Tableau1[[#This Row],[Score]]/Tableau1[[#This Row],[Nb]],0)</f>
        <v>-0.0769230769230769</v>
      </c>
    </row>
    <row r="1294" customFormat="false" ht="30" hidden="false" customHeight="true" outlineLevel="0" collapsed="false">
      <c r="A1294" s="1" t="s">
        <v>2563</v>
      </c>
      <c r="B1294" s="2" t="s">
        <v>2564</v>
      </c>
      <c r="C1294" s="6" t="n">
        <v>43223</v>
      </c>
      <c r="D1294" s="3" t="n">
        <v>8</v>
      </c>
      <c r="E1294" s="3" t="n">
        <v>0</v>
      </c>
      <c r="F1294" s="7" t="n">
        <f aca="false">IFERROR(Tableau1[[#This Row],[Score]]/Tableau1[[#This Row],[Nb]],0)</f>
        <v>0</v>
      </c>
    </row>
    <row r="1295" customFormat="false" ht="30" hidden="false" customHeight="true" outlineLevel="0" collapsed="false">
      <c r="A1295" s="1" t="s">
        <v>2565</v>
      </c>
      <c r="B1295" s="2" t="s">
        <v>2566</v>
      </c>
      <c r="C1295" s="6" t="n">
        <v>43223</v>
      </c>
      <c r="D1295" s="3" t="n">
        <v>4</v>
      </c>
      <c r="E1295" s="3" t="n">
        <v>0</v>
      </c>
      <c r="F1295" s="7" t="n">
        <f aca="false">IFERROR(Tableau1[[#This Row],[Score]]/Tableau1[[#This Row],[Nb]],0)</f>
        <v>0</v>
      </c>
    </row>
    <row r="1296" customFormat="false" ht="30" hidden="false" customHeight="true" outlineLevel="0" collapsed="false">
      <c r="A1296" s="1" t="s">
        <v>2567</v>
      </c>
      <c r="B1296" s="2" t="s">
        <v>2568</v>
      </c>
      <c r="C1296" s="6" t="n">
        <v>43223</v>
      </c>
      <c r="D1296" s="3" t="n">
        <v>10</v>
      </c>
      <c r="E1296" s="3" t="n">
        <v>2</v>
      </c>
      <c r="F1296" s="7" t="n">
        <f aca="false">IFERROR(Tableau1[[#This Row],[Score]]/Tableau1[[#This Row],[Nb]],0)</f>
        <v>0.2</v>
      </c>
    </row>
    <row r="1297" customFormat="false" ht="30" hidden="false" customHeight="true" outlineLevel="0" collapsed="false">
      <c r="A1297" s="1" t="s">
        <v>2569</v>
      </c>
      <c r="B1297" s="2" t="s">
        <v>2570</v>
      </c>
      <c r="C1297" s="6" t="n">
        <v>43223</v>
      </c>
      <c r="D1297" s="3" t="n">
        <v>8</v>
      </c>
      <c r="E1297" s="3" t="n">
        <v>2</v>
      </c>
      <c r="F1297" s="7" t="n">
        <f aca="false">IFERROR(Tableau1[[#This Row],[Score]]/Tableau1[[#This Row],[Nb]],0)</f>
        <v>0.25</v>
      </c>
    </row>
    <row r="1298" customFormat="false" ht="30" hidden="false" customHeight="true" outlineLevel="0" collapsed="false">
      <c r="A1298" s="1" t="s">
        <v>2571</v>
      </c>
      <c r="B1298" s="2" t="s">
        <v>2572</v>
      </c>
      <c r="C1298" s="6" t="n">
        <v>43223</v>
      </c>
      <c r="D1298" s="3" t="n">
        <v>19</v>
      </c>
      <c r="E1298" s="3" t="n">
        <v>5</v>
      </c>
      <c r="F1298" s="7" t="n">
        <f aca="false">IFERROR(Tableau1[[#This Row],[Score]]/Tableau1[[#This Row],[Nb]],0)</f>
        <v>0.263157894736842</v>
      </c>
    </row>
    <row r="1299" customFormat="false" ht="30" hidden="false" customHeight="true" outlineLevel="0" collapsed="false">
      <c r="A1299" s="1" t="s">
        <v>2573</v>
      </c>
      <c r="B1299" s="2" t="s">
        <v>2574</v>
      </c>
      <c r="C1299" s="6" t="n">
        <v>43223</v>
      </c>
      <c r="D1299" s="3" t="n">
        <v>12</v>
      </c>
      <c r="E1299" s="3" t="n">
        <v>4</v>
      </c>
      <c r="F1299" s="7" t="n">
        <f aca="false">IFERROR(Tableau1[[#This Row],[Score]]/Tableau1[[#This Row],[Nb]],0)</f>
        <v>0.333333333333333</v>
      </c>
    </row>
    <row r="1300" customFormat="false" ht="30" hidden="false" customHeight="true" outlineLevel="0" collapsed="false">
      <c r="A1300" s="1" t="s">
        <v>2575</v>
      </c>
      <c r="B1300" s="2" t="s">
        <v>2576</v>
      </c>
      <c r="C1300" s="6" t="n">
        <v>43223</v>
      </c>
      <c r="D1300" s="3" t="n">
        <v>7</v>
      </c>
      <c r="E1300" s="3" t="n">
        <v>3</v>
      </c>
      <c r="F1300" s="7" t="n">
        <f aca="false">IFERROR(Tableau1[[#This Row],[Score]]/Tableau1[[#This Row],[Nb]],0)</f>
        <v>0.428571428571429</v>
      </c>
    </row>
    <row r="1301" customFormat="false" ht="30" hidden="false" customHeight="true" outlineLevel="0" collapsed="false">
      <c r="A1301" s="1" t="s">
        <v>2577</v>
      </c>
      <c r="B1301" s="2" t="s">
        <v>2578</v>
      </c>
      <c r="C1301" s="6" t="n">
        <v>43223</v>
      </c>
      <c r="D1301" s="3" t="n">
        <v>9</v>
      </c>
      <c r="E1301" s="3" t="n">
        <v>3</v>
      </c>
      <c r="F1301" s="7" t="n">
        <f aca="false">IFERROR(Tableau1[[#This Row],[Score]]/Tableau1[[#This Row],[Nb]],0)</f>
        <v>0.333333333333333</v>
      </c>
    </row>
    <row r="1302" customFormat="false" ht="30" hidden="false" customHeight="true" outlineLevel="0" collapsed="false">
      <c r="A1302" s="1" t="s">
        <v>2579</v>
      </c>
      <c r="B1302" s="2" t="s">
        <v>2580</v>
      </c>
      <c r="C1302" s="6" t="n">
        <v>43223</v>
      </c>
      <c r="D1302" s="3" t="n">
        <v>9</v>
      </c>
      <c r="E1302" s="3" t="n">
        <v>3</v>
      </c>
      <c r="F1302" s="7" t="n">
        <f aca="false">IFERROR(Tableau1[[#This Row],[Score]]/Tableau1[[#This Row],[Nb]],0)</f>
        <v>0.333333333333333</v>
      </c>
    </row>
    <row r="1303" customFormat="false" ht="30" hidden="false" customHeight="true" outlineLevel="0" collapsed="false">
      <c r="A1303" s="1" t="s">
        <v>2581</v>
      </c>
      <c r="B1303" s="2" t="s">
        <v>2582</v>
      </c>
      <c r="C1303" s="6" t="n">
        <v>43223</v>
      </c>
      <c r="D1303" s="3" t="n">
        <v>14</v>
      </c>
      <c r="E1303" s="3" t="n">
        <v>6</v>
      </c>
      <c r="F1303" s="7" t="n">
        <f aca="false">IFERROR(Tableau1[[#This Row],[Score]]/Tableau1[[#This Row],[Nb]],0)</f>
        <v>0.428571428571429</v>
      </c>
    </row>
    <row r="1304" customFormat="false" ht="30" hidden="false" customHeight="true" outlineLevel="0" collapsed="false">
      <c r="A1304" s="1" t="s">
        <v>2583</v>
      </c>
      <c r="B1304" s="2" t="s">
        <v>2584</v>
      </c>
      <c r="C1304" s="6" t="n">
        <v>43223</v>
      </c>
      <c r="D1304" s="3" t="n">
        <v>8</v>
      </c>
      <c r="E1304" s="3" t="n">
        <v>4</v>
      </c>
      <c r="F1304" s="7" t="n">
        <f aca="false">IFERROR(Tableau1[[#This Row],[Score]]/Tableau1[[#This Row],[Nb]],0)</f>
        <v>0.5</v>
      </c>
    </row>
    <row r="1305" customFormat="false" ht="30" hidden="false" customHeight="true" outlineLevel="0" collapsed="false">
      <c r="A1305" s="1" t="s">
        <v>2585</v>
      </c>
      <c r="B1305" s="2" t="s">
        <v>2586</v>
      </c>
      <c r="C1305" s="6" t="n">
        <v>43223</v>
      </c>
      <c r="D1305" s="3" t="n">
        <v>14</v>
      </c>
      <c r="E1305" s="3" t="n">
        <v>8</v>
      </c>
      <c r="F1305" s="7" t="n">
        <f aca="false">IFERROR(Tableau1[[#This Row],[Score]]/Tableau1[[#This Row],[Nb]],0)</f>
        <v>0.571428571428571</v>
      </c>
    </row>
    <row r="1306" customFormat="false" ht="30" hidden="false" customHeight="true" outlineLevel="0" collapsed="false">
      <c r="A1306" s="1" t="s">
        <v>2587</v>
      </c>
      <c r="B1306" s="2" t="s">
        <v>2588</v>
      </c>
      <c r="C1306" s="6" t="n">
        <v>43223</v>
      </c>
      <c r="D1306" s="3" t="n">
        <v>10</v>
      </c>
      <c r="E1306" s="3" t="n">
        <v>6</v>
      </c>
      <c r="F1306" s="7" t="n">
        <f aca="false">IFERROR(Tableau1[[#This Row],[Score]]/Tableau1[[#This Row],[Nb]],0)</f>
        <v>0.6</v>
      </c>
    </row>
    <row r="1307" customFormat="false" ht="30" hidden="false" customHeight="true" outlineLevel="0" collapsed="false">
      <c r="A1307" s="1" t="s">
        <v>2589</v>
      </c>
      <c r="B1307" s="2" t="s">
        <v>2590</v>
      </c>
      <c r="C1307" s="6" t="n">
        <v>43223</v>
      </c>
      <c r="D1307" s="3" t="n">
        <v>15</v>
      </c>
      <c r="E1307" s="3" t="n">
        <v>9</v>
      </c>
      <c r="F1307" s="7" t="n">
        <f aca="false">IFERROR(Tableau1[[#This Row],[Score]]/Tableau1[[#This Row],[Nb]],0)</f>
        <v>0.6</v>
      </c>
    </row>
    <row r="1308" customFormat="false" ht="30" hidden="false" customHeight="true" outlineLevel="0" collapsed="false">
      <c r="A1308" s="1" t="s">
        <v>2591</v>
      </c>
      <c r="B1308" s="2" t="s">
        <v>2592</v>
      </c>
      <c r="C1308" s="6" t="n">
        <v>43223</v>
      </c>
      <c r="D1308" s="3" t="n">
        <v>13</v>
      </c>
      <c r="E1308" s="3" t="n">
        <v>9</v>
      </c>
      <c r="F1308" s="7" t="n">
        <f aca="false">IFERROR(Tableau1[[#This Row],[Score]]/Tableau1[[#This Row],[Nb]],0)</f>
        <v>0.692307692307692</v>
      </c>
    </row>
    <row r="1309" customFormat="false" ht="30" hidden="false" customHeight="true" outlineLevel="0" collapsed="false">
      <c r="A1309" s="1" t="s">
        <v>2593</v>
      </c>
      <c r="B1309" s="2" t="s">
        <v>2594</v>
      </c>
      <c r="C1309" s="6" t="n">
        <v>43223</v>
      </c>
      <c r="D1309" s="3" t="n">
        <v>13</v>
      </c>
      <c r="E1309" s="3" t="n">
        <v>9</v>
      </c>
      <c r="F1309" s="7" t="n">
        <f aca="false">IFERROR(Tableau1[[#This Row],[Score]]/Tableau1[[#This Row],[Nb]],0)</f>
        <v>0.692307692307692</v>
      </c>
    </row>
    <row r="1310" customFormat="false" ht="30" hidden="false" customHeight="true" outlineLevel="0" collapsed="false">
      <c r="A1310" s="1" t="s">
        <v>2595</v>
      </c>
      <c r="B1310" s="2" t="s">
        <v>2596</v>
      </c>
      <c r="C1310" s="6" t="n">
        <v>43223</v>
      </c>
      <c r="D1310" s="3" t="n">
        <v>18</v>
      </c>
      <c r="E1310" s="3" t="n">
        <v>14</v>
      </c>
      <c r="F1310" s="7" t="n">
        <f aca="false">IFERROR(Tableau1[[#This Row],[Score]]/Tableau1[[#This Row],[Nb]],0)</f>
        <v>0.777777777777778</v>
      </c>
    </row>
    <row r="1311" customFormat="false" ht="30" hidden="false" customHeight="true" outlineLevel="0" collapsed="false">
      <c r="A1311" s="1" t="s">
        <v>2597</v>
      </c>
      <c r="B1311" s="2" t="s">
        <v>2598</v>
      </c>
      <c r="C1311" s="6" t="n">
        <v>43223</v>
      </c>
      <c r="D1311" s="3" t="n">
        <v>12</v>
      </c>
      <c r="E1311" s="3" t="n">
        <v>10</v>
      </c>
      <c r="F1311" s="7" t="n">
        <f aca="false">IFERROR(Tableau1[[#This Row],[Score]]/Tableau1[[#This Row],[Nb]],0)</f>
        <v>0.833333333333333</v>
      </c>
    </row>
    <row r="1312" customFormat="false" ht="30" hidden="false" customHeight="true" outlineLevel="0" collapsed="false">
      <c r="A1312" s="1" t="s">
        <v>2599</v>
      </c>
      <c r="B1312" s="2" t="s">
        <v>2600</v>
      </c>
      <c r="C1312" s="6" t="n">
        <v>43223</v>
      </c>
      <c r="D1312" s="3" t="n">
        <v>15</v>
      </c>
      <c r="E1312" s="3" t="n">
        <v>13</v>
      </c>
      <c r="F1312" s="7" t="n">
        <f aca="false">IFERROR(Tableau1[[#This Row],[Score]]/Tableau1[[#This Row],[Nb]],0)</f>
        <v>0.866666666666667</v>
      </c>
    </row>
    <row r="1313" customFormat="false" ht="30" hidden="false" customHeight="true" outlineLevel="0" collapsed="false">
      <c r="A1313" s="1" t="s">
        <v>2601</v>
      </c>
      <c r="B1313" s="2" t="s">
        <v>2602</v>
      </c>
      <c r="C1313" s="6" t="n">
        <v>43223</v>
      </c>
      <c r="D1313" s="3" t="n">
        <v>9</v>
      </c>
      <c r="E1313" s="3" t="n">
        <v>9</v>
      </c>
      <c r="F1313" s="7" t="n">
        <f aca="false">IFERROR(Tableau1[[#This Row],[Score]]/Tableau1[[#This Row],[Nb]],0)</f>
        <v>1</v>
      </c>
    </row>
    <row r="1314" customFormat="false" ht="30" hidden="false" customHeight="true" outlineLevel="0" collapsed="false">
      <c r="A1314" s="1" t="s">
        <v>2603</v>
      </c>
      <c r="B1314" s="2" t="s">
        <v>2604</v>
      </c>
      <c r="C1314" s="6" t="n">
        <v>43223</v>
      </c>
      <c r="D1314" s="3" t="n">
        <v>9</v>
      </c>
      <c r="E1314" s="3" t="n">
        <v>9</v>
      </c>
      <c r="F1314" s="7" t="n">
        <f aca="false">IFERROR(Tableau1[[#This Row],[Score]]/Tableau1[[#This Row],[Nb]],0)</f>
        <v>1</v>
      </c>
    </row>
    <row r="1315" customFormat="false" ht="30" hidden="false" customHeight="true" outlineLevel="0" collapsed="false">
      <c r="A1315" s="1" t="s">
        <v>2605</v>
      </c>
      <c r="B1315" s="2" t="s">
        <v>2606</v>
      </c>
      <c r="C1315" s="6" t="n">
        <v>43223</v>
      </c>
      <c r="D1315" s="3" t="n">
        <v>9</v>
      </c>
      <c r="E1315" s="3" t="n">
        <v>9</v>
      </c>
      <c r="F1315" s="7" t="n">
        <f aca="false">IFERROR(Tableau1[[#This Row],[Score]]/Tableau1[[#This Row],[Nb]],0)</f>
        <v>1</v>
      </c>
    </row>
    <row r="1316" customFormat="false" ht="30" hidden="false" customHeight="true" outlineLevel="0" collapsed="false">
      <c r="A1316" s="1" t="s">
        <v>2607</v>
      </c>
      <c r="B1316" s="2" t="s">
        <v>2608</v>
      </c>
      <c r="C1316" s="6" t="n">
        <v>43223</v>
      </c>
      <c r="D1316" s="3" t="n">
        <v>9</v>
      </c>
      <c r="E1316" s="3" t="n">
        <v>9</v>
      </c>
      <c r="F1316" s="7" t="n">
        <f aca="false">IFERROR(Tableau1[[#This Row],[Score]]/Tableau1[[#This Row],[Nb]],0)</f>
        <v>1</v>
      </c>
    </row>
    <row r="1317" customFormat="false" ht="30" hidden="false" customHeight="true" outlineLevel="0" collapsed="false">
      <c r="A1317" s="1" t="s">
        <v>2609</v>
      </c>
      <c r="B1317" s="2" t="s">
        <v>2610</v>
      </c>
      <c r="C1317" s="6" t="n">
        <v>43223</v>
      </c>
      <c r="D1317" s="3" t="n">
        <v>7</v>
      </c>
      <c r="E1317" s="3" t="n">
        <v>7</v>
      </c>
      <c r="F1317" s="7" t="n">
        <f aca="false">IFERROR(Tableau1[[#This Row],[Score]]/Tableau1[[#This Row],[Nb]],0)</f>
        <v>1</v>
      </c>
    </row>
    <row r="1318" customFormat="false" ht="30" hidden="false" customHeight="true" outlineLevel="0" collapsed="false">
      <c r="A1318" s="1" t="s">
        <v>2611</v>
      </c>
      <c r="B1318" s="2" t="s">
        <v>2612</v>
      </c>
      <c r="C1318" s="6" t="n">
        <v>43223</v>
      </c>
      <c r="D1318" s="3" t="n">
        <v>7</v>
      </c>
      <c r="E1318" s="3" t="n">
        <v>7</v>
      </c>
      <c r="F1318" s="7" t="n">
        <f aca="false">IFERROR(Tableau1[[#This Row],[Score]]/Tableau1[[#This Row],[Nb]],0)</f>
        <v>1</v>
      </c>
    </row>
    <row r="1319" customFormat="false" ht="30" hidden="false" customHeight="true" outlineLevel="0" collapsed="false">
      <c r="A1319" s="8" t="s">
        <v>2613</v>
      </c>
      <c r="B1319" s="9" t="s">
        <v>2614</v>
      </c>
      <c r="C1319" s="6" t="n">
        <v>43223</v>
      </c>
      <c r="D1319" s="3" t="n">
        <v>12</v>
      </c>
      <c r="E1319" s="3" t="n">
        <v>12</v>
      </c>
      <c r="F1319" s="7" t="n">
        <f aca="false">IFERROR(Tableau1[[#This Row],[Score]]/Tableau1[[#This Row],[Nb]],0)</f>
        <v>1</v>
      </c>
    </row>
    <row r="1320" customFormat="false" ht="30" hidden="false" customHeight="true" outlineLevel="0" collapsed="false">
      <c r="A1320" s="1" t="s">
        <v>2615</v>
      </c>
      <c r="B1320" s="2" t="s">
        <v>2616</v>
      </c>
      <c r="C1320" s="6" t="n">
        <v>43224</v>
      </c>
      <c r="D1320" s="3" t="n">
        <v>9</v>
      </c>
      <c r="E1320" s="3" t="n">
        <v>-9</v>
      </c>
      <c r="F1320" s="7" t="n">
        <f aca="false">IFERROR(Tableau1[[#This Row],[Score]]/Tableau1[[#This Row],[Nb]],0)</f>
        <v>-1</v>
      </c>
    </row>
    <row r="1321" customFormat="false" ht="30" hidden="false" customHeight="true" outlineLevel="0" collapsed="false">
      <c r="A1321" s="1" t="s">
        <v>2617</v>
      </c>
      <c r="B1321" s="2" t="s">
        <v>2618</v>
      </c>
      <c r="C1321" s="6" t="n">
        <v>43224</v>
      </c>
      <c r="D1321" s="3" t="n">
        <v>13</v>
      </c>
      <c r="E1321" s="3" t="n">
        <v>1</v>
      </c>
      <c r="F1321" s="7" t="n">
        <f aca="false">IFERROR(Tableau1[[#This Row],[Score]]/Tableau1[[#This Row],[Nb]],0)</f>
        <v>0.0769230769230769</v>
      </c>
    </row>
    <row r="1322" customFormat="false" ht="30" hidden="false" customHeight="true" outlineLevel="0" collapsed="false">
      <c r="A1322" s="1" t="s">
        <v>2619</v>
      </c>
      <c r="B1322" s="2" t="s">
        <v>2620</v>
      </c>
      <c r="C1322" s="6" t="n">
        <v>43224</v>
      </c>
      <c r="D1322" s="3" t="n">
        <v>10</v>
      </c>
      <c r="E1322" s="3" t="n">
        <v>2</v>
      </c>
      <c r="F1322" s="7" t="n">
        <f aca="false">IFERROR(Tableau1[[#This Row],[Score]]/Tableau1[[#This Row],[Nb]],0)</f>
        <v>0.2</v>
      </c>
    </row>
    <row r="1323" customFormat="false" ht="30" hidden="false" customHeight="true" outlineLevel="0" collapsed="false">
      <c r="A1323" s="1" t="s">
        <v>2621</v>
      </c>
      <c r="B1323" s="2" t="s">
        <v>2622</v>
      </c>
      <c r="C1323" s="6" t="n">
        <v>43224</v>
      </c>
      <c r="D1323" s="3" t="n">
        <v>8</v>
      </c>
      <c r="E1323" s="3" t="n">
        <v>8</v>
      </c>
      <c r="F1323" s="7" t="n">
        <f aca="false">IFERROR(Tableau1[[#This Row],[Score]]/Tableau1[[#This Row],[Nb]],0)</f>
        <v>1</v>
      </c>
    </row>
    <row r="1324" customFormat="false" ht="30" hidden="false" customHeight="true" outlineLevel="0" collapsed="false">
      <c r="A1324" s="1" t="s">
        <v>2195</v>
      </c>
      <c r="B1324" s="2" t="s">
        <v>2623</v>
      </c>
      <c r="C1324" s="6" t="n">
        <v>43226</v>
      </c>
      <c r="D1324" s="3" t="n">
        <v>11</v>
      </c>
      <c r="E1324" s="3" t="n">
        <v>-3</v>
      </c>
      <c r="F1324" s="7" t="n">
        <f aca="false">IFERROR(Tableau1[[#This Row],[Score]]/Tableau1[[#This Row],[Nb]],0)</f>
        <v>-0.272727272727273</v>
      </c>
    </row>
    <row r="1325" customFormat="false" ht="30" hidden="false" customHeight="true" outlineLevel="0" collapsed="false">
      <c r="A1325" s="1" t="s">
        <v>2624</v>
      </c>
      <c r="B1325" s="2" t="s">
        <v>2625</v>
      </c>
      <c r="C1325" s="6" t="n">
        <v>43226</v>
      </c>
      <c r="D1325" s="3" t="n">
        <v>13</v>
      </c>
      <c r="E1325" s="3" t="n">
        <v>9</v>
      </c>
      <c r="F1325" s="7" t="n">
        <f aca="false">IFERROR(Tableau1[[#This Row],[Score]]/Tableau1[[#This Row],[Nb]],0)</f>
        <v>0.692307692307692</v>
      </c>
    </row>
    <row r="1326" customFormat="false" ht="30" hidden="false" customHeight="true" outlineLevel="0" collapsed="false">
      <c r="A1326" s="1" t="s">
        <v>2626</v>
      </c>
      <c r="B1326" s="2" t="s">
        <v>2627</v>
      </c>
      <c r="C1326" s="6" t="n">
        <v>43227</v>
      </c>
      <c r="D1326" s="3" t="n">
        <v>7</v>
      </c>
      <c r="E1326" s="3" t="n">
        <v>5</v>
      </c>
      <c r="F1326" s="7" t="n">
        <f aca="false">IFERROR(Tableau1[[#This Row],[Score]]/Tableau1[[#This Row],[Nb]],0)</f>
        <v>0.714285714285714</v>
      </c>
    </row>
    <row r="1327" customFormat="false" ht="30" hidden="false" customHeight="true" outlineLevel="0" collapsed="false">
      <c r="A1327" s="1" t="s">
        <v>2628</v>
      </c>
      <c r="B1327" s="2" t="s">
        <v>2629</v>
      </c>
      <c r="C1327" s="6" t="n">
        <v>43228</v>
      </c>
      <c r="D1327" s="3" t="n">
        <v>8</v>
      </c>
      <c r="E1327" s="3" t="n">
        <v>-8</v>
      </c>
      <c r="F1327" s="7" t="n">
        <f aca="false">IFERROR(Tableau1[[#This Row],[Score]]/Tableau1[[#This Row],[Nb]],0)</f>
        <v>-1</v>
      </c>
    </row>
    <row r="1328" customFormat="false" ht="30" hidden="false" customHeight="true" outlineLevel="0" collapsed="false">
      <c r="A1328" s="1" t="s">
        <v>2630</v>
      </c>
      <c r="B1328" s="2" t="s">
        <v>2631</v>
      </c>
      <c r="C1328" s="6" t="n">
        <v>43228</v>
      </c>
      <c r="D1328" s="3" t="n">
        <v>11</v>
      </c>
      <c r="E1328" s="3" t="n">
        <v>-11</v>
      </c>
      <c r="F1328" s="7" t="n">
        <f aca="false">IFERROR(Tableau1[[#This Row],[Score]]/Tableau1[[#This Row],[Nb]],0)</f>
        <v>-1</v>
      </c>
    </row>
    <row r="1329" customFormat="false" ht="30" hidden="false" customHeight="true" outlineLevel="0" collapsed="false">
      <c r="A1329" s="1" t="s">
        <v>2632</v>
      </c>
      <c r="B1329" s="2" t="s">
        <v>2633</v>
      </c>
      <c r="C1329" s="6" t="n">
        <v>43228</v>
      </c>
      <c r="D1329" s="3" t="n">
        <v>12</v>
      </c>
      <c r="E1329" s="3" t="n">
        <v>-10</v>
      </c>
      <c r="F1329" s="7" t="n">
        <f aca="false">IFERROR(Tableau1[[#This Row],[Score]]/Tableau1[[#This Row],[Nb]],0)</f>
        <v>-0.833333333333333</v>
      </c>
    </row>
    <row r="1330" customFormat="false" ht="30" hidden="false" customHeight="true" outlineLevel="0" collapsed="false">
      <c r="A1330" s="1" t="s">
        <v>2634</v>
      </c>
      <c r="B1330" s="2" t="s">
        <v>2635</v>
      </c>
      <c r="C1330" s="6" t="n">
        <v>43228</v>
      </c>
      <c r="D1330" s="3" t="n">
        <v>10</v>
      </c>
      <c r="E1330" s="3" t="n">
        <v>-8</v>
      </c>
      <c r="F1330" s="7" t="n">
        <f aca="false">IFERROR(Tableau1[[#This Row],[Score]]/Tableau1[[#This Row],[Nb]],0)</f>
        <v>-0.8</v>
      </c>
    </row>
    <row r="1331" customFormat="false" ht="30" hidden="false" customHeight="true" outlineLevel="0" collapsed="false">
      <c r="A1331" s="1" t="s">
        <v>2636</v>
      </c>
      <c r="B1331" s="2" t="s">
        <v>2637</v>
      </c>
      <c r="C1331" s="6" t="n">
        <v>43228</v>
      </c>
      <c r="D1331" s="3" t="n">
        <v>16</v>
      </c>
      <c r="E1331" s="3" t="n">
        <v>-8</v>
      </c>
      <c r="F1331" s="7" t="n">
        <f aca="false">IFERROR(Tableau1[[#This Row],[Score]]/Tableau1[[#This Row],[Nb]],0)</f>
        <v>-0.5</v>
      </c>
    </row>
    <row r="1332" customFormat="false" ht="30" hidden="false" customHeight="true" outlineLevel="0" collapsed="false">
      <c r="A1332" s="1" t="s">
        <v>2638</v>
      </c>
      <c r="B1332" s="2" t="s">
        <v>2639</v>
      </c>
      <c r="C1332" s="6" t="n">
        <v>43228</v>
      </c>
      <c r="D1332" s="3" t="n">
        <v>13</v>
      </c>
      <c r="E1332" s="3" t="n">
        <v>-5</v>
      </c>
      <c r="F1332" s="7" t="n">
        <f aca="false">IFERROR(Tableau1[[#This Row],[Score]]/Tableau1[[#This Row],[Nb]],0)</f>
        <v>-0.384615384615385</v>
      </c>
    </row>
    <row r="1333" customFormat="false" ht="30" hidden="false" customHeight="true" outlineLevel="0" collapsed="false">
      <c r="A1333" s="1" t="s">
        <v>2640</v>
      </c>
      <c r="B1333" s="2" t="s">
        <v>2641</v>
      </c>
      <c r="C1333" s="6" t="n">
        <v>43228</v>
      </c>
      <c r="D1333" s="3" t="n">
        <v>9</v>
      </c>
      <c r="E1333" s="3" t="n">
        <v>-3</v>
      </c>
      <c r="F1333" s="7" t="n">
        <f aca="false">IFERROR(Tableau1[[#This Row],[Score]]/Tableau1[[#This Row],[Nb]],0)</f>
        <v>-0.333333333333333</v>
      </c>
    </row>
    <row r="1334" customFormat="false" ht="30" hidden="false" customHeight="true" outlineLevel="0" collapsed="false">
      <c r="A1334" s="1" t="s">
        <v>2642</v>
      </c>
      <c r="B1334" s="2" t="s">
        <v>2643</v>
      </c>
      <c r="C1334" s="6" t="n">
        <v>43228</v>
      </c>
      <c r="D1334" s="3" t="n">
        <v>5</v>
      </c>
      <c r="E1334" s="3" t="n">
        <v>-1</v>
      </c>
      <c r="F1334" s="7" t="n">
        <f aca="false">IFERROR(Tableau1[[#This Row],[Score]]/Tableau1[[#This Row],[Nb]],0)</f>
        <v>-0.2</v>
      </c>
    </row>
    <row r="1335" customFormat="false" ht="30" hidden="false" customHeight="true" outlineLevel="0" collapsed="false">
      <c r="A1335" s="1" t="s">
        <v>2644</v>
      </c>
      <c r="B1335" s="2" t="s">
        <v>2645</v>
      </c>
      <c r="C1335" s="6" t="n">
        <v>43228</v>
      </c>
      <c r="D1335" s="3" t="n">
        <v>12</v>
      </c>
      <c r="E1335" s="3" t="n">
        <v>0</v>
      </c>
      <c r="F1335" s="7" t="n">
        <f aca="false">IFERROR(Tableau1[[#This Row],[Score]]/Tableau1[[#This Row],[Nb]],0)</f>
        <v>0</v>
      </c>
    </row>
    <row r="1336" customFormat="false" ht="30" hidden="false" customHeight="true" outlineLevel="0" collapsed="false">
      <c r="A1336" s="1" t="s">
        <v>2646</v>
      </c>
      <c r="B1336" s="2" t="s">
        <v>2647</v>
      </c>
      <c r="C1336" s="6" t="n">
        <v>43228</v>
      </c>
      <c r="D1336" s="3" t="n">
        <v>15</v>
      </c>
      <c r="E1336" s="3" t="n">
        <v>1</v>
      </c>
      <c r="F1336" s="7" t="n">
        <f aca="false">IFERROR(Tableau1[[#This Row],[Score]]/Tableau1[[#This Row],[Nb]],0)</f>
        <v>0.0666666666666667</v>
      </c>
    </row>
    <row r="1337" customFormat="false" ht="30" hidden="false" customHeight="true" outlineLevel="0" collapsed="false">
      <c r="A1337" s="1" t="s">
        <v>2648</v>
      </c>
      <c r="B1337" s="2" t="s">
        <v>2649</v>
      </c>
      <c r="C1337" s="6" t="n">
        <v>43228</v>
      </c>
      <c r="D1337" s="3" t="n">
        <v>8</v>
      </c>
      <c r="E1337" s="3" t="n">
        <v>2</v>
      </c>
      <c r="F1337" s="7" t="n">
        <f aca="false">IFERROR(Tableau1[[#This Row],[Score]]/Tableau1[[#This Row],[Nb]],0)</f>
        <v>0.25</v>
      </c>
    </row>
    <row r="1338" customFormat="false" ht="30" hidden="false" customHeight="true" outlineLevel="0" collapsed="false">
      <c r="A1338" s="1" t="s">
        <v>2650</v>
      </c>
      <c r="B1338" s="2" t="s">
        <v>2651</v>
      </c>
      <c r="C1338" s="6" t="n">
        <v>43228</v>
      </c>
      <c r="D1338" s="3" t="n">
        <v>9</v>
      </c>
      <c r="E1338" s="3" t="n">
        <v>3</v>
      </c>
      <c r="F1338" s="7" t="n">
        <f aca="false">IFERROR(Tableau1[[#This Row],[Score]]/Tableau1[[#This Row],[Nb]],0)</f>
        <v>0.333333333333333</v>
      </c>
    </row>
    <row r="1339" customFormat="false" ht="30" hidden="false" customHeight="true" outlineLevel="0" collapsed="false">
      <c r="A1339" s="1" t="s">
        <v>2652</v>
      </c>
      <c r="B1339" s="2" t="s">
        <v>2653</v>
      </c>
      <c r="C1339" s="6" t="n">
        <v>43228</v>
      </c>
      <c r="D1339" s="3" t="n">
        <v>6</v>
      </c>
      <c r="E1339" s="3" t="n">
        <v>2</v>
      </c>
      <c r="F1339" s="7" t="n">
        <f aca="false">IFERROR(Tableau1[[#This Row],[Score]]/Tableau1[[#This Row],[Nb]],0)</f>
        <v>0.333333333333333</v>
      </c>
    </row>
    <row r="1340" customFormat="false" ht="30" hidden="false" customHeight="true" outlineLevel="0" collapsed="false">
      <c r="A1340" s="1" t="s">
        <v>2654</v>
      </c>
      <c r="B1340" s="2" t="s">
        <v>2655</v>
      </c>
      <c r="C1340" s="6" t="n">
        <v>43228</v>
      </c>
      <c r="D1340" s="3" t="n">
        <v>16</v>
      </c>
      <c r="E1340" s="3" t="n">
        <v>6</v>
      </c>
      <c r="F1340" s="7" t="n">
        <f aca="false">IFERROR(Tableau1[[#This Row],[Score]]/Tableau1[[#This Row],[Nb]],0)</f>
        <v>0.375</v>
      </c>
    </row>
    <row r="1341" customFormat="false" ht="30" hidden="false" customHeight="true" outlineLevel="0" collapsed="false">
      <c r="A1341" s="1" t="s">
        <v>2656</v>
      </c>
      <c r="B1341" s="2" t="s">
        <v>2657</v>
      </c>
      <c r="C1341" s="6" t="n">
        <v>43228</v>
      </c>
      <c r="D1341" s="3" t="n">
        <v>13</v>
      </c>
      <c r="E1341" s="3" t="n">
        <v>5</v>
      </c>
      <c r="F1341" s="7" t="n">
        <f aca="false">IFERROR(Tableau1[[#This Row],[Score]]/Tableau1[[#This Row],[Nb]],0)</f>
        <v>0.384615384615385</v>
      </c>
    </row>
    <row r="1342" customFormat="false" ht="30" hidden="false" customHeight="true" outlineLevel="0" collapsed="false">
      <c r="A1342" s="1" t="s">
        <v>2658</v>
      </c>
      <c r="B1342" s="2" t="s">
        <v>2659</v>
      </c>
      <c r="C1342" s="6" t="n">
        <v>43228</v>
      </c>
      <c r="D1342" s="3" t="n">
        <v>9</v>
      </c>
      <c r="E1342" s="3" t="n">
        <v>5</v>
      </c>
      <c r="F1342" s="7" t="n">
        <f aca="false">IFERROR(Tableau1[[#This Row],[Score]]/Tableau1[[#This Row],[Nb]],0)</f>
        <v>0.555555555555556</v>
      </c>
    </row>
    <row r="1343" customFormat="false" ht="30" hidden="false" customHeight="true" outlineLevel="0" collapsed="false">
      <c r="A1343" s="1" t="s">
        <v>2660</v>
      </c>
      <c r="B1343" s="2" t="s">
        <v>2661</v>
      </c>
      <c r="C1343" s="6" t="n">
        <v>43228</v>
      </c>
      <c r="D1343" s="3" t="n">
        <v>9</v>
      </c>
      <c r="E1343" s="3" t="n">
        <v>5</v>
      </c>
      <c r="F1343" s="7" t="n">
        <f aca="false">IFERROR(Tableau1[[#This Row],[Score]]/Tableau1[[#This Row],[Nb]],0)</f>
        <v>0.555555555555556</v>
      </c>
    </row>
    <row r="1344" customFormat="false" ht="30" hidden="false" customHeight="true" outlineLevel="0" collapsed="false">
      <c r="A1344" s="1" t="s">
        <v>2662</v>
      </c>
      <c r="B1344" s="2" t="s">
        <v>2663</v>
      </c>
      <c r="C1344" s="6" t="n">
        <v>43228</v>
      </c>
      <c r="D1344" s="3" t="n">
        <v>11</v>
      </c>
      <c r="E1344" s="3" t="n">
        <v>7</v>
      </c>
      <c r="F1344" s="7" t="n">
        <f aca="false">IFERROR(Tableau1[[#This Row],[Score]]/Tableau1[[#This Row],[Nb]],0)</f>
        <v>0.636363636363636</v>
      </c>
    </row>
    <row r="1345" customFormat="false" ht="30" hidden="false" customHeight="true" outlineLevel="0" collapsed="false">
      <c r="A1345" s="1" t="s">
        <v>2664</v>
      </c>
      <c r="B1345" s="2" t="s">
        <v>2665</v>
      </c>
      <c r="C1345" s="6" t="n">
        <v>43228</v>
      </c>
      <c r="D1345" s="3" t="n">
        <v>13</v>
      </c>
      <c r="E1345" s="3" t="n">
        <v>9</v>
      </c>
      <c r="F1345" s="7" t="n">
        <f aca="false">IFERROR(Tableau1[[#This Row],[Score]]/Tableau1[[#This Row],[Nb]],0)</f>
        <v>0.692307692307692</v>
      </c>
    </row>
    <row r="1346" customFormat="false" ht="30" hidden="false" customHeight="true" outlineLevel="0" collapsed="false">
      <c r="A1346" s="1" t="s">
        <v>2666</v>
      </c>
      <c r="B1346" s="2" t="s">
        <v>2667</v>
      </c>
      <c r="C1346" s="6" t="n">
        <v>43228</v>
      </c>
      <c r="D1346" s="3" t="n">
        <v>7</v>
      </c>
      <c r="E1346" s="3" t="n">
        <v>5</v>
      </c>
      <c r="F1346" s="7" t="n">
        <f aca="false">IFERROR(Tableau1[[#This Row],[Score]]/Tableau1[[#This Row],[Nb]],0)</f>
        <v>0.714285714285714</v>
      </c>
    </row>
    <row r="1347" customFormat="false" ht="30" hidden="false" customHeight="true" outlineLevel="0" collapsed="false">
      <c r="A1347" s="1" t="s">
        <v>2668</v>
      </c>
      <c r="B1347" s="2" t="s">
        <v>2669</v>
      </c>
      <c r="C1347" s="6" t="n">
        <v>43228</v>
      </c>
      <c r="D1347" s="3" t="n">
        <v>15</v>
      </c>
      <c r="E1347" s="3" t="n">
        <v>11</v>
      </c>
      <c r="F1347" s="7" t="n">
        <f aca="false">IFERROR(Tableau1[[#This Row],[Score]]/Tableau1[[#This Row],[Nb]],0)</f>
        <v>0.733333333333333</v>
      </c>
    </row>
    <row r="1348" customFormat="false" ht="30" hidden="false" customHeight="true" outlineLevel="0" collapsed="false">
      <c r="A1348" s="8" t="s">
        <v>2670</v>
      </c>
      <c r="B1348" s="9" t="s">
        <v>2671</v>
      </c>
      <c r="C1348" s="6" t="n">
        <v>43228</v>
      </c>
      <c r="D1348" s="3" t="n">
        <v>10</v>
      </c>
      <c r="E1348" s="3" t="n">
        <v>10</v>
      </c>
      <c r="F1348" s="7" t="n">
        <f aca="false">IFERROR(Tableau1[[#This Row],[Score]]/Tableau1[[#This Row],[Nb]],0)</f>
        <v>1</v>
      </c>
    </row>
    <row r="1349" customFormat="false" ht="30" hidden="false" customHeight="true" outlineLevel="0" collapsed="false">
      <c r="A1349" s="1" t="s">
        <v>2672</v>
      </c>
      <c r="B1349" s="2" t="s">
        <v>2673</v>
      </c>
      <c r="C1349" s="6" t="n">
        <v>43228</v>
      </c>
      <c r="D1349" s="3" t="n">
        <v>9</v>
      </c>
      <c r="E1349" s="3" t="n">
        <v>9</v>
      </c>
      <c r="F1349" s="7" t="n">
        <f aca="false">IFERROR(Tableau1[[#This Row],[Score]]/Tableau1[[#This Row],[Nb]],0)</f>
        <v>1</v>
      </c>
    </row>
    <row r="1350" customFormat="false" ht="30" hidden="false" customHeight="true" outlineLevel="0" collapsed="false">
      <c r="A1350" s="1" t="s">
        <v>2674</v>
      </c>
      <c r="B1350" s="2" t="s">
        <v>2675</v>
      </c>
      <c r="C1350" s="6" t="n">
        <v>43228</v>
      </c>
      <c r="D1350" s="3" t="n">
        <v>5</v>
      </c>
      <c r="E1350" s="3" t="n">
        <v>5</v>
      </c>
      <c r="F1350" s="7" t="n">
        <f aca="false">IFERROR(Tableau1[[#This Row],[Score]]/Tableau1[[#This Row],[Nb]],0)</f>
        <v>1</v>
      </c>
    </row>
    <row r="1351" customFormat="false" ht="30" hidden="false" customHeight="true" outlineLevel="0" collapsed="false">
      <c r="A1351" s="1" t="s">
        <v>2676</v>
      </c>
      <c r="B1351" s="2" t="s">
        <v>2677</v>
      </c>
      <c r="C1351" s="6" t="n">
        <v>43228</v>
      </c>
      <c r="D1351" s="3" t="n">
        <v>5</v>
      </c>
      <c r="E1351" s="3" t="n">
        <v>5</v>
      </c>
      <c r="F1351" s="7" t="n">
        <f aca="false">IFERROR(Tableau1[[#This Row],[Score]]/Tableau1[[#This Row],[Nb]],0)</f>
        <v>1</v>
      </c>
    </row>
    <row r="1352" customFormat="false" ht="30" hidden="false" customHeight="true" outlineLevel="0" collapsed="false">
      <c r="A1352" s="1" t="s">
        <v>2678</v>
      </c>
      <c r="B1352" s="2" t="s">
        <v>2679</v>
      </c>
      <c r="C1352" s="6" t="n">
        <v>43228</v>
      </c>
      <c r="D1352" s="3" t="n">
        <v>6</v>
      </c>
      <c r="E1352" s="3" t="n">
        <v>6</v>
      </c>
      <c r="F1352" s="7" t="n">
        <f aca="false">IFERROR(Tableau1[[#This Row],[Score]]/Tableau1[[#This Row],[Nb]],0)</f>
        <v>1</v>
      </c>
    </row>
    <row r="1353" customFormat="false" ht="30" hidden="false" customHeight="true" outlineLevel="0" collapsed="false">
      <c r="A1353" s="1" t="s">
        <v>2680</v>
      </c>
      <c r="B1353" s="2" t="s">
        <v>2681</v>
      </c>
      <c r="C1353" s="6" t="n">
        <v>43228</v>
      </c>
      <c r="D1353" s="3" t="n">
        <v>6</v>
      </c>
      <c r="E1353" s="3" t="n">
        <v>6</v>
      </c>
      <c r="F1353" s="7" t="n">
        <f aca="false">IFERROR(Tableau1[[#This Row],[Score]]/Tableau1[[#This Row],[Nb]],0)</f>
        <v>1</v>
      </c>
    </row>
    <row r="1354" customFormat="false" ht="30" hidden="false" customHeight="true" outlineLevel="0" collapsed="false">
      <c r="A1354" s="1" t="s">
        <v>2682</v>
      </c>
      <c r="B1354" s="2" t="s">
        <v>2683</v>
      </c>
      <c r="C1354" s="6" t="n">
        <v>43228</v>
      </c>
      <c r="D1354" s="3" t="n">
        <v>5</v>
      </c>
      <c r="E1354" s="3" t="n">
        <v>5</v>
      </c>
      <c r="F1354" s="7" t="n">
        <f aca="false">IFERROR(Tableau1[[#This Row],[Score]]/Tableau1[[#This Row],[Nb]],0)</f>
        <v>1</v>
      </c>
    </row>
    <row r="1355" customFormat="false" ht="30" hidden="false" customHeight="true" outlineLevel="0" collapsed="false">
      <c r="A1355" s="1" t="s">
        <v>2684</v>
      </c>
      <c r="B1355" s="2" t="s">
        <v>2685</v>
      </c>
      <c r="C1355" s="6" t="n">
        <v>43228</v>
      </c>
      <c r="D1355" s="3" t="n">
        <v>7</v>
      </c>
      <c r="E1355" s="3" t="n">
        <v>7</v>
      </c>
      <c r="F1355" s="7" t="n">
        <f aca="false">IFERROR(Tableau1[[#This Row],[Score]]/Tableau1[[#This Row],[Nb]],0)</f>
        <v>1</v>
      </c>
    </row>
    <row r="1356" customFormat="false" ht="30" hidden="false" customHeight="true" outlineLevel="0" collapsed="false">
      <c r="A1356" s="1" t="s">
        <v>2686</v>
      </c>
      <c r="B1356" s="2" t="s">
        <v>2687</v>
      </c>
      <c r="C1356" s="6" t="n">
        <v>43229</v>
      </c>
      <c r="D1356" s="3" t="n">
        <v>7</v>
      </c>
      <c r="E1356" s="3" t="n">
        <v>-7</v>
      </c>
      <c r="F1356" s="7" t="n">
        <f aca="false">IFERROR(Tableau1[[#This Row],[Score]]/Tableau1[[#This Row],[Nb]],0)</f>
        <v>-1</v>
      </c>
    </row>
    <row r="1357" customFormat="false" ht="30" hidden="false" customHeight="true" outlineLevel="0" collapsed="false">
      <c r="A1357" s="1" t="s">
        <v>2688</v>
      </c>
      <c r="B1357" s="2" t="s">
        <v>2689</v>
      </c>
      <c r="C1357" s="6" t="n">
        <v>43229</v>
      </c>
      <c r="D1357" s="3" t="n">
        <v>5</v>
      </c>
      <c r="E1357" s="3" t="n">
        <v>-1</v>
      </c>
      <c r="F1357" s="7" t="n">
        <f aca="false">IFERROR(Tableau1[[#This Row],[Score]]/Tableau1[[#This Row],[Nb]],0)</f>
        <v>-0.2</v>
      </c>
    </row>
    <row r="1358" customFormat="false" ht="30" hidden="false" customHeight="true" outlineLevel="0" collapsed="false">
      <c r="A1358" s="1" t="s">
        <v>2690</v>
      </c>
      <c r="B1358" s="2" t="s">
        <v>2691</v>
      </c>
      <c r="C1358" s="6" t="n">
        <v>43229</v>
      </c>
      <c r="D1358" s="3" t="n">
        <v>9</v>
      </c>
      <c r="E1358" s="3" t="n">
        <v>1</v>
      </c>
      <c r="F1358" s="7" t="n">
        <f aca="false">IFERROR(Tableau1[[#This Row],[Score]]/Tableau1[[#This Row],[Nb]],0)</f>
        <v>0.111111111111111</v>
      </c>
    </row>
    <row r="1359" customFormat="false" ht="30" hidden="false" customHeight="true" outlineLevel="0" collapsed="false">
      <c r="A1359" s="1" t="s">
        <v>2692</v>
      </c>
      <c r="B1359" s="2" t="s">
        <v>2693</v>
      </c>
      <c r="C1359" s="6" t="n">
        <v>43229</v>
      </c>
      <c r="D1359" s="3" t="n">
        <v>12</v>
      </c>
      <c r="E1359" s="3" t="n">
        <v>6</v>
      </c>
      <c r="F1359" s="7" t="n">
        <f aca="false">IFERROR(Tableau1[[#This Row],[Score]]/Tableau1[[#This Row],[Nb]],0)</f>
        <v>0.5</v>
      </c>
    </row>
    <row r="1360" customFormat="false" ht="30" hidden="false" customHeight="true" outlineLevel="0" collapsed="false">
      <c r="A1360" s="1" t="s">
        <v>2694</v>
      </c>
      <c r="B1360" s="2" t="s">
        <v>2695</v>
      </c>
      <c r="C1360" s="6" t="n">
        <v>43229</v>
      </c>
      <c r="D1360" s="3" t="n">
        <v>8</v>
      </c>
      <c r="E1360" s="3" t="n">
        <v>6</v>
      </c>
      <c r="F1360" s="7" t="n">
        <f aca="false">IFERROR(Tableau1[[#This Row],[Score]]/Tableau1[[#This Row],[Nb]],0)</f>
        <v>0.75</v>
      </c>
    </row>
    <row r="1361" customFormat="false" ht="30" hidden="false" customHeight="true" outlineLevel="0" collapsed="false">
      <c r="A1361" s="1" t="s">
        <v>2696</v>
      </c>
      <c r="B1361" s="2" t="s">
        <v>2697</v>
      </c>
      <c r="C1361" s="6" t="n">
        <v>43229</v>
      </c>
      <c r="D1361" s="3" t="n">
        <v>8</v>
      </c>
      <c r="E1361" s="3" t="n">
        <v>6</v>
      </c>
      <c r="F1361" s="7" t="n">
        <f aca="false">IFERROR(Tableau1[[#This Row],[Score]]/Tableau1[[#This Row],[Nb]],0)</f>
        <v>0.75</v>
      </c>
    </row>
    <row r="1362" customFormat="false" ht="30" hidden="false" customHeight="true" outlineLevel="0" collapsed="false">
      <c r="A1362" s="1" t="s">
        <v>2698</v>
      </c>
      <c r="B1362" s="2" t="s">
        <v>2699</v>
      </c>
      <c r="C1362" s="6" t="n">
        <v>43229</v>
      </c>
      <c r="D1362" s="3" t="n">
        <v>8</v>
      </c>
      <c r="E1362" s="3" t="n">
        <v>6</v>
      </c>
      <c r="F1362" s="7" t="n">
        <f aca="false">IFERROR(Tableau1[[#This Row],[Score]]/Tableau1[[#This Row],[Nb]],0)</f>
        <v>0.75</v>
      </c>
    </row>
    <row r="1363" customFormat="false" ht="30" hidden="false" customHeight="true" outlineLevel="0" collapsed="false">
      <c r="A1363" s="1" t="s">
        <v>2700</v>
      </c>
      <c r="B1363" s="2" t="s">
        <v>2701</v>
      </c>
      <c r="C1363" s="6" t="n">
        <v>43229</v>
      </c>
      <c r="D1363" s="3" t="n">
        <v>11</v>
      </c>
      <c r="E1363" s="3" t="n">
        <v>9</v>
      </c>
      <c r="F1363" s="7" t="n">
        <f aca="false">IFERROR(Tableau1[[#This Row],[Score]]/Tableau1[[#This Row],[Nb]],0)</f>
        <v>0.818181818181818</v>
      </c>
    </row>
    <row r="1364" customFormat="false" ht="30" hidden="false" customHeight="true" outlineLevel="0" collapsed="false">
      <c r="A1364" s="1" t="s">
        <v>2702</v>
      </c>
      <c r="B1364" s="2" t="s">
        <v>2703</v>
      </c>
      <c r="C1364" s="6" t="n">
        <v>43229</v>
      </c>
      <c r="D1364" s="3" t="n">
        <v>16</v>
      </c>
      <c r="E1364" s="3" t="n">
        <v>14</v>
      </c>
      <c r="F1364" s="7" t="n">
        <f aca="false">IFERROR(Tableau1[[#This Row],[Score]]/Tableau1[[#This Row],[Nb]],0)</f>
        <v>0.875</v>
      </c>
    </row>
    <row r="1365" customFormat="false" ht="30" hidden="false" customHeight="true" outlineLevel="0" collapsed="false">
      <c r="A1365" s="1" t="s">
        <v>2704</v>
      </c>
      <c r="B1365" s="2" t="s">
        <v>2705</v>
      </c>
      <c r="C1365" s="6" t="n">
        <v>43229</v>
      </c>
      <c r="D1365" s="3" t="n">
        <v>5</v>
      </c>
      <c r="E1365" s="3" t="n">
        <v>5</v>
      </c>
      <c r="F1365" s="7" t="n">
        <f aca="false">IFERROR(Tableau1[[#This Row],[Score]]/Tableau1[[#This Row],[Nb]],0)</f>
        <v>1</v>
      </c>
    </row>
    <row r="1366" customFormat="false" ht="30" hidden="false" customHeight="true" outlineLevel="0" collapsed="false">
      <c r="A1366" s="1" t="s">
        <v>2706</v>
      </c>
      <c r="B1366" s="2" t="s">
        <v>2707</v>
      </c>
      <c r="C1366" s="6" t="n">
        <v>43229</v>
      </c>
      <c r="D1366" s="3" t="n">
        <v>7</v>
      </c>
      <c r="E1366" s="3" t="n">
        <v>7</v>
      </c>
      <c r="F1366" s="7" t="n">
        <f aca="false">IFERROR(Tableau1[[#This Row],[Score]]/Tableau1[[#This Row],[Nb]],0)</f>
        <v>1</v>
      </c>
    </row>
    <row r="1367" customFormat="false" ht="30" hidden="false" customHeight="true" outlineLevel="0" collapsed="false">
      <c r="A1367" s="1" t="s">
        <v>2708</v>
      </c>
      <c r="B1367" s="2" t="s">
        <v>2709</v>
      </c>
      <c r="C1367" s="6" t="n">
        <v>43230</v>
      </c>
      <c r="D1367" s="3" t="n">
        <v>6</v>
      </c>
      <c r="E1367" s="3" t="n">
        <v>-6</v>
      </c>
      <c r="F1367" s="7" t="n">
        <f aca="false">IFERROR(Tableau1[[#This Row],[Score]]/Tableau1[[#This Row],[Nb]],0)</f>
        <v>-1</v>
      </c>
    </row>
    <row r="1368" customFormat="false" ht="30" hidden="false" customHeight="true" outlineLevel="0" collapsed="false">
      <c r="A1368" s="1" t="s">
        <v>2710</v>
      </c>
      <c r="B1368" s="2" t="s">
        <v>2711</v>
      </c>
      <c r="C1368" s="6" t="n">
        <v>43230</v>
      </c>
      <c r="D1368" s="3" t="n">
        <v>7</v>
      </c>
      <c r="E1368" s="3" t="n">
        <v>-7</v>
      </c>
      <c r="F1368" s="7" t="n">
        <f aca="false">IFERROR(Tableau1[[#This Row],[Score]]/Tableau1[[#This Row],[Nb]],0)</f>
        <v>-1</v>
      </c>
    </row>
    <row r="1369" customFormat="false" ht="30" hidden="false" customHeight="true" outlineLevel="0" collapsed="false">
      <c r="A1369" s="1" t="s">
        <v>2712</v>
      </c>
      <c r="B1369" s="2" t="s">
        <v>2713</v>
      </c>
      <c r="C1369" s="6" t="n">
        <v>43230</v>
      </c>
      <c r="D1369" s="3" t="n">
        <v>8</v>
      </c>
      <c r="E1369" s="3" t="n">
        <v>-8</v>
      </c>
      <c r="F1369" s="7" t="n">
        <f aca="false">IFERROR(Tableau1[[#This Row],[Score]]/Tableau1[[#This Row],[Nb]],0)</f>
        <v>-1</v>
      </c>
    </row>
    <row r="1370" customFormat="false" ht="30" hidden="false" customHeight="true" outlineLevel="0" collapsed="false">
      <c r="A1370" s="1" t="s">
        <v>2714</v>
      </c>
      <c r="B1370" s="2" t="s">
        <v>2715</v>
      </c>
      <c r="C1370" s="6" t="n">
        <v>43230</v>
      </c>
      <c r="D1370" s="3" t="n">
        <v>7</v>
      </c>
      <c r="E1370" s="3" t="n">
        <v>-7</v>
      </c>
      <c r="F1370" s="7" t="n">
        <f aca="false">IFERROR(Tableau1[[#This Row],[Score]]/Tableau1[[#This Row],[Nb]],0)</f>
        <v>-1</v>
      </c>
    </row>
    <row r="1371" customFormat="false" ht="30" hidden="false" customHeight="true" outlineLevel="0" collapsed="false">
      <c r="A1371" s="1" t="s">
        <v>2716</v>
      </c>
      <c r="B1371" s="2" t="s">
        <v>2717</v>
      </c>
      <c r="C1371" s="6" t="n">
        <v>43230</v>
      </c>
      <c r="D1371" s="3" t="n">
        <v>11</v>
      </c>
      <c r="E1371" s="3" t="n">
        <v>-11</v>
      </c>
      <c r="F1371" s="7" t="n">
        <f aca="false">IFERROR(Tableau1[[#This Row],[Score]]/Tableau1[[#This Row],[Nb]],0)</f>
        <v>-1</v>
      </c>
    </row>
    <row r="1372" customFormat="false" ht="30" hidden="false" customHeight="true" outlineLevel="0" collapsed="false">
      <c r="A1372" s="1" t="s">
        <v>2718</v>
      </c>
      <c r="B1372" s="2" t="s">
        <v>2719</v>
      </c>
      <c r="C1372" s="6" t="n">
        <v>43230</v>
      </c>
      <c r="D1372" s="3" t="n">
        <v>8</v>
      </c>
      <c r="E1372" s="3" t="n">
        <v>-8</v>
      </c>
      <c r="F1372" s="7" t="n">
        <f aca="false">IFERROR(Tableau1[[#This Row],[Score]]/Tableau1[[#This Row],[Nb]],0)</f>
        <v>-1</v>
      </c>
    </row>
    <row r="1373" customFormat="false" ht="30" hidden="false" customHeight="true" outlineLevel="0" collapsed="false">
      <c r="A1373" s="1" t="s">
        <v>2720</v>
      </c>
      <c r="B1373" s="2" t="s">
        <v>2721</v>
      </c>
      <c r="C1373" s="6" t="n">
        <v>43230</v>
      </c>
      <c r="D1373" s="3" t="n">
        <v>14</v>
      </c>
      <c r="E1373" s="3" t="n">
        <v>-14</v>
      </c>
      <c r="F1373" s="7" t="n">
        <f aca="false">IFERROR(Tableau1[[#This Row],[Score]]/Tableau1[[#This Row],[Nb]],0)</f>
        <v>-1</v>
      </c>
    </row>
    <row r="1374" customFormat="false" ht="30" hidden="false" customHeight="true" outlineLevel="0" collapsed="false">
      <c r="A1374" s="1" t="s">
        <v>2722</v>
      </c>
      <c r="B1374" s="2" t="s">
        <v>2723</v>
      </c>
      <c r="C1374" s="6" t="n">
        <v>43230</v>
      </c>
      <c r="D1374" s="3" t="n">
        <v>17</v>
      </c>
      <c r="E1374" s="3" t="n">
        <v>-17</v>
      </c>
      <c r="F1374" s="7" t="n">
        <f aca="false">IFERROR(Tableau1[[#This Row],[Score]]/Tableau1[[#This Row],[Nb]],0)</f>
        <v>-1</v>
      </c>
    </row>
    <row r="1375" customFormat="false" ht="30" hidden="false" customHeight="true" outlineLevel="0" collapsed="false">
      <c r="A1375" s="1" t="s">
        <v>2724</v>
      </c>
      <c r="B1375" s="2" t="s">
        <v>2725</v>
      </c>
      <c r="C1375" s="6" t="n">
        <v>43230</v>
      </c>
      <c r="D1375" s="3" t="n">
        <v>13</v>
      </c>
      <c r="E1375" s="3" t="n">
        <v>-11</v>
      </c>
      <c r="F1375" s="7" t="n">
        <f aca="false">IFERROR(Tableau1[[#This Row],[Score]]/Tableau1[[#This Row],[Nb]],0)</f>
        <v>-0.846153846153846</v>
      </c>
    </row>
    <row r="1376" customFormat="false" ht="30" hidden="false" customHeight="true" outlineLevel="0" collapsed="false">
      <c r="A1376" s="1" t="s">
        <v>2726</v>
      </c>
      <c r="B1376" s="2" t="s">
        <v>2727</v>
      </c>
      <c r="C1376" s="6" t="n">
        <v>43230</v>
      </c>
      <c r="D1376" s="3" t="n">
        <v>12</v>
      </c>
      <c r="E1376" s="3" t="n">
        <v>-10</v>
      </c>
      <c r="F1376" s="7" t="n">
        <f aca="false">IFERROR(Tableau1[[#This Row],[Score]]/Tableau1[[#This Row],[Nb]],0)</f>
        <v>-0.833333333333333</v>
      </c>
    </row>
    <row r="1377" customFormat="false" ht="30" hidden="false" customHeight="true" outlineLevel="0" collapsed="false">
      <c r="A1377" s="1" t="s">
        <v>2728</v>
      </c>
      <c r="B1377" s="2" t="s">
        <v>2729</v>
      </c>
      <c r="C1377" s="6" t="n">
        <v>43230</v>
      </c>
      <c r="D1377" s="3" t="n">
        <v>14</v>
      </c>
      <c r="E1377" s="3" t="n">
        <v>-11</v>
      </c>
      <c r="F1377" s="7" t="n">
        <f aca="false">IFERROR(Tableau1[[#This Row],[Score]]/Tableau1[[#This Row],[Nb]],0)</f>
        <v>-0.785714285714286</v>
      </c>
    </row>
    <row r="1378" customFormat="false" ht="30" hidden="false" customHeight="true" outlineLevel="0" collapsed="false">
      <c r="A1378" s="1" t="s">
        <v>2730</v>
      </c>
      <c r="B1378" s="2" t="s">
        <v>2731</v>
      </c>
      <c r="C1378" s="6" t="n">
        <v>43230</v>
      </c>
      <c r="D1378" s="3" t="n">
        <v>9</v>
      </c>
      <c r="E1378" s="3" t="n">
        <v>-7</v>
      </c>
      <c r="F1378" s="7" t="n">
        <f aca="false">IFERROR(Tableau1[[#This Row],[Score]]/Tableau1[[#This Row],[Nb]],0)</f>
        <v>-0.777777777777778</v>
      </c>
    </row>
    <row r="1379" customFormat="false" ht="30" hidden="false" customHeight="true" outlineLevel="0" collapsed="false">
      <c r="A1379" s="1" t="s">
        <v>2732</v>
      </c>
      <c r="B1379" s="2" t="s">
        <v>2733</v>
      </c>
      <c r="C1379" s="6" t="n">
        <v>43230</v>
      </c>
      <c r="D1379" s="3" t="n">
        <v>10</v>
      </c>
      <c r="E1379" s="3" t="n">
        <v>-6</v>
      </c>
      <c r="F1379" s="7" t="n">
        <f aca="false">IFERROR(Tableau1[[#This Row],[Score]]/Tableau1[[#This Row],[Nb]],0)</f>
        <v>-0.6</v>
      </c>
    </row>
    <row r="1380" customFormat="false" ht="30" hidden="false" customHeight="true" outlineLevel="0" collapsed="false">
      <c r="A1380" s="1" t="s">
        <v>2734</v>
      </c>
      <c r="B1380" s="2" t="s">
        <v>2735</v>
      </c>
      <c r="C1380" s="6" t="n">
        <v>43230</v>
      </c>
      <c r="D1380" s="3" t="n">
        <v>8</v>
      </c>
      <c r="E1380" s="3" t="n">
        <v>-6</v>
      </c>
      <c r="F1380" s="7" t="n">
        <f aca="false">IFERROR(Tableau1[[#This Row],[Score]]/Tableau1[[#This Row],[Nb]],0)</f>
        <v>-0.75</v>
      </c>
    </row>
    <row r="1381" customFormat="false" ht="30" hidden="false" customHeight="true" outlineLevel="0" collapsed="false">
      <c r="A1381" s="1" t="s">
        <v>2736</v>
      </c>
      <c r="B1381" s="2" t="s">
        <v>2737</v>
      </c>
      <c r="C1381" s="6" t="n">
        <v>43230</v>
      </c>
      <c r="D1381" s="3" t="n">
        <v>8</v>
      </c>
      <c r="E1381" s="3" t="n">
        <v>-6</v>
      </c>
      <c r="F1381" s="7" t="n">
        <f aca="false">IFERROR(Tableau1[[#This Row],[Score]]/Tableau1[[#This Row],[Nb]],0)</f>
        <v>-0.75</v>
      </c>
    </row>
    <row r="1382" customFormat="false" ht="30" hidden="false" customHeight="true" outlineLevel="0" collapsed="false">
      <c r="A1382" s="1" t="s">
        <v>2738</v>
      </c>
      <c r="B1382" s="2" t="s">
        <v>821</v>
      </c>
      <c r="C1382" s="6" t="n">
        <v>43230</v>
      </c>
      <c r="D1382" s="3" t="n">
        <v>7</v>
      </c>
      <c r="E1382" s="3" t="n">
        <v>-5</v>
      </c>
      <c r="F1382" s="7" t="n">
        <f aca="false">IFERROR(Tableau1[[#This Row],[Score]]/Tableau1[[#This Row],[Nb]],0)</f>
        <v>-0.714285714285714</v>
      </c>
    </row>
    <row r="1383" customFormat="false" ht="30" hidden="false" customHeight="true" outlineLevel="0" collapsed="false">
      <c r="A1383" s="1" t="s">
        <v>2739</v>
      </c>
      <c r="B1383" s="2" t="s">
        <v>2740</v>
      </c>
      <c r="C1383" s="6" t="n">
        <v>43230</v>
      </c>
      <c r="D1383" s="3" t="n">
        <v>11</v>
      </c>
      <c r="E1383" s="3" t="n">
        <v>-7</v>
      </c>
      <c r="F1383" s="7" t="n">
        <f aca="false">IFERROR(Tableau1[[#This Row],[Score]]/Tableau1[[#This Row],[Nb]],0)</f>
        <v>-0.636363636363636</v>
      </c>
    </row>
    <row r="1384" customFormat="false" ht="30" hidden="false" customHeight="true" outlineLevel="0" collapsed="false">
      <c r="A1384" s="1" t="s">
        <v>2741</v>
      </c>
      <c r="B1384" s="2" t="s">
        <v>2742</v>
      </c>
      <c r="C1384" s="6" t="n">
        <v>43230</v>
      </c>
      <c r="D1384" s="3" t="n">
        <v>11</v>
      </c>
      <c r="E1384" s="3" t="n">
        <v>-7</v>
      </c>
      <c r="F1384" s="7" t="n">
        <f aca="false">IFERROR(Tableau1[[#This Row],[Score]]/Tableau1[[#This Row],[Nb]],0)</f>
        <v>-0.636363636363636</v>
      </c>
    </row>
    <row r="1385" customFormat="false" ht="30" hidden="false" customHeight="true" outlineLevel="0" collapsed="false">
      <c r="A1385" s="1" t="s">
        <v>2743</v>
      </c>
      <c r="B1385" s="2" t="s">
        <v>2744</v>
      </c>
      <c r="C1385" s="6" t="n">
        <v>43230</v>
      </c>
      <c r="D1385" s="3" t="n">
        <v>10</v>
      </c>
      <c r="E1385" s="3" t="n">
        <v>-6</v>
      </c>
      <c r="F1385" s="7" t="n">
        <f aca="false">IFERROR(Tableau1[[#This Row],[Score]]/Tableau1[[#This Row],[Nb]],0)</f>
        <v>-0.6</v>
      </c>
    </row>
    <row r="1386" customFormat="false" ht="30" hidden="false" customHeight="true" outlineLevel="0" collapsed="false">
      <c r="A1386" s="1" t="s">
        <v>2745</v>
      </c>
      <c r="B1386" s="2" t="s">
        <v>2746</v>
      </c>
      <c r="C1386" s="6" t="n">
        <v>43230</v>
      </c>
      <c r="D1386" s="3" t="n">
        <v>9</v>
      </c>
      <c r="E1386" s="3" t="n">
        <v>-5</v>
      </c>
      <c r="F1386" s="7" t="n">
        <f aca="false">IFERROR(Tableau1[[#This Row],[Score]]/Tableau1[[#This Row],[Nb]],0)</f>
        <v>-0.555555555555556</v>
      </c>
    </row>
    <row r="1387" customFormat="false" ht="30" hidden="false" customHeight="true" outlineLevel="0" collapsed="false">
      <c r="A1387" s="1" t="s">
        <v>2747</v>
      </c>
      <c r="B1387" s="2" t="s">
        <v>2748</v>
      </c>
      <c r="C1387" s="6" t="n">
        <v>43230</v>
      </c>
      <c r="D1387" s="3" t="n">
        <v>9</v>
      </c>
      <c r="E1387" s="3" t="n">
        <v>-4</v>
      </c>
      <c r="F1387" s="7" t="n">
        <f aca="false">IFERROR(Tableau1[[#This Row],[Score]]/Tableau1[[#This Row],[Nb]],0)</f>
        <v>-0.444444444444444</v>
      </c>
    </row>
    <row r="1388" customFormat="false" ht="30" hidden="false" customHeight="true" outlineLevel="0" collapsed="false">
      <c r="A1388" s="1" t="s">
        <v>2749</v>
      </c>
      <c r="B1388" s="2" t="s">
        <v>2750</v>
      </c>
      <c r="C1388" s="6" t="n">
        <v>43230</v>
      </c>
      <c r="D1388" s="3" t="n">
        <v>7</v>
      </c>
      <c r="E1388" s="3" t="n">
        <v>-3</v>
      </c>
      <c r="F1388" s="7" t="n">
        <f aca="false">IFERROR(Tableau1[[#This Row],[Score]]/Tableau1[[#This Row],[Nb]],0)</f>
        <v>-0.428571428571429</v>
      </c>
    </row>
    <row r="1389" customFormat="false" ht="30" hidden="false" customHeight="true" outlineLevel="0" collapsed="false">
      <c r="A1389" s="1" t="s">
        <v>2751</v>
      </c>
      <c r="B1389" s="2" t="s">
        <v>2752</v>
      </c>
      <c r="C1389" s="6" t="n">
        <v>43230</v>
      </c>
      <c r="D1389" s="3" t="n">
        <v>6</v>
      </c>
      <c r="E1389" s="3" t="n">
        <v>0</v>
      </c>
      <c r="F1389" s="7" t="n">
        <f aca="false">IFERROR(Tableau1[[#This Row],[Score]]/Tableau1[[#This Row],[Nb]],0)</f>
        <v>0</v>
      </c>
    </row>
    <row r="1390" customFormat="false" ht="30" hidden="false" customHeight="true" outlineLevel="0" collapsed="false">
      <c r="A1390" s="1" t="s">
        <v>2753</v>
      </c>
      <c r="B1390" s="2" t="s">
        <v>2754</v>
      </c>
      <c r="C1390" s="6" t="n">
        <v>43230</v>
      </c>
      <c r="D1390" s="3" t="n">
        <v>16</v>
      </c>
      <c r="E1390" s="3" t="n">
        <v>2</v>
      </c>
      <c r="F1390" s="7" t="n">
        <f aca="false">IFERROR(Tableau1[[#This Row],[Score]]/Tableau1[[#This Row],[Nb]],0)</f>
        <v>0.125</v>
      </c>
    </row>
    <row r="1391" customFormat="false" ht="30" hidden="false" customHeight="true" outlineLevel="0" collapsed="false">
      <c r="A1391" s="1" t="s">
        <v>2755</v>
      </c>
      <c r="B1391" s="2" t="s">
        <v>2756</v>
      </c>
      <c r="C1391" s="6" t="n">
        <v>43230</v>
      </c>
      <c r="D1391" s="3" t="n">
        <v>10</v>
      </c>
      <c r="E1391" s="3" t="n">
        <v>2</v>
      </c>
      <c r="F1391" s="7" t="n">
        <f aca="false">IFERROR(Tableau1[[#This Row],[Score]]/Tableau1[[#This Row],[Nb]],0)</f>
        <v>0.2</v>
      </c>
    </row>
    <row r="1392" customFormat="false" ht="30" hidden="false" customHeight="true" outlineLevel="0" collapsed="false">
      <c r="A1392" s="1" t="s">
        <v>2757</v>
      </c>
      <c r="B1392" s="2" t="s">
        <v>2758</v>
      </c>
      <c r="C1392" s="6" t="n">
        <v>43230</v>
      </c>
      <c r="D1392" s="3" t="n">
        <v>18</v>
      </c>
      <c r="E1392" s="3" t="n">
        <v>4</v>
      </c>
      <c r="F1392" s="7" t="n">
        <f aca="false">IFERROR(Tableau1[[#This Row],[Score]]/Tableau1[[#This Row],[Nb]],0)</f>
        <v>0.222222222222222</v>
      </c>
    </row>
    <row r="1393" customFormat="false" ht="30" hidden="false" customHeight="true" outlineLevel="0" collapsed="false">
      <c r="A1393" s="1" t="s">
        <v>2759</v>
      </c>
      <c r="B1393" s="2" t="s">
        <v>2760</v>
      </c>
      <c r="C1393" s="6" t="n">
        <v>43230</v>
      </c>
      <c r="D1393" s="3" t="n">
        <v>7</v>
      </c>
      <c r="E1393" s="3" t="n">
        <v>2</v>
      </c>
      <c r="F1393" s="7" t="n">
        <f aca="false">IFERROR(Tableau1[[#This Row],[Score]]/Tableau1[[#This Row],[Nb]],0)</f>
        <v>0.285714285714286</v>
      </c>
    </row>
    <row r="1394" customFormat="false" ht="30" hidden="false" customHeight="true" outlineLevel="0" collapsed="false">
      <c r="A1394" s="1" t="s">
        <v>2761</v>
      </c>
      <c r="B1394" s="2" t="s">
        <v>2762</v>
      </c>
      <c r="C1394" s="6" t="n">
        <v>43230</v>
      </c>
      <c r="D1394" s="3" t="n">
        <v>9</v>
      </c>
      <c r="E1394" s="3" t="n">
        <v>3</v>
      </c>
      <c r="F1394" s="7" t="n">
        <f aca="false">IFERROR(Tableau1[[#This Row],[Score]]/Tableau1[[#This Row],[Nb]],0)</f>
        <v>0.333333333333333</v>
      </c>
    </row>
    <row r="1395" customFormat="false" ht="30" hidden="false" customHeight="true" outlineLevel="0" collapsed="false">
      <c r="A1395" s="1" t="s">
        <v>2763</v>
      </c>
      <c r="B1395" s="2" t="s">
        <v>2764</v>
      </c>
      <c r="C1395" s="6" t="n">
        <v>43230</v>
      </c>
      <c r="D1395" s="3" t="n">
        <v>13</v>
      </c>
      <c r="E1395" s="3" t="n">
        <v>5</v>
      </c>
      <c r="F1395" s="7" t="n">
        <f aca="false">IFERROR(Tableau1[[#This Row],[Score]]/Tableau1[[#This Row],[Nb]],0)</f>
        <v>0.384615384615385</v>
      </c>
    </row>
    <row r="1396" customFormat="false" ht="30" hidden="false" customHeight="true" outlineLevel="0" collapsed="false">
      <c r="A1396" s="1" t="s">
        <v>2765</v>
      </c>
      <c r="B1396" s="2" t="s">
        <v>2766</v>
      </c>
      <c r="C1396" s="6" t="n">
        <v>43230</v>
      </c>
      <c r="D1396" s="3" t="n">
        <v>10</v>
      </c>
      <c r="E1396" s="3" t="n">
        <v>4</v>
      </c>
      <c r="F1396" s="7" t="n">
        <f aca="false">IFERROR(Tableau1[[#This Row],[Score]]/Tableau1[[#This Row],[Nb]],0)</f>
        <v>0.4</v>
      </c>
    </row>
    <row r="1397" customFormat="false" ht="30" hidden="false" customHeight="true" outlineLevel="0" collapsed="false">
      <c r="A1397" s="1" t="s">
        <v>2767</v>
      </c>
      <c r="B1397" s="2" t="s">
        <v>2768</v>
      </c>
      <c r="C1397" s="6" t="n">
        <v>43230</v>
      </c>
      <c r="D1397" s="3" t="n">
        <v>10</v>
      </c>
      <c r="E1397" s="3" t="n">
        <v>4</v>
      </c>
      <c r="F1397" s="7" t="n">
        <f aca="false">IFERROR(Tableau1[[#This Row],[Score]]/Tableau1[[#This Row],[Nb]],0)</f>
        <v>0.4</v>
      </c>
    </row>
    <row r="1398" customFormat="false" ht="30" hidden="false" customHeight="true" outlineLevel="0" collapsed="false">
      <c r="A1398" s="1" t="s">
        <v>2769</v>
      </c>
      <c r="B1398" s="2" t="s">
        <v>2770</v>
      </c>
      <c r="C1398" s="6" t="n">
        <v>43230</v>
      </c>
      <c r="D1398" s="3" t="n">
        <v>7</v>
      </c>
      <c r="E1398" s="3" t="n">
        <v>3</v>
      </c>
      <c r="F1398" s="7" t="n">
        <f aca="false">IFERROR(Tableau1[[#This Row],[Score]]/Tableau1[[#This Row],[Nb]],0)</f>
        <v>0.428571428571429</v>
      </c>
    </row>
    <row r="1399" customFormat="false" ht="30" hidden="false" customHeight="true" outlineLevel="0" collapsed="false">
      <c r="A1399" s="1" t="s">
        <v>2771</v>
      </c>
      <c r="B1399" s="2" t="s">
        <v>2772</v>
      </c>
      <c r="C1399" s="6" t="n">
        <v>43230</v>
      </c>
      <c r="D1399" s="3" t="n">
        <v>6</v>
      </c>
      <c r="E1399" s="3" t="n">
        <v>3</v>
      </c>
      <c r="F1399" s="7" t="n">
        <f aca="false">IFERROR(Tableau1[[#This Row],[Score]]/Tableau1[[#This Row],[Nb]],0)</f>
        <v>0.5</v>
      </c>
    </row>
    <row r="1400" customFormat="false" ht="30" hidden="false" customHeight="true" outlineLevel="0" collapsed="false">
      <c r="A1400" s="1" t="s">
        <v>2773</v>
      </c>
      <c r="B1400" s="2" t="s">
        <v>2774</v>
      </c>
      <c r="C1400" s="6" t="n">
        <v>43230</v>
      </c>
      <c r="D1400" s="3" t="n">
        <v>15</v>
      </c>
      <c r="E1400" s="3" t="n">
        <v>9</v>
      </c>
      <c r="F1400" s="7" t="n">
        <f aca="false">IFERROR(Tableau1[[#This Row],[Score]]/Tableau1[[#This Row],[Nb]],0)</f>
        <v>0.6</v>
      </c>
    </row>
    <row r="1401" customFormat="false" ht="30" hidden="false" customHeight="true" outlineLevel="0" collapsed="false">
      <c r="A1401" s="1" t="s">
        <v>2775</v>
      </c>
      <c r="B1401" s="2" t="s">
        <v>2776</v>
      </c>
      <c r="C1401" s="6" t="n">
        <v>43230</v>
      </c>
      <c r="D1401" s="3" t="n">
        <v>11</v>
      </c>
      <c r="E1401" s="3" t="n">
        <v>7</v>
      </c>
      <c r="F1401" s="7" t="n">
        <f aca="false">IFERROR(Tableau1[[#This Row],[Score]]/Tableau1[[#This Row],[Nb]],0)</f>
        <v>0.636363636363636</v>
      </c>
    </row>
    <row r="1402" customFormat="false" ht="30" hidden="false" customHeight="true" outlineLevel="0" collapsed="false">
      <c r="A1402" s="1" t="s">
        <v>2777</v>
      </c>
      <c r="B1402" s="2" t="s">
        <v>2778</v>
      </c>
      <c r="C1402" s="6" t="n">
        <v>43230</v>
      </c>
      <c r="D1402" s="3" t="n">
        <v>12</v>
      </c>
      <c r="E1402" s="3" t="n">
        <v>8</v>
      </c>
      <c r="F1402" s="7" t="n">
        <f aca="false">IFERROR(Tableau1[[#This Row],[Score]]/Tableau1[[#This Row],[Nb]],0)</f>
        <v>0.666666666666667</v>
      </c>
    </row>
    <row r="1403" customFormat="false" ht="30" hidden="false" customHeight="true" outlineLevel="0" collapsed="false">
      <c r="A1403" s="1" t="s">
        <v>2779</v>
      </c>
      <c r="B1403" s="2" t="s">
        <v>2780</v>
      </c>
      <c r="C1403" s="6" t="n">
        <v>43230</v>
      </c>
      <c r="D1403" s="3" t="n">
        <v>12</v>
      </c>
      <c r="E1403" s="3" t="n">
        <v>8</v>
      </c>
      <c r="F1403" s="7" t="n">
        <f aca="false">IFERROR(Tableau1[[#This Row],[Score]]/Tableau1[[#This Row],[Nb]],0)</f>
        <v>0.666666666666667</v>
      </c>
    </row>
    <row r="1404" customFormat="false" ht="30" hidden="false" customHeight="true" outlineLevel="0" collapsed="false">
      <c r="A1404" s="1" t="s">
        <v>2781</v>
      </c>
      <c r="B1404" s="2" t="s">
        <v>2782</v>
      </c>
      <c r="C1404" s="6" t="n">
        <v>43230</v>
      </c>
      <c r="D1404" s="3" t="n">
        <v>12</v>
      </c>
      <c r="E1404" s="3" t="n">
        <v>8</v>
      </c>
      <c r="F1404" s="7" t="n">
        <f aca="false">IFERROR(Tableau1[[#This Row],[Score]]/Tableau1[[#This Row],[Nb]],0)</f>
        <v>0.666666666666667</v>
      </c>
    </row>
    <row r="1405" customFormat="false" ht="30" hidden="false" customHeight="true" outlineLevel="0" collapsed="false">
      <c r="A1405" s="1" t="s">
        <v>2783</v>
      </c>
      <c r="B1405" s="2" t="s">
        <v>2784</v>
      </c>
      <c r="C1405" s="6" t="n">
        <v>43230</v>
      </c>
      <c r="D1405" s="3" t="n">
        <v>13</v>
      </c>
      <c r="E1405" s="3" t="n">
        <v>9</v>
      </c>
      <c r="F1405" s="7" t="n">
        <f aca="false">IFERROR(Tableau1[[#This Row],[Score]]/Tableau1[[#This Row],[Nb]],0)</f>
        <v>0.692307692307692</v>
      </c>
    </row>
    <row r="1406" customFormat="false" ht="30" hidden="false" customHeight="true" outlineLevel="0" collapsed="false">
      <c r="A1406" s="1" t="s">
        <v>2785</v>
      </c>
      <c r="B1406" s="2" t="s">
        <v>2786</v>
      </c>
      <c r="C1406" s="6" t="n">
        <v>43230</v>
      </c>
      <c r="D1406" s="3" t="n">
        <v>10</v>
      </c>
      <c r="E1406" s="3" t="n">
        <v>7</v>
      </c>
      <c r="F1406" s="7" t="n">
        <f aca="false">IFERROR(Tableau1[[#This Row],[Score]]/Tableau1[[#This Row],[Nb]],0)</f>
        <v>0.7</v>
      </c>
    </row>
    <row r="1407" customFormat="false" ht="30" hidden="false" customHeight="true" outlineLevel="0" collapsed="false">
      <c r="A1407" s="1" t="s">
        <v>2787</v>
      </c>
      <c r="B1407" s="2" t="s">
        <v>2788</v>
      </c>
      <c r="C1407" s="6" t="n">
        <v>43230</v>
      </c>
      <c r="D1407" s="3" t="n">
        <v>8</v>
      </c>
      <c r="E1407" s="3" t="n">
        <v>6</v>
      </c>
      <c r="F1407" s="7" t="n">
        <f aca="false">IFERROR(Tableau1[[#This Row],[Score]]/Tableau1[[#This Row],[Nb]],0)</f>
        <v>0.75</v>
      </c>
    </row>
    <row r="1408" customFormat="false" ht="30" hidden="false" customHeight="true" outlineLevel="0" collapsed="false">
      <c r="A1408" s="1" t="s">
        <v>2789</v>
      </c>
      <c r="B1408" s="2" t="s">
        <v>2790</v>
      </c>
      <c r="C1408" s="6" t="n">
        <v>43230</v>
      </c>
      <c r="D1408" s="3" t="n">
        <v>9</v>
      </c>
      <c r="E1408" s="3" t="n">
        <v>7</v>
      </c>
      <c r="F1408" s="7" t="n">
        <f aca="false">IFERROR(Tableau1[[#This Row],[Score]]/Tableau1[[#This Row],[Nb]],0)</f>
        <v>0.777777777777778</v>
      </c>
    </row>
    <row r="1409" customFormat="false" ht="30" hidden="false" customHeight="true" outlineLevel="0" collapsed="false">
      <c r="A1409" s="1" t="s">
        <v>2791</v>
      </c>
      <c r="B1409" s="2" t="s">
        <v>2792</v>
      </c>
      <c r="C1409" s="6" t="n">
        <v>43230</v>
      </c>
      <c r="D1409" s="3" t="n">
        <v>10</v>
      </c>
      <c r="E1409" s="3" t="n">
        <v>8</v>
      </c>
      <c r="F1409" s="7" t="n">
        <f aca="false">IFERROR(Tableau1[[#This Row],[Score]]/Tableau1[[#This Row],[Nb]],0)</f>
        <v>0.8</v>
      </c>
    </row>
    <row r="1410" customFormat="false" ht="30" hidden="false" customHeight="true" outlineLevel="0" collapsed="false">
      <c r="A1410" s="1" t="s">
        <v>2793</v>
      </c>
      <c r="B1410" s="2" t="s">
        <v>2794</v>
      </c>
      <c r="C1410" s="6" t="n">
        <v>43230</v>
      </c>
      <c r="D1410" s="3" t="n">
        <v>10</v>
      </c>
      <c r="E1410" s="3" t="n">
        <v>8</v>
      </c>
      <c r="F1410" s="7" t="n">
        <f aca="false">IFERROR(Tableau1[[#This Row],[Score]]/Tableau1[[#This Row],[Nb]],0)</f>
        <v>0.8</v>
      </c>
    </row>
    <row r="1411" customFormat="false" ht="30" hidden="false" customHeight="true" outlineLevel="0" collapsed="false">
      <c r="A1411" s="1" t="s">
        <v>2795</v>
      </c>
      <c r="B1411" s="2" t="s">
        <v>2796</v>
      </c>
      <c r="C1411" s="6" t="n">
        <v>43230</v>
      </c>
      <c r="D1411" s="3" t="n">
        <v>11</v>
      </c>
      <c r="E1411" s="3" t="n">
        <v>9</v>
      </c>
      <c r="F1411" s="7" t="n">
        <f aca="false">IFERROR(Tableau1[[#This Row],[Score]]/Tableau1[[#This Row],[Nb]],0)</f>
        <v>0.818181818181818</v>
      </c>
    </row>
    <row r="1412" customFormat="false" ht="30" hidden="false" customHeight="true" outlineLevel="0" collapsed="false">
      <c r="A1412" s="1" t="s">
        <v>2797</v>
      </c>
      <c r="B1412" s="2" t="s">
        <v>2798</v>
      </c>
      <c r="C1412" s="6" t="n">
        <v>43230</v>
      </c>
      <c r="D1412" s="3" t="n">
        <v>13</v>
      </c>
      <c r="E1412" s="3" t="n">
        <v>11</v>
      </c>
      <c r="F1412" s="7" t="n">
        <f aca="false">IFERROR(Tableau1[[#This Row],[Score]]/Tableau1[[#This Row],[Nb]],0)</f>
        <v>0.846153846153846</v>
      </c>
    </row>
    <row r="1413" customFormat="false" ht="30" hidden="false" customHeight="true" outlineLevel="0" collapsed="false">
      <c r="A1413" s="1" t="s">
        <v>2799</v>
      </c>
      <c r="B1413" s="2" t="s">
        <v>2800</v>
      </c>
      <c r="C1413" s="6" t="n">
        <v>43230</v>
      </c>
      <c r="D1413" s="3" t="n">
        <v>14</v>
      </c>
      <c r="E1413" s="3" t="n">
        <v>12</v>
      </c>
      <c r="F1413" s="7" t="n">
        <f aca="false">IFERROR(Tableau1[[#This Row],[Score]]/Tableau1[[#This Row],[Nb]],0)</f>
        <v>0.857142857142857</v>
      </c>
    </row>
    <row r="1414" customFormat="false" ht="30" hidden="false" customHeight="true" outlineLevel="0" collapsed="false">
      <c r="A1414" s="1" t="s">
        <v>2801</v>
      </c>
      <c r="B1414" s="2" t="s">
        <v>2802</v>
      </c>
      <c r="C1414" s="6" t="n">
        <v>43230</v>
      </c>
      <c r="D1414" s="3" t="n">
        <v>14</v>
      </c>
      <c r="E1414" s="3" t="n">
        <v>12</v>
      </c>
      <c r="F1414" s="7" t="n">
        <f aca="false">IFERROR(Tableau1[[#This Row],[Score]]/Tableau1[[#This Row],[Nb]],0)</f>
        <v>0.857142857142857</v>
      </c>
    </row>
    <row r="1415" customFormat="false" ht="30" hidden="false" customHeight="true" outlineLevel="0" collapsed="false">
      <c r="A1415" s="1" t="s">
        <v>2803</v>
      </c>
      <c r="B1415" s="2" t="s">
        <v>2804</v>
      </c>
      <c r="C1415" s="6" t="n">
        <v>43230</v>
      </c>
      <c r="D1415" s="3" t="n">
        <v>16</v>
      </c>
      <c r="E1415" s="3" t="n">
        <v>14</v>
      </c>
      <c r="F1415" s="7" t="n">
        <f aca="false">IFERROR(Tableau1[[#This Row],[Score]]/Tableau1[[#This Row],[Nb]],0)</f>
        <v>0.875</v>
      </c>
    </row>
    <row r="1416" customFormat="false" ht="30" hidden="false" customHeight="true" outlineLevel="0" collapsed="false">
      <c r="A1416" s="8" t="s">
        <v>2805</v>
      </c>
      <c r="B1416" s="9" t="s">
        <v>2806</v>
      </c>
      <c r="C1416" s="6" t="n">
        <v>43230</v>
      </c>
      <c r="D1416" s="3" t="n">
        <v>10</v>
      </c>
      <c r="E1416" s="3" t="n">
        <v>10</v>
      </c>
      <c r="F1416" s="7" t="n">
        <f aca="false">IFERROR(Tableau1[[#This Row],[Score]]/Tableau1[[#This Row],[Nb]],0)</f>
        <v>1</v>
      </c>
    </row>
    <row r="1417" customFormat="false" ht="30" hidden="false" customHeight="true" outlineLevel="0" collapsed="false">
      <c r="A1417" s="1" t="s">
        <v>2807</v>
      </c>
      <c r="B1417" s="2" t="s">
        <v>2808</v>
      </c>
      <c r="C1417" s="6" t="n">
        <v>43230</v>
      </c>
      <c r="D1417" s="3" t="n">
        <v>8</v>
      </c>
      <c r="E1417" s="3" t="n">
        <v>8</v>
      </c>
      <c r="F1417" s="7" t="n">
        <f aca="false">IFERROR(Tableau1[[#This Row],[Score]]/Tableau1[[#This Row],[Nb]],0)</f>
        <v>1</v>
      </c>
    </row>
    <row r="1418" customFormat="false" ht="30" hidden="false" customHeight="true" outlineLevel="0" collapsed="false">
      <c r="A1418" s="1" t="s">
        <v>2809</v>
      </c>
      <c r="B1418" s="2" t="s">
        <v>2810</v>
      </c>
      <c r="C1418" s="6" t="n">
        <v>43230</v>
      </c>
      <c r="D1418" s="3" t="n">
        <v>9</v>
      </c>
      <c r="E1418" s="3" t="n">
        <v>9</v>
      </c>
      <c r="F1418" s="7" t="n">
        <f aca="false">IFERROR(Tableau1[[#This Row],[Score]]/Tableau1[[#This Row],[Nb]],0)</f>
        <v>1</v>
      </c>
    </row>
    <row r="1419" customFormat="false" ht="30" hidden="false" customHeight="true" outlineLevel="0" collapsed="false">
      <c r="A1419" s="1" t="s">
        <v>2811</v>
      </c>
      <c r="B1419" s="2" t="s">
        <v>2812</v>
      </c>
      <c r="C1419" s="6" t="n">
        <v>43230</v>
      </c>
      <c r="D1419" s="3" t="n">
        <v>9</v>
      </c>
      <c r="E1419" s="3" t="n">
        <v>9</v>
      </c>
      <c r="F1419" s="7" t="n">
        <f aca="false">IFERROR(Tableau1[[#This Row],[Score]]/Tableau1[[#This Row],[Nb]],0)</f>
        <v>1</v>
      </c>
    </row>
    <row r="1420" customFormat="false" ht="30" hidden="false" customHeight="true" outlineLevel="0" collapsed="false">
      <c r="A1420" s="1" t="s">
        <v>2813</v>
      </c>
      <c r="B1420" s="2" t="s">
        <v>2814</v>
      </c>
      <c r="C1420" s="6" t="n">
        <v>43230</v>
      </c>
      <c r="D1420" s="3" t="n">
        <v>9</v>
      </c>
      <c r="E1420" s="3" t="n">
        <v>9</v>
      </c>
      <c r="F1420" s="7" t="n">
        <f aca="false">IFERROR(Tableau1[[#This Row],[Score]]/Tableau1[[#This Row],[Nb]],0)</f>
        <v>1</v>
      </c>
    </row>
    <row r="1421" customFormat="false" ht="30" hidden="false" customHeight="true" outlineLevel="0" collapsed="false">
      <c r="A1421" s="1" t="s">
        <v>2815</v>
      </c>
      <c r="B1421" s="2" t="s">
        <v>2816</v>
      </c>
      <c r="C1421" s="6" t="n">
        <v>43230</v>
      </c>
      <c r="D1421" s="3" t="n">
        <v>5</v>
      </c>
      <c r="E1421" s="3" t="n">
        <v>5</v>
      </c>
      <c r="F1421" s="7" t="n">
        <f aca="false">IFERROR(Tableau1[[#This Row],[Score]]/Tableau1[[#This Row],[Nb]],0)</f>
        <v>1</v>
      </c>
    </row>
    <row r="1422" customFormat="false" ht="30" hidden="false" customHeight="true" outlineLevel="0" collapsed="false">
      <c r="A1422" s="1" t="s">
        <v>2817</v>
      </c>
      <c r="B1422" s="2" t="s">
        <v>2818</v>
      </c>
      <c r="C1422" s="6" t="n">
        <v>43230</v>
      </c>
      <c r="D1422" s="3" t="n">
        <v>5</v>
      </c>
      <c r="E1422" s="3" t="n">
        <v>5</v>
      </c>
      <c r="F1422" s="7" t="n">
        <f aca="false">IFERROR(Tableau1[[#This Row],[Score]]/Tableau1[[#This Row],[Nb]],0)</f>
        <v>1</v>
      </c>
    </row>
    <row r="1423" customFormat="false" ht="30" hidden="false" customHeight="true" outlineLevel="0" collapsed="false">
      <c r="A1423" s="1" t="s">
        <v>2819</v>
      </c>
      <c r="B1423" s="2" t="s">
        <v>2820</v>
      </c>
      <c r="C1423" s="6" t="n">
        <v>43230</v>
      </c>
      <c r="D1423" s="3" t="n">
        <v>6</v>
      </c>
      <c r="E1423" s="3" t="n">
        <v>6</v>
      </c>
      <c r="F1423" s="7" t="n">
        <f aca="false">IFERROR(Tableau1[[#This Row],[Score]]/Tableau1[[#This Row],[Nb]],0)</f>
        <v>1</v>
      </c>
    </row>
    <row r="1424" customFormat="false" ht="30" hidden="false" customHeight="true" outlineLevel="0" collapsed="false">
      <c r="A1424" s="1" t="s">
        <v>2821</v>
      </c>
      <c r="B1424" s="2" t="s">
        <v>2822</v>
      </c>
      <c r="C1424" s="6" t="n">
        <v>43230</v>
      </c>
      <c r="D1424" s="3" t="n">
        <v>8</v>
      </c>
      <c r="E1424" s="3" t="n">
        <v>8</v>
      </c>
      <c r="F1424" s="7" t="n">
        <f aca="false">IFERROR(Tableau1[[#This Row],[Score]]/Tableau1[[#This Row],[Nb]],0)</f>
        <v>1</v>
      </c>
    </row>
    <row r="1425" customFormat="false" ht="30" hidden="false" customHeight="true" outlineLevel="0" collapsed="false">
      <c r="A1425" s="1" t="s">
        <v>2823</v>
      </c>
      <c r="B1425" s="2" t="s">
        <v>2824</v>
      </c>
      <c r="C1425" s="6" t="n">
        <v>43230</v>
      </c>
      <c r="D1425" s="3" t="n">
        <v>7</v>
      </c>
      <c r="E1425" s="3" t="n">
        <v>7</v>
      </c>
      <c r="F1425" s="7" t="n">
        <f aca="false">IFERROR(Tableau1[[#This Row],[Score]]/Tableau1[[#This Row],[Nb]],0)</f>
        <v>1</v>
      </c>
    </row>
    <row r="1426" customFormat="false" ht="30" hidden="false" customHeight="true" outlineLevel="0" collapsed="false">
      <c r="A1426" s="1" t="s">
        <v>2825</v>
      </c>
      <c r="B1426" s="2" t="s">
        <v>2826</v>
      </c>
      <c r="C1426" s="6" t="n">
        <v>43233</v>
      </c>
      <c r="D1426" s="3" t="n">
        <v>8</v>
      </c>
      <c r="E1426" s="3" t="n">
        <v>-6</v>
      </c>
      <c r="F1426" s="7" t="n">
        <f aca="false">IFERROR(Tableau1[[#This Row],[Score]]/Tableau1[[#This Row],[Nb]],0)</f>
        <v>-0.75</v>
      </c>
    </row>
    <row r="1427" customFormat="false" ht="30" hidden="false" customHeight="true" outlineLevel="0" collapsed="false">
      <c r="A1427" s="1" t="s">
        <v>2827</v>
      </c>
      <c r="B1427" s="2" t="s">
        <v>2828</v>
      </c>
      <c r="C1427" s="6" t="n">
        <v>43234</v>
      </c>
      <c r="D1427" s="3" t="n">
        <v>11</v>
      </c>
      <c r="E1427" s="3" t="n">
        <v>-3</v>
      </c>
      <c r="F1427" s="7" t="n">
        <f aca="false">IFERROR(Tableau1[[#This Row],[Score]]/Tableau1[[#This Row],[Nb]],0)</f>
        <v>-0.272727272727273</v>
      </c>
    </row>
    <row r="1428" customFormat="false" ht="30" hidden="false" customHeight="true" outlineLevel="0" collapsed="false">
      <c r="A1428" s="1" t="s">
        <v>2829</v>
      </c>
      <c r="B1428" s="2" t="s">
        <v>2830</v>
      </c>
      <c r="C1428" s="6" t="n">
        <v>43234</v>
      </c>
      <c r="D1428" s="3" t="n">
        <v>12</v>
      </c>
      <c r="E1428" s="3" t="n">
        <v>0</v>
      </c>
      <c r="F1428" s="7" t="n">
        <f aca="false">IFERROR(Tableau1[[#This Row],[Score]]/Tableau1[[#This Row],[Nb]],0)</f>
        <v>0</v>
      </c>
    </row>
    <row r="1429" customFormat="false" ht="30" hidden="false" customHeight="true" outlineLevel="0" collapsed="false">
      <c r="A1429" s="1" t="s">
        <v>2831</v>
      </c>
      <c r="B1429" s="2" t="s">
        <v>2832</v>
      </c>
      <c r="C1429" s="6" t="n">
        <v>43234</v>
      </c>
      <c r="D1429" s="3" t="n">
        <v>8</v>
      </c>
      <c r="E1429" s="3" t="n">
        <v>2</v>
      </c>
      <c r="F1429" s="7" t="n">
        <f aca="false">IFERROR(Tableau1[[#This Row],[Score]]/Tableau1[[#This Row],[Nb]],0)</f>
        <v>0.25</v>
      </c>
    </row>
    <row r="1430" customFormat="false" ht="30" hidden="false" customHeight="true" outlineLevel="0" collapsed="false">
      <c r="A1430" s="1" t="s">
        <v>2833</v>
      </c>
      <c r="B1430" s="2" t="s">
        <v>2834</v>
      </c>
      <c r="C1430" s="6" t="n">
        <v>43234</v>
      </c>
      <c r="D1430" s="3" t="n">
        <v>9</v>
      </c>
      <c r="E1430" s="3" t="n">
        <v>3</v>
      </c>
      <c r="F1430" s="7" t="n">
        <f aca="false">IFERROR(Tableau1[[#This Row],[Score]]/Tableau1[[#This Row],[Nb]],0)</f>
        <v>0.333333333333333</v>
      </c>
    </row>
    <row r="1431" customFormat="false" ht="30" hidden="false" customHeight="true" outlineLevel="0" collapsed="false">
      <c r="A1431" s="1" t="s">
        <v>2835</v>
      </c>
      <c r="B1431" s="2" t="s">
        <v>2836</v>
      </c>
      <c r="C1431" s="6" t="n">
        <v>43234</v>
      </c>
      <c r="D1431" s="3" t="n">
        <v>13</v>
      </c>
      <c r="E1431" s="3" t="n">
        <v>9</v>
      </c>
      <c r="F1431" s="7" t="n">
        <f aca="false">IFERROR(Tableau1[[#This Row],[Score]]/Tableau1[[#This Row],[Nb]],0)</f>
        <v>0.692307692307692</v>
      </c>
    </row>
    <row r="1432" customFormat="false" ht="30" hidden="false" customHeight="true" outlineLevel="0" collapsed="false">
      <c r="A1432" s="1" t="s">
        <v>2837</v>
      </c>
      <c r="B1432" s="2" t="s">
        <v>2838</v>
      </c>
      <c r="C1432" s="6" t="n">
        <v>43235</v>
      </c>
      <c r="D1432" s="3" t="n">
        <v>13</v>
      </c>
      <c r="E1432" s="3" t="n">
        <v>-9</v>
      </c>
      <c r="F1432" s="7" t="n">
        <f aca="false">IFERROR(Tableau1[[#This Row],[Score]]/Tableau1[[#This Row],[Nb]],0)</f>
        <v>-0.692307692307692</v>
      </c>
    </row>
    <row r="1433" customFormat="false" ht="30" hidden="false" customHeight="true" outlineLevel="0" collapsed="false">
      <c r="A1433" s="1" t="s">
        <v>2839</v>
      </c>
      <c r="B1433" s="2" t="s">
        <v>2840</v>
      </c>
      <c r="C1433" s="6" t="n">
        <v>43237</v>
      </c>
      <c r="D1433" s="3" t="n">
        <v>5</v>
      </c>
      <c r="E1433" s="3" t="n">
        <v>-3</v>
      </c>
      <c r="F1433" s="7" t="n">
        <f aca="false">IFERROR(Tableau1[[#This Row],[Score]]/Tableau1[[#This Row],[Nb]],0)</f>
        <v>-0.6</v>
      </c>
    </row>
    <row r="1434" customFormat="false" ht="30" hidden="false" customHeight="true" outlineLevel="0" collapsed="false">
      <c r="A1434" s="1" t="s">
        <v>2841</v>
      </c>
      <c r="B1434" s="2" t="s">
        <v>2842</v>
      </c>
      <c r="C1434" s="6" t="n">
        <v>43237</v>
      </c>
      <c r="D1434" s="3" t="n">
        <v>11</v>
      </c>
      <c r="E1434" s="3" t="n">
        <v>7</v>
      </c>
      <c r="F1434" s="7" t="n">
        <f aca="false">IFERROR(Tableau1[[#This Row],[Score]]/Tableau1[[#This Row],[Nb]],0)</f>
        <v>0.636363636363636</v>
      </c>
    </row>
    <row r="1435" customFormat="false" ht="30" hidden="false" customHeight="true" outlineLevel="0" collapsed="false">
      <c r="A1435" s="1" t="s">
        <v>2843</v>
      </c>
      <c r="B1435" s="2" t="s">
        <v>2844</v>
      </c>
      <c r="C1435" s="6" t="n">
        <v>43238</v>
      </c>
      <c r="D1435" s="3" t="n">
        <v>9</v>
      </c>
      <c r="E1435" s="3" t="n">
        <v>5</v>
      </c>
      <c r="F1435" s="7" t="n">
        <f aca="false">IFERROR(Tableau1[[#This Row],[Score]]/Tableau1[[#This Row],[Nb]],0)</f>
        <v>0.555555555555556</v>
      </c>
    </row>
    <row r="1436" customFormat="false" ht="30" hidden="false" customHeight="true" outlineLevel="0" collapsed="false">
      <c r="A1436" s="1" t="s">
        <v>2845</v>
      </c>
      <c r="B1436" s="2" t="s">
        <v>2846</v>
      </c>
      <c r="C1436" s="6" t="n">
        <v>43244</v>
      </c>
      <c r="D1436" s="3" t="n">
        <v>10</v>
      </c>
      <c r="E1436" s="3" t="n">
        <v>4</v>
      </c>
      <c r="F1436" s="7" t="n">
        <f aca="false">IFERROR(Tableau1[[#This Row],[Score]]/Tableau1[[#This Row],[Nb]],0)</f>
        <v>0.4</v>
      </c>
    </row>
    <row r="1437" customFormat="false" ht="30" hidden="false" customHeight="true" outlineLevel="0" collapsed="false">
      <c r="A1437" s="1" t="s">
        <v>2847</v>
      </c>
      <c r="B1437" s="2" t="s">
        <v>2848</v>
      </c>
      <c r="C1437" s="6" t="n">
        <v>43245</v>
      </c>
      <c r="D1437" s="3" t="n">
        <v>8</v>
      </c>
      <c r="E1437" s="3" t="n">
        <v>-8</v>
      </c>
      <c r="F1437" s="7" t="n">
        <f aca="false">IFERROR(Tableau1[[#This Row],[Score]]/Tableau1[[#This Row],[Nb]],0)</f>
        <v>-1</v>
      </c>
    </row>
    <row r="1438" customFormat="false" ht="30" hidden="false" customHeight="true" outlineLevel="0" collapsed="false">
      <c r="A1438" s="1" t="s">
        <v>2849</v>
      </c>
      <c r="B1438" s="2" t="s">
        <v>2850</v>
      </c>
      <c r="C1438" s="6" t="n">
        <v>43245</v>
      </c>
      <c r="D1438" s="3" t="n">
        <v>9</v>
      </c>
      <c r="E1438" s="3" t="n">
        <v>-9</v>
      </c>
      <c r="F1438" s="7" t="n">
        <f aca="false">IFERROR(Tableau1[[#This Row],[Score]]/Tableau1[[#This Row],[Nb]],0)</f>
        <v>-1</v>
      </c>
    </row>
    <row r="1439" customFormat="false" ht="30" hidden="false" customHeight="true" outlineLevel="0" collapsed="false">
      <c r="A1439" s="1" t="s">
        <v>2851</v>
      </c>
      <c r="B1439" s="2" t="s">
        <v>2852</v>
      </c>
      <c r="C1439" s="6" t="n">
        <v>43245</v>
      </c>
      <c r="D1439" s="3" t="n">
        <v>6</v>
      </c>
      <c r="E1439" s="3" t="n">
        <v>-6</v>
      </c>
      <c r="F1439" s="7" t="n">
        <f aca="false">IFERROR(Tableau1[[#This Row],[Score]]/Tableau1[[#This Row],[Nb]],0)</f>
        <v>-1</v>
      </c>
    </row>
    <row r="1440" customFormat="false" ht="30" hidden="false" customHeight="true" outlineLevel="0" collapsed="false">
      <c r="A1440" s="1" t="s">
        <v>2853</v>
      </c>
      <c r="B1440" s="2" t="s">
        <v>2854</v>
      </c>
      <c r="C1440" s="6" t="n">
        <v>43245</v>
      </c>
      <c r="D1440" s="3" t="n">
        <v>15</v>
      </c>
      <c r="E1440" s="3" t="n">
        <v>-15</v>
      </c>
      <c r="F1440" s="7" t="n">
        <f aca="false">IFERROR(Tableau1[[#This Row],[Score]]/Tableau1[[#This Row],[Nb]],0)</f>
        <v>-1</v>
      </c>
    </row>
    <row r="1441" customFormat="false" ht="30" hidden="false" customHeight="true" outlineLevel="0" collapsed="false">
      <c r="A1441" s="1" t="s">
        <v>2855</v>
      </c>
      <c r="B1441" s="2" t="s">
        <v>2856</v>
      </c>
      <c r="C1441" s="6" t="n">
        <v>43245</v>
      </c>
      <c r="D1441" s="3" t="n">
        <v>8</v>
      </c>
      <c r="E1441" s="3" t="n">
        <v>-6</v>
      </c>
      <c r="F1441" s="7" t="n">
        <f aca="false">IFERROR(Tableau1[[#This Row],[Score]]/Tableau1[[#This Row],[Nb]],0)</f>
        <v>-0.75</v>
      </c>
    </row>
    <row r="1442" customFormat="false" ht="30" hidden="false" customHeight="true" outlineLevel="0" collapsed="false">
      <c r="A1442" s="1" t="s">
        <v>2857</v>
      </c>
      <c r="B1442" s="2" t="s">
        <v>2858</v>
      </c>
      <c r="C1442" s="6" t="n">
        <v>43245</v>
      </c>
      <c r="D1442" s="3" t="n">
        <v>12</v>
      </c>
      <c r="E1442" s="3" t="n">
        <v>-4</v>
      </c>
      <c r="F1442" s="7" t="n">
        <f aca="false">IFERROR(Tableau1[[#This Row],[Score]]/Tableau1[[#This Row],[Nb]],0)</f>
        <v>-0.333333333333333</v>
      </c>
    </row>
    <row r="1443" customFormat="false" ht="30" hidden="false" customHeight="true" outlineLevel="0" collapsed="false">
      <c r="A1443" s="1" t="s">
        <v>2859</v>
      </c>
      <c r="B1443" s="2" t="s">
        <v>2860</v>
      </c>
      <c r="C1443" s="6" t="n">
        <v>43245</v>
      </c>
      <c r="D1443" s="3" t="n">
        <v>14</v>
      </c>
      <c r="E1443" s="3" t="n">
        <v>0</v>
      </c>
      <c r="F1443" s="7" t="n">
        <f aca="false">IFERROR(Tableau1[[#This Row],[Score]]/Tableau1[[#This Row],[Nb]],0)</f>
        <v>0</v>
      </c>
    </row>
    <row r="1444" customFormat="false" ht="30" hidden="false" customHeight="true" outlineLevel="0" collapsed="false">
      <c r="A1444" s="1" t="s">
        <v>2861</v>
      </c>
      <c r="B1444" s="2" t="s">
        <v>2862</v>
      </c>
      <c r="C1444" s="6" t="n">
        <v>43245</v>
      </c>
      <c r="D1444" s="3" t="n">
        <v>10</v>
      </c>
      <c r="E1444" s="3" t="n">
        <v>2</v>
      </c>
      <c r="F1444" s="7" t="n">
        <f aca="false">IFERROR(Tableau1[[#This Row],[Score]]/Tableau1[[#This Row],[Nb]],0)</f>
        <v>0.2</v>
      </c>
    </row>
    <row r="1445" customFormat="false" ht="30" hidden="false" customHeight="true" outlineLevel="0" collapsed="false">
      <c r="A1445" s="1" t="s">
        <v>2863</v>
      </c>
      <c r="B1445" s="2" t="s">
        <v>2864</v>
      </c>
      <c r="C1445" s="6" t="n">
        <v>43245</v>
      </c>
      <c r="D1445" s="3" t="n">
        <v>9</v>
      </c>
      <c r="E1445" s="3" t="n">
        <v>3</v>
      </c>
      <c r="F1445" s="7" t="n">
        <f aca="false">IFERROR(Tableau1[[#This Row],[Score]]/Tableau1[[#This Row],[Nb]],0)</f>
        <v>0.333333333333333</v>
      </c>
    </row>
    <row r="1446" customFormat="false" ht="30" hidden="false" customHeight="true" outlineLevel="0" collapsed="false">
      <c r="A1446" s="1" t="s">
        <v>2865</v>
      </c>
      <c r="B1446" s="2" t="s">
        <v>2866</v>
      </c>
      <c r="C1446" s="6" t="n">
        <v>43245</v>
      </c>
      <c r="D1446" s="3" t="n">
        <v>7</v>
      </c>
      <c r="E1446" s="3" t="n">
        <v>5</v>
      </c>
      <c r="F1446" s="7" t="n">
        <f aca="false">IFERROR(Tableau1[[#This Row],[Score]]/Tableau1[[#This Row],[Nb]],0)</f>
        <v>0.714285714285714</v>
      </c>
    </row>
    <row r="1447" customFormat="false" ht="30" hidden="false" customHeight="true" outlineLevel="0" collapsed="false">
      <c r="A1447" s="1" t="s">
        <v>2867</v>
      </c>
      <c r="B1447" s="2" t="s">
        <v>2868</v>
      </c>
      <c r="C1447" s="6" t="n">
        <v>43245</v>
      </c>
      <c r="D1447" s="3" t="n">
        <v>9</v>
      </c>
      <c r="E1447" s="3" t="n">
        <v>7</v>
      </c>
      <c r="F1447" s="7" t="n">
        <f aca="false">IFERROR(Tableau1[[#This Row],[Score]]/Tableau1[[#This Row],[Nb]],0)</f>
        <v>0.777777777777778</v>
      </c>
    </row>
    <row r="1448" customFormat="false" ht="30" hidden="false" customHeight="true" outlineLevel="0" collapsed="false">
      <c r="A1448" s="8" t="s">
        <v>2869</v>
      </c>
      <c r="B1448" s="9" t="s">
        <v>2870</v>
      </c>
      <c r="C1448" s="6" t="n">
        <v>43245</v>
      </c>
      <c r="D1448" s="3" t="n">
        <v>10</v>
      </c>
      <c r="E1448" s="3" t="n">
        <v>10</v>
      </c>
      <c r="F1448" s="7" t="n">
        <f aca="false">IFERROR(Tableau1[[#This Row],[Score]]/Tableau1[[#This Row],[Nb]],0)</f>
        <v>1</v>
      </c>
    </row>
    <row r="1449" customFormat="false" ht="30" hidden="false" customHeight="true" outlineLevel="0" collapsed="false">
      <c r="A1449" s="1" t="s">
        <v>2871</v>
      </c>
      <c r="B1449" s="2" t="s">
        <v>2872</v>
      </c>
      <c r="C1449" s="6" t="n">
        <v>43245</v>
      </c>
      <c r="D1449" s="3" t="n">
        <v>7</v>
      </c>
      <c r="E1449" s="3" t="n">
        <v>7</v>
      </c>
      <c r="F1449" s="7" t="n">
        <f aca="false">IFERROR(Tableau1[[#This Row],[Score]]/Tableau1[[#This Row],[Nb]],0)</f>
        <v>1</v>
      </c>
    </row>
    <row r="1450" customFormat="false" ht="30" hidden="false" customHeight="true" outlineLevel="0" collapsed="false">
      <c r="A1450" s="1" t="s">
        <v>2873</v>
      </c>
      <c r="B1450" s="2" t="s">
        <v>2874</v>
      </c>
      <c r="C1450" s="6" t="n">
        <v>43246</v>
      </c>
      <c r="D1450" s="3" t="n">
        <v>7</v>
      </c>
      <c r="E1450" s="3" t="n">
        <v>-7</v>
      </c>
      <c r="F1450" s="7" t="n">
        <f aca="false">IFERROR(Tableau1[[#This Row],[Score]]/Tableau1[[#This Row],[Nb]],0)</f>
        <v>-1</v>
      </c>
    </row>
    <row r="1451" customFormat="false" ht="30" hidden="false" customHeight="true" outlineLevel="0" collapsed="false">
      <c r="A1451" s="1" t="s">
        <v>2875</v>
      </c>
      <c r="B1451" s="2" t="s">
        <v>2876</v>
      </c>
      <c r="C1451" s="6" t="n">
        <v>43246</v>
      </c>
      <c r="D1451" s="3" t="n">
        <v>9</v>
      </c>
      <c r="E1451" s="3" t="n">
        <v>-5</v>
      </c>
      <c r="F1451" s="7" t="n">
        <f aca="false">IFERROR(Tableau1[[#This Row],[Score]]/Tableau1[[#This Row],[Nb]],0)</f>
        <v>-0.555555555555556</v>
      </c>
    </row>
    <row r="1452" customFormat="false" ht="30" hidden="false" customHeight="true" outlineLevel="0" collapsed="false">
      <c r="A1452" s="1" t="s">
        <v>2877</v>
      </c>
      <c r="B1452" s="2" t="s">
        <v>2878</v>
      </c>
      <c r="C1452" s="6" t="n">
        <v>43246</v>
      </c>
      <c r="D1452" s="3" t="n">
        <v>8</v>
      </c>
      <c r="E1452" s="3" t="n">
        <v>-4</v>
      </c>
      <c r="F1452" s="7" t="n">
        <f aca="false">IFERROR(Tableau1[[#This Row],[Score]]/Tableau1[[#This Row],[Nb]],0)</f>
        <v>-0.5</v>
      </c>
    </row>
    <row r="1453" customFormat="false" ht="30" hidden="false" customHeight="true" outlineLevel="0" collapsed="false">
      <c r="A1453" s="1" t="s">
        <v>2879</v>
      </c>
      <c r="B1453" s="2" t="s">
        <v>2880</v>
      </c>
      <c r="C1453" s="6" t="n">
        <v>43246</v>
      </c>
      <c r="D1453" s="3" t="n">
        <v>6</v>
      </c>
      <c r="E1453" s="3" t="n">
        <v>0</v>
      </c>
      <c r="F1453" s="7" t="n">
        <f aca="false">IFERROR(Tableau1[[#This Row],[Score]]/Tableau1[[#This Row],[Nb]],0)</f>
        <v>0</v>
      </c>
    </row>
    <row r="1454" customFormat="false" ht="30" hidden="false" customHeight="true" outlineLevel="0" collapsed="false">
      <c r="A1454" s="1" t="s">
        <v>2881</v>
      </c>
      <c r="B1454" s="2" t="s">
        <v>2882</v>
      </c>
      <c r="C1454" s="6" t="n">
        <v>43246</v>
      </c>
      <c r="D1454" s="3" t="n">
        <v>6</v>
      </c>
      <c r="E1454" s="3" t="n">
        <v>0</v>
      </c>
      <c r="F1454" s="7" t="n">
        <f aca="false">IFERROR(Tableau1[[#This Row],[Score]]/Tableau1[[#This Row],[Nb]],0)</f>
        <v>0</v>
      </c>
    </row>
    <row r="1455" customFormat="false" ht="30" hidden="false" customHeight="true" outlineLevel="0" collapsed="false">
      <c r="A1455" s="1" t="s">
        <v>2883</v>
      </c>
      <c r="B1455" s="2" t="s">
        <v>2884</v>
      </c>
      <c r="C1455" s="6" t="n">
        <v>43246</v>
      </c>
      <c r="D1455" s="3" t="n">
        <v>11</v>
      </c>
      <c r="E1455" s="3" t="n">
        <v>3</v>
      </c>
      <c r="F1455" s="7" t="n">
        <f aca="false">IFERROR(Tableau1[[#This Row],[Score]]/Tableau1[[#This Row],[Nb]],0)</f>
        <v>0.272727272727273</v>
      </c>
    </row>
    <row r="1456" customFormat="false" ht="30" hidden="false" customHeight="true" outlineLevel="0" collapsed="false">
      <c r="A1456" s="1" t="s">
        <v>2885</v>
      </c>
      <c r="B1456" s="2" t="s">
        <v>2886</v>
      </c>
      <c r="C1456" s="6" t="n">
        <v>43246</v>
      </c>
      <c r="D1456" s="3" t="n">
        <v>9</v>
      </c>
      <c r="E1456" s="3" t="n">
        <v>3</v>
      </c>
      <c r="F1456" s="7" t="n">
        <f aca="false">IFERROR(Tableau1[[#This Row],[Score]]/Tableau1[[#This Row],[Nb]],0)</f>
        <v>0.333333333333333</v>
      </c>
    </row>
    <row r="1457" customFormat="false" ht="30" hidden="false" customHeight="true" outlineLevel="0" collapsed="false">
      <c r="A1457" s="1" t="s">
        <v>2887</v>
      </c>
      <c r="B1457" s="2" t="s">
        <v>2888</v>
      </c>
      <c r="C1457" s="6" t="n">
        <v>43246</v>
      </c>
      <c r="D1457" s="3" t="n">
        <v>11</v>
      </c>
      <c r="E1457" s="3" t="n">
        <v>7</v>
      </c>
      <c r="F1457" s="7" t="n">
        <f aca="false">IFERROR(Tableau1[[#This Row],[Score]]/Tableau1[[#This Row],[Nb]],0)</f>
        <v>0.636363636363636</v>
      </c>
    </row>
    <row r="1458" customFormat="false" ht="30" hidden="false" customHeight="true" outlineLevel="0" collapsed="false">
      <c r="A1458" s="1" t="s">
        <v>1400</v>
      </c>
      <c r="B1458" s="2" t="s">
        <v>2889</v>
      </c>
      <c r="C1458" s="6" t="n">
        <v>43246</v>
      </c>
      <c r="D1458" s="3" t="n">
        <v>12</v>
      </c>
      <c r="E1458" s="3" t="n">
        <v>8</v>
      </c>
      <c r="F1458" s="7" t="n">
        <f aca="false">IFERROR(Tableau1[[#This Row],[Score]]/Tableau1[[#This Row],[Nb]],0)</f>
        <v>0.666666666666667</v>
      </c>
    </row>
    <row r="1459" customFormat="false" ht="30" hidden="false" customHeight="true" outlineLevel="0" collapsed="false">
      <c r="A1459" s="1" t="s">
        <v>2890</v>
      </c>
      <c r="B1459" s="2" t="s">
        <v>2891</v>
      </c>
      <c r="C1459" s="6" t="n">
        <v>43246</v>
      </c>
      <c r="D1459" s="3" t="n">
        <v>11</v>
      </c>
      <c r="E1459" s="3" t="n">
        <v>7</v>
      </c>
      <c r="F1459" s="7" t="n">
        <f aca="false">IFERROR(Tableau1[[#This Row],[Score]]/Tableau1[[#This Row],[Nb]],0)</f>
        <v>0.636363636363636</v>
      </c>
    </row>
    <row r="1460" customFormat="false" ht="30" hidden="false" customHeight="true" outlineLevel="0" collapsed="false">
      <c r="A1460" s="1" t="s">
        <v>2892</v>
      </c>
      <c r="B1460" s="2" t="s">
        <v>2893</v>
      </c>
      <c r="C1460" s="6" t="n">
        <v>43246</v>
      </c>
      <c r="D1460" s="3" t="n">
        <v>8</v>
      </c>
      <c r="E1460" s="3" t="n">
        <v>6</v>
      </c>
      <c r="F1460" s="7" t="n">
        <f aca="false">IFERROR(Tableau1[[#This Row],[Score]]/Tableau1[[#This Row],[Nb]],0)</f>
        <v>0.75</v>
      </c>
    </row>
    <row r="1461" customFormat="false" ht="30" hidden="false" customHeight="true" outlineLevel="0" collapsed="false">
      <c r="A1461" s="1" t="s">
        <v>2894</v>
      </c>
      <c r="B1461" s="2" t="s">
        <v>2895</v>
      </c>
      <c r="C1461" s="6" t="n">
        <v>43246</v>
      </c>
      <c r="D1461" s="3" t="n">
        <v>9</v>
      </c>
      <c r="E1461" s="3" t="n">
        <v>7</v>
      </c>
      <c r="F1461" s="7" t="n">
        <f aca="false">IFERROR(Tableau1[[#This Row],[Score]]/Tableau1[[#This Row],[Nb]],0)</f>
        <v>0.777777777777778</v>
      </c>
    </row>
    <row r="1462" customFormat="false" ht="30" hidden="false" customHeight="true" outlineLevel="0" collapsed="false">
      <c r="A1462" s="1" t="s">
        <v>2896</v>
      </c>
      <c r="B1462" s="2" t="s">
        <v>2897</v>
      </c>
      <c r="C1462" s="6" t="n">
        <v>43246</v>
      </c>
      <c r="D1462" s="3" t="n">
        <v>10</v>
      </c>
      <c r="E1462" s="3" t="n">
        <v>8</v>
      </c>
      <c r="F1462" s="7" t="n">
        <f aca="false">IFERROR(Tableau1[[#This Row],[Score]]/Tableau1[[#This Row],[Nb]],0)</f>
        <v>0.8</v>
      </c>
    </row>
    <row r="1463" customFormat="false" ht="30" hidden="false" customHeight="true" outlineLevel="0" collapsed="false">
      <c r="A1463" s="1" t="s">
        <v>2898</v>
      </c>
      <c r="B1463" s="2" t="s">
        <v>2899</v>
      </c>
      <c r="C1463" s="6" t="n">
        <v>43246</v>
      </c>
      <c r="D1463" s="3" t="n">
        <v>10</v>
      </c>
      <c r="E1463" s="3" t="n">
        <v>8</v>
      </c>
      <c r="F1463" s="7" t="n">
        <f aca="false">IFERROR(Tableau1[[#This Row],[Score]]/Tableau1[[#This Row],[Nb]],0)</f>
        <v>0.8</v>
      </c>
    </row>
    <row r="1464" customFormat="false" ht="30" hidden="false" customHeight="true" outlineLevel="0" collapsed="false">
      <c r="A1464" s="1" t="s">
        <v>2900</v>
      </c>
      <c r="B1464" s="2" t="s">
        <v>2901</v>
      </c>
      <c r="C1464" s="6" t="n">
        <v>43246</v>
      </c>
      <c r="D1464" s="3" t="n">
        <v>12</v>
      </c>
      <c r="E1464" s="3" t="n">
        <v>10</v>
      </c>
      <c r="F1464" s="7" t="n">
        <f aca="false">IFERROR(Tableau1[[#This Row],[Score]]/Tableau1[[#This Row],[Nb]],0)</f>
        <v>0.833333333333333</v>
      </c>
    </row>
    <row r="1465" customFormat="false" ht="30" hidden="false" customHeight="true" outlineLevel="0" collapsed="false">
      <c r="A1465" s="1" t="s">
        <v>2902</v>
      </c>
      <c r="B1465" s="2" t="s">
        <v>2903</v>
      </c>
      <c r="C1465" s="6" t="n">
        <v>43246</v>
      </c>
      <c r="D1465" s="3" t="n">
        <v>14</v>
      </c>
      <c r="E1465" s="3" t="n">
        <v>12</v>
      </c>
      <c r="F1465" s="7" t="n">
        <f aca="false">IFERROR(Tableau1[[#This Row],[Score]]/Tableau1[[#This Row],[Nb]],0)</f>
        <v>0.857142857142857</v>
      </c>
    </row>
    <row r="1466" customFormat="false" ht="30" hidden="false" customHeight="true" outlineLevel="0" collapsed="false">
      <c r="A1466" s="8" t="s">
        <v>2904</v>
      </c>
      <c r="B1466" s="9" t="s">
        <v>2905</v>
      </c>
      <c r="C1466" s="6" t="n">
        <v>43246</v>
      </c>
      <c r="D1466" s="3" t="n">
        <v>10</v>
      </c>
      <c r="E1466" s="3" t="n">
        <v>10</v>
      </c>
      <c r="F1466" s="7" t="n">
        <f aca="false">IFERROR(Tableau1[[#This Row],[Score]]/Tableau1[[#This Row],[Nb]],0)</f>
        <v>1</v>
      </c>
    </row>
    <row r="1467" customFormat="false" ht="30" hidden="false" customHeight="true" outlineLevel="0" collapsed="false">
      <c r="A1467" s="8" t="s">
        <v>2906</v>
      </c>
      <c r="B1467" s="9" t="s">
        <v>2907</v>
      </c>
      <c r="C1467" s="6" t="n">
        <v>43246</v>
      </c>
      <c r="D1467" s="3" t="n">
        <v>10</v>
      </c>
      <c r="E1467" s="3" t="n">
        <v>10</v>
      </c>
      <c r="F1467" s="7" t="n">
        <f aca="false">IFERROR(Tableau1[[#This Row],[Score]]/Tableau1[[#This Row],[Nb]],0)</f>
        <v>1</v>
      </c>
    </row>
    <row r="1468" customFormat="false" ht="30" hidden="false" customHeight="true" outlineLevel="0" collapsed="false">
      <c r="A1468" s="8" t="s">
        <v>2908</v>
      </c>
      <c r="B1468" s="9" t="s">
        <v>2909</v>
      </c>
      <c r="C1468" s="6" t="n">
        <v>43246</v>
      </c>
      <c r="D1468" s="3" t="n">
        <v>10</v>
      </c>
      <c r="E1468" s="3" t="n">
        <v>10</v>
      </c>
      <c r="F1468" s="7" t="n">
        <f aca="false">IFERROR(Tableau1[[#This Row],[Score]]/Tableau1[[#This Row],[Nb]],0)</f>
        <v>1</v>
      </c>
    </row>
    <row r="1469" customFormat="false" ht="30" hidden="false" customHeight="true" outlineLevel="0" collapsed="false">
      <c r="A1469" s="8" t="s">
        <v>2910</v>
      </c>
      <c r="B1469" s="9" t="s">
        <v>2911</v>
      </c>
      <c r="C1469" s="6" t="n">
        <v>43246</v>
      </c>
      <c r="D1469" s="3" t="n">
        <v>10</v>
      </c>
      <c r="E1469" s="3" t="n">
        <v>10</v>
      </c>
      <c r="F1469" s="7" t="n">
        <f aca="false">IFERROR(Tableau1[[#This Row],[Score]]/Tableau1[[#This Row],[Nb]],0)</f>
        <v>1</v>
      </c>
    </row>
    <row r="1470" customFormat="false" ht="30" hidden="false" customHeight="true" outlineLevel="0" collapsed="false">
      <c r="A1470" s="8" t="s">
        <v>2912</v>
      </c>
      <c r="B1470" s="9" t="s">
        <v>2913</v>
      </c>
      <c r="C1470" s="6" t="n">
        <v>43246</v>
      </c>
      <c r="D1470" s="3" t="n">
        <v>10</v>
      </c>
      <c r="E1470" s="3" t="n">
        <v>10</v>
      </c>
      <c r="F1470" s="7" t="n">
        <f aca="false">IFERROR(Tableau1[[#This Row],[Score]]/Tableau1[[#This Row],[Nb]],0)</f>
        <v>1</v>
      </c>
    </row>
    <row r="1471" customFormat="false" ht="30" hidden="false" customHeight="true" outlineLevel="0" collapsed="false">
      <c r="A1471" s="1" t="s">
        <v>2914</v>
      </c>
      <c r="B1471" s="2" t="s">
        <v>2915</v>
      </c>
      <c r="C1471" s="6" t="n">
        <v>43246</v>
      </c>
      <c r="D1471" s="3" t="n">
        <v>9</v>
      </c>
      <c r="E1471" s="3" t="n">
        <v>9</v>
      </c>
      <c r="F1471" s="7" t="n">
        <f aca="false">IFERROR(Tableau1[[#This Row],[Score]]/Tableau1[[#This Row],[Nb]],0)</f>
        <v>1</v>
      </c>
    </row>
    <row r="1472" customFormat="false" ht="30" hidden="false" customHeight="true" outlineLevel="0" collapsed="false">
      <c r="A1472" s="1" t="s">
        <v>2916</v>
      </c>
      <c r="B1472" s="2" t="s">
        <v>2917</v>
      </c>
      <c r="C1472" s="6" t="n">
        <v>43246</v>
      </c>
      <c r="D1472" s="3" t="n">
        <v>6</v>
      </c>
      <c r="E1472" s="3" t="n">
        <v>6</v>
      </c>
      <c r="F1472" s="7" t="n">
        <f aca="false">IFERROR(Tableau1[[#This Row],[Score]]/Tableau1[[#This Row],[Nb]],0)</f>
        <v>1</v>
      </c>
    </row>
    <row r="1473" customFormat="false" ht="30" hidden="false" customHeight="true" outlineLevel="0" collapsed="false">
      <c r="A1473" s="1" t="s">
        <v>2918</v>
      </c>
      <c r="B1473" s="2" t="s">
        <v>2919</v>
      </c>
      <c r="C1473" s="6" t="n">
        <v>43246</v>
      </c>
      <c r="D1473" s="3" t="n">
        <v>7</v>
      </c>
      <c r="E1473" s="3" t="n">
        <v>7</v>
      </c>
      <c r="F1473" s="7" t="n">
        <f aca="false">IFERROR(Tableau1[[#This Row],[Score]]/Tableau1[[#This Row],[Nb]],0)</f>
        <v>1</v>
      </c>
    </row>
    <row r="1474" customFormat="false" ht="30" hidden="false" customHeight="true" outlineLevel="0" collapsed="false">
      <c r="A1474" s="1" t="s">
        <v>2920</v>
      </c>
      <c r="B1474" s="2" t="s">
        <v>2921</v>
      </c>
      <c r="C1474" s="6" t="n">
        <v>43246</v>
      </c>
      <c r="D1474" s="3" t="n">
        <v>7</v>
      </c>
      <c r="E1474" s="3" t="n">
        <v>7</v>
      </c>
      <c r="F1474" s="7" t="n">
        <f aca="false">IFERROR(Tableau1[[#This Row],[Score]]/Tableau1[[#This Row],[Nb]],0)</f>
        <v>1</v>
      </c>
    </row>
    <row r="1475" customFormat="false" ht="30" hidden="false" customHeight="true" outlineLevel="0" collapsed="false">
      <c r="A1475" s="1" t="s">
        <v>2922</v>
      </c>
      <c r="B1475" s="2" t="s">
        <v>2923</v>
      </c>
      <c r="C1475" s="6" t="n">
        <v>43246</v>
      </c>
      <c r="D1475" s="3" t="n">
        <v>7</v>
      </c>
      <c r="E1475" s="3" t="n">
        <v>7</v>
      </c>
      <c r="F1475" s="7" t="n">
        <f aca="false">IFERROR(Tableau1[[#This Row],[Score]]/Tableau1[[#This Row],[Nb]],0)</f>
        <v>1</v>
      </c>
    </row>
    <row r="1476" customFormat="false" ht="30" hidden="false" customHeight="true" outlineLevel="0" collapsed="false">
      <c r="A1476" s="8" t="s">
        <v>2924</v>
      </c>
      <c r="B1476" s="9" t="s">
        <v>2925</v>
      </c>
      <c r="C1476" s="6" t="n">
        <v>43246</v>
      </c>
      <c r="D1476" s="3" t="n">
        <v>13</v>
      </c>
      <c r="E1476" s="3" t="n">
        <v>13</v>
      </c>
      <c r="F1476" s="7" t="n">
        <f aca="false">IFERROR(Tableau1[[#This Row],[Score]]/Tableau1[[#This Row],[Nb]],0)</f>
        <v>1</v>
      </c>
    </row>
    <row r="1477" customFormat="false" ht="30" hidden="false" customHeight="true" outlineLevel="0" collapsed="false">
      <c r="A1477" s="1" t="s">
        <v>2926</v>
      </c>
      <c r="B1477" s="2" t="s">
        <v>2927</v>
      </c>
      <c r="C1477" s="6" t="n">
        <v>43247</v>
      </c>
      <c r="D1477" s="3" t="n">
        <v>11</v>
      </c>
      <c r="E1477" s="3" t="n">
        <v>-11</v>
      </c>
      <c r="F1477" s="7" t="n">
        <f aca="false">IFERROR(Tableau1[[#This Row],[Score]]/Tableau1[[#This Row],[Nb]],0)</f>
        <v>-1</v>
      </c>
    </row>
    <row r="1478" customFormat="false" ht="30" hidden="false" customHeight="true" outlineLevel="0" collapsed="false">
      <c r="A1478" s="1" t="s">
        <v>2928</v>
      </c>
      <c r="B1478" s="2" t="s">
        <v>2929</v>
      </c>
      <c r="C1478" s="6" t="n">
        <v>43247</v>
      </c>
      <c r="D1478" s="3" t="n">
        <v>8</v>
      </c>
      <c r="E1478" s="3" t="n">
        <v>-8</v>
      </c>
      <c r="F1478" s="7" t="n">
        <f aca="false">IFERROR(Tableau1[[#This Row],[Score]]/Tableau1[[#This Row],[Nb]],0)</f>
        <v>-1</v>
      </c>
    </row>
    <row r="1479" customFormat="false" ht="30" hidden="false" customHeight="true" outlineLevel="0" collapsed="false">
      <c r="A1479" s="1" t="s">
        <v>2930</v>
      </c>
      <c r="B1479" s="2" t="s">
        <v>2931</v>
      </c>
      <c r="C1479" s="6" t="n">
        <v>43247</v>
      </c>
      <c r="D1479" s="3" t="n">
        <v>12</v>
      </c>
      <c r="E1479" s="3" t="n">
        <v>-3</v>
      </c>
      <c r="F1479" s="7" t="n">
        <f aca="false">IFERROR(Tableau1[[#This Row],[Score]]/Tableau1[[#This Row],[Nb]],0)</f>
        <v>-0.25</v>
      </c>
    </row>
    <row r="1480" customFormat="false" ht="30" hidden="false" customHeight="true" outlineLevel="0" collapsed="false">
      <c r="A1480" s="1" t="s">
        <v>2932</v>
      </c>
      <c r="B1480" s="2" t="s">
        <v>2933</v>
      </c>
      <c r="C1480" s="6" t="n">
        <v>43247</v>
      </c>
      <c r="D1480" s="3" t="n">
        <v>8</v>
      </c>
      <c r="E1480" s="3" t="n">
        <v>-2</v>
      </c>
      <c r="F1480" s="7" t="n">
        <f aca="false">IFERROR(Tableau1[[#This Row],[Score]]/Tableau1[[#This Row],[Nb]],0)</f>
        <v>-0.25</v>
      </c>
    </row>
    <row r="1481" customFormat="false" ht="30" hidden="false" customHeight="true" outlineLevel="0" collapsed="false">
      <c r="A1481" s="1" t="s">
        <v>2934</v>
      </c>
      <c r="B1481" s="2" t="s">
        <v>2935</v>
      </c>
      <c r="C1481" s="6" t="n">
        <v>43247</v>
      </c>
      <c r="D1481" s="3" t="n">
        <v>7</v>
      </c>
      <c r="E1481" s="3" t="n">
        <v>-1</v>
      </c>
      <c r="F1481" s="7" t="n">
        <f aca="false">IFERROR(Tableau1[[#This Row],[Score]]/Tableau1[[#This Row],[Nb]],0)</f>
        <v>-0.142857142857143</v>
      </c>
    </row>
    <row r="1482" customFormat="false" ht="30" hidden="false" customHeight="true" outlineLevel="0" collapsed="false">
      <c r="A1482" s="1" t="s">
        <v>2936</v>
      </c>
      <c r="B1482" s="2" t="s">
        <v>2937</v>
      </c>
      <c r="C1482" s="6" t="n">
        <v>43247</v>
      </c>
      <c r="D1482" s="3" t="n">
        <v>4</v>
      </c>
      <c r="E1482" s="3" t="n">
        <v>0</v>
      </c>
      <c r="F1482" s="7" t="n">
        <f aca="false">IFERROR(Tableau1[[#This Row],[Score]]/Tableau1[[#This Row],[Nb]],0)</f>
        <v>0</v>
      </c>
    </row>
    <row r="1483" customFormat="false" ht="30" hidden="false" customHeight="true" outlineLevel="0" collapsed="false">
      <c r="A1483" s="1" t="s">
        <v>2938</v>
      </c>
      <c r="B1483" s="2" t="s">
        <v>2939</v>
      </c>
      <c r="C1483" s="6" t="n">
        <v>43247</v>
      </c>
      <c r="D1483" s="3" t="n">
        <v>9</v>
      </c>
      <c r="E1483" s="3" t="n">
        <v>1</v>
      </c>
      <c r="F1483" s="7" t="n">
        <f aca="false">IFERROR(Tableau1[[#This Row],[Score]]/Tableau1[[#This Row],[Nb]],0)</f>
        <v>0.111111111111111</v>
      </c>
    </row>
    <row r="1484" customFormat="false" ht="30" hidden="false" customHeight="true" outlineLevel="0" collapsed="false">
      <c r="A1484" s="1" t="s">
        <v>2940</v>
      </c>
      <c r="B1484" s="2" t="s">
        <v>2941</v>
      </c>
      <c r="C1484" s="6" t="n">
        <v>43247</v>
      </c>
      <c r="D1484" s="3" t="n">
        <v>11</v>
      </c>
      <c r="E1484" s="3" t="n">
        <v>3</v>
      </c>
      <c r="F1484" s="7" t="n">
        <f aca="false">IFERROR(Tableau1[[#This Row],[Score]]/Tableau1[[#This Row],[Nb]],0)</f>
        <v>0.272727272727273</v>
      </c>
    </row>
    <row r="1485" customFormat="false" ht="30" hidden="false" customHeight="true" outlineLevel="0" collapsed="false">
      <c r="A1485" s="1" t="s">
        <v>2942</v>
      </c>
      <c r="B1485" s="2" t="s">
        <v>2943</v>
      </c>
      <c r="C1485" s="6" t="n">
        <v>43247</v>
      </c>
      <c r="D1485" s="3" t="n">
        <v>8</v>
      </c>
      <c r="E1485" s="3" t="n">
        <v>6</v>
      </c>
      <c r="F1485" s="7" t="n">
        <f aca="false">IFERROR(Tableau1[[#This Row],[Score]]/Tableau1[[#This Row],[Nb]],0)</f>
        <v>0.75</v>
      </c>
    </row>
    <row r="1486" customFormat="false" ht="30" hidden="false" customHeight="true" outlineLevel="0" collapsed="false">
      <c r="A1486" s="1" t="s">
        <v>2944</v>
      </c>
      <c r="B1486" s="2" t="s">
        <v>2945</v>
      </c>
      <c r="C1486" s="6" t="n">
        <v>43247</v>
      </c>
      <c r="D1486" s="3" t="n">
        <v>7</v>
      </c>
      <c r="E1486" s="3" t="n">
        <v>6</v>
      </c>
      <c r="F1486" s="7" t="n">
        <f aca="false">IFERROR(Tableau1[[#This Row],[Score]]/Tableau1[[#This Row],[Nb]],0)</f>
        <v>0.857142857142857</v>
      </c>
    </row>
    <row r="1487" customFormat="false" ht="30" hidden="false" customHeight="true" outlineLevel="0" collapsed="false">
      <c r="A1487" s="1" t="s">
        <v>2946</v>
      </c>
      <c r="B1487" s="2" t="s">
        <v>2947</v>
      </c>
      <c r="C1487" s="6" t="n">
        <v>43251</v>
      </c>
      <c r="D1487" s="3" t="n">
        <v>19</v>
      </c>
      <c r="E1487" s="3" t="n">
        <v>-10</v>
      </c>
      <c r="F1487" s="7" t="n">
        <f aca="false">IFERROR(Tableau1[[#This Row],[Score]]/Tableau1[[#This Row],[Nb]],0)</f>
        <v>-0.526315789473684</v>
      </c>
    </row>
    <row r="1488" customFormat="false" ht="30" hidden="false" customHeight="true" outlineLevel="0" collapsed="false">
      <c r="A1488" s="1" t="s">
        <v>2948</v>
      </c>
      <c r="B1488" s="2" t="s">
        <v>2949</v>
      </c>
      <c r="C1488" s="6" t="n">
        <v>43251</v>
      </c>
      <c r="D1488" s="3" t="n">
        <v>10</v>
      </c>
      <c r="E1488" s="3" t="n">
        <v>-8</v>
      </c>
      <c r="F1488" s="7" t="n">
        <f aca="false">IFERROR(Tableau1[[#This Row],[Score]]/Tableau1[[#This Row],[Nb]],0)</f>
        <v>-0.8</v>
      </c>
    </row>
    <row r="1489" customFormat="false" ht="30" hidden="false" customHeight="true" outlineLevel="0" collapsed="false">
      <c r="A1489" s="1" t="s">
        <v>2950</v>
      </c>
      <c r="C1489" s="6" t="n">
        <v>43251</v>
      </c>
      <c r="D1489" s="3" t="n">
        <v>11</v>
      </c>
      <c r="E1489" s="3" t="n">
        <v>10</v>
      </c>
      <c r="F1489" s="7" t="n">
        <f aca="false">IFERROR(Tableau1[[#This Row],[Score]]/Tableau1[[#This Row],[Nb]],0)</f>
        <v>0.909090909090909</v>
      </c>
    </row>
    <row r="1490" customFormat="false" ht="30" hidden="false" customHeight="true" outlineLevel="0" collapsed="false">
      <c r="A1490" s="8" t="s">
        <v>2951</v>
      </c>
      <c r="B1490" s="9"/>
      <c r="C1490" s="6" t="n">
        <v>43251</v>
      </c>
      <c r="D1490" s="3" t="n">
        <v>14</v>
      </c>
      <c r="E1490" s="3" t="n">
        <v>14</v>
      </c>
      <c r="F1490" s="7" t="n">
        <f aca="false">IFERROR(Tableau1[[#This Row],[Score]]/Tableau1[[#This Row],[Nb]],0)</f>
        <v>1</v>
      </c>
    </row>
    <row r="1491" customFormat="false" ht="30" hidden="false" customHeight="true" outlineLevel="0" collapsed="false">
      <c r="A1491" s="1" t="s">
        <v>2952</v>
      </c>
      <c r="B1491" s="2" t="s">
        <v>2953</v>
      </c>
      <c r="C1491" s="6" t="n">
        <v>43255</v>
      </c>
      <c r="D1491" s="3" t="n">
        <v>9</v>
      </c>
      <c r="E1491" s="3" t="n">
        <v>-9</v>
      </c>
      <c r="F1491" s="7" t="n">
        <f aca="false">IFERROR(Tableau1[[#This Row],[Score]]/Tableau1[[#This Row],[Nb]],0)</f>
        <v>-1</v>
      </c>
    </row>
    <row r="1492" customFormat="false" ht="30" hidden="false" customHeight="true" outlineLevel="0" collapsed="false">
      <c r="A1492" s="1" t="s">
        <v>2954</v>
      </c>
      <c r="B1492" s="2" t="s">
        <v>2955</v>
      </c>
      <c r="C1492" s="6" t="n">
        <v>43255</v>
      </c>
      <c r="D1492" s="3" t="n">
        <v>6</v>
      </c>
      <c r="E1492" s="3" t="n">
        <v>-6</v>
      </c>
      <c r="F1492" s="7" t="n">
        <f aca="false">IFERROR(Tableau1[[#This Row],[Score]]/Tableau1[[#This Row],[Nb]],0)</f>
        <v>-1</v>
      </c>
    </row>
    <row r="1493" customFormat="false" ht="30" hidden="false" customHeight="true" outlineLevel="0" collapsed="false">
      <c r="A1493" s="1" t="s">
        <v>2956</v>
      </c>
      <c r="B1493" s="2" t="s">
        <v>2957</v>
      </c>
      <c r="C1493" s="6" t="n">
        <v>43255</v>
      </c>
      <c r="D1493" s="3" t="n">
        <v>8</v>
      </c>
      <c r="E1493" s="3" t="n">
        <v>-8</v>
      </c>
      <c r="F1493" s="7" t="n">
        <f aca="false">IFERROR(Tableau1[[#This Row],[Score]]/Tableau1[[#This Row],[Nb]],0)</f>
        <v>-1</v>
      </c>
    </row>
    <row r="1494" customFormat="false" ht="30" hidden="false" customHeight="true" outlineLevel="0" collapsed="false">
      <c r="A1494" s="1" t="s">
        <v>2958</v>
      </c>
      <c r="B1494" s="2" t="s">
        <v>2959</v>
      </c>
      <c r="C1494" s="6" t="n">
        <v>43255</v>
      </c>
      <c r="D1494" s="3" t="n">
        <v>8</v>
      </c>
      <c r="E1494" s="3" t="n">
        <v>-6</v>
      </c>
      <c r="F1494" s="7" t="n">
        <f aca="false">IFERROR(Tableau1[[#This Row],[Score]]/Tableau1[[#This Row],[Nb]],0)</f>
        <v>-0.75</v>
      </c>
    </row>
    <row r="1495" customFormat="false" ht="30" hidden="false" customHeight="true" outlineLevel="0" collapsed="false">
      <c r="A1495" s="1" t="s">
        <v>2960</v>
      </c>
      <c r="B1495" s="2" t="s">
        <v>2961</v>
      </c>
      <c r="C1495" s="6" t="n">
        <v>43255</v>
      </c>
      <c r="D1495" s="3" t="n">
        <v>5</v>
      </c>
      <c r="E1495" s="3" t="n">
        <v>-3</v>
      </c>
      <c r="F1495" s="7" t="n">
        <f aca="false">IFERROR(Tableau1[[#This Row],[Score]]/Tableau1[[#This Row],[Nb]],0)</f>
        <v>-0.6</v>
      </c>
    </row>
    <row r="1496" customFormat="false" ht="30" hidden="false" customHeight="true" outlineLevel="0" collapsed="false">
      <c r="A1496" s="1" t="s">
        <v>2962</v>
      </c>
      <c r="B1496" s="2" t="s">
        <v>2963</v>
      </c>
      <c r="C1496" s="6" t="n">
        <v>43255</v>
      </c>
      <c r="D1496" s="3" t="n">
        <v>15</v>
      </c>
      <c r="E1496" s="3" t="n">
        <v>-9</v>
      </c>
      <c r="F1496" s="7" t="n">
        <f aca="false">IFERROR(Tableau1[[#This Row],[Score]]/Tableau1[[#This Row],[Nb]],0)</f>
        <v>-0.6</v>
      </c>
    </row>
    <row r="1497" customFormat="false" ht="30" hidden="false" customHeight="true" outlineLevel="0" collapsed="false">
      <c r="A1497" s="1" t="s">
        <v>2964</v>
      </c>
      <c r="B1497" s="2" t="s">
        <v>2965</v>
      </c>
      <c r="C1497" s="6" t="n">
        <v>43255</v>
      </c>
      <c r="D1497" s="3" t="n">
        <v>9</v>
      </c>
      <c r="E1497" s="3" t="n">
        <v>-3</v>
      </c>
      <c r="F1497" s="7" t="n">
        <f aca="false">IFERROR(Tableau1[[#This Row],[Score]]/Tableau1[[#This Row],[Nb]],0)</f>
        <v>-0.333333333333333</v>
      </c>
    </row>
    <row r="1498" customFormat="false" ht="30" hidden="false" customHeight="true" outlineLevel="0" collapsed="false">
      <c r="A1498" s="1" t="s">
        <v>2966</v>
      </c>
      <c r="B1498" s="2" t="s">
        <v>2967</v>
      </c>
      <c r="C1498" s="6" t="n">
        <v>43255</v>
      </c>
      <c r="D1498" s="3" t="n">
        <v>15</v>
      </c>
      <c r="E1498" s="3" t="n">
        <v>-3</v>
      </c>
      <c r="F1498" s="7" t="n">
        <f aca="false">IFERROR(Tableau1[[#This Row],[Score]]/Tableau1[[#This Row],[Nb]],0)</f>
        <v>-0.2</v>
      </c>
    </row>
    <row r="1499" customFormat="false" ht="30" hidden="false" customHeight="true" outlineLevel="0" collapsed="false">
      <c r="A1499" s="1" t="s">
        <v>2968</v>
      </c>
      <c r="B1499" s="2" t="s">
        <v>2969</v>
      </c>
      <c r="C1499" s="6" t="n">
        <v>43255</v>
      </c>
      <c r="D1499" s="3" t="n">
        <v>10</v>
      </c>
      <c r="E1499" s="3" t="n">
        <v>0</v>
      </c>
      <c r="F1499" s="7" t="n">
        <f aca="false">IFERROR(Tableau1[[#This Row],[Score]]/Tableau1[[#This Row],[Nb]],0)</f>
        <v>0</v>
      </c>
    </row>
    <row r="1500" customFormat="false" ht="30" hidden="false" customHeight="true" outlineLevel="0" collapsed="false">
      <c r="A1500" s="1" t="s">
        <v>2970</v>
      </c>
      <c r="B1500" s="2" t="s">
        <v>2971</v>
      </c>
      <c r="C1500" s="6" t="n">
        <v>43255</v>
      </c>
      <c r="D1500" s="3" t="n">
        <v>9</v>
      </c>
      <c r="E1500" s="3" t="n">
        <v>0</v>
      </c>
      <c r="F1500" s="7" t="n">
        <f aca="false">IFERROR(Tableau1[[#This Row],[Score]]/Tableau1[[#This Row],[Nb]],0)</f>
        <v>0</v>
      </c>
    </row>
    <row r="1501" customFormat="false" ht="30" hidden="false" customHeight="true" outlineLevel="0" collapsed="false">
      <c r="A1501" s="1" t="s">
        <v>2972</v>
      </c>
      <c r="B1501" s="2" t="s">
        <v>2973</v>
      </c>
      <c r="C1501" s="6" t="n">
        <v>43255</v>
      </c>
      <c r="D1501" s="3" t="n">
        <v>6</v>
      </c>
      <c r="E1501" s="3" t="n">
        <v>0</v>
      </c>
      <c r="F1501" s="7" t="n">
        <f aca="false">IFERROR(Tableau1[[#This Row],[Score]]/Tableau1[[#This Row],[Nb]],0)</f>
        <v>0</v>
      </c>
    </row>
    <row r="1502" customFormat="false" ht="30" hidden="false" customHeight="true" outlineLevel="0" collapsed="false">
      <c r="A1502" s="1" t="s">
        <v>2974</v>
      </c>
      <c r="B1502" s="2" t="s">
        <v>2975</v>
      </c>
      <c r="C1502" s="6" t="n">
        <v>43255</v>
      </c>
      <c r="D1502" s="3" t="n">
        <v>4</v>
      </c>
      <c r="E1502" s="3" t="n">
        <v>0</v>
      </c>
      <c r="F1502" s="7" t="n">
        <f aca="false">IFERROR(Tableau1[[#This Row],[Score]]/Tableau1[[#This Row],[Nb]],0)</f>
        <v>0</v>
      </c>
    </row>
    <row r="1503" customFormat="false" ht="30" hidden="false" customHeight="true" outlineLevel="0" collapsed="false">
      <c r="A1503" s="1" t="s">
        <v>2976</v>
      </c>
      <c r="B1503" s="2" t="s">
        <v>2977</v>
      </c>
      <c r="C1503" s="6" t="n">
        <v>43255</v>
      </c>
      <c r="D1503" s="3" t="n">
        <v>16</v>
      </c>
      <c r="E1503" s="3" t="n">
        <v>4</v>
      </c>
      <c r="F1503" s="7" t="n">
        <f aca="false">IFERROR(Tableau1[[#This Row],[Score]]/Tableau1[[#This Row],[Nb]],0)</f>
        <v>0.25</v>
      </c>
    </row>
    <row r="1504" customFormat="false" ht="30" hidden="false" customHeight="true" outlineLevel="0" collapsed="false">
      <c r="A1504" s="1" t="s">
        <v>2978</v>
      </c>
      <c r="B1504" s="2" t="s">
        <v>2979</v>
      </c>
      <c r="C1504" s="6" t="n">
        <v>43255</v>
      </c>
      <c r="D1504" s="3" t="n">
        <v>12</v>
      </c>
      <c r="E1504" s="3" t="n">
        <v>4</v>
      </c>
      <c r="F1504" s="7" t="n">
        <f aca="false">IFERROR(Tableau1[[#This Row],[Score]]/Tableau1[[#This Row],[Nb]],0)</f>
        <v>0.333333333333333</v>
      </c>
    </row>
    <row r="1505" customFormat="false" ht="30" hidden="false" customHeight="true" outlineLevel="0" collapsed="false">
      <c r="A1505" s="1" t="s">
        <v>2980</v>
      </c>
      <c r="B1505" s="2" t="s">
        <v>2981</v>
      </c>
      <c r="C1505" s="6" t="n">
        <v>43255</v>
      </c>
      <c r="D1505" s="3" t="n">
        <v>9</v>
      </c>
      <c r="E1505" s="3" t="n">
        <v>3</v>
      </c>
      <c r="F1505" s="7" t="n">
        <f aca="false">IFERROR(Tableau1[[#This Row],[Score]]/Tableau1[[#This Row],[Nb]],0)</f>
        <v>0.333333333333333</v>
      </c>
    </row>
    <row r="1506" customFormat="false" ht="30" hidden="false" customHeight="true" outlineLevel="0" collapsed="false">
      <c r="A1506" s="1" t="s">
        <v>2982</v>
      </c>
      <c r="B1506" s="2" t="s">
        <v>2983</v>
      </c>
      <c r="C1506" s="6" t="n">
        <v>43255</v>
      </c>
      <c r="D1506" s="3" t="n">
        <v>13</v>
      </c>
      <c r="E1506" s="3" t="n">
        <v>7</v>
      </c>
      <c r="F1506" s="7" t="n">
        <f aca="false">IFERROR(Tableau1[[#This Row],[Score]]/Tableau1[[#This Row],[Nb]],0)</f>
        <v>0.538461538461538</v>
      </c>
    </row>
    <row r="1507" customFormat="false" ht="30" hidden="false" customHeight="true" outlineLevel="0" collapsed="false">
      <c r="A1507" s="1" t="s">
        <v>2984</v>
      </c>
      <c r="B1507" s="2" t="s">
        <v>2985</v>
      </c>
      <c r="C1507" s="6" t="n">
        <v>43255</v>
      </c>
      <c r="D1507" s="3" t="n">
        <v>11</v>
      </c>
      <c r="E1507" s="3" t="n">
        <v>7</v>
      </c>
      <c r="F1507" s="7" t="n">
        <f aca="false">IFERROR(Tableau1[[#This Row],[Score]]/Tableau1[[#This Row],[Nb]],0)</f>
        <v>0.636363636363636</v>
      </c>
    </row>
    <row r="1508" customFormat="false" ht="30" hidden="false" customHeight="true" outlineLevel="0" collapsed="false">
      <c r="A1508" s="1" t="s">
        <v>2986</v>
      </c>
      <c r="B1508" s="2" t="s">
        <v>2987</v>
      </c>
      <c r="C1508" s="6" t="n">
        <v>43255</v>
      </c>
      <c r="D1508" s="3" t="n">
        <v>12</v>
      </c>
      <c r="E1508" s="3" t="n">
        <v>8</v>
      </c>
      <c r="F1508" s="7" t="n">
        <f aca="false">IFERROR(Tableau1[[#This Row],[Score]]/Tableau1[[#This Row],[Nb]],0)</f>
        <v>0.666666666666667</v>
      </c>
    </row>
    <row r="1509" customFormat="false" ht="30" hidden="false" customHeight="true" outlineLevel="0" collapsed="false">
      <c r="A1509" s="1" t="s">
        <v>2988</v>
      </c>
      <c r="B1509" s="2" t="s">
        <v>2989</v>
      </c>
      <c r="C1509" s="6" t="n">
        <v>43255</v>
      </c>
      <c r="D1509" s="3" t="n">
        <v>7</v>
      </c>
      <c r="E1509" s="3" t="n">
        <v>5</v>
      </c>
      <c r="F1509" s="7" t="n">
        <f aca="false">IFERROR(Tableau1[[#This Row],[Score]]/Tableau1[[#This Row],[Nb]],0)</f>
        <v>0.714285714285714</v>
      </c>
    </row>
    <row r="1510" customFormat="false" ht="30" hidden="false" customHeight="true" outlineLevel="0" collapsed="false">
      <c r="A1510" s="1" t="s">
        <v>2990</v>
      </c>
      <c r="B1510" s="2" t="s">
        <v>2991</v>
      </c>
      <c r="C1510" s="6" t="n">
        <v>43255</v>
      </c>
      <c r="D1510" s="3" t="n">
        <v>8</v>
      </c>
      <c r="E1510" s="3" t="n">
        <v>6</v>
      </c>
      <c r="F1510" s="7" t="n">
        <f aca="false">IFERROR(Tableau1[[#This Row],[Score]]/Tableau1[[#This Row],[Nb]],0)</f>
        <v>0.75</v>
      </c>
    </row>
    <row r="1511" customFormat="false" ht="30" hidden="false" customHeight="true" outlineLevel="0" collapsed="false">
      <c r="A1511" s="1" t="s">
        <v>2992</v>
      </c>
      <c r="B1511" s="2" t="s">
        <v>2993</v>
      </c>
      <c r="C1511" s="6" t="n">
        <v>43255</v>
      </c>
      <c r="D1511" s="3" t="n">
        <v>9</v>
      </c>
      <c r="E1511" s="3" t="n">
        <v>7</v>
      </c>
      <c r="F1511" s="7" t="n">
        <f aca="false">IFERROR(Tableau1[[#This Row],[Score]]/Tableau1[[#This Row],[Nb]],0)</f>
        <v>0.777777777777778</v>
      </c>
    </row>
    <row r="1512" customFormat="false" ht="30" hidden="false" customHeight="true" outlineLevel="0" collapsed="false">
      <c r="A1512" s="1" t="s">
        <v>2994</v>
      </c>
      <c r="B1512" s="2" t="s">
        <v>2995</v>
      </c>
      <c r="C1512" s="6" t="n">
        <v>43255</v>
      </c>
      <c r="D1512" s="3" t="n">
        <v>10</v>
      </c>
      <c r="E1512" s="3" t="n">
        <v>8</v>
      </c>
      <c r="F1512" s="7" t="n">
        <f aca="false">IFERROR(Tableau1[[#This Row],[Score]]/Tableau1[[#This Row],[Nb]],0)</f>
        <v>0.8</v>
      </c>
    </row>
    <row r="1513" customFormat="false" ht="30" hidden="false" customHeight="true" outlineLevel="0" collapsed="false">
      <c r="A1513" s="1" t="s">
        <v>2996</v>
      </c>
      <c r="B1513" s="2" t="s">
        <v>2997</v>
      </c>
      <c r="C1513" s="6" t="n">
        <v>43255</v>
      </c>
      <c r="D1513" s="3" t="n">
        <v>12</v>
      </c>
      <c r="E1513" s="3" t="n">
        <v>10</v>
      </c>
      <c r="F1513" s="7" t="n">
        <f aca="false">IFERROR(Tableau1[[#This Row],[Score]]/Tableau1[[#This Row],[Nb]],0)</f>
        <v>0.833333333333333</v>
      </c>
    </row>
    <row r="1514" customFormat="false" ht="30" hidden="false" customHeight="true" outlineLevel="0" collapsed="false">
      <c r="A1514" s="1" t="s">
        <v>2998</v>
      </c>
      <c r="B1514" s="2" t="s">
        <v>2999</v>
      </c>
      <c r="C1514" s="6" t="n">
        <v>43255</v>
      </c>
      <c r="D1514" s="3" t="n">
        <v>12</v>
      </c>
      <c r="E1514" s="3" t="n">
        <v>10</v>
      </c>
      <c r="F1514" s="7" t="n">
        <f aca="false">IFERROR(Tableau1[[#This Row],[Score]]/Tableau1[[#This Row],[Nb]],0)</f>
        <v>0.833333333333333</v>
      </c>
    </row>
    <row r="1515" customFormat="false" ht="30" hidden="false" customHeight="true" outlineLevel="0" collapsed="false">
      <c r="A1515" s="1" t="s">
        <v>3000</v>
      </c>
      <c r="B1515" s="2" t="s">
        <v>3001</v>
      </c>
      <c r="C1515" s="6" t="n">
        <v>43255</v>
      </c>
      <c r="D1515" s="3" t="n">
        <v>12</v>
      </c>
      <c r="E1515" s="3" t="n">
        <v>10</v>
      </c>
      <c r="F1515" s="7" t="n">
        <f aca="false">IFERROR(Tableau1[[#This Row],[Score]]/Tableau1[[#This Row],[Nb]],0)</f>
        <v>0.833333333333333</v>
      </c>
    </row>
    <row r="1516" customFormat="false" ht="30" hidden="false" customHeight="true" outlineLevel="0" collapsed="false">
      <c r="A1516" s="1" t="s">
        <v>3002</v>
      </c>
      <c r="B1516" s="2" t="s">
        <v>3003</v>
      </c>
      <c r="C1516" s="6" t="n">
        <v>43255</v>
      </c>
      <c r="D1516" s="3" t="n">
        <v>14</v>
      </c>
      <c r="E1516" s="3" t="n">
        <v>12</v>
      </c>
      <c r="F1516" s="7" t="n">
        <f aca="false">IFERROR(Tableau1[[#This Row],[Score]]/Tableau1[[#This Row],[Nb]],0)</f>
        <v>0.857142857142857</v>
      </c>
    </row>
    <row r="1517" customFormat="false" ht="30" hidden="false" customHeight="true" outlineLevel="0" collapsed="false">
      <c r="A1517" s="1" t="s">
        <v>3004</v>
      </c>
      <c r="B1517" s="2" t="s">
        <v>3005</v>
      </c>
      <c r="C1517" s="6" t="n">
        <v>43255</v>
      </c>
      <c r="D1517" s="3" t="n">
        <v>15</v>
      </c>
      <c r="E1517" s="3" t="n">
        <v>13</v>
      </c>
      <c r="F1517" s="7" t="n">
        <f aca="false">IFERROR(Tableau1[[#This Row],[Score]]/Tableau1[[#This Row],[Nb]],0)</f>
        <v>0.866666666666667</v>
      </c>
    </row>
    <row r="1518" customFormat="false" ht="30" hidden="false" customHeight="true" outlineLevel="0" collapsed="false">
      <c r="A1518" s="1" t="s">
        <v>3006</v>
      </c>
      <c r="B1518" s="2" t="s">
        <v>3007</v>
      </c>
      <c r="C1518" s="6" t="n">
        <v>43255</v>
      </c>
      <c r="D1518" s="3" t="n">
        <v>18</v>
      </c>
      <c r="E1518" s="3" t="n">
        <v>16</v>
      </c>
      <c r="F1518" s="7" t="n">
        <f aca="false">IFERROR(Tableau1[[#This Row],[Score]]/Tableau1[[#This Row],[Nb]],0)</f>
        <v>0.888888888888889</v>
      </c>
    </row>
    <row r="1519" customFormat="false" ht="30" hidden="false" customHeight="true" outlineLevel="0" collapsed="false">
      <c r="A1519" s="8" t="s">
        <v>3008</v>
      </c>
      <c r="B1519" s="9" t="s">
        <v>3009</v>
      </c>
      <c r="C1519" s="6" t="n">
        <v>43255</v>
      </c>
      <c r="D1519" s="3" t="n">
        <v>10</v>
      </c>
      <c r="E1519" s="3" t="n">
        <v>10</v>
      </c>
      <c r="F1519" s="7" t="n">
        <f aca="false">IFERROR(Tableau1[[#This Row],[Score]]/Tableau1[[#This Row],[Nb]],0)</f>
        <v>1</v>
      </c>
    </row>
    <row r="1520" customFormat="false" ht="30" hidden="false" customHeight="true" outlineLevel="0" collapsed="false">
      <c r="A1520" s="1" t="s">
        <v>3010</v>
      </c>
      <c r="B1520" s="2" t="s">
        <v>3011</v>
      </c>
      <c r="C1520" s="6" t="n">
        <v>43255</v>
      </c>
      <c r="D1520" s="3" t="n">
        <v>8</v>
      </c>
      <c r="E1520" s="3" t="n">
        <v>8</v>
      </c>
      <c r="F1520" s="7" t="n">
        <f aca="false">IFERROR(Tableau1[[#This Row],[Score]]/Tableau1[[#This Row],[Nb]],0)</f>
        <v>1</v>
      </c>
    </row>
    <row r="1521" customFormat="false" ht="30" hidden="false" customHeight="true" outlineLevel="0" collapsed="false">
      <c r="A1521" s="1" t="s">
        <v>3012</v>
      </c>
      <c r="B1521" s="2" t="s">
        <v>3013</v>
      </c>
      <c r="C1521" s="6" t="n">
        <v>43255</v>
      </c>
      <c r="D1521" s="3" t="n">
        <v>8</v>
      </c>
      <c r="E1521" s="3" t="n">
        <v>8</v>
      </c>
      <c r="F1521" s="7" t="n">
        <f aca="false">IFERROR(Tableau1[[#This Row],[Score]]/Tableau1[[#This Row],[Nb]],0)</f>
        <v>1</v>
      </c>
    </row>
    <row r="1522" customFormat="false" ht="30" hidden="false" customHeight="true" outlineLevel="0" collapsed="false">
      <c r="A1522" s="1" t="s">
        <v>3014</v>
      </c>
      <c r="B1522" s="2" t="s">
        <v>3015</v>
      </c>
      <c r="C1522" s="6" t="n">
        <v>43255</v>
      </c>
      <c r="D1522" s="3" t="n">
        <v>8</v>
      </c>
      <c r="E1522" s="3" t="n">
        <v>8</v>
      </c>
      <c r="F1522" s="7" t="n">
        <f aca="false">IFERROR(Tableau1[[#This Row],[Score]]/Tableau1[[#This Row],[Nb]],0)</f>
        <v>1</v>
      </c>
    </row>
    <row r="1523" customFormat="false" ht="30" hidden="false" customHeight="true" outlineLevel="0" collapsed="false">
      <c r="A1523" s="1" t="s">
        <v>3016</v>
      </c>
      <c r="B1523" s="2" t="s">
        <v>3017</v>
      </c>
      <c r="C1523" s="6" t="n">
        <v>43255</v>
      </c>
      <c r="D1523" s="3" t="n">
        <v>9</v>
      </c>
      <c r="E1523" s="3" t="n">
        <v>9</v>
      </c>
      <c r="F1523" s="7" t="n">
        <f aca="false">IFERROR(Tableau1[[#This Row],[Score]]/Tableau1[[#This Row],[Nb]],0)</f>
        <v>1</v>
      </c>
    </row>
    <row r="1524" customFormat="false" ht="30" hidden="false" customHeight="true" outlineLevel="0" collapsed="false">
      <c r="A1524" s="1" t="s">
        <v>3018</v>
      </c>
      <c r="B1524" s="2" t="s">
        <v>3019</v>
      </c>
      <c r="C1524" s="6" t="n">
        <v>43255</v>
      </c>
      <c r="D1524" s="3" t="n">
        <v>3</v>
      </c>
      <c r="E1524" s="3" t="n">
        <v>3</v>
      </c>
      <c r="F1524" s="7" t="n">
        <f aca="false">IFERROR(Tableau1[[#This Row],[Score]]/Tableau1[[#This Row],[Nb]],0)</f>
        <v>1</v>
      </c>
    </row>
    <row r="1525" customFormat="false" ht="30" hidden="false" customHeight="true" outlineLevel="0" collapsed="false">
      <c r="A1525" s="1" t="s">
        <v>3020</v>
      </c>
      <c r="B1525" s="2" t="s">
        <v>3021</v>
      </c>
      <c r="C1525" s="6" t="n">
        <v>43255</v>
      </c>
      <c r="D1525" s="3" t="n">
        <v>5</v>
      </c>
      <c r="E1525" s="3" t="n">
        <v>5</v>
      </c>
      <c r="F1525" s="7" t="n">
        <f aca="false">IFERROR(Tableau1[[#This Row],[Score]]/Tableau1[[#This Row],[Nb]],0)</f>
        <v>1</v>
      </c>
    </row>
    <row r="1526" customFormat="false" ht="30" hidden="false" customHeight="true" outlineLevel="0" collapsed="false">
      <c r="A1526" s="1" t="s">
        <v>3022</v>
      </c>
      <c r="B1526" s="2" t="s">
        <v>3023</v>
      </c>
      <c r="C1526" s="6" t="n">
        <v>43256</v>
      </c>
      <c r="D1526" s="3" t="n">
        <v>11</v>
      </c>
      <c r="E1526" s="3" t="n">
        <v>-9</v>
      </c>
      <c r="F1526" s="7" t="n">
        <f aca="false">IFERROR(Tableau1[[#This Row],[Score]]/Tableau1[[#This Row],[Nb]],0)</f>
        <v>-0.818181818181818</v>
      </c>
    </row>
    <row r="1527" customFormat="false" ht="30" hidden="false" customHeight="true" outlineLevel="0" collapsed="false">
      <c r="A1527" s="1" t="s">
        <v>3024</v>
      </c>
      <c r="B1527" s="2" t="s">
        <v>3025</v>
      </c>
      <c r="C1527" s="6" t="n">
        <v>43256</v>
      </c>
      <c r="D1527" s="3" t="n">
        <v>15</v>
      </c>
      <c r="E1527" s="3" t="n">
        <v>-11</v>
      </c>
      <c r="F1527" s="7" t="n">
        <f aca="false">IFERROR(Tableau1[[#This Row],[Score]]/Tableau1[[#This Row],[Nb]],0)</f>
        <v>-0.733333333333333</v>
      </c>
    </row>
    <row r="1528" customFormat="false" ht="30" hidden="false" customHeight="true" outlineLevel="0" collapsed="false">
      <c r="A1528" s="1" t="s">
        <v>3026</v>
      </c>
      <c r="B1528" s="2" t="s">
        <v>3027</v>
      </c>
      <c r="C1528" s="6" t="n">
        <v>43256</v>
      </c>
      <c r="D1528" s="3" t="n">
        <v>8</v>
      </c>
      <c r="E1528" s="3" t="n">
        <v>-4</v>
      </c>
      <c r="F1528" s="7" t="n">
        <f aca="false">IFERROR(Tableau1[[#This Row],[Score]]/Tableau1[[#This Row],[Nb]],0)</f>
        <v>-0.5</v>
      </c>
    </row>
    <row r="1529" customFormat="false" ht="30" hidden="false" customHeight="true" outlineLevel="0" collapsed="false">
      <c r="A1529" s="1" t="s">
        <v>3028</v>
      </c>
      <c r="B1529" s="2" t="s">
        <v>3029</v>
      </c>
      <c r="C1529" s="6" t="n">
        <v>43256</v>
      </c>
      <c r="D1529" s="3" t="n">
        <v>10</v>
      </c>
      <c r="E1529" s="3" t="n">
        <v>-4</v>
      </c>
      <c r="F1529" s="7" t="n">
        <f aca="false">IFERROR(Tableau1[[#This Row],[Score]]/Tableau1[[#This Row],[Nb]],0)</f>
        <v>-0.4</v>
      </c>
    </row>
    <row r="1530" customFormat="false" ht="30" hidden="false" customHeight="true" outlineLevel="0" collapsed="false">
      <c r="A1530" s="1" t="s">
        <v>3030</v>
      </c>
      <c r="B1530" s="2" t="s">
        <v>3031</v>
      </c>
      <c r="C1530" s="6" t="n">
        <v>43256</v>
      </c>
      <c r="D1530" s="3" t="n">
        <v>4</v>
      </c>
      <c r="E1530" s="3" t="n">
        <v>0</v>
      </c>
      <c r="F1530" s="7" t="n">
        <f aca="false">IFERROR(Tableau1[[#This Row],[Score]]/Tableau1[[#This Row],[Nb]],0)</f>
        <v>0</v>
      </c>
    </row>
    <row r="1531" customFormat="false" ht="30" hidden="false" customHeight="true" outlineLevel="0" collapsed="false">
      <c r="A1531" s="1" t="s">
        <v>3032</v>
      </c>
      <c r="B1531" s="2" t="s">
        <v>3033</v>
      </c>
      <c r="C1531" s="6" t="n">
        <v>43256</v>
      </c>
      <c r="D1531" s="3" t="n">
        <v>12</v>
      </c>
      <c r="E1531" s="3" t="n">
        <v>0</v>
      </c>
      <c r="F1531" s="7" t="n">
        <f aca="false">IFERROR(Tableau1[[#This Row],[Score]]/Tableau1[[#This Row],[Nb]],0)</f>
        <v>0</v>
      </c>
    </row>
    <row r="1532" customFormat="false" ht="30" hidden="false" customHeight="true" outlineLevel="0" collapsed="false">
      <c r="A1532" s="1" t="s">
        <v>3034</v>
      </c>
      <c r="B1532" s="2" t="s">
        <v>3035</v>
      </c>
      <c r="C1532" s="6" t="n">
        <v>43256</v>
      </c>
      <c r="D1532" s="3" t="n">
        <v>9</v>
      </c>
      <c r="E1532" s="3" t="n">
        <v>5</v>
      </c>
      <c r="F1532" s="7" t="n">
        <f aca="false">IFERROR(Tableau1[[#This Row],[Score]]/Tableau1[[#This Row],[Nb]],0)</f>
        <v>0.555555555555556</v>
      </c>
    </row>
    <row r="1533" customFormat="false" ht="30" hidden="false" customHeight="true" outlineLevel="0" collapsed="false">
      <c r="A1533" s="1" t="s">
        <v>3036</v>
      </c>
      <c r="B1533" s="2" t="s">
        <v>3037</v>
      </c>
      <c r="C1533" s="6" t="n">
        <v>43256</v>
      </c>
      <c r="D1533" s="3" t="n">
        <v>10</v>
      </c>
      <c r="E1533" s="3" t="n">
        <v>6</v>
      </c>
      <c r="F1533" s="7" t="n">
        <f aca="false">IFERROR(Tableau1[[#This Row],[Score]]/Tableau1[[#This Row],[Nb]],0)</f>
        <v>0.6</v>
      </c>
    </row>
    <row r="1534" customFormat="false" ht="30" hidden="false" customHeight="true" outlineLevel="0" collapsed="false">
      <c r="A1534" s="1" t="s">
        <v>3038</v>
      </c>
      <c r="B1534" s="2" t="s">
        <v>3039</v>
      </c>
      <c r="C1534" s="6" t="n">
        <v>43256</v>
      </c>
      <c r="D1534" s="3" t="n">
        <v>12</v>
      </c>
      <c r="E1534" s="3" t="n">
        <v>8</v>
      </c>
      <c r="F1534" s="7" t="n">
        <f aca="false">IFERROR(Tableau1[[#This Row],[Score]]/Tableau1[[#This Row],[Nb]],0)</f>
        <v>0.666666666666667</v>
      </c>
    </row>
    <row r="1535" customFormat="false" ht="30" hidden="false" customHeight="true" outlineLevel="0" collapsed="false">
      <c r="A1535" s="1" t="s">
        <v>3040</v>
      </c>
      <c r="B1535" s="2" t="s">
        <v>73</v>
      </c>
      <c r="C1535" s="6" t="n">
        <v>43256</v>
      </c>
      <c r="D1535" s="3" t="n">
        <v>10</v>
      </c>
      <c r="E1535" s="3" t="n">
        <v>8</v>
      </c>
      <c r="F1535" s="7" t="n">
        <f aca="false">IFERROR(Tableau1[[#This Row],[Score]]/Tableau1[[#This Row],[Nb]],0)</f>
        <v>0.8</v>
      </c>
    </row>
    <row r="1536" customFormat="false" ht="30" hidden="false" customHeight="true" outlineLevel="0" collapsed="false">
      <c r="A1536" s="1" t="s">
        <v>3041</v>
      </c>
      <c r="B1536" s="2" t="s">
        <v>3042</v>
      </c>
      <c r="C1536" s="6" t="n">
        <v>43256</v>
      </c>
      <c r="D1536" s="3" t="n">
        <v>3</v>
      </c>
      <c r="E1536" s="3" t="n">
        <v>3</v>
      </c>
      <c r="F1536" s="7" t="n">
        <f aca="false">IFERROR(Tableau1[[#This Row],[Score]]/Tableau1[[#This Row],[Nb]],0)</f>
        <v>1</v>
      </c>
    </row>
    <row r="1537" customFormat="false" ht="30" hidden="false" customHeight="true" outlineLevel="0" collapsed="false">
      <c r="A1537" s="1" t="s">
        <v>3043</v>
      </c>
      <c r="B1537" s="2" t="s">
        <v>3044</v>
      </c>
      <c r="C1537" s="6" t="n">
        <v>43257</v>
      </c>
      <c r="D1537" s="3" t="n">
        <v>10</v>
      </c>
      <c r="E1537" s="3" t="n">
        <v>-4</v>
      </c>
      <c r="F1537" s="7" t="n">
        <f aca="false">IFERROR(Tableau1[[#This Row],[Score]]/Tableau1[[#This Row],[Nb]],0)</f>
        <v>-0.4</v>
      </c>
    </row>
    <row r="1538" customFormat="false" ht="30" hidden="false" customHeight="true" outlineLevel="0" collapsed="false">
      <c r="A1538" s="1" t="s">
        <v>3045</v>
      </c>
      <c r="B1538" s="2" t="s">
        <v>3046</v>
      </c>
      <c r="C1538" s="6" t="n">
        <v>43257</v>
      </c>
      <c r="D1538" s="3" t="n">
        <v>13</v>
      </c>
      <c r="E1538" s="3" t="n">
        <v>-3</v>
      </c>
      <c r="F1538" s="7" t="n">
        <f aca="false">IFERROR(Tableau1[[#This Row],[Score]]/Tableau1[[#This Row],[Nb]],0)</f>
        <v>-0.230769230769231</v>
      </c>
    </row>
    <row r="1539" customFormat="false" ht="30" hidden="false" customHeight="true" outlineLevel="0" collapsed="false">
      <c r="A1539" s="1" t="s">
        <v>3047</v>
      </c>
      <c r="B1539" s="2" t="s">
        <v>3048</v>
      </c>
      <c r="C1539" s="6" t="n">
        <v>43257</v>
      </c>
      <c r="D1539" s="3" t="n">
        <v>13</v>
      </c>
      <c r="E1539" s="3" t="n">
        <v>3</v>
      </c>
      <c r="F1539" s="7" t="n">
        <f aca="false">IFERROR(Tableau1[[#This Row],[Score]]/Tableau1[[#This Row],[Nb]],0)</f>
        <v>0.230769230769231</v>
      </c>
    </row>
    <row r="1540" customFormat="false" ht="30" hidden="false" customHeight="true" outlineLevel="0" collapsed="false">
      <c r="A1540" s="1" t="s">
        <v>3049</v>
      </c>
      <c r="B1540" s="2" t="s">
        <v>3050</v>
      </c>
      <c r="C1540" s="6" t="n">
        <v>43259</v>
      </c>
      <c r="D1540" s="3" t="n">
        <v>8</v>
      </c>
      <c r="E1540" s="3" t="n">
        <v>-8</v>
      </c>
      <c r="F1540" s="7" t="n">
        <f aca="false">IFERROR(Tableau1[[#This Row],[Score]]/Tableau1[[#This Row],[Nb]],0)</f>
        <v>-1</v>
      </c>
    </row>
    <row r="1541" customFormat="false" ht="30" hidden="false" customHeight="true" outlineLevel="0" collapsed="false">
      <c r="A1541" s="1" t="s">
        <v>3051</v>
      </c>
      <c r="B1541" s="2" t="s">
        <v>3052</v>
      </c>
      <c r="C1541" s="6" t="n">
        <v>43259</v>
      </c>
      <c r="D1541" s="3" t="n">
        <v>13</v>
      </c>
      <c r="E1541" s="3" t="n">
        <v>-11</v>
      </c>
      <c r="F1541" s="7" t="n">
        <f aca="false">IFERROR(Tableau1[[#This Row],[Score]]/Tableau1[[#This Row],[Nb]],0)</f>
        <v>-0.846153846153846</v>
      </c>
    </row>
    <row r="1542" customFormat="false" ht="30" hidden="false" customHeight="true" outlineLevel="0" collapsed="false">
      <c r="A1542" s="1" t="s">
        <v>3053</v>
      </c>
      <c r="B1542" s="2" t="s">
        <v>3054</v>
      </c>
      <c r="C1542" s="6" t="n">
        <v>43259</v>
      </c>
      <c r="D1542" s="3" t="n">
        <v>14</v>
      </c>
      <c r="E1542" s="3" t="n">
        <v>-8</v>
      </c>
      <c r="F1542" s="7" t="n">
        <f aca="false">IFERROR(Tableau1[[#This Row],[Score]]/Tableau1[[#This Row],[Nb]],0)</f>
        <v>-0.571428571428571</v>
      </c>
    </row>
    <row r="1543" customFormat="false" ht="30" hidden="false" customHeight="true" outlineLevel="0" collapsed="false">
      <c r="A1543" s="1" t="s">
        <v>3055</v>
      </c>
      <c r="B1543" s="2" t="s">
        <v>3056</v>
      </c>
      <c r="C1543" s="6" t="n">
        <v>43259</v>
      </c>
      <c r="D1543" s="3" t="n">
        <v>14</v>
      </c>
      <c r="E1543" s="3" t="n">
        <v>-6</v>
      </c>
      <c r="F1543" s="7" t="n">
        <f aca="false">IFERROR(Tableau1[[#This Row],[Score]]/Tableau1[[#This Row],[Nb]],0)</f>
        <v>-0.428571428571429</v>
      </c>
    </row>
    <row r="1544" customFormat="false" ht="30" hidden="false" customHeight="true" outlineLevel="0" collapsed="false">
      <c r="A1544" s="1" t="s">
        <v>3057</v>
      </c>
      <c r="B1544" s="2" t="s">
        <v>3058</v>
      </c>
      <c r="C1544" s="6" t="n">
        <v>43259</v>
      </c>
      <c r="D1544" s="3" t="n">
        <v>4</v>
      </c>
      <c r="E1544" s="3" t="n">
        <v>0</v>
      </c>
      <c r="F1544" s="7" t="n">
        <f aca="false">IFERROR(Tableau1[[#This Row],[Score]]/Tableau1[[#This Row],[Nb]],0)</f>
        <v>0</v>
      </c>
    </row>
    <row r="1545" customFormat="false" ht="30" hidden="false" customHeight="true" outlineLevel="0" collapsed="false">
      <c r="A1545" s="1" t="s">
        <v>3059</v>
      </c>
      <c r="B1545" s="2" t="s">
        <v>3060</v>
      </c>
      <c r="C1545" s="6" t="n">
        <v>43259</v>
      </c>
      <c r="D1545" s="3" t="n">
        <v>9</v>
      </c>
      <c r="E1545" s="3" t="n">
        <v>9</v>
      </c>
      <c r="F1545" s="7" t="n">
        <f aca="false">IFERROR(Tableau1[[#This Row],[Score]]/Tableau1[[#This Row],[Nb]],0)</f>
        <v>1</v>
      </c>
    </row>
    <row r="1546" customFormat="false" ht="30" hidden="false" customHeight="true" outlineLevel="0" collapsed="false">
      <c r="A1546" s="1" t="s">
        <v>3061</v>
      </c>
      <c r="B1546" s="2" t="s">
        <v>3062</v>
      </c>
      <c r="C1546" s="6" t="n">
        <v>43261</v>
      </c>
      <c r="D1546" s="3" t="n">
        <v>10</v>
      </c>
      <c r="E1546" s="3" t="n">
        <v>-10</v>
      </c>
      <c r="F1546" s="7" t="n">
        <f aca="false">IFERROR(Tableau1[[#This Row],[Score]]/Tableau1[[#This Row],[Nb]],0)</f>
        <v>-1</v>
      </c>
    </row>
    <row r="1547" customFormat="false" ht="30" hidden="false" customHeight="true" outlineLevel="0" collapsed="false">
      <c r="A1547" s="1" t="s">
        <v>3063</v>
      </c>
      <c r="B1547" s="2" t="s">
        <v>3064</v>
      </c>
      <c r="C1547" s="6" t="n">
        <v>43261</v>
      </c>
      <c r="D1547" s="3" t="n">
        <v>4</v>
      </c>
      <c r="E1547" s="3" t="n">
        <v>-4</v>
      </c>
      <c r="F1547" s="7" t="n">
        <f aca="false">IFERROR(Tableau1[[#This Row],[Score]]/Tableau1[[#This Row],[Nb]],0)</f>
        <v>-1</v>
      </c>
    </row>
    <row r="1548" customFormat="false" ht="30" hidden="false" customHeight="true" outlineLevel="0" collapsed="false">
      <c r="A1548" s="1" t="s">
        <v>3065</v>
      </c>
      <c r="B1548" s="2" t="s">
        <v>3066</v>
      </c>
      <c r="C1548" s="6" t="n">
        <v>43261</v>
      </c>
      <c r="D1548" s="3" t="n">
        <v>14</v>
      </c>
      <c r="E1548" s="3" t="n">
        <v>-12</v>
      </c>
      <c r="F1548" s="7" t="n">
        <f aca="false">IFERROR(Tableau1[[#This Row],[Score]]/Tableau1[[#This Row],[Nb]],0)</f>
        <v>-0.857142857142857</v>
      </c>
    </row>
    <row r="1549" customFormat="false" ht="30" hidden="false" customHeight="true" outlineLevel="0" collapsed="false">
      <c r="A1549" s="1" t="s">
        <v>3067</v>
      </c>
      <c r="B1549" s="2" t="s">
        <v>3068</v>
      </c>
      <c r="C1549" s="6" t="n">
        <v>43261</v>
      </c>
      <c r="D1549" s="3" t="n">
        <v>9</v>
      </c>
      <c r="E1549" s="3" t="n">
        <v>-7</v>
      </c>
      <c r="F1549" s="7" t="n">
        <f aca="false">IFERROR(Tableau1[[#This Row],[Score]]/Tableau1[[#This Row],[Nb]],0)</f>
        <v>-0.777777777777778</v>
      </c>
    </row>
    <row r="1550" customFormat="false" ht="30" hidden="false" customHeight="true" outlineLevel="0" collapsed="false">
      <c r="A1550" s="1" t="s">
        <v>3069</v>
      </c>
      <c r="B1550" s="2" t="s">
        <v>3070</v>
      </c>
      <c r="C1550" s="6" t="n">
        <v>43261</v>
      </c>
      <c r="D1550" s="3" t="n">
        <v>14</v>
      </c>
      <c r="E1550" s="3" t="n">
        <v>-10</v>
      </c>
      <c r="F1550" s="7" t="n">
        <f aca="false">IFERROR(Tableau1[[#This Row],[Score]]/Tableau1[[#This Row],[Nb]],0)</f>
        <v>-0.714285714285714</v>
      </c>
    </row>
    <row r="1551" customFormat="false" ht="30" hidden="false" customHeight="true" outlineLevel="0" collapsed="false">
      <c r="A1551" s="1" t="s">
        <v>3071</v>
      </c>
      <c r="B1551" s="2" t="s">
        <v>3072</v>
      </c>
      <c r="C1551" s="6" t="n">
        <v>43261</v>
      </c>
      <c r="D1551" s="3" t="n">
        <v>20</v>
      </c>
      <c r="E1551" s="3" t="n">
        <v>-2</v>
      </c>
      <c r="F1551" s="7" t="n">
        <f aca="false">IFERROR(Tableau1[[#This Row],[Score]]/Tableau1[[#This Row],[Nb]],0)</f>
        <v>-0.1</v>
      </c>
    </row>
    <row r="1552" customFormat="false" ht="30" hidden="false" customHeight="true" outlineLevel="0" collapsed="false">
      <c r="A1552" s="1" t="s">
        <v>3073</v>
      </c>
      <c r="B1552" s="2" t="s">
        <v>3074</v>
      </c>
      <c r="C1552" s="6" t="n">
        <v>43261</v>
      </c>
      <c r="D1552" s="3" t="n">
        <v>13</v>
      </c>
      <c r="E1552" s="3" t="n">
        <v>5</v>
      </c>
      <c r="F1552" s="7" t="n">
        <f aca="false">IFERROR(Tableau1[[#This Row],[Score]]/Tableau1[[#This Row],[Nb]],0)</f>
        <v>0.384615384615385</v>
      </c>
    </row>
    <row r="1553" customFormat="false" ht="30" hidden="false" customHeight="true" outlineLevel="0" collapsed="false">
      <c r="A1553" s="1" t="s">
        <v>3075</v>
      </c>
      <c r="B1553" s="2" t="s">
        <v>3076</v>
      </c>
      <c r="C1553" s="6" t="n">
        <v>43261</v>
      </c>
      <c r="D1553" s="3" t="n">
        <v>11</v>
      </c>
      <c r="E1553" s="3" t="n">
        <v>5</v>
      </c>
      <c r="F1553" s="7" t="n">
        <f aca="false">IFERROR(Tableau1[[#This Row],[Score]]/Tableau1[[#This Row],[Nb]],0)</f>
        <v>0.454545454545455</v>
      </c>
    </row>
    <row r="1554" customFormat="false" ht="30" hidden="false" customHeight="true" outlineLevel="0" collapsed="false">
      <c r="A1554" s="1" t="s">
        <v>3077</v>
      </c>
      <c r="B1554" s="2" t="s">
        <v>3078</v>
      </c>
      <c r="C1554" s="6" t="n">
        <v>43261</v>
      </c>
      <c r="D1554" s="3" t="n">
        <v>4</v>
      </c>
      <c r="E1554" s="3" t="n">
        <v>2</v>
      </c>
      <c r="F1554" s="7" t="n">
        <f aca="false">IFERROR(Tableau1[[#This Row],[Score]]/Tableau1[[#This Row],[Nb]],0)</f>
        <v>0.5</v>
      </c>
    </row>
    <row r="1555" customFormat="false" ht="30" hidden="false" customHeight="true" outlineLevel="0" collapsed="false">
      <c r="A1555" s="1" t="s">
        <v>3079</v>
      </c>
      <c r="B1555" s="2" t="s">
        <v>3080</v>
      </c>
      <c r="C1555" s="6" t="n">
        <v>43261</v>
      </c>
      <c r="D1555" s="3" t="n">
        <v>15</v>
      </c>
      <c r="E1555" s="3" t="n">
        <v>9</v>
      </c>
      <c r="F1555" s="7" t="n">
        <f aca="false">IFERROR(Tableau1[[#This Row],[Score]]/Tableau1[[#This Row],[Nb]],0)</f>
        <v>0.6</v>
      </c>
    </row>
    <row r="1556" customFormat="false" ht="30" hidden="false" customHeight="true" outlineLevel="0" collapsed="false">
      <c r="A1556" s="1" t="s">
        <v>3081</v>
      </c>
      <c r="B1556" s="2" t="s">
        <v>3082</v>
      </c>
      <c r="C1556" s="6" t="n">
        <v>43261</v>
      </c>
      <c r="D1556" s="3" t="n">
        <v>14</v>
      </c>
      <c r="E1556" s="3" t="n">
        <v>10</v>
      </c>
      <c r="F1556" s="7" t="n">
        <f aca="false">IFERROR(Tableau1[[#This Row],[Score]]/Tableau1[[#This Row],[Nb]],0)</f>
        <v>0.714285714285714</v>
      </c>
    </row>
    <row r="1557" customFormat="false" ht="30" hidden="false" customHeight="true" outlineLevel="0" collapsed="false">
      <c r="A1557" s="1" t="s">
        <v>3083</v>
      </c>
      <c r="B1557" s="2" t="s">
        <v>3084</v>
      </c>
      <c r="C1557" s="6" t="n">
        <v>43261</v>
      </c>
      <c r="D1557" s="3" t="n">
        <v>9</v>
      </c>
      <c r="E1557" s="3" t="n">
        <v>7</v>
      </c>
      <c r="F1557" s="7" t="n">
        <f aca="false">IFERROR(Tableau1[[#This Row],[Score]]/Tableau1[[#This Row],[Nb]],0)</f>
        <v>0.777777777777778</v>
      </c>
    </row>
    <row r="1558" customFormat="false" ht="30" hidden="false" customHeight="true" outlineLevel="0" collapsed="false">
      <c r="A1558" s="1" t="s">
        <v>3085</v>
      </c>
      <c r="B1558" s="2" t="s">
        <v>3086</v>
      </c>
      <c r="C1558" s="6" t="n">
        <v>43261</v>
      </c>
      <c r="D1558" s="3" t="n">
        <v>13</v>
      </c>
      <c r="E1558" s="3" t="n">
        <v>11</v>
      </c>
      <c r="F1558" s="7" t="n">
        <f aca="false">IFERROR(Tableau1[[#This Row],[Score]]/Tableau1[[#This Row],[Nb]],0)</f>
        <v>0.846153846153846</v>
      </c>
    </row>
    <row r="1559" customFormat="false" ht="30" hidden="false" customHeight="true" outlineLevel="0" collapsed="false">
      <c r="A1559" s="1" t="s">
        <v>3087</v>
      </c>
      <c r="B1559" s="2" t="s">
        <v>3088</v>
      </c>
      <c r="C1559" s="6" t="n">
        <v>43261</v>
      </c>
      <c r="D1559" s="3" t="n">
        <v>8</v>
      </c>
      <c r="E1559" s="3" t="n">
        <v>8</v>
      </c>
      <c r="F1559" s="7" t="n">
        <f aca="false">IFERROR(Tableau1[[#This Row],[Score]]/Tableau1[[#This Row],[Nb]],0)</f>
        <v>1</v>
      </c>
    </row>
    <row r="1560" customFormat="false" ht="30" hidden="false" customHeight="true" outlineLevel="0" collapsed="false">
      <c r="A1560" s="1" t="s">
        <v>3089</v>
      </c>
      <c r="B1560" s="2" t="s">
        <v>3090</v>
      </c>
      <c r="C1560" s="6" t="n">
        <v>43261</v>
      </c>
      <c r="D1560" s="3" t="n">
        <v>9</v>
      </c>
      <c r="E1560" s="3" t="n">
        <v>9</v>
      </c>
      <c r="F1560" s="7" t="n">
        <f aca="false">IFERROR(Tableau1[[#This Row],[Score]]/Tableau1[[#This Row],[Nb]],0)</f>
        <v>1</v>
      </c>
    </row>
    <row r="1561" customFormat="false" ht="30" hidden="false" customHeight="true" outlineLevel="0" collapsed="false">
      <c r="A1561" s="1" t="s">
        <v>3091</v>
      </c>
      <c r="B1561" s="2" t="s">
        <v>3092</v>
      </c>
      <c r="C1561" s="6" t="n">
        <v>43261</v>
      </c>
      <c r="D1561" s="3" t="n">
        <v>9</v>
      </c>
      <c r="E1561" s="3" t="n">
        <v>9</v>
      </c>
      <c r="F1561" s="7" t="n">
        <f aca="false">IFERROR(Tableau1[[#This Row],[Score]]/Tableau1[[#This Row],[Nb]],0)</f>
        <v>1</v>
      </c>
    </row>
    <row r="1562" customFormat="false" ht="30" hidden="false" customHeight="true" outlineLevel="0" collapsed="false">
      <c r="A1562" s="1" t="s">
        <v>3093</v>
      </c>
      <c r="B1562" s="2" t="s">
        <v>3094</v>
      </c>
      <c r="C1562" s="6" t="n">
        <v>43262</v>
      </c>
      <c r="D1562" s="3" t="n">
        <v>11</v>
      </c>
      <c r="E1562" s="3" t="n">
        <v>-1</v>
      </c>
      <c r="F1562" s="7" t="n">
        <f aca="false">IFERROR(Tableau1[[#This Row],[Score]]/Tableau1[[#This Row],[Nb]],0)</f>
        <v>-0.0909090909090909</v>
      </c>
    </row>
    <row r="1563" customFormat="false" ht="30" hidden="false" customHeight="true" outlineLevel="0" collapsed="false">
      <c r="A1563" s="1" t="s">
        <v>3095</v>
      </c>
      <c r="B1563" s="2" t="s">
        <v>3096</v>
      </c>
      <c r="C1563" s="6" t="n">
        <v>43262</v>
      </c>
      <c r="D1563" s="3" t="n">
        <v>13</v>
      </c>
      <c r="E1563" s="3" t="n">
        <v>11</v>
      </c>
      <c r="F1563" s="7" t="n">
        <f aca="false">IFERROR(Tableau1[[#This Row],[Score]]/Tableau1[[#This Row],[Nb]],0)</f>
        <v>0.846153846153846</v>
      </c>
    </row>
    <row r="1564" customFormat="false" ht="30" hidden="false" customHeight="true" outlineLevel="0" collapsed="false">
      <c r="A1564" s="1" t="s">
        <v>3097</v>
      </c>
      <c r="B1564" s="2" t="s">
        <v>3098</v>
      </c>
      <c r="C1564" s="6" t="n">
        <v>43263</v>
      </c>
      <c r="D1564" s="3" t="n">
        <v>6</v>
      </c>
      <c r="E1564" s="3" t="n">
        <v>2</v>
      </c>
      <c r="F1564" s="7" t="n">
        <f aca="false">IFERROR(Tableau1[[#This Row],[Score]]/Tableau1[[#This Row],[Nb]],0)</f>
        <v>0.333333333333333</v>
      </c>
    </row>
    <row r="1565" customFormat="false" ht="30" hidden="false" customHeight="true" outlineLevel="0" collapsed="false">
      <c r="A1565" s="1" t="s">
        <v>3099</v>
      </c>
      <c r="B1565" s="2" t="s">
        <v>3100</v>
      </c>
      <c r="C1565" s="6" t="n">
        <v>43263</v>
      </c>
      <c r="D1565" s="3" t="n">
        <v>12</v>
      </c>
      <c r="E1565" s="3" t="n">
        <v>8</v>
      </c>
      <c r="F1565" s="7" t="n">
        <f aca="false">IFERROR(Tableau1[[#This Row],[Score]]/Tableau1[[#This Row],[Nb]],0)</f>
        <v>0.666666666666667</v>
      </c>
    </row>
    <row r="1566" customFormat="false" ht="30" hidden="false" customHeight="true" outlineLevel="0" collapsed="false">
      <c r="A1566" s="1" t="s">
        <v>3101</v>
      </c>
      <c r="B1566" s="2" t="s">
        <v>3102</v>
      </c>
      <c r="C1566" s="6" t="n">
        <v>43264</v>
      </c>
      <c r="D1566" s="3" t="n">
        <v>7</v>
      </c>
      <c r="E1566" s="3" t="n">
        <v>-5</v>
      </c>
      <c r="F1566" s="7" t="n">
        <f aca="false">IFERROR(Tableau1[[#This Row],[Score]]/Tableau1[[#This Row],[Nb]],0)</f>
        <v>-0.714285714285714</v>
      </c>
    </row>
    <row r="1567" customFormat="false" ht="30" hidden="false" customHeight="true" outlineLevel="0" collapsed="false">
      <c r="A1567" s="1" t="s">
        <v>3103</v>
      </c>
      <c r="B1567" s="2" t="s">
        <v>3104</v>
      </c>
      <c r="C1567" s="6" t="n">
        <v>43264</v>
      </c>
      <c r="D1567" s="3" t="n">
        <v>12</v>
      </c>
      <c r="E1567" s="3" t="n">
        <v>-8</v>
      </c>
      <c r="F1567" s="7" t="n">
        <f aca="false">IFERROR(Tableau1[[#This Row],[Score]]/Tableau1[[#This Row],[Nb]],0)</f>
        <v>-0.666666666666667</v>
      </c>
    </row>
    <row r="1568" customFormat="false" ht="30" hidden="false" customHeight="true" outlineLevel="0" collapsed="false">
      <c r="A1568" s="1" t="s">
        <v>3105</v>
      </c>
      <c r="B1568" s="2" t="s">
        <v>3106</v>
      </c>
      <c r="C1568" s="6" t="n">
        <v>43264</v>
      </c>
      <c r="D1568" s="3" t="n">
        <v>10</v>
      </c>
      <c r="E1568" s="3" t="n">
        <v>4</v>
      </c>
      <c r="F1568" s="7" t="n">
        <f aca="false">IFERROR(Tableau1[[#This Row],[Score]]/Tableau1[[#This Row],[Nb]],0)</f>
        <v>0.4</v>
      </c>
    </row>
    <row r="1569" customFormat="false" ht="30" hidden="false" customHeight="true" outlineLevel="0" collapsed="false">
      <c r="A1569" s="1" t="s">
        <v>3107</v>
      </c>
      <c r="B1569" s="2" t="s">
        <v>3108</v>
      </c>
      <c r="C1569" s="6" t="n">
        <v>43265</v>
      </c>
      <c r="D1569" s="3" t="n">
        <v>6</v>
      </c>
      <c r="E1569" s="3" t="n">
        <v>-4</v>
      </c>
      <c r="F1569" s="7" t="n">
        <f aca="false">IFERROR(Tableau1[[#This Row],[Score]]/Tableau1[[#This Row],[Nb]],0)</f>
        <v>-0.666666666666667</v>
      </c>
    </row>
    <row r="1570" customFormat="false" ht="30" hidden="false" customHeight="true" outlineLevel="0" collapsed="false">
      <c r="A1570" s="1" t="s">
        <v>3109</v>
      </c>
      <c r="B1570" s="2" t="s">
        <v>3110</v>
      </c>
      <c r="C1570" s="6" t="n">
        <v>43265</v>
      </c>
      <c r="D1570" s="3" t="n">
        <v>15</v>
      </c>
      <c r="E1570" s="3" t="n">
        <v>9</v>
      </c>
      <c r="F1570" s="7" t="n">
        <f aca="false">IFERROR(Tableau1[[#This Row],[Score]]/Tableau1[[#This Row],[Nb]],0)</f>
        <v>0.6</v>
      </c>
    </row>
    <row r="1571" customFormat="false" ht="30" hidden="false" customHeight="true" outlineLevel="0" collapsed="false">
      <c r="A1571" s="1" t="s">
        <v>3111</v>
      </c>
      <c r="B1571" s="2" t="s">
        <v>3112</v>
      </c>
      <c r="C1571" s="6" t="n">
        <v>43265</v>
      </c>
      <c r="D1571" s="3" t="n">
        <v>8</v>
      </c>
      <c r="E1571" s="3" t="n">
        <v>6</v>
      </c>
      <c r="F1571" s="7" t="n">
        <f aca="false">IFERROR(Tableau1[[#This Row],[Score]]/Tableau1[[#This Row],[Nb]],0)</f>
        <v>0.75</v>
      </c>
    </row>
    <row r="1572" customFormat="false" ht="30" hidden="false" customHeight="true" outlineLevel="0" collapsed="false">
      <c r="A1572" s="1" t="s">
        <v>3113</v>
      </c>
      <c r="B1572" s="2" t="s">
        <v>3114</v>
      </c>
      <c r="C1572" s="6" t="n">
        <v>43265</v>
      </c>
      <c r="D1572" s="3" t="n">
        <v>11</v>
      </c>
      <c r="E1572" s="3" t="n">
        <v>9</v>
      </c>
      <c r="F1572" s="7" t="n">
        <f aca="false">IFERROR(Tableau1[[#This Row],[Score]]/Tableau1[[#This Row],[Nb]],0)</f>
        <v>0.818181818181818</v>
      </c>
    </row>
    <row r="1573" customFormat="false" ht="30" hidden="false" customHeight="true" outlineLevel="0" collapsed="false">
      <c r="A1573" s="1" t="s">
        <v>3115</v>
      </c>
      <c r="B1573" s="2" t="s">
        <v>3116</v>
      </c>
      <c r="C1573" s="6" t="n">
        <v>43265</v>
      </c>
      <c r="D1573" s="3" t="n">
        <v>11</v>
      </c>
      <c r="E1573" s="3" t="n">
        <v>9</v>
      </c>
      <c r="F1573" s="7" t="n">
        <f aca="false">IFERROR(Tableau1[[#This Row],[Score]]/Tableau1[[#This Row],[Nb]],0)</f>
        <v>0.818181818181818</v>
      </c>
    </row>
    <row r="1574" customFormat="false" ht="30" hidden="false" customHeight="true" outlineLevel="0" collapsed="false">
      <c r="A1574" s="1" t="s">
        <v>3117</v>
      </c>
      <c r="B1574" s="2" t="s">
        <v>3118</v>
      </c>
      <c r="C1574" s="6" t="n">
        <v>43265</v>
      </c>
      <c r="D1574" s="3" t="n">
        <v>13</v>
      </c>
      <c r="E1574" s="3" t="n">
        <v>11</v>
      </c>
      <c r="F1574" s="7" t="n">
        <f aca="false">IFERROR(Tableau1[[#This Row],[Score]]/Tableau1[[#This Row],[Nb]],0)</f>
        <v>0.846153846153846</v>
      </c>
    </row>
    <row r="1575" customFormat="false" ht="30" hidden="false" customHeight="true" outlineLevel="0" collapsed="false">
      <c r="A1575" s="1" t="s">
        <v>3119</v>
      </c>
      <c r="B1575" s="2" t="s">
        <v>3120</v>
      </c>
      <c r="C1575" s="6" t="n">
        <v>43265</v>
      </c>
      <c r="D1575" s="3" t="n">
        <v>9</v>
      </c>
      <c r="E1575" s="3" t="n">
        <v>9</v>
      </c>
      <c r="F1575" s="7" t="n">
        <f aca="false">IFERROR(Tableau1[[#This Row],[Score]]/Tableau1[[#This Row],[Nb]],0)</f>
        <v>1</v>
      </c>
    </row>
    <row r="1576" customFormat="false" ht="30" hidden="false" customHeight="true" outlineLevel="0" collapsed="false">
      <c r="A1576" s="1" t="s">
        <v>3121</v>
      </c>
      <c r="B1576" s="2" t="s">
        <v>3122</v>
      </c>
      <c r="C1576" s="6" t="n">
        <v>43266</v>
      </c>
      <c r="D1576" s="3" t="n">
        <v>8</v>
      </c>
      <c r="E1576" s="3" t="n">
        <v>-8</v>
      </c>
      <c r="F1576" s="7" t="n">
        <f aca="false">IFERROR(Tableau1[[#This Row],[Score]]/Tableau1[[#This Row],[Nb]],0)</f>
        <v>-1</v>
      </c>
    </row>
    <row r="1577" customFormat="false" ht="30" hidden="false" customHeight="true" outlineLevel="0" collapsed="false">
      <c r="A1577" s="1" t="s">
        <v>3123</v>
      </c>
      <c r="B1577" s="2" t="s">
        <v>3124</v>
      </c>
      <c r="C1577" s="6" t="n">
        <v>43266</v>
      </c>
      <c r="D1577" s="3" t="n">
        <v>16</v>
      </c>
      <c r="E1577" s="3" t="n">
        <v>6</v>
      </c>
      <c r="F1577" s="7" t="n">
        <f aca="false">IFERROR(Tableau1[[#This Row],[Score]]/Tableau1[[#This Row],[Nb]],0)</f>
        <v>0.375</v>
      </c>
    </row>
    <row r="1578" customFormat="false" ht="30" hidden="false" customHeight="true" outlineLevel="0" collapsed="false">
      <c r="A1578" s="1" t="s">
        <v>3125</v>
      </c>
      <c r="B1578" s="2" t="s">
        <v>3126</v>
      </c>
      <c r="C1578" s="6" t="n">
        <v>43266</v>
      </c>
      <c r="D1578" s="3" t="n">
        <v>14</v>
      </c>
      <c r="E1578" s="3" t="n">
        <v>12</v>
      </c>
      <c r="F1578" s="7" t="n">
        <f aca="false">IFERROR(Tableau1[[#This Row],[Score]]/Tableau1[[#This Row],[Nb]],0)</f>
        <v>0.857142857142857</v>
      </c>
    </row>
    <row r="1579" customFormat="false" ht="30" hidden="false" customHeight="true" outlineLevel="0" collapsed="false">
      <c r="A1579" s="1" t="s">
        <v>3127</v>
      </c>
      <c r="B1579" s="2" t="s">
        <v>3128</v>
      </c>
      <c r="C1579" s="6" t="n">
        <v>43267</v>
      </c>
      <c r="D1579" s="3" t="n">
        <v>10</v>
      </c>
      <c r="E1579" s="3" t="n">
        <v>-2</v>
      </c>
      <c r="F1579" s="7" t="n">
        <f aca="false">IFERROR(Tableau1[[#This Row],[Score]]/Tableau1[[#This Row],[Nb]],0)</f>
        <v>-0.2</v>
      </c>
    </row>
    <row r="1580" customFormat="false" ht="30" hidden="false" customHeight="true" outlineLevel="0" collapsed="false">
      <c r="A1580" s="1" t="s">
        <v>3129</v>
      </c>
      <c r="B1580" s="2" t="s">
        <v>3130</v>
      </c>
      <c r="C1580" s="6" t="n">
        <v>43267</v>
      </c>
      <c r="D1580" s="3" t="n">
        <v>11</v>
      </c>
      <c r="E1580" s="3" t="n">
        <v>7</v>
      </c>
      <c r="F1580" s="7" t="n">
        <f aca="false">IFERROR(Tableau1[[#This Row],[Score]]/Tableau1[[#This Row],[Nb]],0)</f>
        <v>0.636363636363636</v>
      </c>
    </row>
    <row r="1581" customFormat="false" ht="30" hidden="false" customHeight="true" outlineLevel="0" collapsed="false">
      <c r="A1581" s="1" t="s">
        <v>3131</v>
      </c>
      <c r="B1581" s="2" t="s">
        <v>3132</v>
      </c>
      <c r="C1581" s="6" t="n">
        <v>43268</v>
      </c>
      <c r="D1581" s="3" t="n">
        <v>6</v>
      </c>
      <c r="E1581" s="3" t="n">
        <v>6</v>
      </c>
      <c r="F1581" s="7" t="n">
        <f aca="false">IFERROR(Tableau1[[#This Row],[Score]]/Tableau1[[#This Row],[Nb]],0)</f>
        <v>1</v>
      </c>
    </row>
    <row r="1582" customFormat="false" ht="30" hidden="false" customHeight="true" outlineLevel="0" collapsed="false">
      <c r="A1582" s="1" t="s">
        <v>3133</v>
      </c>
      <c r="B1582" s="2" t="s">
        <v>3134</v>
      </c>
      <c r="C1582" s="6" t="n">
        <v>43270</v>
      </c>
      <c r="D1582" s="3" t="n">
        <v>11</v>
      </c>
      <c r="E1582" s="3" t="n">
        <v>-11</v>
      </c>
      <c r="F1582" s="7" t="n">
        <f aca="false">IFERROR(Tableau1[[#This Row],[Score]]/Tableau1[[#This Row],[Nb]],0)</f>
        <v>-1</v>
      </c>
    </row>
    <row r="1583" customFormat="false" ht="30" hidden="false" customHeight="true" outlineLevel="0" collapsed="false">
      <c r="A1583" s="1" t="s">
        <v>3135</v>
      </c>
      <c r="B1583" s="2" t="s">
        <v>3136</v>
      </c>
      <c r="C1583" s="6" t="n">
        <v>43270</v>
      </c>
      <c r="D1583" s="3" t="n">
        <v>6</v>
      </c>
      <c r="E1583" s="3" t="n">
        <v>-6</v>
      </c>
      <c r="F1583" s="7" t="n">
        <f aca="false">IFERROR(Tableau1[[#This Row],[Score]]/Tableau1[[#This Row],[Nb]],0)</f>
        <v>-1</v>
      </c>
    </row>
    <row r="1584" customFormat="false" ht="30" hidden="false" customHeight="true" outlineLevel="0" collapsed="false">
      <c r="A1584" s="1" t="s">
        <v>3137</v>
      </c>
      <c r="B1584" s="2" t="s">
        <v>3138</v>
      </c>
      <c r="C1584" s="6" t="n">
        <v>43270</v>
      </c>
      <c r="D1584" s="3" t="n">
        <v>10</v>
      </c>
      <c r="E1584" s="3" t="n">
        <v>-8</v>
      </c>
      <c r="F1584" s="7" t="n">
        <f aca="false">IFERROR(Tableau1[[#This Row],[Score]]/Tableau1[[#This Row],[Nb]],0)</f>
        <v>-0.8</v>
      </c>
    </row>
    <row r="1585" customFormat="false" ht="30" hidden="false" customHeight="true" outlineLevel="0" collapsed="false">
      <c r="A1585" s="1" t="s">
        <v>3139</v>
      </c>
      <c r="B1585" s="2" t="s">
        <v>3140</v>
      </c>
      <c r="C1585" s="6" t="n">
        <v>43270</v>
      </c>
      <c r="D1585" s="3" t="n">
        <v>13</v>
      </c>
      <c r="E1585" s="3" t="n">
        <v>-10</v>
      </c>
      <c r="F1585" s="7" t="n">
        <f aca="false">IFERROR(Tableau1[[#This Row],[Score]]/Tableau1[[#This Row],[Nb]],0)</f>
        <v>-0.769230769230769</v>
      </c>
    </row>
    <row r="1586" customFormat="false" ht="30" hidden="false" customHeight="true" outlineLevel="0" collapsed="false">
      <c r="A1586" s="1" t="s">
        <v>3141</v>
      </c>
      <c r="B1586" s="2" t="s">
        <v>3142</v>
      </c>
      <c r="C1586" s="6" t="n">
        <v>43270</v>
      </c>
      <c r="D1586" s="3" t="n">
        <v>9</v>
      </c>
      <c r="E1586" s="3" t="n">
        <v>-6</v>
      </c>
      <c r="F1586" s="7" t="n">
        <f aca="false">IFERROR(Tableau1[[#This Row],[Score]]/Tableau1[[#This Row],[Nb]],0)</f>
        <v>-0.666666666666667</v>
      </c>
    </row>
    <row r="1587" customFormat="false" ht="30" hidden="false" customHeight="true" outlineLevel="0" collapsed="false">
      <c r="A1587" s="1" t="s">
        <v>3143</v>
      </c>
      <c r="B1587" s="2" t="s">
        <v>3144</v>
      </c>
      <c r="C1587" s="6" t="n">
        <v>43270</v>
      </c>
      <c r="D1587" s="3" t="n">
        <v>14</v>
      </c>
      <c r="E1587" s="3" t="n">
        <v>-8</v>
      </c>
      <c r="F1587" s="7" t="n">
        <f aca="false">IFERROR(Tableau1[[#This Row],[Score]]/Tableau1[[#This Row],[Nb]],0)</f>
        <v>-0.571428571428571</v>
      </c>
    </row>
    <row r="1588" customFormat="false" ht="30" hidden="false" customHeight="true" outlineLevel="0" collapsed="false">
      <c r="A1588" s="1" t="s">
        <v>3145</v>
      </c>
      <c r="B1588" s="2" t="s">
        <v>3146</v>
      </c>
      <c r="C1588" s="6" t="n">
        <v>43270</v>
      </c>
      <c r="D1588" s="3" t="n">
        <v>14</v>
      </c>
      <c r="E1588" s="3" t="n">
        <v>-8</v>
      </c>
      <c r="F1588" s="7" t="n">
        <f aca="false">IFERROR(Tableau1[[#This Row],[Score]]/Tableau1[[#This Row],[Nb]],0)</f>
        <v>-0.571428571428571</v>
      </c>
    </row>
    <row r="1589" customFormat="false" ht="30" hidden="false" customHeight="true" outlineLevel="0" collapsed="false">
      <c r="A1589" s="1" t="s">
        <v>3147</v>
      </c>
      <c r="B1589" s="2" t="s">
        <v>3148</v>
      </c>
      <c r="C1589" s="6" t="n">
        <v>43270</v>
      </c>
      <c r="D1589" s="3" t="n">
        <v>12</v>
      </c>
      <c r="E1589" s="3" t="n">
        <v>-6</v>
      </c>
      <c r="F1589" s="7" t="n">
        <f aca="false">IFERROR(Tableau1[[#This Row],[Score]]/Tableau1[[#This Row],[Nb]],0)</f>
        <v>-0.5</v>
      </c>
    </row>
    <row r="1590" customFormat="false" ht="30" hidden="false" customHeight="true" outlineLevel="0" collapsed="false">
      <c r="A1590" s="1" t="s">
        <v>3149</v>
      </c>
      <c r="B1590" s="2" t="s">
        <v>3150</v>
      </c>
      <c r="C1590" s="6" t="n">
        <v>43270</v>
      </c>
      <c r="D1590" s="3" t="n">
        <v>8</v>
      </c>
      <c r="E1590" s="3" t="n">
        <v>-2</v>
      </c>
      <c r="F1590" s="7" t="n">
        <f aca="false">IFERROR(Tableau1[[#This Row],[Score]]/Tableau1[[#This Row],[Nb]],0)</f>
        <v>-0.25</v>
      </c>
    </row>
    <row r="1591" customFormat="false" ht="30" hidden="false" customHeight="true" outlineLevel="0" collapsed="false">
      <c r="A1591" s="1" t="s">
        <v>3151</v>
      </c>
      <c r="B1591" s="2" t="s">
        <v>3152</v>
      </c>
      <c r="C1591" s="6" t="n">
        <v>43270</v>
      </c>
      <c r="D1591" s="3" t="n">
        <v>13</v>
      </c>
      <c r="E1591" s="3" t="n">
        <v>-3</v>
      </c>
      <c r="F1591" s="7" t="n">
        <f aca="false">IFERROR(Tableau1[[#This Row],[Score]]/Tableau1[[#This Row],[Nb]],0)</f>
        <v>-0.230769230769231</v>
      </c>
    </row>
    <row r="1592" customFormat="false" ht="30" hidden="false" customHeight="true" outlineLevel="0" collapsed="false">
      <c r="A1592" s="1" t="s">
        <v>3153</v>
      </c>
      <c r="B1592" s="2" t="s">
        <v>3154</v>
      </c>
      <c r="C1592" s="6" t="n">
        <v>43270</v>
      </c>
      <c r="D1592" s="3" t="n">
        <v>20</v>
      </c>
      <c r="E1592" s="3" t="n">
        <v>-4</v>
      </c>
      <c r="F1592" s="7" t="n">
        <f aca="false">IFERROR(Tableau1[[#This Row],[Score]]/Tableau1[[#This Row],[Nb]],0)</f>
        <v>-0.2</v>
      </c>
    </row>
    <row r="1593" customFormat="false" ht="30" hidden="false" customHeight="true" outlineLevel="0" collapsed="false">
      <c r="A1593" s="1" t="s">
        <v>3155</v>
      </c>
      <c r="B1593" s="2" t="s">
        <v>3156</v>
      </c>
      <c r="C1593" s="6" t="n">
        <v>43270</v>
      </c>
      <c r="D1593" s="3" t="n">
        <v>6</v>
      </c>
      <c r="E1593" s="3" t="n">
        <v>0</v>
      </c>
      <c r="F1593" s="7" t="n">
        <f aca="false">IFERROR(Tableau1[[#This Row],[Score]]/Tableau1[[#This Row],[Nb]],0)</f>
        <v>0</v>
      </c>
    </row>
    <row r="1594" customFormat="false" ht="30" hidden="false" customHeight="true" outlineLevel="0" collapsed="false">
      <c r="A1594" s="1" t="s">
        <v>3157</v>
      </c>
      <c r="B1594" s="2" t="s">
        <v>2919</v>
      </c>
      <c r="C1594" s="6" t="n">
        <v>43270</v>
      </c>
      <c r="D1594" s="3" t="n">
        <v>9</v>
      </c>
      <c r="E1594" s="3" t="n">
        <v>0</v>
      </c>
      <c r="F1594" s="7" t="n">
        <f aca="false">IFERROR(Tableau1[[#This Row],[Score]]/Tableau1[[#This Row],[Nb]],0)</f>
        <v>0</v>
      </c>
    </row>
    <row r="1595" customFormat="false" ht="30" hidden="false" customHeight="true" outlineLevel="0" collapsed="false">
      <c r="A1595" s="1" t="s">
        <v>3158</v>
      </c>
      <c r="B1595" s="2" t="s">
        <v>3159</v>
      </c>
      <c r="C1595" s="6" t="n">
        <v>43270</v>
      </c>
      <c r="D1595" s="3" t="n">
        <v>7</v>
      </c>
      <c r="E1595" s="3" t="n">
        <v>1</v>
      </c>
      <c r="F1595" s="7" t="n">
        <f aca="false">IFERROR(Tableau1[[#This Row],[Score]]/Tableau1[[#This Row],[Nb]],0)</f>
        <v>0.142857142857143</v>
      </c>
    </row>
    <row r="1596" customFormat="false" ht="30" hidden="false" customHeight="true" outlineLevel="0" collapsed="false">
      <c r="A1596" s="1" t="s">
        <v>3160</v>
      </c>
      <c r="B1596" s="2" t="s">
        <v>3161</v>
      </c>
      <c r="C1596" s="6" t="n">
        <v>43270</v>
      </c>
      <c r="D1596" s="3" t="n">
        <v>6</v>
      </c>
      <c r="E1596" s="3" t="n">
        <v>2</v>
      </c>
      <c r="F1596" s="7" t="n">
        <f aca="false">IFERROR(Tableau1[[#This Row],[Score]]/Tableau1[[#This Row],[Nb]],0)</f>
        <v>0.333333333333333</v>
      </c>
    </row>
    <row r="1597" customFormat="false" ht="30" hidden="false" customHeight="true" outlineLevel="0" collapsed="false">
      <c r="A1597" s="1" t="s">
        <v>3162</v>
      </c>
      <c r="B1597" s="2" t="s">
        <v>3163</v>
      </c>
      <c r="C1597" s="6" t="n">
        <v>43270</v>
      </c>
      <c r="D1597" s="3" t="n">
        <v>9</v>
      </c>
      <c r="E1597" s="3" t="n">
        <v>3</v>
      </c>
      <c r="F1597" s="7" t="n">
        <f aca="false">IFERROR(Tableau1[[#This Row],[Score]]/Tableau1[[#This Row],[Nb]],0)</f>
        <v>0.333333333333333</v>
      </c>
    </row>
    <row r="1598" customFormat="false" ht="30" hidden="false" customHeight="true" outlineLevel="0" collapsed="false">
      <c r="A1598" s="1" t="s">
        <v>3164</v>
      </c>
      <c r="B1598" s="2" t="s">
        <v>3165</v>
      </c>
      <c r="C1598" s="6" t="n">
        <v>43270</v>
      </c>
      <c r="D1598" s="3" t="n">
        <v>7</v>
      </c>
      <c r="E1598" s="3" t="n">
        <v>3</v>
      </c>
      <c r="F1598" s="7" t="n">
        <f aca="false">IFERROR(Tableau1[[#This Row],[Score]]/Tableau1[[#This Row],[Nb]],0)</f>
        <v>0.428571428571429</v>
      </c>
    </row>
    <row r="1599" customFormat="false" ht="30" hidden="false" customHeight="true" outlineLevel="0" collapsed="false">
      <c r="A1599" s="1" t="s">
        <v>3166</v>
      </c>
      <c r="B1599" s="2" t="s">
        <v>3167</v>
      </c>
      <c r="C1599" s="6" t="n">
        <v>43270</v>
      </c>
      <c r="D1599" s="3" t="n">
        <v>14</v>
      </c>
      <c r="E1599" s="3" t="n">
        <v>8</v>
      </c>
      <c r="F1599" s="7" t="n">
        <f aca="false">IFERROR(Tableau1[[#This Row],[Score]]/Tableau1[[#This Row],[Nb]],0)</f>
        <v>0.571428571428571</v>
      </c>
    </row>
    <row r="1600" customFormat="false" ht="30" hidden="false" customHeight="true" outlineLevel="0" collapsed="false">
      <c r="A1600" s="1" t="s">
        <v>3168</v>
      </c>
      <c r="B1600" s="2" t="s">
        <v>3169</v>
      </c>
      <c r="C1600" s="6" t="n">
        <v>43270</v>
      </c>
      <c r="D1600" s="3" t="n">
        <v>11</v>
      </c>
      <c r="E1600" s="3" t="n">
        <v>7</v>
      </c>
      <c r="F1600" s="7" t="n">
        <f aca="false">IFERROR(Tableau1[[#This Row],[Score]]/Tableau1[[#This Row],[Nb]],0)</f>
        <v>0.636363636363636</v>
      </c>
    </row>
    <row r="1601" customFormat="false" ht="30" hidden="false" customHeight="true" outlineLevel="0" collapsed="false">
      <c r="A1601" s="1" t="s">
        <v>3170</v>
      </c>
      <c r="B1601" s="2" t="s">
        <v>3171</v>
      </c>
      <c r="C1601" s="6" t="n">
        <v>43270</v>
      </c>
      <c r="D1601" s="3" t="n">
        <v>8</v>
      </c>
      <c r="E1601" s="3" t="n">
        <v>6</v>
      </c>
      <c r="F1601" s="7" t="n">
        <f aca="false">IFERROR(Tableau1[[#This Row],[Score]]/Tableau1[[#This Row],[Nb]],0)</f>
        <v>0.75</v>
      </c>
    </row>
    <row r="1602" customFormat="false" ht="30" hidden="false" customHeight="true" outlineLevel="0" collapsed="false">
      <c r="A1602" s="1" t="s">
        <v>3172</v>
      </c>
      <c r="B1602" s="2" t="s">
        <v>3173</v>
      </c>
      <c r="C1602" s="6" t="n">
        <v>43270</v>
      </c>
      <c r="D1602" s="3" t="n">
        <v>9</v>
      </c>
      <c r="E1602" s="3" t="n">
        <v>7</v>
      </c>
      <c r="F1602" s="7" t="n">
        <f aca="false">IFERROR(Tableau1[[#This Row],[Score]]/Tableau1[[#This Row],[Nb]],0)</f>
        <v>0.777777777777778</v>
      </c>
    </row>
    <row r="1603" customFormat="false" ht="30" hidden="false" customHeight="true" outlineLevel="0" collapsed="false">
      <c r="A1603" s="1" t="s">
        <v>3174</v>
      </c>
      <c r="B1603" s="2" t="s">
        <v>3175</v>
      </c>
      <c r="C1603" s="6" t="n">
        <v>43270</v>
      </c>
      <c r="D1603" s="3" t="n">
        <v>10</v>
      </c>
      <c r="E1603" s="3" t="n">
        <v>8</v>
      </c>
      <c r="F1603" s="7" t="n">
        <f aca="false">IFERROR(Tableau1[[#This Row],[Score]]/Tableau1[[#This Row],[Nb]],0)</f>
        <v>0.8</v>
      </c>
    </row>
    <row r="1604" customFormat="false" ht="30" hidden="false" customHeight="true" outlineLevel="0" collapsed="false">
      <c r="A1604" s="1" t="s">
        <v>3176</v>
      </c>
      <c r="B1604" s="2" t="s">
        <v>3177</v>
      </c>
      <c r="C1604" s="6" t="n">
        <v>43270</v>
      </c>
      <c r="D1604" s="3" t="n">
        <v>14</v>
      </c>
      <c r="E1604" s="3" t="n">
        <v>12</v>
      </c>
      <c r="F1604" s="7" t="n">
        <f aca="false">IFERROR(Tableau1[[#This Row],[Score]]/Tableau1[[#This Row],[Nb]],0)</f>
        <v>0.857142857142857</v>
      </c>
    </row>
    <row r="1605" customFormat="false" ht="30" hidden="false" customHeight="true" outlineLevel="0" collapsed="false">
      <c r="A1605" s="1" t="s">
        <v>3178</v>
      </c>
      <c r="B1605" s="2" t="s">
        <v>3179</v>
      </c>
      <c r="C1605" s="6" t="n">
        <v>43270</v>
      </c>
      <c r="D1605" s="3" t="n">
        <v>13</v>
      </c>
      <c r="E1605" s="3" t="n">
        <v>12</v>
      </c>
      <c r="F1605" s="7" t="n">
        <f aca="false">IFERROR(Tableau1[[#This Row],[Score]]/Tableau1[[#This Row],[Nb]],0)</f>
        <v>0.923076923076923</v>
      </c>
    </row>
    <row r="1606" customFormat="false" ht="30" hidden="false" customHeight="true" outlineLevel="0" collapsed="false">
      <c r="A1606" s="1" t="s">
        <v>3180</v>
      </c>
      <c r="B1606" s="2" t="s">
        <v>3181</v>
      </c>
      <c r="C1606" s="6" t="n">
        <v>43270</v>
      </c>
      <c r="D1606" s="3" t="n">
        <v>9</v>
      </c>
      <c r="E1606" s="3" t="n">
        <v>9</v>
      </c>
      <c r="F1606" s="7" t="n">
        <f aca="false">IFERROR(Tableau1[[#This Row],[Score]]/Tableau1[[#This Row],[Nb]],0)</f>
        <v>1</v>
      </c>
    </row>
    <row r="1607" customFormat="false" ht="30" hidden="false" customHeight="true" outlineLevel="0" collapsed="false">
      <c r="A1607" s="1" t="s">
        <v>3182</v>
      </c>
      <c r="B1607" s="2" t="s">
        <v>3183</v>
      </c>
      <c r="C1607" s="6" t="n">
        <v>43270</v>
      </c>
      <c r="D1607" s="3" t="n">
        <v>6</v>
      </c>
      <c r="E1607" s="3" t="n">
        <v>6</v>
      </c>
      <c r="F1607" s="7" t="n">
        <f aca="false">IFERROR(Tableau1[[#This Row],[Score]]/Tableau1[[#This Row],[Nb]],0)</f>
        <v>1</v>
      </c>
    </row>
    <row r="1608" customFormat="false" ht="30" hidden="false" customHeight="true" outlineLevel="0" collapsed="false">
      <c r="A1608" s="1" t="s">
        <v>3184</v>
      </c>
      <c r="B1608" s="2" t="s">
        <v>3185</v>
      </c>
      <c r="C1608" s="6" t="n">
        <v>43273</v>
      </c>
      <c r="D1608" s="3" t="n">
        <v>6</v>
      </c>
      <c r="E1608" s="3" t="n">
        <v>-6</v>
      </c>
      <c r="F1608" s="7" t="n">
        <f aca="false">IFERROR(Tableau1[[#This Row],[Score]]/Tableau1[[#This Row],[Nb]],0)</f>
        <v>-1</v>
      </c>
    </row>
    <row r="1609" customFormat="false" ht="30" hidden="false" customHeight="true" outlineLevel="0" collapsed="false">
      <c r="A1609" s="1" t="s">
        <v>3186</v>
      </c>
      <c r="B1609" s="2" t="s">
        <v>3187</v>
      </c>
      <c r="C1609" s="6" t="n">
        <v>43273</v>
      </c>
      <c r="D1609" s="3" t="n">
        <v>6</v>
      </c>
      <c r="E1609" s="3" t="n">
        <v>-6</v>
      </c>
      <c r="F1609" s="7" t="n">
        <f aca="false">IFERROR(Tableau1[[#This Row],[Score]]/Tableau1[[#This Row],[Nb]],0)</f>
        <v>-1</v>
      </c>
    </row>
    <row r="1610" customFormat="false" ht="30" hidden="false" customHeight="true" outlineLevel="0" collapsed="false">
      <c r="A1610" s="1" t="s">
        <v>3188</v>
      </c>
      <c r="B1610" s="2" t="s">
        <v>3189</v>
      </c>
      <c r="C1610" s="6" t="n">
        <v>43273</v>
      </c>
      <c r="D1610" s="3" t="n">
        <v>12</v>
      </c>
      <c r="E1610" s="3" t="n">
        <v>-12</v>
      </c>
      <c r="F1610" s="7" t="n">
        <f aca="false">IFERROR(Tableau1[[#This Row],[Score]]/Tableau1[[#This Row],[Nb]],0)</f>
        <v>-1</v>
      </c>
    </row>
    <row r="1611" customFormat="false" ht="30" hidden="false" customHeight="true" outlineLevel="0" collapsed="false">
      <c r="A1611" s="1" t="s">
        <v>3190</v>
      </c>
      <c r="B1611" s="2" t="s">
        <v>3191</v>
      </c>
      <c r="C1611" s="6" t="n">
        <v>43273</v>
      </c>
      <c r="D1611" s="3" t="n">
        <v>12</v>
      </c>
      <c r="E1611" s="3" t="n">
        <v>-10</v>
      </c>
      <c r="F1611" s="7" t="n">
        <f aca="false">IFERROR(Tableau1[[#This Row],[Score]]/Tableau1[[#This Row],[Nb]],0)</f>
        <v>-0.833333333333333</v>
      </c>
    </row>
    <row r="1612" customFormat="false" ht="30" hidden="false" customHeight="true" outlineLevel="0" collapsed="false">
      <c r="A1612" s="1" t="s">
        <v>3192</v>
      </c>
      <c r="B1612" s="2" t="s">
        <v>3193</v>
      </c>
      <c r="C1612" s="6" t="n">
        <v>43273</v>
      </c>
      <c r="D1612" s="3" t="n">
        <v>8</v>
      </c>
      <c r="E1612" s="3" t="n">
        <v>-6</v>
      </c>
      <c r="F1612" s="7" t="n">
        <f aca="false">IFERROR(Tableau1[[#This Row],[Score]]/Tableau1[[#This Row],[Nb]],0)</f>
        <v>-0.75</v>
      </c>
    </row>
    <row r="1613" customFormat="false" ht="30" hidden="false" customHeight="true" outlineLevel="0" collapsed="false">
      <c r="A1613" s="1" t="s">
        <v>3194</v>
      </c>
      <c r="B1613" s="2" t="s">
        <v>3195</v>
      </c>
      <c r="C1613" s="6" t="n">
        <v>43273</v>
      </c>
      <c r="D1613" s="3" t="n">
        <v>13</v>
      </c>
      <c r="E1613" s="3" t="n">
        <v>-9</v>
      </c>
      <c r="F1613" s="7" t="n">
        <f aca="false">IFERROR(Tableau1[[#This Row],[Score]]/Tableau1[[#This Row],[Nb]],0)</f>
        <v>-0.692307692307692</v>
      </c>
    </row>
    <row r="1614" customFormat="false" ht="30" hidden="false" customHeight="true" outlineLevel="0" collapsed="false">
      <c r="A1614" s="1" t="s">
        <v>3196</v>
      </c>
      <c r="B1614" s="2" t="s">
        <v>3197</v>
      </c>
      <c r="C1614" s="6" t="n">
        <v>43273</v>
      </c>
      <c r="D1614" s="3" t="n">
        <v>17</v>
      </c>
      <c r="E1614" s="3" t="n">
        <v>-9</v>
      </c>
      <c r="F1614" s="7" t="n">
        <f aca="false">IFERROR(Tableau1[[#This Row],[Score]]/Tableau1[[#This Row],[Nb]],0)</f>
        <v>-0.529411764705882</v>
      </c>
    </row>
    <row r="1615" customFormat="false" ht="30" hidden="false" customHeight="true" outlineLevel="0" collapsed="false">
      <c r="A1615" s="1" t="s">
        <v>3198</v>
      </c>
      <c r="B1615" s="2" t="s">
        <v>3199</v>
      </c>
      <c r="C1615" s="6" t="n">
        <v>43273</v>
      </c>
      <c r="D1615" s="3" t="n">
        <v>11</v>
      </c>
      <c r="E1615" s="3" t="n">
        <v>-3</v>
      </c>
      <c r="F1615" s="7" t="n">
        <f aca="false">IFERROR(Tableau1[[#This Row],[Score]]/Tableau1[[#This Row],[Nb]],0)</f>
        <v>-0.272727272727273</v>
      </c>
    </row>
    <row r="1616" customFormat="false" ht="30" hidden="false" customHeight="true" outlineLevel="0" collapsed="false">
      <c r="A1616" s="1" t="s">
        <v>3200</v>
      </c>
      <c r="B1616" s="2" t="s">
        <v>3201</v>
      </c>
      <c r="C1616" s="6" t="n">
        <v>43273</v>
      </c>
      <c r="D1616" s="3" t="n">
        <v>11</v>
      </c>
      <c r="E1616" s="3" t="n">
        <v>1</v>
      </c>
      <c r="F1616" s="7" t="n">
        <f aca="false">IFERROR(Tableau1[[#This Row],[Score]]/Tableau1[[#This Row],[Nb]],0)</f>
        <v>0.0909090909090909</v>
      </c>
    </row>
    <row r="1617" customFormat="false" ht="30" hidden="false" customHeight="true" outlineLevel="0" collapsed="false">
      <c r="A1617" s="1" t="s">
        <v>3202</v>
      </c>
      <c r="B1617" s="2" t="s">
        <v>2348</v>
      </c>
      <c r="C1617" s="6" t="n">
        <v>43273</v>
      </c>
      <c r="D1617" s="3" t="n">
        <v>5</v>
      </c>
      <c r="E1617" s="3" t="n">
        <v>1</v>
      </c>
      <c r="F1617" s="7" t="n">
        <f aca="false">IFERROR(Tableau1[[#This Row],[Score]]/Tableau1[[#This Row],[Nb]],0)</f>
        <v>0.2</v>
      </c>
    </row>
    <row r="1618" customFormat="false" ht="30" hidden="false" customHeight="true" outlineLevel="0" collapsed="false">
      <c r="A1618" s="1" t="s">
        <v>3203</v>
      </c>
      <c r="B1618" s="2" t="s">
        <v>3204</v>
      </c>
      <c r="C1618" s="6" t="n">
        <v>43273</v>
      </c>
      <c r="D1618" s="3" t="n">
        <v>15</v>
      </c>
      <c r="E1618" s="3" t="n">
        <v>3</v>
      </c>
      <c r="F1618" s="7" t="n">
        <f aca="false">IFERROR(Tableau1[[#This Row],[Score]]/Tableau1[[#This Row],[Nb]],0)</f>
        <v>0.2</v>
      </c>
    </row>
    <row r="1619" customFormat="false" ht="30" hidden="false" customHeight="true" outlineLevel="0" collapsed="false">
      <c r="A1619" s="1" t="s">
        <v>3205</v>
      </c>
      <c r="B1619" s="2" t="s">
        <v>3206</v>
      </c>
      <c r="C1619" s="6" t="n">
        <v>43273</v>
      </c>
      <c r="D1619" s="3" t="n">
        <v>11</v>
      </c>
      <c r="E1619" s="3" t="n">
        <v>3</v>
      </c>
      <c r="F1619" s="7" t="n">
        <f aca="false">IFERROR(Tableau1[[#This Row],[Score]]/Tableau1[[#This Row],[Nb]],0)</f>
        <v>0.272727272727273</v>
      </c>
    </row>
    <row r="1620" customFormat="false" ht="30" hidden="false" customHeight="true" outlineLevel="0" collapsed="false">
      <c r="A1620" s="1" t="s">
        <v>3207</v>
      </c>
      <c r="B1620" s="2" t="s">
        <v>3208</v>
      </c>
      <c r="C1620" s="6" t="n">
        <v>43273</v>
      </c>
      <c r="D1620" s="3" t="n">
        <v>13</v>
      </c>
      <c r="E1620" s="3" t="n">
        <v>5</v>
      </c>
      <c r="F1620" s="7" t="n">
        <f aca="false">IFERROR(Tableau1[[#This Row],[Score]]/Tableau1[[#This Row],[Nb]],0)</f>
        <v>0.384615384615385</v>
      </c>
    </row>
    <row r="1621" customFormat="false" ht="30" hidden="false" customHeight="true" outlineLevel="0" collapsed="false">
      <c r="A1621" s="1" t="s">
        <v>3209</v>
      </c>
      <c r="B1621" s="2" t="s">
        <v>3210</v>
      </c>
      <c r="C1621" s="6" t="n">
        <v>43273</v>
      </c>
      <c r="D1621" s="3" t="n">
        <v>8</v>
      </c>
      <c r="E1621" s="3" t="n">
        <v>4</v>
      </c>
      <c r="F1621" s="7" t="n">
        <f aca="false">IFERROR(Tableau1[[#This Row],[Score]]/Tableau1[[#This Row],[Nb]],0)</f>
        <v>0.5</v>
      </c>
    </row>
    <row r="1622" customFormat="false" ht="30" hidden="false" customHeight="true" outlineLevel="0" collapsed="false">
      <c r="A1622" s="1" t="s">
        <v>3211</v>
      </c>
      <c r="B1622" s="2" t="s">
        <v>3212</v>
      </c>
      <c r="C1622" s="6" t="n">
        <v>43273</v>
      </c>
      <c r="D1622" s="3" t="n">
        <v>8</v>
      </c>
      <c r="E1622" s="3" t="n">
        <v>4</v>
      </c>
      <c r="F1622" s="7" t="n">
        <f aca="false">IFERROR(Tableau1[[#This Row],[Score]]/Tableau1[[#This Row],[Nb]],0)</f>
        <v>0.5</v>
      </c>
    </row>
    <row r="1623" customFormat="false" ht="30" hidden="false" customHeight="true" outlineLevel="0" collapsed="false">
      <c r="A1623" s="1" t="s">
        <v>3213</v>
      </c>
      <c r="B1623" s="2" t="s">
        <v>3214</v>
      </c>
      <c r="C1623" s="6" t="n">
        <v>43273</v>
      </c>
      <c r="D1623" s="3" t="n">
        <v>11</v>
      </c>
      <c r="E1623" s="3" t="n">
        <v>7</v>
      </c>
      <c r="F1623" s="7" t="n">
        <f aca="false">IFERROR(Tableau1[[#This Row],[Score]]/Tableau1[[#This Row],[Nb]],0)</f>
        <v>0.636363636363636</v>
      </c>
    </row>
    <row r="1624" customFormat="false" ht="30" hidden="false" customHeight="true" outlineLevel="0" collapsed="false">
      <c r="A1624" s="1" t="s">
        <v>3215</v>
      </c>
      <c r="B1624" s="2" t="s">
        <v>3216</v>
      </c>
      <c r="C1624" s="6" t="n">
        <v>43273</v>
      </c>
      <c r="D1624" s="3" t="n">
        <v>9</v>
      </c>
      <c r="E1624" s="3" t="n">
        <v>7</v>
      </c>
      <c r="F1624" s="7" t="n">
        <f aca="false">IFERROR(Tableau1[[#This Row],[Score]]/Tableau1[[#This Row],[Nb]],0)</f>
        <v>0.777777777777778</v>
      </c>
    </row>
    <row r="1625" customFormat="false" ht="30" hidden="false" customHeight="true" outlineLevel="0" collapsed="false">
      <c r="A1625" s="1" t="s">
        <v>3217</v>
      </c>
      <c r="B1625" s="2" t="s">
        <v>3218</v>
      </c>
      <c r="C1625" s="6" t="n">
        <v>43273</v>
      </c>
      <c r="D1625" s="3" t="n">
        <v>11</v>
      </c>
      <c r="E1625" s="3" t="n">
        <v>9</v>
      </c>
      <c r="F1625" s="7" t="n">
        <f aca="false">IFERROR(Tableau1[[#This Row],[Score]]/Tableau1[[#This Row],[Nb]],0)</f>
        <v>0.818181818181818</v>
      </c>
    </row>
    <row r="1626" customFormat="false" ht="30" hidden="false" customHeight="true" outlineLevel="0" collapsed="false">
      <c r="A1626" s="1" t="s">
        <v>3219</v>
      </c>
      <c r="B1626" s="2" t="s">
        <v>3220</v>
      </c>
      <c r="C1626" s="6" t="n">
        <v>43273</v>
      </c>
      <c r="D1626" s="3" t="n">
        <v>11</v>
      </c>
      <c r="E1626" s="3" t="n">
        <v>9</v>
      </c>
      <c r="F1626" s="7" t="n">
        <f aca="false">IFERROR(Tableau1[[#This Row],[Score]]/Tableau1[[#This Row],[Nb]],0)</f>
        <v>0.818181818181818</v>
      </c>
    </row>
    <row r="1627" customFormat="false" ht="30" hidden="false" customHeight="true" outlineLevel="0" collapsed="false">
      <c r="A1627" s="1" t="s">
        <v>3221</v>
      </c>
      <c r="B1627" s="2" t="s">
        <v>3222</v>
      </c>
      <c r="C1627" s="6" t="n">
        <v>43273</v>
      </c>
      <c r="D1627" s="3" t="n">
        <v>14</v>
      </c>
      <c r="E1627" s="3" t="n">
        <v>12</v>
      </c>
      <c r="F1627" s="7" t="n">
        <f aca="false">IFERROR(Tableau1[[#This Row],[Score]]/Tableau1[[#This Row],[Nb]],0)</f>
        <v>0.857142857142857</v>
      </c>
    </row>
    <row r="1628" customFormat="false" ht="30" hidden="false" customHeight="true" outlineLevel="0" collapsed="false">
      <c r="A1628" s="1" t="s">
        <v>3223</v>
      </c>
      <c r="B1628" s="2" t="s">
        <v>3224</v>
      </c>
      <c r="C1628" s="6" t="n">
        <v>43273</v>
      </c>
      <c r="D1628" s="3" t="n">
        <v>15</v>
      </c>
      <c r="E1628" s="3" t="n">
        <v>13</v>
      </c>
      <c r="F1628" s="7" t="n">
        <f aca="false">IFERROR(Tableau1[[#This Row],[Score]]/Tableau1[[#This Row],[Nb]],0)</f>
        <v>0.866666666666667</v>
      </c>
    </row>
    <row r="1629" customFormat="false" ht="30" hidden="false" customHeight="true" outlineLevel="0" collapsed="false">
      <c r="A1629" s="1" t="s">
        <v>3225</v>
      </c>
      <c r="C1629" s="6" t="n">
        <v>43273</v>
      </c>
      <c r="D1629" s="3" t="n">
        <v>8</v>
      </c>
      <c r="E1629" s="3" t="n">
        <v>8</v>
      </c>
      <c r="F1629" s="7" t="n">
        <f aca="false">IFERROR(Tableau1[[#This Row],[Score]]/Tableau1[[#This Row],[Nb]],0)</f>
        <v>1</v>
      </c>
    </row>
    <row r="1630" customFormat="false" ht="30" hidden="false" customHeight="true" outlineLevel="0" collapsed="false">
      <c r="A1630" s="1" t="s">
        <v>3226</v>
      </c>
      <c r="B1630" s="2" t="s">
        <v>3227</v>
      </c>
      <c r="C1630" s="6" t="n">
        <v>43273</v>
      </c>
      <c r="D1630" s="3" t="n">
        <v>7</v>
      </c>
      <c r="E1630" s="3" t="n">
        <v>7</v>
      </c>
      <c r="F1630" s="7" t="n">
        <f aca="false">IFERROR(Tableau1[[#This Row],[Score]]/Tableau1[[#This Row],[Nb]],0)</f>
        <v>1</v>
      </c>
    </row>
    <row r="1631" customFormat="false" ht="30" hidden="false" customHeight="true" outlineLevel="0" collapsed="false">
      <c r="A1631" s="1" t="s">
        <v>3228</v>
      </c>
      <c r="B1631" s="2" t="s">
        <v>3229</v>
      </c>
      <c r="C1631" s="6" t="n">
        <v>43274</v>
      </c>
      <c r="D1631" s="3" t="n">
        <v>8</v>
      </c>
      <c r="E1631" s="3" t="n">
        <v>-8</v>
      </c>
      <c r="F1631" s="7" t="n">
        <f aca="false">IFERROR(Tableau1[[#This Row],[Score]]/Tableau1[[#This Row],[Nb]],0)</f>
        <v>-1</v>
      </c>
    </row>
    <row r="1632" customFormat="false" ht="30" hidden="false" customHeight="true" outlineLevel="0" collapsed="false">
      <c r="A1632" s="1" t="s">
        <v>3230</v>
      </c>
      <c r="B1632" s="2" t="s">
        <v>3231</v>
      </c>
      <c r="C1632" s="6" t="n">
        <v>43274</v>
      </c>
      <c r="D1632" s="3" t="n">
        <v>7</v>
      </c>
      <c r="E1632" s="3" t="n">
        <v>-3</v>
      </c>
      <c r="F1632" s="7" t="n">
        <f aca="false">IFERROR(Tableau1[[#This Row],[Score]]/Tableau1[[#This Row],[Nb]],0)</f>
        <v>-0.428571428571429</v>
      </c>
    </row>
    <row r="1633" customFormat="false" ht="30" hidden="false" customHeight="true" outlineLevel="0" collapsed="false">
      <c r="A1633" s="1" t="s">
        <v>3232</v>
      </c>
      <c r="B1633" s="2" t="s">
        <v>3233</v>
      </c>
      <c r="C1633" s="6" t="n">
        <v>43274</v>
      </c>
      <c r="D1633" s="3" t="n">
        <v>10</v>
      </c>
      <c r="E1633" s="3" t="n">
        <v>-2</v>
      </c>
      <c r="F1633" s="7" t="n">
        <f aca="false">IFERROR(Tableau1[[#This Row],[Score]]/Tableau1[[#This Row],[Nb]],0)</f>
        <v>-0.2</v>
      </c>
    </row>
    <row r="1634" customFormat="false" ht="30" hidden="false" customHeight="true" outlineLevel="0" collapsed="false">
      <c r="A1634" s="1" t="s">
        <v>3234</v>
      </c>
      <c r="B1634" s="2" t="s">
        <v>3235</v>
      </c>
      <c r="C1634" s="6" t="n">
        <v>43274</v>
      </c>
      <c r="D1634" s="3" t="n">
        <v>7</v>
      </c>
      <c r="E1634" s="3" t="n">
        <v>1</v>
      </c>
      <c r="F1634" s="7" t="n">
        <f aca="false">IFERROR(Tableau1[[#This Row],[Score]]/Tableau1[[#This Row],[Nb]],0)</f>
        <v>0.142857142857143</v>
      </c>
    </row>
    <row r="1635" customFormat="false" ht="30" hidden="false" customHeight="true" outlineLevel="0" collapsed="false">
      <c r="A1635" s="1" t="s">
        <v>3236</v>
      </c>
      <c r="B1635" s="2" t="s">
        <v>3237</v>
      </c>
      <c r="C1635" s="6" t="n">
        <v>43274</v>
      </c>
      <c r="D1635" s="3" t="n">
        <v>12</v>
      </c>
      <c r="E1635" s="3" t="n">
        <v>4</v>
      </c>
      <c r="F1635" s="7" t="n">
        <f aca="false">IFERROR(Tableau1[[#This Row],[Score]]/Tableau1[[#This Row],[Nb]],0)</f>
        <v>0.333333333333333</v>
      </c>
    </row>
    <row r="1636" customFormat="false" ht="30" hidden="false" customHeight="true" outlineLevel="0" collapsed="false">
      <c r="A1636" s="1" t="s">
        <v>3238</v>
      </c>
      <c r="B1636" s="2" t="s">
        <v>3239</v>
      </c>
      <c r="C1636" s="6" t="n">
        <v>43274</v>
      </c>
      <c r="D1636" s="3" t="n">
        <v>12</v>
      </c>
      <c r="E1636" s="3" t="n">
        <v>10</v>
      </c>
      <c r="F1636" s="7" t="n">
        <f aca="false">IFERROR(Tableau1[[#This Row],[Score]]/Tableau1[[#This Row],[Nb]],0)</f>
        <v>0.833333333333333</v>
      </c>
    </row>
    <row r="1637" customFormat="false" ht="30" hidden="false" customHeight="true" outlineLevel="0" collapsed="false">
      <c r="A1637" s="1" t="s">
        <v>3240</v>
      </c>
      <c r="B1637" s="2" t="s">
        <v>3241</v>
      </c>
      <c r="C1637" s="6" t="n">
        <v>43275</v>
      </c>
      <c r="D1637" s="3" t="n">
        <v>8</v>
      </c>
      <c r="E1637" s="3" t="n">
        <v>-8</v>
      </c>
      <c r="F1637" s="7" t="n">
        <f aca="false">IFERROR(Tableau1[[#This Row],[Score]]/Tableau1[[#This Row],[Nb]],0)</f>
        <v>-1</v>
      </c>
    </row>
    <row r="1638" customFormat="false" ht="30" hidden="false" customHeight="true" outlineLevel="0" collapsed="false">
      <c r="A1638" s="1" t="s">
        <v>3242</v>
      </c>
      <c r="B1638" s="2" t="s">
        <v>3243</v>
      </c>
      <c r="C1638" s="6" t="n">
        <v>43275</v>
      </c>
      <c r="D1638" s="3" t="n">
        <v>7</v>
      </c>
      <c r="E1638" s="3" t="n">
        <v>-7</v>
      </c>
      <c r="F1638" s="7" t="n">
        <f aca="false">IFERROR(Tableau1[[#This Row],[Score]]/Tableau1[[#This Row],[Nb]],0)</f>
        <v>-1</v>
      </c>
    </row>
    <row r="1639" customFormat="false" ht="30" hidden="false" customHeight="true" outlineLevel="0" collapsed="false">
      <c r="A1639" s="1" t="s">
        <v>3244</v>
      </c>
      <c r="B1639" s="2" t="s">
        <v>3245</v>
      </c>
      <c r="C1639" s="6" t="n">
        <v>43275</v>
      </c>
      <c r="D1639" s="3" t="n">
        <v>13</v>
      </c>
      <c r="E1639" s="3" t="n">
        <v>-11</v>
      </c>
      <c r="F1639" s="7" t="n">
        <f aca="false">IFERROR(Tableau1[[#This Row],[Score]]/Tableau1[[#This Row],[Nb]],0)</f>
        <v>-0.846153846153846</v>
      </c>
    </row>
    <row r="1640" customFormat="false" ht="30" hidden="false" customHeight="true" outlineLevel="0" collapsed="false">
      <c r="A1640" s="1" t="s">
        <v>3246</v>
      </c>
      <c r="B1640" s="2" t="s">
        <v>3247</v>
      </c>
      <c r="C1640" s="6" t="n">
        <v>43275</v>
      </c>
      <c r="D1640" s="3" t="n">
        <v>13</v>
      </c>
      <c r="E1640" s="3" t="n">
        <v>-7</v>
      </c>
      <c r="F1640" s="7" t="n">
        <f aca="false">IFERROR(Tableau1[[#This Row],[Score]]/Tableau1[[#This Row],[Nb]],0)</f>
        <v>-0.538461538461538</v>
      </c>
    </row>
    <row r="1641" customFormat="false" ht="30" hidden="false" customHeight="true" outlineLevel="0" collapsed="false">
      <c r="A1641" s="1" t="s">
        <v>3248</v>
      </c>
      <c r="B1641" s="2" t="s">
        <v>3249</v>
      </c>
      <c r="C1641" s="6" t="n">
        <v>43275</v>
      </c>
      <c r="D1641" s="3" t="n">
        <v>8</v>
      </c>
      <c r="E1641" s="3" t="n">
        <v>-4</v>
      </c>
      <c r="F1641" s="7" t="n">
        <f aca="false">IFERROR(Tableau1[[#This Row],[Score]]/Tableau1[[#This Row],[Nb]],0)</f>
        <v>-0.5</v>
      </c>
    </row>
    <row r="1642" customFormat="false" ht="30" hidden="false" customHeight="true" outlineLevel="0" collapsed="false">
      <c r="A1642" s="1" t="s">
        <v>3250</v>
      </c>
      <c r="B1642" s="2" t="s">
        <v>3251</v>
      </c>
      <c r="C1642" s="6" t="n">
        <v>43275</v>
      </c>
      <c r="D1642" s="3" t="n">
        <v>10</v>
      </c>
      <c r="E1642" s="3" t="n">
        <v>4</v>
      </c>
      <c r="F1642" s="7" t="n">
        <f aca="false">IFERROR(Tableau1[[#This Row],[Score]]/Tableau1[[#This Row],[Nb]],0)</f>
        <v>0.4</v>
      </c>
    </row>
    <row r="1643" customFormat="false" ht="30" hidden="false" customHeight="true" outlineLevel="0" collapsed="false">
      <c r="A1643" s="1" t="s">
        <v>3252</v>
      </c>
      <c r="B1643" s="2" t="s">
        <v>3253</v>
      </c>
      <c r="C1643" s="6" t="n">
        <v>43275</v>
      </c>
      <c r="D1643" s="3" t="n">
        <v>15</v>
      </c>
      <c r="E1643" s="3" t="n">
        <v>7</v>
      </c>
      <c r="F1643" s="7" t="n">
        <f aca="false">IFERROR(Tableau1[[#This Row],[Score]]/Tableau1[[#This Row],[Nb]],0)</f>
        <v>0.466666666666667</v>
      </c>
    </row>
    <row r="1644" customFormat="false" ht="30" hidden="false" customHeight="true" outlineLevel="0" collapsed="false">
      <c r="A1644" s="1" t="s">
        <v>3254</v>
      </c>
      <c r="B1644" s="2" t="s">
        <v>3255</v>
      </c>
      <c r="C1644" s="6" t="n">
        <v>43275</v>
      </c>
      <c r="D1644" s="3" t="n">
        <v>16</v>
      </c>
      <c r="E1644" s="3" t="n">
        <v>8</v>
      </c>
      <c r="F1644" s="7" t="n">
        <f aca="false">IFERROR(Tableau1[[#This Row],[Score]]/Tableau1[[#This Row],[Nb]],0)</f>
        <v>0.5</v>
      </c>
    </row>
    <row r="1645" customFormat="false" ht="30" hidden="false" customHeight="true" outlineLevel="0" collapsed="false">
      <c r="A1645" s="1" t="s">
        <v>3256</v>
      </c>
      <c r="B1645" s="2" t="s">
        <v>3257</v>
      </c>
      <c r="C1645" s="6" t="n">
        <v>43275</v>
      </c>
      <c r="D1645" s="3" t="n">
        <v>6</v>
      </c>
      <c r="E1645" s="3" t="n">
        <v>6</v>
      </c>
      <c r="F1645" s="7" t="n">
        <f aca="false">IFERROR(Tableau1[[#This Row],[Score]]/Tableau1[[#This Row],[Nb]],0)</f>
        <v>1</v>
      </c>
    </row>
    <row r="1646" customFormat="false" ht="30" hidden="false" customHeight="true" outlineLevel="0" collapsed="false">
      <c r="A1646" s="1" t="s">
        <v>3258</v>
      </c>
      <c r="B1646" s="2" t="s">
        <v>3259</v>
      </c>
      <c r="C1646" s="6" t="n">
        <v>43277</v>
      </c>
      <c r="D1646" s="3" t="n">
        <v>11</v>
      </c>
      <c r="E1646" s="3" t="n">
        <v>-11</v>
      </c>
      <c r="F1646" s="7" t="n">
        <f aca="false">IFERROR(Tableau1[[#This Row],[Score]]/Tableau1[[#This Row],[Nb]],0)</f>
        <v>-1</v>
      </c>
    </row>
    <row r="1647" customFormat="false" ht="30" hidden="false" customHeight="true" outlineLevel="0" collapsed="false">
      <c r="A1647" s="1" t="s">
        <v>3260</v>
      </c>
      <c r="B1647" s="2" t="s">
        <v>221</v>
      </c>
      <c r="C1647" s="6" t="n">
        <v>43277</v>
      </c>
      <c r="D1647" s="3" t="n">
        <v>11</v>
      </c>
      <c r="E1647" s="3" t="n">
        <v>-11</v>
      </c>
      <c r="F1647" s="7" t="n">
        <f aca="false">IFERROR(Tableau1[[#This Row],[Score]]/Tableau1[[#This Row],[Nb]],0)</f>
        <v>-1</v>
      </c>
    </row>
    <row r="1648" customFormat="false" ht="30" hidden="false" customHeight="true" outlineLevel="0" collapsed="false">
      <c r="A1648" s="1" t="s">
        <v>3261</v>
      </c>
      <c r="B1648" s="2" t="s">
        <v>3262</v>
      </c>
      <c r="C1648" s="6" t="n">
        <v>43277</v>
      </c>
      <c r="D1648" s="3" t="n">
        <v>4</v>
      </c>
      <c r="E1648" s="3" t="n">
        <v>-4</v>
      </c>
      <c r="F1648" s="7" t="n">
        <f aca="false">IFERROR(Tableau1[[#This Row],[Score]]/Tableau1[[#This Row],[Nb]],0)</f>
        <v>-1</v>
      </c>
    </row>
    <row r="1649" customFormat="false" ht="30" hidden="false" customHeight="true" outlineLevel="0" collapsed="false">
      <c r="A1649" s="1" t="s">
        <v>3263</v>
      </c>
      <c r="B1649" s="2" t="s">
        <v>3264</v>
      </c>
      <c r="C1649" s="6" t="n">
        <v>43277</v>
      </c>
      <c r="D1649" s="3" t="n">
        <v>10</v>
      </c>
      <c r="E1649" s="3" t="n">
        <v>-10</v>
      </c>
      <c r="F1649" s="7" t="n">
        <f aca="false">IFERROR(Tableau1[[#This Row],[Score]]/Tableau1[[#This Row],[Nb]],0)</f>
        <v>-1</v>
      </c>
    </row>
    <row r="1650" customFormat="false" ht="30" hidden="false" customHeight="true" outlineLevel="0" collapsed="false">
      <c r="A1650" s="1" t="s">
        <v>3265</v>
      </c>
      <c r="B1650" s="2" t="s">
        <v>3266</v>
      </c>
      <c r="C1650" s="6" t="n">
        <v>43277</v>
      </c>
      <c r="D1650" s="3" t="n">
        <v>5</v>
      </c>
      <c r="E1650" s="3" t="n">
        <v>-3</v>
      </c>
      <c r="F1650" s="7" t="n">
        <f aca="false">IFERROR(Tableau1[[#This Row],[Score]]/Tableau1[[#This Row],[Nb]],0)</f>
        <v>-0.6</v>
      </c>
    </row>
    <row r="1651" customFormat="false" ht="30" hidden="false" customHeight="true" outlineLevel="0" collapsed="false">
      <c r="A1651" s="1" t="s">
        <v>3267</v>
      </c>
      <c r="B1651" s="2" t="s">
        <v>3268</v>
      </c>
      <c r="C1651" s="6" t="n">
        <v>43277</v>
      </c>
      <c r="D1651" s="3" t="n">
        <v>20</v>
      </c>
      <c r="E1651" s="3" t="n">
        <v>-9</v>
      </c>
      <c r="F1651" s="7" t="n">
        <f aca="false">IFERROR(Tableau1[[#This Row],[Score]]/Tableau1[[#This Row],[Nb]],0)</f>
        <v>-0.45</v>
      </c>
    </row>
    <row r="1652" customFormat="false" ht="30" hidden="false" customHeight="true" outlineLevel="0" collapsed="false">
      <c r="A1652" s="1" t="s">
        <v>3269</v>
      </c>
      <c r="B1652" s="2" t="s">
        <v>3270</v>
      </c>
      <c r="C1652" s="6" t="n">
        <v>43277</v>
      </c>
      <c r="D1652" s="3" t="n">
        <v>10</v>
      </c>
      <c r="E1652" s="3" t="n">
        <v>-4</v>
      </c>
      <c r="F1652" s="7" t="n">
        <f aca="false">IFERROR(Tableau1[[#This Row],[Score]]/Tableau1[[#This Row],[Nb]],0)</f>
        <v>-0.4</v>
      </c>
    </row>
    <row r="1653" customFormat="false" ht="30" hidden="false" customHeight="true" outlineLevel="0" collapsed="false">
      <c r="A1653" s="1" t="s">
        <v>3271</v>
      </c>
      <c r="B1653" s="2" t="s">
        <v>3272</v>
      </c>
      <c r="C1653" s="6" t="n">
        <v>43277</v>
      </c>
      <c r="D1653" s="3" t="n">
        <v>13</v>
      </c>
      <c r="E1653" s="3" t="n">
        <v>-5</v>
      </c>
      <c r="F1653" s="7" t="n">
        <f aca="false">IFERROR(Tableau1[[#This Row],[Score]]/Tableau1[[#This Row],[Nb]],0)</f>
        <v>-0.384615384615385</v>
      </c>
    </row>
    <row r="1654" customFormat="false" ht="30" hidden="false" customHeight="true" outlineLevel="0" collapsed="false">
      <c r="A1654" s="1" t="s">
        <v>3273</v>
      </c>
      <c r="B1654" s="2" t="s">
        <v>3274</v>
      </c>
      <c r="C1654" s="6" t="n">
        <v>43277</v>
      </c>
      <c r="D1654" s="3" t="n">
        <v>11</v>
      </c>
      <c r="E1654" s="3" t="n">
        <v>-3</v>
      </c>
      <c r="F1654" s="7" t="n">
        <f aca="false">IFERROR(Tableau1[[#This Row],[Score]]/Tableau1[[#This Row],[Nb]],0)</f>
        <v>-0.272727272727273</v>
      </c>
    </row>
    <row r="1655" customFormat="false" ht="30" hidden="false" customHeight="true" outlineLevel="0" collapsed="false">
      <c r="A1655" s="1" t="s">
        <v>3275</v>
      </c>
      <c r="B1655" s="2" t="s">
        <v>3276</v>
      </c>
      <c r="C1655" s="6" t="n">
        <v>43277</v>
      </c>
      <c r="D1655" s="3" t="n">
        <v>10</v>
      </c>
      <c r="E1655" s="3" t="n">
        <v>-2</v>
      </c>
      <c r="F1655" s="7" t="n">
        <f aca="false">IFERROR(Tableau1[[#This Row],[Score]]/Tableau1[[#This Row],[Nb]],0)</f>
        <v>-0.2</v>
      </c>
    </row>
    <row r="1656" customFormat="false" ht="30" hidden="false" customHeight="true" outlineLevel="0" collapsed="false">
      <c r="A1656" s="1" t="s">
        <v>3277</v>
      </c>
      <c r="B1656" s="2" t="s">
        <v>3278</v>
      </c>
      <c r="C1656" s="6" t="n">
        <v>43277</v>
      </c>
      <c r="D1656" s="3" t="n">
        <v>18</v>
      </c>
      <c r="E1656" s="3" t="n">
        <v>-2</v>
      </c>
      <c r="F1656" s="7" t="n">
        <f aca="false">IFERROR(Tableau1[[#This Row],[Score]]/Tableau1[[#This Row],[Nb]],0)</f>
        <v>-0.111111111111111</v>
      </c>
    </row>
    <row r="1657" customFormat="false" ht="30" hidden="false" customHeight="true" outlineLevel="0" collapsed="false">
      <c r="A1657" s="1" t="s">
        <v>3279</v>
      </c>
      <c r="B1657" s="2" t="s">
        <v>3280</v>
      </c>
      <c r="C1657" s="6" t="n">
        <v>43277</v>
      </c>
      <c r="D1657" s="3" t="n">
        <v>11</v>
      </c>
      <c r="E1657" s="3" t="n">
        <v>5</v>
      </c>
      <c r="F1657" s="7" t="n">
        <f aca="false">IFERROR(Tableau1[[#This Row],[Score]]/Tableau1[[#This Row],[Nb]],0)</f>
        <v>0.454545454545455</v>
      </c>
    </row>
    <row r="1658" customFormat="false" ht="30" hidden="false" customHeight="true" outlineLevel="0" collapsed="false">
      <c r="A1658" s="1" t="s">
        <v>3281</v>
      </c>
      <c r="B1658" s="2" t="s">
        <v>3282</v>
      </c>
      <c r="C1658" s="6" t="n">
        <v>43277</v>
      </c>
      <c r="D1658" s="3" t="n">
        <v>11</v>
      </c>
      <c r="E1658" s="3" t="n">
        <v>7</v>
      </c>
      <c r="F1658" s="7" t="n">
        <f aca="false">IFERROR(Tableau1[[#This Row],[Score]]/Tableau1[[#This Row],[Nb]],0)</f>
        <v>0.636363636363636</v>
      </c>
    </row>
    <row r="1659" customFormat="false" ht="30" hidden="false" customHeight="true" outlineLevel="0" collapsed="false">
      <c r="A1659" s="1" t="s">
        <v>3283</v>
      </c>
      <c r="B1659" s="2" t="s">
        <v>3284</v>
      </c>
      <c r="C1659" s="6" t="n">
        <v>43277</v>
      </c>
      <c r="D1659" s="3" t="n">
        <v>7</v>
      </c>
      <c r="E1659" s="3" t="n">
        <v>5</v>
      </c>
      <c r="F1659" s="7" t="n">
        <f aca="false">IFERROR(Tableau1[[#This Row],[Score]]/Tableau1[[#This Row],[Nb]],0)</f>
        <v>0.714285714285714</v>
      </c>
    </row>
    <row r="1660" customFormat="false" ht="30" hidden="false" customHeight="true" outlineLevel="0" collapsed="false">
      <c r="A1660" s="1" t="s">
        <v>3285</v>
      </c>
      <c r="B1660" s="2" t="s">
        <v>3286</v>
      </c>
      <c r="C1660" s="6" t="n">
        <v>43277</v>
      </c>
      <c r="D1660" s="3" t="n">
        <v>25</v>
      </c>
      <c r="E1660" s="3" t="n">
        <v>19</v>
      </c>
      <c r="F1660" s="7" t="n">
        <f aca="false">IFERROR(Tableau1[[#This Row],[Score]]/Tableau1[[#This Row],[Nb]],0)</f>
        <v>0.76</v>
      </c>
    </row>
    <row r="1661" customFormat="false" ht="30" hidden="false" customHeight="true" outlineLevel="0" collapsed="false">
      <c r="A1661" s="1" t="s">
        <v>3287</v>
      </c>
      <c r="B1661" s="2" t="s">
        <v>3288</v>
      </c>
      <c r="C1661" s="6" t="n">
        <v>43277</v>
      </c>
      <c r="D1661" s="3" t="n">
        <v>12</v>
      </c>
      <c r="E1661" s="3" t="n">
        <v>10</v>
      </c>
      <c r="F1661" s="7" t="n">
        <f aca="false">IFERROR(Tableau1[[#This Row],[Score]]/Tableau1[[#This Row],[Nb]],0)</f>
        <v>0.833333333333333</v>
      </c>
    </row>
    <row r="1662" customFormat="false" ht="30" hidden="false" customHeight="true" outlineLevel="0" collapsed="false">
      <c r="A1662" s="1" t="s">
        <v>3289</v>
      </c>
      <c r="B1662" s="2" t="s">
        <v>3290</v>
      </c>
      <c r="C1662" s="6" t="n">
        <v>43277</v>
      </c>
      <c r="D1662" s="3" t="n">
        <v>12</v>
      </c>
      <c r="E1662" s="3" t="n">
        <v>10</v>
      </c>
      <c r="F1662" s="7" t="n">
        <f aca="false">IFERROR(Tableau1[[#This Row],[Score]]/Tableau1[[#This Row],[Nb]],0)</f>
        <v>0.833333333333333</v>
      </c>
    </row>
    <row r="1663" customFormat="false" ht="30" hidden="false" customHeight="true" outlineLevel="0" collapsed="false">
      <c r="A1663" s="1" t="s">
        <v>3291</v>
      </c>
      <c r="B1663" s="2" t="s">
        <v>3292</v>
      </c>
      <c r="C1663" s="6" t="n">
        <v>43277</v>
      </c>
      <c r="D1663" s="3" t="n">
        <v>8</v>
      </c>
      <c r="E1663" s="3" t="n">
        <v>8</v>
      </c>
      <c r="F1663" s="7" t="n">
        <f aca="false">IFERROR(Tableau1[[#This Row],[Score]]/Tableau1[[#This Row],[Nb]],0)</f>
        <v>1</v>
      </c>
    </row>
    <row r="1664" customFormat="false" ht="30" hidden="false" customHeight="true" outlineLevel="0" collapsed="false">
      <c r="A1664" s="1" t="s">
        <v>3293</v>
      </c>
      <c r="B1664" s="2" t="s">
        <v>3294</v>
      </c>
      <c r="C1664" s="6" t="n">
        <v>43278</v>
      </c>
      <c r="D1664" s="3" t="n">
        <v>9</v>
      </c>
      <c r="E1664" s="3" t="n">
        <v>3</v>
      </c>
      <c r="F1664" s="7" t="n">
        <f aca="false">IFERROR(Tableau1[[#This Row],[Score]]/Tableau1[[#This Row],[Nb]],0)</f>
        <v>0.333333333333333</v>
      </c>
    </row>
    <row r="1665" customFormat="false" ht="30" hidden="false" customHeight="true" outlineLevel="0" collapsed="false">
      <c r="A1665" s="1" t="s">
        <v>3295</v>
      </c>
      <c r="B1665" s="2" t="s">
        <v>3296</v>
      </c>
      <c r="C1665" s="6" t="n">
        <v>43295</v>
      </c>
      <c r="D1665" s="3" t="n">
        <v>15</v>
      </c>
      <c r="E1665" s="3" t="n">
        <v>-1</v>
      </c>
      <c r="F1665" s="7" t="n">
        <f aca="false">IFERROR(Tableau1[[#This Row],[Score]]/Tableau1[[#This Row],[Nb]],0)</f>
        <v>-0.0666666666666667</v>
      </c>
    </row>
    <row r="1666" customFormat="false" ht="30" hidden="false" customHeight="true" outlineLevel="0" collapsed="false">
      <c r="A1666" s="1" t="s">
        <v>3297</v>
      </c>
      <c r="B1666" s="2" t="s">
        <v>3298</v>
      </c>
      <c r="C1666" s="6" t="n">
        <v>43295</v>
      </c>
      <c r="D1666" s="3" t="n">
        <v>11</v>
      </c>
      <c r="E1666" s="3" t="n">
        <v>1</v>
      </c>
      <c r="F1666" s="7" t="n">
        <f aca="false">IFERROR(Tableau1[[#This Row],[Score]]/Tableau1[[#This Row],[Nb]],0)</f>
        <v>0.0909090909090909</v>
      </c>
    </row>
    <row r="1667" customFormat="false" ht="30" hidden="false" customHeight="true" outlineLevel="0" collapsed="false">
      <c r="A1667" s="1" t="s">
        <v>3299</v>
      </c>
      <c r="B1667" s="2" t="s">
        <v>3300</v>
      </c>
      <c r="C1667" s="6" t="n">
        <v>43298</v>
      </c>
      <c r="D1667" s="3" t="n">
        <v>4</v>
      </c>
      <c r="E1667" s="3" t="n">
        <v>-4</v>
      </c>
      <c r="F1667" s="7" t="n">
        <f aca="false">IFERROR(Tableau1[[#This Row],[Score]]/Tableau1[[#This Row],[Nb]],0)</f>
        <v>-1</v>
      </c>
    </row>
    <row r="1668" customFormat="false" ht="30" hidden="false" customHeight="true" outlineLevel="0" collapsed="false">
      <c r="A1668" s="1" t="s">
        <v>3301</v>
      </c>
      <c r="B1668" s="2" t="s">
        <v>3302</v>
      </c>
      <c r="C1668" s="6" t="n">
        <v>43298</v>
      </c>
      <c r="D1668" s="3" t="n">
        <v>7</v>
      </c>
      <c r="E1668" s="3" t="n">
        <v>-7</v>
      </c>
      <c r="F1668" s="7" t="n">
        <f aca="false">IFERROR(Tableau1[[#This Row],[Score]]/Tableau1[[#This Row],[Nb]],0)</f>
        <v>-1</v>
      </c>
    </row>
    <row r="1669" customFormat="false" ht="30" hidden="false" customHeight="true" outlineLevel="0" collapsed="false">
      <c r="A1669" s="1" t="s">
        <v>3303</v>
      </c>
      <c r="B1669" s="2" t="s">
        <v>3304</v>
      </c>
      <c r="C1669" s="6" t="n">
        <v>43298</v>
      </c>
      <c r="D1669" s="3" t="n">
        <v>6</v>
      </c>
      <c r="E1669" s="3" t="n">
        <v>-6</v>
      </c>
      <c r="F1669" s="7" t="n">
        <f aca="false">IFERROR(Tableau1[[#This Row],[Score]]/Tableau1[[#This Row],[Nb]],0)</f>
        <v>-1</v>
      </c>
    </row>
    <row r="1670" customFormat="false" ht="30" hidden="false" customHeight="true" outlineLevel="0" collapsed="false">
      <c r="A1670" s="1" t="s">
        <v>3305</v>
      </c>
      <c r="B1670" s="2" t="s">
        <v>3306</v>
      </c>
      <c r="C1670" s="6" t="n">
        <v>43298</v>
      </c>
      <c r="D1670" s="3" t="n">
        <v>6</v>
      </c>
      <c r="E1670" s="3" t="n">
        <v>-6</v>
      </c>
      <c r="F1670" s="7" t="n">
        <f aca="false">IFERROR(Tableau1[[#This Row],[Score]]/Tableau1[[#This Row],[Nb]],0)</f>
        <v>-1</v>
      </c>
    </row>
    <row r="1671" customFormat="false" ht="30" hidden="false" customHeight="true" outlineLevel="0" collapsed="false">
      <c r="A1671" s="1" t="s">
        <v>3307</v>
      </c>
      <c r="B1671" s="2" t="s">
        <v>3308</v>
      </c>
      <c r="C1671" s="6" t="n">
        <v>43298</v>
      </c>
      <c r="D1671" s="3" t="n">
        <v>6</v>
      </c>
      <c r="E1671" s="3" t="n">
        <v>-6</v>
      </c>
      <c r="F1671" s="7" t="n">
        <f aca="false">IFERROR(Tableau1[[#This Row],[Score]]/Tableau1[[#This Row],[Nb]],0)</f>
        <v>-1</v>
      </c>
    </row>
    <row r="1672" customFormat="false" ht="30" hidden="false" customHeight="true" outlineLevel="0" collapsed="false">
      <c r="A1672" s="1" t="s">
        <v>3309</v>
      </c>
      <c r="B1672" s="2" t="s">
        <v>3310</v>
      </c>
      <c r="C1672" s="6" t="n">
        <v>43298</v>
      </c>
      <c r="D1672" s="3" t="n">
        <v>12</v>
      </c>
      <c r="E1672" s="3" t="n">
        <v>-6</v>
      </c>
      <c r="F1672" s="7" t="n">
        <f aca="false">IFERROR(Tableau1[[#This Row],[Score]]/Tableau1[[#This Row],[Nb]],0)</f>
        <v>-0.5</v>
      </c>
    </row>
    <row r="1673" customFormat="false" ht="30" hidden="false" customHeight="true" outlineLevel="0" collapsed="false">
      <c r="A1673" s="1" t="s">
        <v>3311</v>
      </c>
      <c r="B1673" s="2" t="s">
        <v>3312</v>
      </c>
      <c r="C1673" s="6" t="n">
        <v>43298</v>
      </c>
      <c r="D1673" s="3" t="n">
        <v>10</v>
      </c>
      <c r="E1673" s="3" t="n">
        <v>-4</v>
      </c>
      <c r="F1673" s="7" t="n">
        <f aca="false">IFERROR(Tableau1[[#This Row],[Score]]/Tableau1[[#This Row],[Nb]],0)</f>
        <v>-0.4</v>
      </c>
    </row>
    <row r="1674" customFormat="false" ht="30" hidden="false" customHeight="true" outlineLevel="0" collapsed="false">
      <c r="A1674" s="1" t="s">
        <v>3313</v>
      </c>
      <c r="B1674" s="2" t="s">
        <v>3314</v>
      </c>
      <c r="C1674" s="6" t="n">
        <v>43298</v>
      </c>
      <c r="D1674" s="3" t="n">
        <v>15</v>
      </c>
      <c r="E1674" s="3" t="n">
        <v>-1</v>
      </c>
      <c r="F1674" s="7" t="n">
        <f aca="false">IFERROR(Tableau1[[#This Row],[Score]]/Tableau1[[#This Row],[Nb]],0)</f>
        <v>-0.0666666666666667</v>
      </c>
    </row>
    <row r="1675" customFormat="false" ht="30" hidden="false" customHeight="true" outlineLevel="0" collapsed="false">
      <c r="A1675" s="1" t="s">
        <v>3315</v>
      </c>
      <c r="B1675" s="2" t="s">
        <v>3316</v>
      </c>
      <c r="C1675" s="6" t="n">
        <v>43298</v>
      </c>
      <c r="D1675" s="3" t="n">
        <v>11</v>
      </c>
      <c r="E1675" s="3" t="n">
        <v>1</v>
      </c>
      <c r="F1675" s="7" t="n">
        <f aca="false">IFERROR(Tableau1[[#This Row],[Score]]/Tableau1[[#This Row],[Nb]],0)</f>
        <v>0.0909090909090909</v>
      </c>
    </row>
    <row r="1676" customFormat="false" ht="30" hidden="false" customHeight="true" outlineLevel="0" collapsed="false">
      <c r="A1676" s="1" t="s">
        <v>3317</v>
      </c>
      <c r="B1676" s="2" t="s">
        <v>3318</v>
      </c>
      <c r="C1676" s="6" t="n">
        <v>43298</v>
      </c>
      <c r="D1676" s="3" t="n">
        <v>9</v>
      </c>
      <c r="E1676" s="3" t="n">
        <v>1</v>
      </c>
      <c r="F1676" s="7" t="n">
        <f aca="false">IFERROR(Tableau1[[#This Row],[Score]]/Tableau1[[#This Row],[Nb]],0)</f>
        <v>0.111111111111111</v>
      </c>
    </row>
    <row r="1677" customFormat="false" ht="30" hidden="false" customHeight="true" outlineLevel="0" collapsed="false">
      <c r="A1677" s="1" t="s">
        <v>3319</v>
      </c>
      <c r="B1677" s="2" t="s">
        <v>3320</v>
      </c>
      <c r="C1677" s="6" t="n">
        <v>43298</v>
      </c>
      <c r="D1677" s="3" t="n">
        <v>10</v>
      </c>
      <c r="E1677" s="3" t="n">
        <v>2</v>
      </c>
      <c r="F1677" s="7" t="n">
        <f aca="false">IFERROR(Tableau1[[#This Row],[Score]]/Tableau1[[#This Row],[Nb]],0)</f>
        <v>0.2</v>
      </c>
    </row>
    <row r="1678" customFormat="false" ht="30" hidden="false" customHeight="true" outlineLevel="0" collapsed="false">
      <c r="A1678" s="1" t="s">
        <v>3321</v>
      </c>
      <c r="B1678" s="2" t="s">
        <v>3322</v>
      </c>
      <c r="C1678" s="6" t="n">
        <v>43298</v>
      </c>
      <c r="D1678" s="3" t="n">
        <v>15</v>
      </c>
      <c r="E1678" s="3" t="n">
        <v>3</v>
      </c>
      <c r="F1678" s="7" t="n">
        <f aca="false">IFERROR(Tableau1[[#This Row],[Score]]/Tableau1[[#This Row],[Nb]],0)</f>
        <v>0.2</v>
      </c>
    </row>
    <row r="1679" customFormat="false" ht="30" hidden="false" customHeight="true" outlineLevel="0" collapsed="false">
      <c r="A1679" s="1" t="s">
        <v>3323</v>
      </c>
      <c r="B1679" s="2" t="s">
        <v>3324</v>
      </c>
      <c r="C1679" s="6" t="n">
        <v>43298</v>
      </c>
      <c r="D1679" s="3" t="n">
        <v>8</v>
      </c>
      <c r="E1679" s="3" t="n">
        <v>2</v>
      </c>
      <c r="F1679" s="7" t="n">
        <f aca="false">IFERROR(Tableau1[[#This Row],[Score]]/Tableau1[[#This Row],[Nb]],0)</f>
        <v>0.25</v>
      </c>
    </row>
    <row r="1680" customFormat="false" ht="30" hidden="false" customHeight="true" outlineLevel="0" collapsed="false">
      <c r="A1680" s="1" t="s">
        <v>3325</v>
      </c>
      <c r="B1680" s="2" t="s">
        <v>3326</v>
      </c>
      <c r="C1680" s="6" t="n">
        <v>43298</v>
      </c>
      <c r="D1680" s="3" t="n">
        <v>16</v>
      </c>
      <c r="E1680" s="3" t="n">
        <v>6</v>
      </c>
      <c r="F1680" s="7" t="n">
        <f aca="false">IFERROR(Tableau1[[#This Row],[Score]]/Tableau1[[#This Row],[Nb]],0)</f>
        <v>0.375</v>
      </c>
    </row>
    <row r="1681" customFormat="false" ht="30" hidden="false" customHeight="true" outlineLevel="0" collapsed="false">
      <c r="A1681" s="1" t="s">
        <v>3327</v>
      </c>
      <c r="B1681" s="2" t="s">
        <v>3328</v>
      </c>
      <c r="C1681" s="6" t="n">
        <v>43298</v>
      </c>
      <c r="D1681" s="3" t="n">
        <v>20</v>
      </c>
      <c r="E1681" s="3" t="n">
        <v>8</v>
      </c>
      <c r="F1681" s="7" t="n">
        <f aca="false">IFERROR(Tableau1[[#This Row],[Score]]/Tableau1[[#This Row],[Nb]],0)</f>
        <v>0.4</v>
      </c>
    </row>
    <row r="1682" customFormat="false" ht="30" hidden="false" customHeight="true" outlineLevel="0" collapsed="false">
      <c r="A1682" s="1" t="s">
        <v>3329</v>
      </c>
      <c r="B1682" s="2" t="s">
        <v>3330</v>
      </c>
      <c r="C1682" s="6" t="n">
        <v>43298</v>
      </c>
      <c r="D1682" s="3" t="n">
        <v>8</v>
      </c>
      <c r="E1682" s="3" t="n">
        <v>4</v>
      </c>
      <c r="F1682" s="7" t="n">
        <f aca="false">IFERROR(Tableau1[[#This Row],[Score]]/Tableau1[[#This Row],[Nb]],0)</f>
        <v>0.5</v>
      </c>
    </row>
    <row r="1683" customFormat="false" ht="30" hidden="false" customHeight="true" outlineLevel="0" collapsed="false">
      <c r="A1683" s="1" t="s">
        <v>3331</v>
      </c>
      <c r="B1683" s="2" t="s">
        <v>3332</v>
      </c>
      <c r="C1683" s="6" t="n">
        <v>43298</v>
      </c>
      <c r="D1683" s="3" t="n">
        <v>13</v>
      </c>
      <c r="E1683" s="3" t="n">
        <v>7</v>
      </c>
      <c r="F1683" s="7" t="n">
        <f aca="false">IFERROR(Tableau1[[#This Row],[Score]]/Tableau1[[#This Row],[Nb]],0)</f>
        <v>0.538461538461538</v>
      </c>
    </row>
    <row r="1684" customFormat="false" ht="30" hidden="false" customHeight="true" outlineLevel="0" collapsed="false">
      <c r="A1684" s="1" t="s">
        <v>3333</v>
      </c>
      <c r="B1684" s="2" t="s">
        <v>3334</v>
      </c>
      <c r="C1684" s="6" t="n">
        <v>43298</v>
      </c>
      <c r="D1684" s="3" t="n">
        <v>8</v>
      </c>
      <c r="E1684" s="3" t="n">
        <v>6</v>
      </c>
      <c r="F1684" s="7" t="n">
        <f aca="false">IFERROR(Tableau1[[#This Row],[Score]]/Tableau1[[#This Row],[Nb]],0)</f>
        <v>0.75</v>
      </c>
    </row>
    <row r="1685" customFormat="false" ht="30" hidden="false" customHeight="true" outlineLevel="0" collapsed="false">
      <c r="A1685" s="1" t="s">
        <v>3335</v>
      </c>
      <c r="B1685" s="2" t="s">
        <v>3336</v>
      </c>
      <c r="C1685" s="6" t="n">
        <v>43298</v>
      </c>
      <c r="D1685" s="3" t="n">
        <v>9</v>
      </c>
      <c r="E1685" s="3" t="n">
        <v>7</v>
      </c>
      <c r="F1685" s="7" t="n">
        <f aca="false">IFERROR(Tableau1[[#This Row],[Score]]/Tableau1[[#This Row],[Nb]],0)</f>
        <v>0.777777777777778</v>
      </c>
    </row>
    <row r="1686" customFormat="false" ht="30" hidden="false" customHeight="true" outlineLevel="0" collapsed="false">
      <c r="A1686" s="1" t="s">
        <v>3337</v>
      </c>
      <c r="B1686" s="2" t="s">
        <v>3338</v>
      </c>
      <c r="C1686" s="6" t="n">
        <v>43298</v>
      </c>
      <c r="D1686" s="3" t="n">
        <v>10</v>
      </c>
      <c r="E1686" s="3" t="n">
        <v>8</v>
      </c>
      <c r="F1686" s="7" t="n">
        <f aca="false">IFERROR(Tableau1[[#This Row],[Score]]/Tableau1[[#This Row],[Nb]],0)</f>
        <v>0.8</v>
      </c>
    </row>
    <row r="1687" customFormat="false" ht="30" hidden="false" customHeight="true" outlineLevel="0" collapsed="false">
      <c r="A1687" s="8" t="s">
        <v>3339</v>
      </c>
      <c r="B1687" s="9" t="s">
        <v>3340</v>
      </c>
      <c r="C1687" s="6" t="n">
        <v>43298</v>
      </c>
      <c r="D1687" s="3" t="n">
        <v>10</v>
      </c>
      <c r="E1687" s="3" t="n">
        <v>10</v>
      </c>
      <c r="F1687" s="7" t="n">
        <f aca="false">IFERROR(Tableau1[[#This Row],[Score]]/Tableau1[[#This Row],[Nb]],0)</f>
        <v>1</v>
      </c>
    </row>
    <row r="1688" customFormat="false" ht="30" hidden="false" customHeight="true" outlineLevel="0" collapsed="false">
      <c r="A1688" s="1" t="s">
        <v>3341</v>
      </c>
      <c r="B1688" s="2" t="s">
        <v>3342</v>
      </c>
      <c r="C1688" s="6" t="n">
        <v>43298</v>
      </c>
      <c r="D1688" s="3" t="n">
        <v>7</v>
      </c>
      <c r="E1688" s="3" t="n">
        <v>7</v>
      </c>
      <c r="F1688" s="7" t="n">
        <f aca="false">IFERROR(Tableau1[[#This Row],[Score]]/Tableau1[[#This Row],[Nb]],0)</f>
        <v>1</v>
      </c>
    </row>
    <row r="1689" customFormat="false" ht="30" hidden="false" customHeight="true" outlineLevel="0" collapsed="false">
      <c r="A1689" s="1" t="s">
        <v>3343</v>
      </c>
      <c r="B1689" s="2" t="s">
        <v>3344</v>
      </c>
      <c r="C1689" s="6" t="n">
        <v>43311</v>
      </c>
      <c r="D1689" s="3" t="n">
        <v>7</v>
      </c>
      <c r="E1689" s="3" t="n">
        <v>-7</v>
      </c>
      <c r="F1689" s="7" t="n">
        <f aca="false">IFERROR(Tableau1[[#This Row],[Score]]/Tableau1[[#This Row],[Nb]],0)</f>
        <v>-1</v>
      </c>
    </row>
    <row r="1690" customFormat="false" ht="30" hidden="false" customHeight="true" outlineLevel="0" collapsed="false">
      <c r="A1690" s="1" t="s">
        <v>3345</v>
      </c>
      <c r="B1690" s="2" t="s">
        <v>3346</v>
      </c>
      <c r="C1690" s="6" t="n">
        <v>43311</v>
      </c>
      <c r="D1690" s="3" t="n">
        <v>6</v>
      </c>
      <c r="E1690" s="3" t="n">
        <v>-4</v>
      </c>
      <c r="F1690" s="7" t="n">
        <f aca="false">IFERROR(Tableau1[[#This Row],[Score]]/Tableau1[[#This Row],[Nb]],0)</f>
        <v>-0.666666666666667</v>
      </c>
    </row>
    <row r="1691" customFormat="false" ht="30" hidden="false" customHeight="true" outlineLevel="0" collapsed="false">
      <c r="A1691" s="1" t="s">
        <v>3347</v>
      </c>
      <c r="B1691" s="2" t="s">
        <v>3348</v>
      </c>
      <c r="C1691" s="6" t="n">
        <v>43311</v>
      </c>
      <c r="D1691" s="3" t="n">
        <v>10</v>
      </c>
      <c r="E1691" s="3" t="n">
        <v>-6</v>
      </c>
      <c r="F1691" s="7" t="n">
        <f aca="false">IFERROR(Tableau1[[#This Row],[Score]]/Tableau1[[#This Row],[Nb]],0)</f>
        <v>-0.6</v>
      </c>
    </row>
    <row r="1692" customFormat="false" ht="30" hidden="false" customHeight="true" outlineLevel="0" collapsed="false">
      <c r="A1692" s="1" t="s">
        <v>3349</v>
      </c>
      <c r="B1692" s="2" t="s">
        <v>3350</v>
      </c>
      <c r="C1692" s="6" t="n">
        <v>43311</v>
      </c>
      <c r="D1692" s="3" t="n">
        <v>15</v>
      </c>
      <c r="E1692" s="3" t="n">
        <v>-7</v>
      </c>
      <c r="F1692" s="7" t="n">
        <f aca="false">IFERROR(Tableau1[[#This Row],[Score]]/Tableau1[[#This Row],[Nb]],0)</f>
        <v>-0.466666666666667</v>
      </c>
    </row>
    <row r="1693" customFormat="false" ht="30" hidden="false" customHeight="true" outlineLevel="0" collapsed="false">
      <c r="A1693" s="1" t="s">
        <v>3351</v>
      </c>
      <c r="B1693" s="2" t="s">
        <v>3352</v>
      </c>
      <c r="C1693" s="6" t="n">
        <v>43311</v>
      </c>
      <c r="D1693" s="3" t="n">
        <v>10</v>
      </c>
      <c r="E1693" s="3" t="n">
        <v>1</v>
      </c>
      <c r="F1693" s="7" t="n">
        <f aca="false">IFERROR(Tableau1[[#This Row],[Score]]/Tableau1[[#This Row],[Nb]],0)</f>
        <v>0.1</v>
      </c>
    </row>
    <row r="1694" customFormat="false" ht="30" hidden="false" customHeight="true" outlineLevel="0" collapsed="false">
      <c r="A1694" s="1" t="s">
        <v>3353</v>
      </c>
      <c r="B1694" s="2" t="s">
        <v>3354</v>
      </c>
      <c r="C1694" s="6" t="n">
        <v>43311</v>
      </c>
      <c r="D1694" s="3" t="n">
        <v>12</v>
      </c>
      <c r="E1694" s="3" t="n">
        <v>4</v>
      </c>
      <c r="F1694" s="7" t="n">
        <f aca="false">IFERROR(Tableau1[[#This Row],[Score]]/Tableau1[[#This Row],[Nb]],0)</f>
        <v>0.333333333333333</v>
      </c>
    </row>
    <row r="1695" customFormat="false" ht="30" hidden="false" customHeight="true" outlineLevel="0" collapsed="false">
      <c r="A1695" s="1" t="s">
        <v>3355</v>
      </c>
      <c r="B1695" s="2" t="s">
        <v>3356</v>
      </c>
      <c r="C1695" s="6" t="n">
        <v>43311</v>
      </c>
      <c r="D1695" s="3" t="n">
        <v>14</v>
      </c>
      <c r="E1695" s="3" t="n">
        <v>12</v>
      </c>
      <c r="F1695" s="7" t="n">
        <f aca="false">IFERROR(Tableau1[[#This Row],[Score]]/Tableau1[[#This Row],[Nb]],0)</f>
        <v>0.857142857142857</v>
      </c>
    </row>
    <row r="1696" customFormat="false" ht="30" hidden="false" customHeight="true" outlineLevel="0" collapsed="false">
      <c r="A1696" s="1" t="s">
        <v>3357</v>
      </c>
      <c r="B1696" s="2" t="s">
        <v>3358</v>
      </c>
      <c r="C1696" s="6" t="n">
        <v>43311</v>
      </c>
      <c r="D1696" s="3" t="n">
        <v>7</v>
      </c>
      <c r="E1696" s="3" t="n">
        <v>6</v>
      </c>
      <c r="F1696" s="7" t="n">
        <f aca="false">IFERROR(Tableau1[[#This Row],[Score]]/Tableau1[[#This Row],[Nb]],0)</f>
        <v>0.857142857142857</v>
      </c>
    </row>
    <row r="1697" customFormat="false" ht="30" hidden="false" customHeight="true" outlineLevel="0" collapsed="false">
      <c r="A1697" s="1" t="s">
        <v>3359</v>
      </c>
      <c r="B1697" s="2" t="s">
        <v>3354</v>
      </c>
      <c r="C1697" s="6" t="n">
        <v>43311</v>
      </c>
      <c r="D1697" s="3" t="n">
        <v>8</v>
      </c>
      <c r="E1697" s="3" t="n">
        <v>8</v>
      </c>
      <c r="F1697" s="7" t="n">
        <f aca="false">IFERROR(Tableau1[[#This Row],[Score]]/Tableau1[[#This Row],[Nb]],0)</f>
        <v>1</v>
      </c>
    </row>
    <row r="1698" customFormat="false" ht="30" hidden="false" customHeight="true" outlineLevel="0" collapsed="false">
      <c r="A1698" s="1" t="s">
        <v>3360</v>
      </c>
      <c r="B1698" s="2" t="s">
        <v>3358</v>
      </c>
      <c r="C1698" s="6" t="n">
        <v>43311</v>
      </c>
      <c r="D1698" s="3" t="n">
        <v>8</v>
      </c>
      <c r="E1698" s="3" t="n">
        <v>8</v>
      </c>
      <c r="F1698" s="7" t="n">
        <f aca="false">IFERROR(Tableau1[[#This Row],[Score]]/Tableau1[[#This Row],[Nb]],0)</f>
        <v>1</v>
      </c>
    </row>
    <row r="1699" customFormat="false" ht="30" hidden="false" customHeight="true" outlineLevel="0" collapsed="false">
      <c r="A1699" s="1" t="s">
        <v>3361</v>
      </c>
      <c r="B1699" s="2" t="s">
        <v>3362</v>
      </c>
      <c r="C1699" s="6" t="n">
        <v>43313</v>
      </c>
      <c r="D1699" s="3" t="n">
        <v>12</v>
      </c>
      <c r="E1699" s="3" t="n">
        <v>6</v>
      </c>
      <c r="F1699" s="7" t="n">
        <f aca="false">IFERROR(Tableau1[[#This Row],[Score]]/Tableau1[[#This Row],[Nb]],0)</f>
        <v>0.5</v>
      </c>
    </row>
    <row r="1700" customFormat="false" ht="30" hidden="false" customHeight="true" outlineLevel="0" collapsed="false">
      <c r="A1700" s="1" t="s">
        <v>3363</v>
      </c>
      <c r="B1700" s="2" t="s">
        <v>3364</v>
      </c>
      <c r="C1700" s="6" t="n">
        <v>43314</v>
      </c>
      <c r="D1700" s="3" t="n">
        <v>8</v>
      </c>
      <c r="E1700" s="3" t="n">
        <v>5</v>
      </c>
      <c r="F1700" s="7" t="n">
        <f aca="false">IFERROR(Tableau1[[#This Row],[Score]]/Tableau1[[#This Row],[Nb]],0)</f>
        <v>0.625</v>
      </c>
    </row>
    <row r="1701" customFormat="false" ht="30" hidden="false" customHeight="true" outlineLevel="0" collapsed="false">
      <c r="A1701" s="1" t="s">
        <v>3365</v>
      </c>
      <c r="B1701" s="2" t="s">
        <v>3366</v>
      </c>
      <c r="C1701" s="6" t="n">
        <v>43325</v>
      </c>
      <c r="D1701" s="3" t="n">
        <v>8</v>
      </c>
      <c r="E1701" s="3" t="n">
        <v>-8</v>
      </c>
      <c r="F1701" s="7" t="n">
        <f aca="false">IFERROR(Tableau1[[#This Row],[Score]]/Tableau1[[#This Row],[Nb]],0)</f>
        <v>-1</v>
      </c>
    </row>
    <row r="1702" customFormat="false" ht="30" hidden="false" customHeight="true" outlineLevel="0" collapsed="false">
      <c r="A1702" s="1" t="s">
        <v>3367</v>
      </c>
      <c r="B1702" s="2" t="s">
        <v>3368</v>
      </c>
      <c r="C1702" s="6" t="n">
        <v>43325</v>
      </c>
      <c r="D1702" s="3" t="n">
        <v>6</v>
      </c>
      <c r="E1702" s="3" t="n">
        <v>-6</v>
      </c>
      <c r="F1702" s="7" t="n">
        <f aca="false">IFERROR(Tableau1[[#This Row],[Score]]/Tableau1[[#This Row],[Nb]],0)</f>
        <v>-1</v>
      </c>
    </row>
    <row r="1703" customFormat="false" ht="30" hidden="false" customHeight="true" outlineLevel="0" collapsed="false">
      <c r="A1703" s="1" t="s">
        <v>3369</v>
      </c>
      <c r="B1703" s="2" t="s">
        <v>3370</v>
      </c>
      <c r="C1703" s="6" t="n">
        <v>43335</v>
      </c>
      <c r="D1703" s="3" t="n">
        <v>14</v>
      </c>
      <c r="E1703" s="3" t="n">
        <v>-8</v>
      </c>
      <c r="F1703" s="7" t="n">
        <f aca="false">IFERROR(Tableau1[[#This Row],[Score]]/Tableau1[[#This Row],[Nb]],0)</f>
        <v>-0.571428571428571</v>
      </c>
    </row>
    <row r="1704" customFormat="false" ht="30" hidden="false" customHeight="true" outlineLevel="0" collapsed="false">
      <c r="A1704" s="1" t="s">
        <v>3371</v>
      </c>
      <c r="B1704" s="2" t="s">
        <v>3372</v>
      </c>
      <c r="C1704" s="6" t="n">
        <v>43335</v>
      </c>
      <c r="D1704" s="3" t="n">
        <v>11</v>
      </c>
      <c r="E1704" s="3" t="n">
        <v>3</v>
      </c>
      <c r="F1704" s="7" t="n">
        <f aca="false">IFERROR(Tableau1[[#This Row],[Score]]/Tableau1[[#This Row],[Nb]],0)</f>
        <v>0.272727272727273</v>
      </c>
    </row>
    <row r="1705" customFormat="false" ht="30" hidden="false" customHeight="true" outlineLevel="0" collapsed="false">
      <c r="A1705" s="1" t="s">
        <v>3373</v>
      </c>
      <c r="B1705" s="2" t="s">
        <v>3374</v>
      </c>
      <c r="C1705" s="6" t="n">
        <v>43335</v>
      </c>
      <c r="D1705" s="3" t="n">
        <v>11</v>
      </c>
      <c r="E1705" s="3" t="n">
        <v>10</v>
      </c>
      <c r="F1705" s="7" t="n">
        <f aca="false">IFERROR(Tableau1[[#This Row],[Score]]/Tableau1[[#This Row],[Nb]],0)</f>
        <v>0.909090909090909</v>
      </c>
    </row>
    <row r="1706" customFormat="false" ht="30" hidden="false" customHeight="true" outlineLevel="0" collapsed="false">
      <c r="A1706" s="1" t="s">
        <v>3375</v>
      </c>
      <c r="B1706" s="2" t="s">
        <v>3376</v>
      </c>
      <c r="C1706" s="6" t="n">
        <v>43335</v>
      </c>
      <c r="D1706" s="3" t="n">
        <v>7</v>
      </c>
      <c r="E1706" s="3" t="n">
        <v>7</v>
      </c>
      <c r="F1706" s="7" t="n">
        <f aca="false">IFERROR(Tableau1[[#This Row],[Score]]/Tableau1[[#This Row],[Nb]],0)</f>
        <v>1</v>
      </c>
    </row>
    <row r="1707" customFormat="false" ht="30" hidden="false" customHeight="true" outlineLevel="0" collapsed="false">
      <c r="A1707" s="1" t="s">
        <v>3377</v>
      </c>
      <c r="B1707" s="2" t="s">
        <v>3378</v>
      </c>
      <c r="C1707" s="6" t="n">
        <v>43336</v>
      </c>
      <c r="D1707" s="3" t="n">
        <v>12</v>
      </c>
      <c r="E1707" s="3" t="n">
        <v>-10</v>
      </c>
      <c r="F1707" s="7" t="n">
        <f aca="false">IFERROR(Tableau1[[#This Row],[Score]]/Tableau1[[#This Row],[Nb]],0)</f>
        <v>-0.833333333333333</v>
      </c>
    </row>
    <row r="1708" customFormat="false" ht="30" hidden="false" customHeight="true" outlineLevel="0" collapsed="false">
      <c r="A1708" s="1" t="s">
        <v>3379</v>
      </c>
      <c r="B1708" s="2" t="s">
        <v>3380</v>
      </c>
      <c r="C1708" s="6" t="n">
        <v>43336</v>
      </c>
      <c r="D1708" s="3" t="n">
        <v>7</v>
      </c>
      <c r="E1708" s="3" t="n">
        <v>-5</v>
      </c>
      <c r="F1708" s="7" t="n">
        <f aca="false">IFERROR(Tableau1[[#This Row],[Score]]/Tableau1[[#This Row],[Nb]],0)</f>
        <v>-0.714285714285714</v>
      </c>
    </row>
    <row r="1709" customFormat="false" ht="30" hidden="false" customHeight="true" outlineLevel="0" collapsed="false">
      <c r="A1709" s="1" t="s">
        <v>3381</v>
      </c>
      <c r="B1709" s="2" t="s">
        <v>3382</v>
      </c>
      <c r="C1709" s="6" t="n">
        <v>43336</v>
      </c>
      <c r="D1709" s="3" t="n">
        <v>13</v>
      </c>
      <c r="E1709" s="3" t="n">
        <v>-7</v>
      </c>
      <c r="F1709" s="7" t="n">
        <f aca="false">IFERROR(Tableau1[[#This Row],[Score]]/Tableau1[[#This Row],[Nb]],0)</f>
        <v>-0.538461538461538</v>
      </c>
    </row>
    <row r="1710" customFormat="false" ht="30" hidden="false" customHeight="true" outlineLevel="0" collapsed="false">
      <c r="A1710" s="1" t="s">
        <v>3383</v>
      </c>
      <c r="B1710" s="2" t="s">
        <v>3384</v>
      </c>
      <c r="C1710" s="6" t="n">
        <v>43336</v>
      </c>
      <c r="D1710" s="3" t="n">
        <v>11</v>
      </c>
      <c r="E1710" s="3" t="n">
        <v>0</v>
      </c>
      <c r="F1710" s="7" t="n">
        <f aca="false">IFERROR(Tableau1[[#This Row],[Score]]/Tableau1[[#This Row],[Nb]],0)</f>
        <v>0</v>
      </c>
    </row>
    <row r="1711" customFormat="false" ht="30" hidden="false" customHeight="true" outlineLevel="0" collapsed="false">
      <c r="A1711" s="1" t="s">
        <v>3385</v>
      </c>
      <c r="B1711" s="2" t="s">
        <v>3386</v>
      </c>
      <c r="C1711" s="6" t="n">
        <v>43341</v>
      </c>
      <c r="D1711" s="3" t="n">
        <v>10</v>
      </c>
      <c r="E1711" s="3" t="n">
        <v>-10</v>
      </c>
      <c r="F1711" s="7" t="n">
        <f aca="false">IFERROR(Tableau1[[#This Row],[Score]]/Tableau1[[#This Row],[Nb]],0)</f>
        <v>-1</v>
      </c>
    </row>
    <row r="1712" customFormat="false" ht="30" hidden="false" customHeight="true" outlineLevel="0" collapsed="false">
      <c r="A1712" s="1" t="s">
        <v>3387</v>
      </c>
      <c r="B1712" s="2" t="s">
        <v>3388</v>
      </c>
      <c r="C1712" s="6" t="n">
        <v>43341</v>
      </c>
      <c r="D1712" s="3" t="n">
        <v>13</v>
      </c>
      <c r="E1712" s="3" t="n">
        <v>7</v>
      </c>
      <c r="F1712" s="7" t="n">
        <f aca="false">IFERROR(Tableau1[[#This Row],[Score]]/Tableau1[[#This Row],[Nb]],0)</f>
        <v>0.538461538461538</v>
      </c>
    </row>
    <row r="1713" customFormat="false" ht="30" hidden="false" customHeight="true" outlineLevel="0" collapsed="false">
      <c r="A1713" s="1" t="s">
        <v>3389</v>
      </c>
      <c r="B1713" s="2" t="s">
        <v>3390</v>
      </c>
      <c r="C1713" s="6" t="n">
        <v>43347</v>
      </c>
      <c r="D1713" s="3" t="n">
        <v>5</v>
      </c>
      <c r="E1713" s="3" t="n">
        <v>-5</v>
      </c>
      <c r="F1713" s="7" t="n">
        <f aca="false">IFERROR(Tableau1[[#This Row],[Score]]/Tableau1[[#This Row],[Nb]],0)</f>
        <v>-1</v>
      </c>
    </row>
    <row r="1714" customFormat="false" ht="30" hidden="false" customHeight="true" outlineLevel="0" collapsed="false">
      <c r="A1714" s="1" t="s">
        <v>3391</v>
      </c>
      <c r="B1714" s="2" t="s">
        <v>3392</v>
      </c>
      <c r="C1714" s="6" t="n">
        <v>43358</v>
      </c>
      <c r="D1714" s="3" t="n">
        <v>12</v>
      </c>
      <c r="E1714" s="3" t="n">
        <v>4</v>
      </c>
      <c r="F1714" s="7" t="n">
        <f aca="false">IFERROR(Tableau1[[#This Row],[Score]]/Tableau1[[#This Row],[Nb]],0)</f>
        <v>0.333333333333333</v>
      </c>
    </row>
    <row r="1715" customFormat="false" ht="30" hidden="false" customHeight="true" outlineLevel="0" collapsed="false">
      <c r="A1715" s="1" t="s">
        <v>3393</v>
      </c>
      <c r="B1715" s="2" t="s">
        <v>3394</v>
      </c>
      <c r="C1715" s="6" t="n">
        <v>43370</v>
      </c>
      <c r="D1715" s="3" t="n">
        <v>15</v>
      </c>
      <c r="E1715" s="3" t="n">
        <v>-7</v>
      </c>
      <c r="F1715" s="7" t="n">
        <f aca="false">IFERROR(Tableau1[[#This Row],[Score]]/Tableau1[[#This Row],[Nb]],0)</f>
        <v>-0.466666666666667</v>
      </c>
    </row>
    <row r="1716" customFormat="false" ht="30" hidden="false" customHeight="true" outlineLevel="0" collapsed="false">
      <c r="A1716" s="1" t="s">
        <v>3395</v>
      </c>
      <c r="B1716" s="2" t="s">
        <v>3396</v>
      </c>
      <c r="C1716" s="6" t="n">
        <v>43370</v>
      </c>
      <c r="D1716" s="3" t="n">
        <v>13</v>
      </c>
      <c r="E1716" s="3" t="n">
        <v>9</v>
      </c>
      <c r="F1716" s="7" t="n">
        <f aca="false">IFERROR(Tableau1[[#This Row],[Score]]/Tableau1[[#This Row],[Nb]],0)</f>
        <v>0.692307692307692</v>
      </c>
    </row>
    <row r="1717" customFormat="false" ht="30" hidden="false" customHeight="true" outlineLevel="0" collapsed="false">
      <c r="A1717" s="1" t="s">
        <v>3397</v>
      </c>
      <c r="B1717" s="2" t="s">
        <v>3398</v>
      </c>
      <c r="C1717" s="6" t="n">
        <v>43372</v>
      </c>
      <c r="D1717" s="3" t="n">
        <v>10</v>
      </c>
      <c r="E1717" s="3" t="n">
        <v>-6</v>
      </c>
      <c r="F1717" s="7" t="n">
        <f aca="false">IFERROR(Tableau1[[#This Row],[Score]]/Tableau1[[#This Row],[Nb]],0)</f>
        <v>-0.6</v>
      </c>
    </row>
    <row r="1718" customFormat="false" ht="30" hidden="false" customHeight="true" outlineLevel="0" collapsed="false">
      <c r="A1718" s="1" t="s">
        <v>3399</v>
      </c>
      <c r="B1718" s="2" t="s">
        <v>3400</v>
      </c>
      <c r="C1718" s="6" t="n">
        <v>43372</v>
      </c>
      <c r="D1718" s="3" t="n">
        <v>13</v>
      </c>
      <c r="E1718" s="3" t="n">
        <v>-5</v>
      </c>
      <c r="F1718" s="7" t="n">
        <f aca="false">IFERROR(Tableau1[[#This Row],[Score]]/Tableau1[[#This Row],[Nb]],0)</f>
        <v>-0.384615384615385</v>
      </c>
    </row>
    <row r="1719" customFormat="false" ht="30" hidden="false" customHeight="true" outlineLevel="0" collapsed="false">
      <c r="A1719" s="1" t="s">
        <v>3401</v>
      </c>
      <c r="B1719" s="2" t="s">
        <v>3402</v>
      </c>
      <c r="C1719" s="6" t="n">
        <v>43372</v>
      </c>
      <c r="D1719" s="3" t="n">
        <v>6</v>
      </c>
      <c r="E1719" s="3" t="n">
        <v>0</v>
      </c>
      <c r="F1719" s="7" t="n">
        <f aca="false">IFERROR(Tableau1[[#This Row],[Score]]/Tableau1[[#This Row],[Nb]],0)</f>
        <v>0</v>
      </c>
    </row>
    <row r="1720" customFormat="false" ht="30" hidden="false" customHeight="true" outlineLevel="0" collapsed="false">
      <c r="A1720" s="1" t="s">
        <v>3403</v>
      </c>
      <c r="B1720" s="2" t="s">
        <v>3404</v>
      </c>
      <c r="C1720" s="6" t="n">
        <v>43372</v>
      </c>
      <c r="D1720" s="3" t="n">
        <v>10</v>
      </c>
      <c r="E1720" s="3" t="n">
        <v>2</v>
      </c>
      <c r="F1720" s="7" t="n">
        <f aca="false">IFERROR(Tableau1[[#This Row],[Score]]/Tableau1[[#This Row],[Nb]],0)</f>
        <v>0.2</v>
      </c>
    </row>
    <row r="1721" customFormat="false" ht="30" hidden="false" customHeight="true" outlineLevel="0" collapsed="false">
      <c r="A1721" s="1" t="s">
        <v>3405</v>
      </c>
      <c r="B1721" s="2" t="s">
        <v>3406</v>
      </c>
      <c r="C1721" s="6" t="n">
        <v>43372</v>
      </c>
      <c r="D1721" s="3" t="n">
        <v>9</v>
      </c>
      <c r="E1721" s="3" t="n">
        <v>5</v>
      </c>
      <c r="F1721" s="7" t="n">
        <f aca="false">IFERROR(Tableau1[[#This Row],[Score]]/Tableau1[[#This Row],[Nb]],0)</f>
        <v>0.555555555555556</v>
      </c>
    </row>
    <row r="1722" customFormat="false" ht="30" hidden="false" customHeight="true" outlineLevel="0" collapsed="false">
      <c r="A1722" s="1" t="s">
        <v>3407</v>
      </c>
      <c r="B1722" s="2" t="s">
        <v>3408</v>
      </c>
      <c r="C1722" s="6" t="n">
        <v>43372</v>
      </c>
      <c r="D1722" s="3" t="n">
        <v>6</v>
      </c>
      <c r="E1722" s="3" t="n">
        <v>6</v>
      </c>
      <c r="F1722" s="7" t="n">
        <f aca="false">IFERROR(Tableau1[[#This Row],[Score]]/Tableau1[[#This Row],[Nb]],0)</f>
        <v>1</v>
      </c>
    </row>
    <row r="1723" customFormat="false" ht="30" hidden="false" customHeight="true" outlineLevel="0" collapsed="false">
      <c r="A1723" s="1" t="s">
        <v>2930</v>
      </c>
      <c r="B1723" s="2" t="s">
        <v>3409</v>
      </c>
      <c r="C1723" s="6" t="n">
        <v>43375</v>
      </c>
      <c r="D1723" s="3" t="n">
        <v>9</v>
      </c>
      <c r="E1723" s="3" t="n">
        <v>-3</v>
      </c>
      <c r="F1723" s="7" t="n">
        <f aca="false">IFERROR(Tableau1[[#This Row],[Score]]/Tableau1[[#This Row],[Nb]],0)</f>
        <v>-0.333333333333333</v>
      </c>
    </row>
    <row r="1724" customFormat="false" ht="30" hidden="false" customHeight="true" outlineLevel="0" collapsed="false">
      <c r="A1724" s="1" t="s">
        <v>3410</v>
      </c>
      <c r="B1724" s="2" t="s">
        <v>3411</v>
      </c>
      <c r="C1724" s="6" t="n">
        <v>43375</v>
      </c>
      <c r="D1724" s="3" t="n">
        <v>8</v>
      </c>
      <c r="E1724" s="3" t="n">
        <v>2</v>
      </c>
      <c r="F1724" s="7" t="n">
        <f aca="false">IFERROR(Tableau1[[#This Row],[Score]]/Tableau1[[#This Row],[Nb]],0)</f>
        <v>0.25</v>
      </c>
    </row>
    <row r="1725" customFormat="false" ht="30" hidden="false" customHeight="true" outlineLevel="0" collapsed="false">
      <c r="A1725" s="1" t="s">
        <v>3412</v>
      </c>
      <c r="B1725" s="2" t="s">
        <v>3413</v>
      </c>
      <c r="C1725" s="6" t="n">
        <v>43377</v>
      </c>
      <c r="D1725" s="3" t="n">
        <v>19</v>
      </c>
      <c r="E1725" s="3" t="n">
        <v>7</v>
      </c>
      <c r="F1725" s="7" t="n">
        <f aca="false">IFERROR(Tableau1[[#This Row],[Score]]/Tableau1[[#This Row],[Nb]],0)</f>
        <v>0.368421052631579</v>
      </c>
    </row>
    <row r="1726" customFormat="false" ht="30" hidden="false" customHeight="true" outlineLevel="0" collapsed="false">
      <c r="A1726" s="1" t="s">
        <v>3414</v>
      </c>
      <c r="B1726" s="2" t="s">
        <v>3415</v>
      </c>
      <c r="C1726" s="6" t="n">
        <v>43377</v>
      </c>
      <c r="D1726" s="3" t="n">
        <v>14</v>
      </c>
      <c r="E1726" s="3" t="n">
        <v>-14</v>
      </c>
      <c r="F1726" s="7" t="n">
        <f aca="false">IFERROR(Tableau1[[#This Row],[Score]]/Tableau1[[#This Row],[Nb]],0)</f>
        <v>-1</v>
      </c>
    </row>
    <row r="1727" customFormat="false" ht="30" hidden="false" customHeight="true" outlineLevel="0" collapsed="false">
      <c r="A1727" s="1" t="s">
        <v>3416</v>
      </c>
      <c r="B1727" s="2" t="s">
        <v>3417</v>
      </c>
      <c r="C1727" s="6" t="n">
        <v>43377</v>
      </c>
      <c r="D1727" s="3" t="n">
        <v>11</v>
      </c>
      <c r="E1727" s="3" t="n">
        <v>-9</v>
      </c>
      <c r="F1727" s="7" t="n">
        <f aca="false">IFERROR(Tableau1[[#This Row],[Score]]/Tableau1[[#This Row],[Nb]],0)</f>
        <v>-0.818181818181818</v>
      </c>
    </row>
    <row r="1728" customFormat="false" ht="30" hidden="false" customHeight="true" outlineLevel="0" collapsed="false">
      <c r="A1728" s="1" t="s">
        <v>3418</v>
      </c>
      <c r="B1728" s="2" t="s">
        <v>3419</v>
      </c>
      <c r="C1728" s="6" t="n">
        <v>43377</v>
      </c>
      <c r="D1728" s="3" t="n">
        <v>12</v>
      </c>
      <c r="E1728" s="3" t="n">
        <v>-8</v>
      </c>
      <c r="F1728" s="7" t="n">
        <f aca="false">IFERROR(Tableau1[[#This Row],[Score]]/Tableau1[[#This Row],[Nb]],0)</f>
        <v>-0.666666666666667</v>
      </c>
    </row>
    <row r="1729" customFormat="false" ht="30" hidden="false" customHeight="true" outlineLevel="0" collapsed="false">
      <c r="A1729" s="1" t="s">
        <v>3420</v>
      </c>
      <c r="B1729" s="2" t="s">
        <v>3421</v>
      </c>
      <c r="C1729" s="6" t="n">
        <v>43377</v>
      </c>
      <c r="D1729" s="3" t="n">
        <v>6</v>
      </c>
      <c r="E1729" s="3" t="n">
        <v>-2</v>
      </c>
      <c r="F1729" s="7" t="n">
        <f aca="false">IFERROR(Tableau1[[#This Row],[Score]]/Tableau1[[#This Row],[Nb]],0)</f>
        <v>-0.333333333333333</v>
      </c>
    </row>
    <row r="1730" customFormat="false" ht="30" hidden="false" customHeight="true" outlineLevel="0" collapsed="false">
      <c r="A1730" s="1" t="s">
        <v>3422</v>
      </c>
      <c r="B1730" s="2" t="s">
        <v>3423</v>
      </c>
      <c r="C1730" s="6" t="n">
        <v>43377</v>
      </c>
      <c r="D1730" s="3" t="n">
        <v>10</v>
      </c>
      <c r="E1730" s="3" t="n">
        <v>-2</v>
      </c>
      <c r="F1730" s="7" t="n">
        <f aca="false">IFERROR(Tableau1[[#This Row],[Score]]/Tableau1[[#This Row],[Nb]],0)</f>
        <v>-0.2</v>
      </c>
    </row>
    <row r="1731" customFormat="false" ht="30" hidden="false" customHeight="true" outlineLevel="0" collapsed="false">
      <c r="A1731" s="1" t="s">
        <v>3424</v>
      </c>
      <c r="B1731" s="2" t="s">
        <v>3425</v>
      </c>
      <c r="C1731" s="6" t="n">
        <v>43377</v>
      </c>
      <c r="D1731" s="3" t="n">
        <v>11</v>
      </c>
      <c r="E1731" s="3" t="n">
        <v>-1</v>
      </c>
      <c r="F1731" s="7" t="n">
        <f aca="false">IFERROR(Tableau1[[#This Row],[Score]]/Tableau1[[#This Row],[Nb]],0)</f>
        <v>-0.0909090909090909</v>
      </c>
    </row>
    <row r="1732" customFormat="false" ht="30" hidden="false" customHeight="true" outlineLevel="0" collapsed="false">
      <c r="A1732" s="1" t="s">
        <v>3426</v>
      </c>
      <c r="B1732" s="2" t="s">
        <v>3427</v>
      </c>
      <c r="C1732" s="6" t="n">
        <v>43377</v>
      </c>
      <c r="D1732" s="3" t="n">
        <v>14</v>
      </c>
      <c r="E1732" s="3" t="n">
        <v>2</v>
      </c>
      <c r="F1732" s="7" t="n">
        <f aca="false">IFERROR(Tableau1[[#This Row],[Score]]/Tableau1[[#This Row],[Nb]],0)</f>
        <v>0.142857142857143</v>
      </c>
    </row>
    <row r="1733" customFormat="false" ht="30" hidden="false" customHeight="true" outlineLevel="0" collapsed="false">
      <c r="A1733" s="1" t="s">
        <v>3428</v>
      </c>
      <c r="B1733" s="2" t="s">
        <v>3429</v>
      </c>
      <c r="C1733" s="6" t="n">
        <v>43377</v>
      </c>
      <c r="D1733" s="3" t="n">
        <v>9</v>
      </c>
      <c r="E1733" s="3" t="n">
        <v>3</v>
      </c>
      <c r="F1733" s="7" t="n">
        <f aca="false">IFERROR(Tableau1[[#This Row],[Score]]/Tableau1[[#This Row],[Nb]],0)</f>
        <v>0.333333333333333</v>
      </c>
    </row>
    <row r="1734" customFormat="false" ht="30" hidden="false" customHeight="true" outlineLevel="0" collapsed="false">
      <c r="A1734" s="1" t="s">
        <v>3430</v>
      </c>
      <c r="B1734" s="2" t="s">
        <v>3431</v>
      </c>
      <c r="C1734" s="6" t="n">
        <v>43377</v>
      </c>
      <c r="D1734" s="3" t="n">
        <v>6</v>
      </c>
      <c r="E1734" s="3" t="n">
        <v>2</v>
      </c>
      <c r="F1734" s="7" t="n">
        <f aca="false">IFERROR(Tableau1[[#This Row],[Score]]/Tableau1[[#This Row],[Nb]],0)</f>
        <v>0.333333333333333</v>
      </c>
    </row>
    <row r="1735" customFormat="false" ht="30" hidden="false" customHeight="true" outlineLevel="0" collapsed="false">
      <c r="A1735" s="1" t="s">
        <v>3432</v>
      </c>
      <c r="B1735" s="2" t="s">
        <v>3433</v>
      </c>
      <c r="C1735" s="6" t="n">
        <v>43377</v>
      </c>
      <c r="D1735" s="3" t="n">
        <v>9</v>
      </c>
      <c r="E1735" s="3" t="n">
        <v>3</v>
      </c>
      <c r="F1735" s="7" t="n">
        <f aca="false">IFERROR(Tableau1[[#This Row],[Score]]/Tableau1[[#This Row],[Nb]],0)</f>
        <v>0.333333333333333</v>
      </c>
    </row>
    <row r="1736" customFormat="false" ht="30" hidden="false" customHeight="true" outlineLevel="0" collapsed="false">
      <c r="A1736" s="1" t="s">
        <v>3434</v>
      </c>
      <c r="B1736" s="2" t="s">
        <v>3435</v>
      </c>
      <c r="C1736" s="6" t="n">
        <v>43377</v>
      </c>
      <c r="D1736" s="3" t="n">
        <v>19</v>
      </c>
      <c r="E1736" s="3" t="n">
        <v>13</v>
      </c>
      <c r="F1736" s="7" t="n">
        <f aca="false">IFERROR(Tableau1[[#This Row],[Score]]/Tableau1[[#This Row],[Nb]],0)</f>
        <v>0.68421052631579</v>
      </c>
    </row>
    <row r="1737" customFormat="false" ht="30" hidden="false" customHeight="true" outlineLevel="0" collapsed="false">
      <c r="A1737" s="1" t="s">
        <v>3436</v>
      </c>
      <c r="B1737" s="2" t="s">
        <v>3437</v>
      </c>
      <c r="C1737" s="6" t="n">
        <v>43377</v>
      </c>
      <c r="D1737" s="3" t="n">
        <v>13</v>
      </c>
      <c r="E1737" s="3" t="n">
        <v>7</v>
      </c>
      <c r="F1737" s="7" t="n">
        <f aca="false">IFERROR(Tableau1[[#This Row],[Score]]/Tableau1[[#This Row],[Nb]],0)</f>
        <v>0.538461538461538</v>
      </c>
    </row>
    <row r="1738" customFormat="false" ht="30" hidden="false" customHeight="true" outlineLevel="0" collapsed="false">
      <c r="A1738" s="1" t="s">
        <v>3438</v>
      </c>
      <c r="B1738" s="2" t="s">
        <v>3439</v>
      </c>
      <c r="C1738" s="6" t="n">
        <v>43377</v>
      </c>
      <c r="D1738" s="3" t="n">
        <v>10</v>
      </c>
      <c r="E1738" s="3" t="n">
        <v>6</v>
      </c>
      <c r="F1738" s="7" t="n">
        <f aca="false">IFERROR(Tableau1[[#This Row],[Score]]/Tableau1[[#This Row],[Nb]],0)</f>
        <v>0.6</v>
      </c>
    </row>
    <row r="1739" customFormat="false" ht="30" hidden="false" customHeight="true" outlineLevel="0" collapsed="false">
      <c r="A1739" s="1" t="s">
        <v>3440</v>
      </c>
      <c r="B1739" s="2" t="s">
        <v>3441</v>
      </c>
      <c r="C1739" s="6" t="n">
        <v>43377</v>
      </c>
      <c r="D1739" s="3" t="n">
        <v>8</v>
      </c>
      <c r="E1739" s="3" t="n">
        <v>8</v>
      </c>
      <c r="F1739" s="7" t="n">
        <f aca="false">IFERROR(Tableau1[[#This Row],[Score]]/Tableau1[[#This Row],[Nb]],0)</f>
        <v>1</v>
      </c>
    </row>
    <row r="1740" customFormat="false" ht="30" hidden="false" customHeight="true" outlineLevel="0" collapsed="false">
      <c r="A1740" s="1" t="s">
        <v>3442</v>
      </c>
      <c r="B1740" s="2" t="s">
        <v>3443</v>
      </c>
      <c r="C1740" s="6" t="n">
        <v>43377</v>
      </c>
      <c r="D1740" s="3" t="n">
        <v>8</v>
      </c>
      <c r="E1740" s="3" t="n">
        <v>8</v>
      </c>
      <c r="F1740" s="7" t="n">
        <f aca="false">IFERROR(Tableau1[[#This Row],[Score]]/Tableau1[[#This Row],[Nb]],0)</f>
        <v>1</v>
      </c>
    </row>
    <row r="1741" customFormat="false" ht="30" hidden="false" customHeight="true" outlineLevel="0" collapsed="false">
      <c r="A1741" s="1" t="s">
        <v>3444</v>
      </c>
      <c r="B1741" s="2" t="s">
        <v>3445</v>
      </c>
      <c r="C1741" s="6" t="n">
        <v>43396</v>
      </c>
      <c r="D1741" s="3" t="n">
        <v>7</v>
      </c>
      <c r="E1741" s="3" t="n">
        <v>5</v>
      </c>
      <c r="F1741" s="7" t="n">
        <f aca="false">IFERROR(Tableau1[[#This Row],[Score]]/Tableau1[[#This Row],[Nb]],0)</f>
        <v>0.714285714285714</v>
      </c>
    </row>
    <row r="1742" customFormat="false" ht="30" hidden="false" customHeight="true" outlineLevel="0" collapsed="false">
      <c r="A1742" s="1" t="s">
        <v>3446</v>
      </c>
      <c r="B1742" s="2" t="s">
        <v>3447</v>
      </c>
      <c r="C1742" s="6" t="n">
        <v>43401</v>
      </c>
      <c r="D1742" s="3" t="n">
        <v>8</v>
      </c>
      <c r="E1742" s="3" t="n">
        <v>-8</v>
      </c>
      <c r="F1742" s="7" t="n">
        <f aca="false">IFERROR(Tableau1[[#This Row],[Score]]/Tableau1[[#This Row],[Nb]],0)</f>
        <v>-1</v>
      </c>
    </row>
    <row r="1743" customFormat="false" ht="30" hidden="false" customHeight="true" outlineLevel="0" collapsed="false">
      <c r="A1743" s="1" t="s">
        <v>3448</v>
      </c>
      <c r="B1743" s="2" t="s">
        <v>3449</v>
      </c>
      <c r="C1743" s="6" t="n">
        <v>43401</v>
      </c>
      <c r="D1743" s="3" t="n">
        <v>10</v>
      </c>
      <c r="E1743" s="3" t="n">
        <v>-8</v>
      </c>
      <c r="F1743" s="7" t="n">
        <f aca="false">IFERROR(Tableau1[[#This Row],[Score]]/Tableau1[[#This Row],[Nb]],0)</f>
        <v>-0.8</v>
      </c>
    </row>
    <row r="1744" customFormat="false" ht="30" hidden="false" customHeight="true" outlineLevel="0" collapsed="false">
      <c r="A1744" s="1" t="s">
        <v>3450</v>
      </c>
      <c r="B1744" s="2" t="s">
        <v>3451</v>
      </c>
      <c r="C1744" s="6" t="n">
        <v>43401</v>
      </c>
      <c r="D1744" s="3" t="n">
        <v>14</v>
      </c>
      <c r="E1744" s="3" t="n">
        <v>-10</v>
      </c>
      <c r="F1744" s="7" t="n">
        <f aca="false">IFERROR(Tableau1[[#This Row],[Score]]/Tableau1[[#This Row],[Nb]],0)</f>
        <v>-0.714285714285714</v>
      </c>
    </row>
    <row r="1745" customFormat="false" ht="30" hidden="false" customHeight="true" outlineLevel="0" collapsed="false">
      <c r="A1745" s="1" t="s">
        <v>3452</v>
      </c>
      <c r="B1745" s="2" t="s">
        <v>3453</v>
      </c>
      <c r="C1745" s="6" t="n">
        <v>43401</v>
      </c>
      <c r="D1745" s="3" t="n">
        <v>13</v>
      </c>
      <c r="E1745" s="3" t="n">
        <v>5</v>
      </c>
      <c r="F1745" s="7" t="n">
        <f aca="false">IFERROR(Tableau1[[#This Row],[Score]]/Tableau1[[#This Row],[Nb]],0)</f>
        <v>0.384615384615385</v>
      </c>
    </row>
    <row r="1746" customFormat="false" ht="30" hidden="false" customHeight="true" outlineLevel="0" collapsed="false">
      <c r="A1746" s="1" t="s">
        <v>3454</v>
      </c>
      <c r="B1746" s="2" t="s">
        <v>3455</v>
      </c>
      <c r="C1746" s="6" t="n">
        <v>43401</v>
      </c>
      <c r="D1746" s="3" t="n">
        <v>10</v>
      </c>
      <c r="E1746" s="3" t="n">
        <v>8</v>
      </c>
      <c r="F1746" s="7" t="n">
        <f aca="false">IFERROR(Tableau1[[#This Row],[Score]]/Tableau1[[#This Row],[Nb]],0)</f>
        <v>0.8</v>
      </c>
    </row>
    <row r="1747" customFormat="false" ht="30" hidden="false" customHeight="true" outlineLevel="0" collapsed="false">
      <c r="A1747" s="1" t="s">
        <v>3456</v>
      </c>
      <c r="B1747" s="2" t="s">
        <v>3457</v>
      </c>
      <c r="C1747" s="6" t="n">
        <v>43401</v>
      </c>
      <c r="D1747" s="3" t="n">
        <v>11</v>
      </c>
      <c r="E1747" s="3" t="n">
        <v>9</v>
      </c>
      <c r="F1747" s="7" t="n">
        <f aca="false">IFERROR(Tableau1[[#This Row],[Score]]/Tableau1[[#This Row],[Nb]],0)</f>
        <v>0.818181818181818</v>
      </c>
    </row>
    <row r="1748" customFormat="false" ht="30" hidden="false" customHeight="true" outlineLevel="0" collapsed="false">
      <c r="A1748" s="1" t="s">
        <v>3458</v>
      </c>
      <c r="B1748" s="2" t="s">
        <v>3459</v>
      </c>
      <c r="C1748" s="6" t="n">
        <v>43403</v>
      </c>
      <c r="D1748" s="3" t="n">
        <v>8</v>
      </c>
      <c r="E1748" s="3" t="n">
        <v>-8</v>
      </c>
      <c r="F1748" s="7" t="n">
        <f aca="false">IFERROR(Tableau1[[#This Row],[Score]]/Tableau1[[#This Row],[Nb]],0)</f>
        <v>-1</v>
      </c>
    </row>
    <row r="1749" customFormat="false" ht="30" hidden="false" customHeight="true" outlineLevel="0" collapsed="false">
      <c r="A1749" s="1" t="s">
        <v>3460</v>
      </c>
      <c r="B1749" s="2" t="s">
        <v>3461</v>
      </c>
      <c r="C1749" s="6" t="n">
        <v>43403</v>
      </c>
      <c r="D1749" s="3" t="n">
        <v>10</v>
      </c>
      <c r="E1749" s="3" t="n">
        <v>2</v>
      </c>
      <c r="F1749" s="7" t="n">
        <f aca="false">IFERROR(Tableau1[[#This Row],[Score]]/Tableau1[[#This Row],[Nb]],0)</f>
        <v>0.2</v>
      </c>
    </row>
    <row r="1750" customFormat="false" ht="30" hidden="false" customHeight="true" outlineLevel="0" collapsed="false">
      <c r="A1750" s="8" t="s">
        <v>3462</v>
      </c>
      <c r="B1750" s="9" t="s">
        <v>3463</v>
      </c>
      <c r="C1750" s="6" t="n">
        <v>43403</v>
      </c>
      <c r="D1750" s="3" t="n">
        <v>11</v>
      </c>
      <c r="E1750" s="3" t="n">
        <v>11</v>
      </c>
      <c r="F1750" s="7" t="n">
        <f aca="false">IFERROR(Tableau1[[#This Row],[Score]]/Tableau1[[#This Row],[Nb]],0)</f>
        <v>1</v>
      </c>
    </row>
    <row r="1751" customFormat="false" ht="30" hidden="false" customHeight="true" outlineLevel="0" collapsed="false">
      <c r="A1751" s="1" t="s">
        <v>3464</v>
      </c>
      <c r="B1751" s="2" t="s">
        <v>3465</v>
      </c>
      <c r="C1751" s="6" t="n">
        <v>43404</v>
      </c>
      <c r="D1751" s="3" t="n">
        <v>4</v>
      </c>
      <c r="E1751" s="3" t="n">
        <v>-4</v>
      </c>
      <c r="F1751" s="7" t="n">
        <f aca="false">IFERROR(Tableau1[[#This Row],[Score]]/Tableau1[[#This Row],[Nb]],0)</f>
        <v>-1</v>
      </c>
    </row>
    <row r="1752" customFormat="false" ht="30" hidden="false" customHeight="true" outlineLevel="0" collapsed="false">
      <c r="A1752" s="1" t="s">
        <v>3466</v>
      </c>
      <c r="B1752" s="2" t="s">
        <v>3467</v>
      </c>
      <c r="C1752" s="6" t="n">
        <v>43404</v>
      </c>
      <c r="D1752" s="3" t="n">
        <v>10</v>
      </c>
      <c r="E1752" s="3" t="n">
        <v>-2</v>
      </c>
      <c r="F1752" s="7" t="n">
        <f aca="false">IFERROR(Tableau1[[#This Row],[Score]]/Tableau1[[#This Row],[Nb]],0)</f>
        <v>-0.2</v>
      </c>
    </row>
    <row r="1753" customFormat="false" ht="30" hidden="false" customHeight="true" outlineLevel="0" collapsed="false">
      <c r="A1753" s="1" t="s">
        <v>3468</v>
      </c>
      <c r="B1753" s="2" t="s">
        <v>3469</v>
      </c>
      <c r="C1753" s="6" t="n">
        <v>43405</v>
      </c>
      <c r="D1753" s="3" t="n">
        <v>7</v>
      </c>
      <c r="E1753" s="3" t="n">
        <v>-7</v>
      </c>
      <c r="F1753" s="7" t="n">
        <f aca="false">IFERROR(Tableau1[[#This Row],[Score]]/Tableau1[[#This Row],[Nb]],0)</f>
        <v>-1</v>
      </c>
    </row>
    <row r="1754" customFormat="false" ht="30" hidden="false" customHeight="true" outlineLevel="0" collapsed="false">
      <c r="A1754" s="1" t="s">
        <v>3470</v>
      </c>
      <c r="B1754" s="2" t="s">
        <v>3471</v>
      </c>
      <c r="C1754" s="6" t="n">
        <v>43405</v>
      </c>
      <c r="D1754" s="3" t="n">
        <v>7</v>
      </c>
      <c r="E1754" s="3" t="n">
        <v>-7</v>
      </c>
      <c r="F1754" s="7" t="n">
        <f aca="false">IFERROR(Tableau1[[#This Row],[Score]]/Tableau1[[#This Row],[Nb]],0)</f>
        <v>-1</v>
      </c>
    </row>
    <row r="1755" customFormat="false" ht="30" hidden="false" customHeight="true" outlineLevel="0" collapsed="false">
      <c r="A1755" s="1" t="s">
        <v>3472</v>
      </c>
      <c r="B1755" s="2" t="s">
        <v>3473</v>
      </c>
      <c r="C1755" s="6" t="n">
        <v>43405</v>
      </c>
      <c r="D1755" s="3" t="n">
        <v>6</v>
      </c>
      <c r="E1755" s="3" t="n">
        <v>-6</v>
      </c>
      <c r="F1755" s="7" t="n">
        <f aca="false">IFERROR(Tableau1[[#This Row],[Score]]/Tableau1[[#This Row],[Nb]],0)</f>
        <v>-1</v>
      </c>
    </row>
    <row r="1756" customFormat="false" ht="30" hidden="false" customHeight="true" outlineLevel="0" collapsed="false">
      <c r="A1756" s="1" t="s">
        <v>3474</v>
      </c>
      <c r="B1756" s="2" t="s">
        <v>3475</v>
      </c>
      <c r="C1756" s="6" t="n">
        <v>43405</v>
      </c>
      <c r="D1756" s="3" t="n">
        <v>8</v>
      </c>
      <c r="E1756" s="3" t="n">
        <v>-8</v>
      </c>
      <c r="F1756" s="7" t="n">
        <f aca="false">IFERROR(Tableau1[[#This Row],[Score]]/Tableau1[[#This Row],[Nb]],0)</f>
        <v>-1</v>
      </c>
    </row>
    <row r="1757" customFormat="false" ht="30" hidden="false" customHeight="true" outlineLevel="0" collapsed="false">
      <c r="A1757" s="1" t="s">
        <v>3476</v>
      </c>
      <c r="B1757" s="2" t="s">
        <v>681</v>
      </c>
      <c r="C1757" s="6" t="n">
        <v>43405</v>
      </c>
      <c r="D1757" s="3" t="n">
        <v>6</v>
      </c>
      <c r="E1757" s="3" t="n">
        <v>-2</v>
      </c>
      <c r="F1757" s="7" t="n">
        <f aca="false">IFERROR(Tableau1[[#This Row],[Score]]/Tableau1[[#This Row],[Nb]],0)</f>
        <v>-0.333333333333333</v>
      </c>
    </row>
    <row r="1758" customFormat="false" ht="30" hidden="false" customHeight="true" outlineLevel="0" collapsed="false">
      <c r="A1758" s="1" t="s">
        <v>3477</v>
      </c>
      <c r="B1758" s="2" t="s">
        <v>3478</v>
      </c>
      <c r="C1758" s="6" t="n">
        <v>43405</v>
      </c>
      <c r="D1758" s="3" t="n">
        <v>8</v>
      </c>
      <c r="E1758" s="3" t="n">
        <v>-2</v>
      </c>
      <c r="F1758" s="7" t="n">
        <f aca="false">IFERROR(Tableau1[[#This Row],[Score]]/Tableau1[[#This Row],[Nb]],0)</f>
        <v>-0.25</v>
      </c>
    </row>
    <row r="1759" customFormat="false" ht="30" hidden="false" customHeight="true" outlineLevel="0" collapsed="false">
      <c r="A1759" s="1" t="s">
        <v>3479</v>
      </c>
      <c r="B1759" s="2" t="s">
        <v>3480</v>
      </c>
      <c r="C1759" s="6" t="n">
        <v>43405</v>
      </c>
      <c r="D1759" s="3" t="n">
        <v>9</v>
      </c>
      <c r="E1759" s="3" t="n">
        <v>1</v>
      </c>
      <c r="F1759" s="7" t="n">
        <f aca="false">IFERROR(Tableau1[[#This Row],[Score]]/Tableau1[[#This Row],[Nb]],0)</f>
        <v>0.111111111111111</v>
      </c>
    </row>
    <row r="1760" customFormat="false" ht="30" hidden="false" customHeight="true" outlineLevel="0" collapsed="false">
      <c r="A1760" s="1" t="s">
        <v>3481</v>
      </c>
      <c r="B1760" s="2" t="s">
        <v>3482</v>
      </c>
      <c r="C1760" s="6" t="n">
        <v>43405</v>
      </c>
      <c r="D1760" s="3" t="n">
        <v>8</v>
      </c>
      <c r="E1760" s="3" t="n">
        <v>5</v>
      </c>
      <c r="F1760" s="7" t="n">
        <f aca="false">IFERROR(Tableau1[[#This Row],[Score]]/Tableau1[[#This Row],[Nb]],0)</f>
        <v>0.625</v>
      </c>
    </row>
    <row r="1761" customFormat="false" ht="30" hidden="false" customHeight="true" outlineLevel="0" collapsed="false">
      <c r="A1761" s="1" t="s">
        <v>3483</v>
      </c>
      <c r="B1761" s="2" t="s">
        <v>3484</v>
      </c>
      <c r="C1761" s="6" t="n">
        <v>43405</v>
      </c>
      <c r="D1761" s="3" t="n">
        <v>14</v>
      </c>
      <c r="E1761" s="3" t="n">
        <v>10</v>
      </c>
      <c r="F1761" s="7" t="n">
        <f aca="false">IFERROR(Tableau1[[#This Row],[Score]]/Tableau1[[#This Row],[Nb]],0)</f>
        <v>0.714285714285714</v>
      </c>
    </row>
    <row r="1762" customFormat="false" ht="30" hidden="false" customHeight="true" outlineLevel="0" collapsed="false">
      <c r="A1762" s="1" t="s">
        <v>3485</v>
      </c>
      <c r="B1762" s="2" t="s">
        <v>3486</v>
      </c>
      <c r="C1762" s="6" t="n">
        <v>43405</v>
      </c>
      <c r="D1762" s="3" t="n">
        <v>10</v>
      </c>
      <c r="E1762" s="3" t="n">
        <v>8</v>
      </c>
      <c r="F1762" s="7" t="n">
        <f aca="false">IFERROR(Tableau1[[#This Row],[Score]]/Tableau1[[#This Row],[Nb]],0)</f>
        <v>0.8</v>
      </c>
    </row>
    <row r="1763" customFormat="false" ht="30" hidden="false" customHeight="true" outlineLevel="0" collapsed="false">
      <c r="A1763" s="1" t="s">
        <v>3487</v>
      </c>
      <c r="B1763" s="2" t="s">
        <v>3488</v>
      </c>
      <c r="C1763" s="6" t="n">
        <v>43409</v>
      </c>
      <c r="D1763" s="3" t="n">
        <v>8</v>
      </c>
      <c r="E1763" s="3" t="n">
        <v>-8</v>
      </c>
      <c r="F1763" s="7" t="n">
        <f aca="false">IFERROR(Tableau1[[#This Row],[Score]]/Tableau1[[#This Row],[Nb]],0)</f>
        <v>-1</v>
      </c>
    </row>
    <row r="1764" customFormat="false" ht="30" hidden="false" customHeight="true" outlineLevel="0" collapsed="false">
      <c r="A1764" s="1" t="s">
        <v>3489</v>
      </c>
      <c r="B1764" s="2" t="s">
        <v>3490</v>
      </c>
      <c r="C1764" s="6" t="n">
        <v>43409</v>
      </c>
      <c r="D1764" s="3" t="n">
        <v>8</v>
      </c>
      <c r="E1764" s="3" t="n">
        <v>-8</v>
      </c>
      <c r="F1764" s="7" t="n">
        <f aca="false">IFERROR(Tableau1[[#This Row],[Score]]/Tableau1[[#This Row],[Nb]],0)</f>
        <v>-1</v>
      </c>
    </row>
    <row r="1765" customFormat="false" ht="30" hidden="false" customHeight="true" outlineLevel="0" collapsed="false">
      <c r="A1765" s="1" t="s">
        <v>3491</v>
      </c>
      <c r="B1765" s="2" t="s">
        <v>3492</v>
      </c>
      <c r="C1765" s="6" t="n">
        <v>43409</v>
      </c>
      <c r="D1765" s="3" t="n">
        <v>11</v>
      </c>
      <c r="E1765" s="3" t="n">
        <v>-5</v>
      </c>
      <c r="F1765" s="7" t="n">
        <f aca="false">IFERROR(Tableau1[[#This Row],[Score]]/Tableau1[[#This Row],[Nb]],0)</f>
        <v>-0.454545454545455</v>
      </c>
    </row>
    <row r="1766" customFormat="false" ht="30" hidden="false" customHeight="true" outlineLevel="0" collapsed="false">
      <c r="A1766" s="1" t="s">
        <v>3493</v>
      </c>
      <c r="B1766" s="2" t="s">
        <v>3494</v>
      </c>
      <c r="C1766" s="6" t="n">
        <v>43409</v>
      </c>
      <c r="D1766" s="3" t="n">
        <v>9</v>
      </c>
      <c r="E1766" s="3" t="n">
        <v>-1</v>
      </c>
      <c r="F1766" s="7" t="n">
        <f aca="false">IFERROR(Tableau1[[#This Row],[Score]]/Tableau1[[#This Row],[Nb]],0)</f>
        <v>-0.111111111111111</v>
      </c>
    </row>
    <row r="1767" customFormat="false" ht="30" hidden="false" customHeight="true" outlineLevel="0" collapsed="false">
      <c r="A1767" s="1" t="s">
        <v>3495</v>
      </c>
      <c r="B1767" s="2" t="s">
        <v>3496</v>
      </c>
      <c r="C1767" s="6" t="n">
        <v>43409</v>
      </c>
      <c r="D1767" s="3" t="n">
        <v>7</v>
      </c>
      <c r="E1767" s="3" t="n">
        <v>1</v>
      </c>
      <c r="F1767" s="7" t="n">
        <f aca="false">IFERROR(Tableau1[[#This Row],[Score]]/Tableau1[[#This Row],[Nb]],0)</f>
        <v>0.142857142857143</v>
      </c>
    </row>
    <row r="1768" customFormat="false" ht="30" hidden="false" customHeight="true" outlineLevel="0" collapsed="false">
      <c r="A1768" s="1" t="s">
        <v>3497</v>
      </c>
      <c r="B1768" s="2" t="s">
        <v>3498</v>
      </c>
      <c r="C1768" s="6" t="n">
        <v>43409</v>
      </c>
      <c r="D1768" s="3" t="n">
        <v>6</v>
      </c>
      <c r="E1768" s="3" t="n">
        <v>6</v>
      </c>
      <c r="F1768" s="7" t="n">
        <f aca="false">IFERROR(Tableau1[[#This Row],[Score]]/Tableau1[[#This Row],[Nb]],0)</f>
        <v>1</v>
      </c>
    </row>
    <row r="1769" customFormat="false" ht="30" hidden="false" customHeight="true" outlineLevel="0" collapsed="false">
      <c r="A1769" s="1" t="s">
        <v>3499</v>
      </c>
      <c r="B1769" s="2" t="s">
        <v>3500</v>
      </c>
      <c r="C1769" s="6" t="n">
        <v>43412</v>
      </c>
      <c r="D1769" s="3" t="n">
        <v>6</v>
      </c>
      <c r="E1769" s="3" t="n">
        <v>4</v>
      </c>
      <c r="F1769" s="7" t="n">
        <f aca="false">IFERROR(Tableau1[[#This Row],[Score]]/Tableau1[[#This Row],[Nb]],0)</f>
        <v>0.666666666666667</v>
      </c>
    </row>
    <row r="1770" customFormat="false" ht="30" hidden="false" customHeight="true" outlineLevel="0" collapsed="false">
      <c r="A1770" s="1" t="s">
        <v>3501</v>
      </c>
      <c r="B1770" s="2" t="s">
        <v>3502</v>
      </c>
      <c r="C1770" s="6" t="n">
        <v>43415</v>
      </c>
      <c r="D1770" s="3" t="n">
        <v>19</v>
      </c>
      <c r="E1770" s="3" t="n">
        <v>-11</v>
      </c>
      <c r="F1770" s="7" t="n">
        <f aca="false">IFERROR(Tableau1[[#This Row],[Score]]/Tableau1[[#This Row],[Nb]],0)</f>
        <v>-0.578947368421053</v>
      </c>
    </row>
    <row r="1771" customFormat="false" ht="30" hidden="false" customHeight="true" outlineLevel="0" collapsed="false">
      <c r="A1771" s="1" t="s">
        <v>3503</v>
      </c>
      <c r="B1771" s="2" t="s">
        <v>3504</v>
      </c>
      <c r="C1771" s="6" t="n">
        <v>43415</v>
      </c>
      <c r="D1771" s="3" t="n">
        <v>7</v>
      </c>
      <c r="E1771" s="3" t="n">
        <v>-1</v>
      </c>
      <c r="F1771" s="7" t="n">
        <f aca="false">IFERROR(Tableau1[[#This Row],[Score]]/Tableau1[[#This Row],[Nb]],0)</f>
        <v>-0.142857142857143</v>
      </c>
    </row>
    <row r="1772" customFormat="false" ht="30" hidden="false" customHeight="true" outlineLevel="0" collapsed="false">
      <c r="A1772" s="1" t="s">
        <v>3505</v>
      </c>
      <c r="B1772" s="2" t="s">
        <v>3506</v>
      </c>
      <c r="C1772" s="6" t="n">
        <v>43415</v>
      </c>
      <c r="D1772" s="3" t="n">
        <v>11</v>
      </c>
      <c r="E1772" s="3" t="n">
        <v>-1</v>
      </c>
      <c r="F1772" s="7" t="n">
        <f aca="false">IFERROR(Tableau1[[#This Row],[Score]]/Tableau1[[#This Row],[Nb]],0)</f>
        <v>-0.0909090909090909</v>
      </c>
    </row>
    <row r="1773" customFormat="false" ht="30" hidden="false" customHeight="true" outlineLevel="0" collapsed="false">
      <c r="A1773" s="1" t="s">
        <v>3507</v>
      </c>
      <c r="B1773" s="2" t="s">
        <v>3508</v>
      </c>
      <c r="C1773" s="6" t="n">
        <v>43415</v>
      </c>
      <c r="D1773" s="3" t="n">
        <v>12</v>
      </c>
      <c r="E1773" s="3" t="n">
        <v>0</v>
      </c>
      <c r="F1773" s="7" t="n">
        <f aca="false">IFERROR(Tableau1[[#This Row],[Score]]/Tableau1[[#This Row],[Nb]],0)</f>
        <v>0</v>
      </c>
    </row>
    <row r="1774" customFormat="false" ht="30" hidden="false" customHeight="true" outlineLevel="0" collapsed="false">
      <c r="A1774" s="1" t="s">
        <v>3509</v>
      </c>
      <c r="B1774" s="2" t="s">
        <v>3510</v>
      </c>
      <c r="C1774" s="6" t="n">
        <v>43415</v>
      </c>
      <c r="D1774" s="3" t="n">
        <v>11</v>
      </c>
      <c r="E1774" s="3" t="n">
        <v>5</v>
      </c>
      <c r="F1774" s="7" t="n">
        <f aca="false">IFERROR(Tableau1[[#This Row],[Score]]/Tableau1[[#This Row],[Nb]],0)</f>
        <v>0.454545454545455</v>
      </c>
    </row>
    <row r="1775" customFormat="false" ht="30" hidden="false" customHeight="true" outlineLevel="0" collapsed="false">
      <c r="A1775" s="1" t="s">
        <v>3511</v>
      </c>
      <c r="B1775" s="2" t="s">
        <v>3512</v>
      </c>
      <c r="C1775" s="6" t="n">
        <v>43415</v>
      </c>
      <c r="D1775" s="3" t="n">
        <v>8</v>
      </c>
      <c r="E1775" s="3" t="n">
        <v>4</v>
      </c>
      <c r="F1775" s="7" t="n">
        <f aca="false">IFERROR(Tableau1[[#This Row],[Score]]/Tableau1[[#This Row],[Nb]],0)</f>
        <v>0.5</v>
      </c>
    </row>
    <row r="1776" customFormat="false" ht="30" hidden="false" customHeight="true" outlineLevel="0" collapsed="false">
      <c r="A1776" s="1" t="s">
        <v>3513</v>
      </c>
      <c r="B1776" s="2" t="s">
        <v>3514</v>
      </c>
      <c r="C1776" s="6" t="n">
        <v>43418</v>
      </c>
      <c r="D1776" s="3" t="n">
        <v>10</v>
      </c>
      <c r="E1776" s="3" t="n">
        <v>-8</v>
      </c>
      <c r="F1776" s="7" t="n">
        <f aca="false">IFERROR(Tableau1[[#This Row],[Score]]/Tableau1[[#This Row],[Nb]],0)</f>
        <v>-0.8</v>
      </c>
    </row>
    <row r="1777" customFormat="false" ht="30" hidden="false" customHeight="true" outlineLevel="0" collapsed="false">
      <c r="A1777" s="1" t="s">
        <v>3515</v>
      </c>
      <c r="B1777" s="2" t="s">
        <v>3516</v>
      </c>
      <c r="C1777" s="6" t="n">
        <v>43418</v>
      </c>
      <c r="D1777" s="3" t="n">
        <v>10</v>
      </c>
      <c r="E1777" s="3" t="n">
        <v>0</v>
      </c>
      <c r="F1777" s="7" t="n">
        <f aca="false">IFERROR(Tableau1[[#This Row],[Score]]/Tableau1[[#This Row],[Nb]],0)</f>
        <v>0</v>
      </c>
    </row>
    <row r="1778" customFormat="false" ht="30" hidden="false" customHeight="true" outlineLevel="0" collapsed="false">
      <c r="A1778" s="1" t="s">
        <v>3517</v>
      </c>
      <c r="B1778" s="2" t="s">
        <v>3518</v>
      </c>
      <c r="C1778" s="6" t="n">
        <v>43420</v>
      </c>
      <c r="D1778" s="3" t="n">
        <v>13</v>
      </c>
      <c r="E1778" s="3" t="n">
        <v>-11</v>
      </c>
      <c r="F1778" s="7" t="n">
        <f aca="false">IFERROR(Tableau1[[#This Row],[Score]]/Tableau1[[#This Row],[Nb]],0)</f>
        <v>-0.846153846153846</v>
      </c>
    </row>
    <row r="1779" customFormat="false" ht="30" hidden="false" customHeight="true" outlineLevel="0" collapsed="false">
      <c r="A1779" s="1" t="s">
        <v>3519</v>
      </c>
      <c r="B1779" s="2" t="s">
        <v>3520</v>
      </c>
      <c r="C1779" s="6" t="n">
        <v>43423</v>
      </c>
      <c r="D1779" s="3" t="n">
        <v>9</v>
      </c>
      <c r="E1779" s="3" t="n">
        <v>-7</v>
      </c>
      <c r="F1779" s="7" t="n">
        <f aca="false">IFERROR(Tableau1[[#This Row],[Score]]/Tableau1[[#This Row],[Nb]],0)</f>
        <v>-0.777777777777778</v>
      </c>
    </row>
    <row r="1780" customFormat="false" ht="30" hidden="false" customHeight="true" outlineLevel="0" collapsed="false">
      <c r="A1780" s="1" t="s">
        <v>3521</v>
      </c>
      <c r="B1780" s="2" t="s">
        <v>3522</v>
      </c>
      <c r="C1780" s="6" t="n">
        <v>43423</v>
      </c>
      <c r="D1780" s="3" t="n">
        <v>7</v>
      </c>
      <c r="E1780" s="3" t="n">
        <v>5</v>
      </c>
      <c r="F1780" s="7" t="n">
        <f aca="false">IFERROR(Tableau1[[#This Row],[Score]]/Tableau1[[#This Row],[Nb]],0)</f>
        <v>0.714285714285714</v>
      </c>
    </row>
    <row r="1781" customFormat="false" ht="30" hidden="false" customHeight="true" outlineLevel="0" collapsed="false">
      <c r="A1781" s="1" t="s">
        <v>3523</v>
      </c>
      <c r="B1781" s="2" t="s">
        <v>3524</v>
      </c>
      <c r="C1781" s="6" t="n">
        <v>43423</v>
      </c>
      <c r="D1781" s="3" t="n">
        <v>14</v>
      </c>
      <c r="E1781" s="3" t="n">
        <v>12</v>
      </c>
      <c r="F1781" s="7" t="n">
        <f aca="false">IFERROR(Tableau1[[#This Row],[Score]]/Tableau1[[#This Row],[Nb]],0)</f>
        <v>0.857142857142857</v>
      </c>
    </row>
    <row r="1782" customFormat="false" ht="30" hidden="false" customHeight="true" outlineLevel="0" collapsed="false">
      <c r="A1782" s="8" t="s">
        <v>3525</v>
      </c>
      <c r="B1782" s="9" t="s">
        <v>3526</v>
      </c>
      <c r="C1782" s="6" t="n">
        <v>43423</v>
      </c>
      <c r="D1782" s="3" t="n">
        <v>10</v>
      </c>
      <c r="E1782" s="3" t="n">
        <v>10</v>
      </c>
      <c r="F1782" s="7" t="n">
        <f aca="false">IFERROR(Tableau1[[#This Row],[Score]]/Tableau1[[#This Row],[Nb]],0)</f>
        <v>1</v>
      </c>
    </row>
    <row r="1783" customFormat="false" ht="30" hidden="false" customHeight="true" outlineLevel="0" collapsed="false">
      <c r="A1783" s="1" t="s">
        <v>3527</v>
      </c>
      <c r="B1783" s="2" t="s">
        <v>3528</v>
      </c>
      <c r="C1783" s="6" t="n">
        <v>43426</v>
      </c>
      <c r="D1783" s="3" t="n">
        <v>12</v>
      </c>
      <c r="E1783" s="3" t="n">
        <v>-2</v>
      </c>
      <c r="F1783" s="7" t="n">
        <f aca="false">IFERROR(Tableau1[[#This Row],[Score]]/Tableau1[[#This Row],[Nb]],0)</f>
        <v>-0.166666666666667</v>
      </c>
    </row>
    <row r="1784" customFormat="false" ht="30" hidden="false" customHeight="true" outlineLevel="0" collapsed="false">
      <c r="A1784" s="1" t="s">
        <v>3529</v>
      </c>
      <c r="B1784" s="2" t="s">
        <v>3530</v>
      </c>
      <c r="C1784" s="6" t="n">
        <v>43436</v>
      </c>
      <c r="D1784" s="3" t="n">
        <v>11</v>
      </c>
      <c r="E1784" s="3" t="n">
        <v>7</v>
      </c>
      <c r="F1784" s="7" t="n">
        <f aca="false">IFERROR(Tableau1[[#This Row],[Score]]/Tableau1[[#This Row],[Nb]],0)</f>
        <v>0.636363636363636</v>
      </c>
    </row>
    <row r="1785" customFormat="false" ht="30" hidden="false" customHeight="true" outlineLevel="0" collapsed="false">
      <c r="A1785" s="1" t="s">
        <v>3531</v>
      </c>
      <c r="B1785" s="2" t="s">
        <v>3532</v>
      </c>
      <c r="C1785" s="6" t="n">
        <v>43445</v>
      </c>
      <c r="D1785" s="3" t="n">
        <v>16</v>
      </c>
      <c r="E1785" s="3" t="n">
        <v>-14</v>
      </c>
      <c r="F1785" s="7" t="n">
        <f aca="false">IFERROR(Tableau1[[#This Row],[Score]]/Tableau1[[#This Row],[Nb]],0)</f>
        <v>-0.875</v>
      </c>
    </row>
    <row r="1786" customFormat="false" ht="30" hidden="false" customHeight="true" outlineLevel="0" collapsed="false">
      <c r="A1786" s="1" t="s">
        <v>3533</v>
      </c>
      <c r="B1786" s="2" t="s">
        <v>3534</v>
      </c>
      <c r="C1786" s="6" t="n">
        <v>43445</v>
      </c>
      <c r="D1786" s="3" t="n">
        <v>11</v>
      </c>
      <c r="E1786" s="3" t="n">
        <v>-7</v>
      </c>
      <c r="F1786" s="7" t="n">
        <f aca="false">IFERROR(Tableau1[[#This Row],[Score]]/Tableau1[[#This Row],[Nb]],0)</f>
        <v>-0.636363636363636</v>
      </c>
    </row>
    <row r="1787" customFormat="false" ht="30" hidden="false" customHeight="true" outlineLevel="0" collapsed="false">
      <c r="A1787" s="1" t="s">
        <v>3535</v>
      </c>
      <c r="B1787" s="2" t="s">
        <v>3536</v>
      </c>
      <c r="C1787" s="6" t="n">
        <v>43452</v>
      </c>
      <c r="D1787" s="3" t="n">
        <v>9</v>
      </c>
      <c r="E1787" s="3" t="n">
        <v>-3</v>
      </c>
      <c r="F1787" s="7" t="n">
        <f aca="false">IFERROR(Tableau1[[#This Row],[Score]]/Tableau1[[#This Row],[Nb]],0)</f>
        <v>-0.333333333333333</v>
      </c>
    </row>
    <row r="1788" customFormat="false" ht="30" hidden="false" customHeight="true" outlineLevel="0" collapsed="false">
      <c r="A1788" s="1" t="s">
        <v>3537</v>
      </c>
      <c r="B1788" s="2" t="s">
        <v>3538</v>
      </c>
      <c r="C1788" s="6" t="n">
        <v>43452</v>
      </c>
      <c r="D1788" s="3" t="n">
        <v>13</v>
      </c>
      <c r="E1788" s="3" t="n">
        <v>1</v>
      </c>
      <c r="F1788" s="7" t="n">
        <f aca="false">IFERROR(Tableau1[[#This Row],[Score]]/Tableau1[[#This Row],[Nb]],0)</f>
        <v>0.0769230769230769</v>
      </c>
    </row>
    <row r="1789" customFormat="false" ht="30" hidden="false" customHeight="true" outlineLevel="0" collapsed="false">
      <c r="A1789" s="1" t="s">
        <v>3539</v>
      </c>
      <c r="B1789" s="2" t="s">
        <v>3540</v>
      </c>
      <c r="C1789" s="6" t="n">
        <v>43452</v>
      </c>
      <c r="D1789" s="3" t="n">
        <v>7</v>
      </c>
      <c r="E1789" s="3" t="n">
        <v>3</v>
      </c>
      <c r="F1789" s="7" t="n">
        <f aca="false">IFERROR(Tableau1[[#This Row],[Score]]/Tableau1[[#This Row],[Nb]],0)</f>
        <v>0.428571428571429</v>
      </c>
    </row>
    <row r="1790" customFormat="false" ht="30" hidden="false" customHeight="true" outlineLevel="0" collapsed="false">
      <c r="A1790" s="1" t="s">
        <v>3541</v>
      </c>
      <c r="B1790" s="2" t="s">
        <v>3542</v>
      </c>
      <c r="C1790" s="6" t="n">
        <v>43452</v>
      </c>
      <c r="D1790" s="3" t="n">
        <v>10</v>
      </c>
      <c r="E1790" s="3" t="n">
        <v>6</v>
      </c>
      <c r="F1790" s="7" t="n">
        <f aca="false">IFERROR(Tableau1[[#This Row],[Score]]/Tableau1[[#This Row],[Nb]],0)</f>
        <v>0.6</v>
      </c>
    </row>
    <row r="1791" customFormat="false" ht="30" hidden="false" customHeight="true" outlineLevel="0" collapsed="false">
      <c r="A1791" s="1" t="s">
        <v>3543</v>
      </c>
      <c r="B1791" s="2" t="s">
        <v>3544</v>
      </c>
      <c r="C1791" s="6" t="n">
        <v>43452</v>
      </c>
      <c r="D1791" s="3" t="n">
        <v>17</v>
      </c>
      <c r="E1791" s="3" t="n">
        <v>11</v>
      </c>
      <c r="F1791" s="7" t="n">
        <f aca="false">IFERROR(Tableau1[[#This Row],[Score]]/Tableau1[[#This Row],[Nb]],0)</f>
        <v>0.647058823529412</v>
      </c>
    </row>
    <row r="1792" customFormat="false" ht="30" hidden="false" customHeight="true" outlineLevel="0" collapsed="false">
      <c r="A1792" s="1" t="s">
        <v>3545</v>
      </c>
      <c r="B1792" s="2" t="s">
        <v>3546</v>
      </c>
      <c r="C1792" s="6" t="n">
        <v>43452</v>
      </c>
      <c r="D1792" s="3" t="n">
        <v>14</v>
      </c>
      <c r="E1792" s="3" t="n">
        <v>12</v>
      </c>
      <c r="F1792" s="7" t="n">
        <f aca="false">IFERROR(Tableau1[[#This Row],[Score]]/Tableau1[[#This Row],[Nb]],0)</f>
        <v>0.857142857142857</v>
      </c>
    </row>
    <row r="1793" customFormat="false" ht="30" hidden="false" customHeight="true" outlineLevel="0" collapsed="false">
      <c r="A1793" s="1" t="s">
        <v>3547</v>
      </c>
      <c r="B1793" s="2" t="s">
        <v>3548</v>
      </c>
      <c r="C1793" s="6" t="n">
        <v>43473</v>
      </c>
      <c r="D1793" s="3" t="n">
        <v>10</v>
      </c>
      <c r="E1793" s="3" t="n">
        <v>-10</v>
      </c>
      <c r="F1793" s="7" t="n">
        <f aca="false">IFERROR(Tableau1[[#This Row],[Score]]/Tableau1[[#This Row],[Nb]],0)</f>
        <v>-1</v>
      </c>
    </row>
    <row r="1794" customFormat="false" ht="30" hidden="false" customHeight="true" outlineLevel="0" collapsed="false">
      <c r="A1794" s="1" t="s">
        <v>3549</v>
      </c>
      <c r="B1794" s="2" t="s">
        <v>3550</v>
      </c>
      <c r="C1794" s="6" t="n">
        <v>43473</v>
      </c>
      <c r="D1794" s="3" t="n">
        <v>5</v>
      </c>
      <c r="E1794" s="3" t="n">
        <v>-5</v>
      </c>
      <c r="F1794" s="7" t="n">
        <f aca="false">IFERROR(Tableau1[[#This Row],[Score]]/Tableau1[[#This Row],[Nb]],0)</f>
        <v>-1</v>
      </c>
    </row>
    <row r="1795" customFormat="false" ht="30" hidden="false" customHeight="true" outlineLevel="0" collapsed="false">
      <c r="A1795" s="1" t="s">
        <v>3551</v>
      </c>
      <c r="B1795" s="2" t="s">
        <v>3552</v>
      </c>
      <c r="C1795" s="6" t="n">
        <v>43473</v>
      </c>
      <c r="D1795" s="3" t="n">
        <v>8</v>
      </c>
      <c r="E1795" s="3" t="n">
        <v>-8</v>
      </c>
      <c r="F1795" s="7" t="n">
        <f aca="false">IFERROR(Tableau1[[#This Row],[Score]]/Tableau1[[#This Row],[Nb]],0)</f>
        <v>-1</v>
      </c>
    </row>
    <row r="1796" customFormat="false" ht="30" hidden="false" customHeight="true" outlineLevel="0" collapsed="false">
      <c r="A1796" s="1" t="s">
        <v>3553</v>
      </c>
      <c r="B1796" s="2" t="s">
        <v>3554</v>
      </c>
      <c r="C1796" s="6" t="n">
        <v>43473</v>
      </c>
      <c r="D1796" s="3" t="n">
        <v>10</v>
      </c>
      <c r="E1796" s="3" t="n">
        <v>-4</v>
      </c>
      <c r="F1796" s="7" t="n">
        <f aca="false">IFERROR(Tableau1[[#This Row],[Score]]/Tableau1[[#This Row],[Nb]],0)</f>
        <v>-0.4</v>
      </c>
    </row>
    <row r="1797" customFormat="false" ht="30" hidden="false" customHeight="true" outlineLevel="0" collapsed="false">
      <c r="A1797" s="1" t="s">
        <v>3555</v>
      </c>
      <c r="B1797" s="2" t="s">
        <v>3556</v>
      </c>
      <c r="C1797" s="6" t="n">
        <v>43473</v>
      </c>
      <c r="D1797" s="3" t="n">
        <v>14</v>
      </c>
      <c r="E1797" s="3" t="n">
        <v>-5</v>
      </c>
      <c r="F1797" s="7" t="n">
        <f aca="false">IFERROR(Tableau1[[#This Row],[Score]]/Tableau1[[#This Row],[Nb]],0)</f>
        <v>-0.357142857142857</v>
      </c>
    </row>
    <row r="1798" customFormat="false" ht="30" hidden="false" customHeight="true" outlineLevel="0" collapsed="false">
      <c r="A1798" s="1" t="s">
        <v>3557</v>
      </c>
      <c r="B1798" s="2" t="s">
        <v>3558</v>
      </c>
      <c r="C1798" s="6" t="n">
        <v>43473</v>
      </c>
      <c r="D1798" s="3" t="n">
        <v>6</v>
      </c>
      <c r="E1798" s="3" t="n">
        <v>0</v>
      </c>
      <c r="F1798" s="7" t="n">
        <f aca="false">IFERROR(Tableau1[[#This Row],[Score]]/Tableau1[[#This Row],[Nb]],0)</f>
        <v>0</v>
      </c>
    </row>
    <row r="1799" customFormat="false" ht="30" hidden="false" customHeight="true" outlineLevel="0" collapsed="false">
      <c r="A1799" s="1" t="s">
        <v>3559</v>
      </c>
      <c r="B1799" s="2" t="s">
        <v>3560</v>
      </c>
      <c r="C1799" s="6" t="n">
        <v>43473</v>
      </c>
      <c r="D1799" s="3" t="n">
        <v>17</v>
      </c>
      <c r="E1799" s="3" t="n">
        <v>7</v>
      </c>
      <c r="F1799" s="7" t="n">
        <f aca="false">IFERROR(Tableau1[[#This Row],[Score]]/Tableau1[[#This Row],[Nb]],0)</f>
        <v>0.411764705882353</v>
      </c>
    </row>
    <row r="1800" customFormat="false" ht="30" hidden="false" customHeight="true" outlineLevel="0" collapsed="false">
      <c r="A1800" s="1" t="s">
        <v>3561</v>
      </c>
      <c r="B1800" s="2" t="s">
        <v>3562</v>
      </c>
      <c r="C1800" s="6" t="n">
        <v>43473</v>
      </c>
      <c r="D1800" s="3" t="n">
        <v>8</v>
      </c>
      <c r="E1800" s="3" t="n">
        <v>6</v>
      </c>
      <c r="F1800" s="7" t="n">
        <f aca="false">IFERROR(Tableau1[[#This Row],[Score]]/Tableau1[[#This Row],[Nb]],0)</f>
        <v>0.75</v>
      </c>
    </row>
    <row r="1801" customFormat="false" ht="30" hidden="false" customHeight="true" outlineLevel="0" collapsed="false">
      <c r="A1801" s="8" t="s">
        <v>3563</v>
      </c>
      <c r="B1801" s="9" t="s">
        <v>3564</v>
      </c>
      <c r="C1801" s="6" t="n">
        <v>43473</v>
      </c>
      <c r="D1801" s="3" t="n">
        <v>10</v>
      </c>
      <c r="E1801" s="3" t="n">
        <v>10</v>
      </c>
      <c r="F1801" s="7" t="n">
        <f aca="false">IFERROR(Tableau1[[#This Row],[Score]]/Tableau1[[#This Row],[Nb]],0)</f>
        <v>1</v>
      </c>
    </row>
    <row r="1802" customFormat="false" ht="30" hidden="false" customHeight="true" outlineLevel="0" collapsed="false">
      <c r="A1802" s="8" t="s">
        <v>3565</v>
      </c>
      <c r="B1802" s="9" t="s">
        <v>3566</v>
      </c>
      <c r="C1802" s="6" t="n">
        <v>43473</v>
      </c>
      <c r="D1802" s="3" t="n">
        <v>10</v>
      </c>
      <c r="E1802" s="3" t="n">
        <v>10</v>
      </c>
      <c r="F1802" s="7" t="n">
        <f aca="false">IFERROR(Tableau1[[#This Row],[Score]]/Tableau1[[#This Row],[Nb]],0)</f>
        <v>1</v>
      </c>
    </row>
    <row r="1803" customFormat="false" ht="30" hidden="false" customHeight="true" outlineLevel="0" collapsed="false">
      <c r="A1803" s="1" t="s">
        <v>3567</v>
      </c>
      <c r="B1803" s="2" t="s">
        <v>3568</v>
      </c>
      <c r="C1803" s="6" t="n">
        <v>43473</v>
      </c>
      <c r="D1803" s="3" t="n">
        <v>7</v>
      </c>
      <c r="E1803" s="3" t="n">
        <v>7</v>
      </c>
      <c r="F1803" s="7" t="n">
        <f aca="false">IFERROR(Tableau1[[#This Row],[Score]]/Tableau1[[#This Row],[Nb]],0)</f>
        <v>1</v>
      </c>
    </row>
    <row r="1804" customFormat="false" ht="30" hidden="false" customHeight="true" outlineLevel="0" collapsed="false">
      <c r="A1804" s="1" t="s">
        <v>3569</v>
      </c>
      <c r="B1804" s="2" t="s">
        <v>3570</v>
      </c>
      <c r="C1804" s="6" t="n">
        <v>43480</v>
      </c>
      <c r="D1804" s="3" t="n">
        <v>10</v>
      </c>
      <c r="E1804" s="3" t="n">
        <v>-10</v>
      </c>
      <c r="F1804" s="7" t="n">
        <f aca="false">IFERROR(Tableau1[[#This Row],[Score]]/Tableau1[[#This Row],[Nb]],0)</f>
        <v>-1</v>
      </c>
    </row>
    <row r="1805" customFormat="false" ht="30" hidden="false" customHeight="true" outlineLevel="0" collapsed="false">
      <c r="A1805" s="1" t="s">
        <v>3571</v>
      </c>
      <c r="B1805" s="2" t="s">
        <v>3572</v>
      </c>
      <c r="C1805" s="6" t="n">
        <v>43480</v>
      </c>
      <c r="D1805" s="3" t="n">
        <v>10</v>
      </c>
      <c r="E1805" s="3" t="n">
        <v>-8</v>
      </c>
      <c r="F1805" s="7" t="n">
        <f aca="false">IFERROR(Tableau1[[#This Row],[Score]]/Tableau1[[#This Row],[Nb]],0)</f>
        <v>-0.8</v>
      </c>
    </row>
    <row r="1806" customFormat="false" ht="30" hidden="false" customHeight="true" outlineLevel="0" collapsed="false">
      <c r="A1806" s="1" t="s">
        <v>3573</v>
      </c>
      <c r="B1806" s="2" t="s">
        <v>3574</v>
      </c>
      <c r="C1806" s="6" t="n">
        <v>43480</v>
      </c>
      <c r="D1806" s="3" t="n">
        <v>7</v>
      </c>
      <c r="E1806" s="3" t="n">
        <v>-5</v>
      </c>
      <c r="F1806" s="7" t="n">
        <f aca="false">IFERROR(Tableau1[[#This Row],[Score]]/Tableau1[[#This Row],[Nb]],0)</f>
        <v>-0.714285714285714</v>
      </c>
    </row>
    <row r="1807" customFormat="false" ht="30" hidden="false" customHeight="true" outlineLevel="0" collapsed="false">
      <c r="A1807" s="1" t="s">
        <v>3575</v>
      </c>
      <c r="B1807" s="2" t="s">
        <v>3576</v>
      </c>
      <c r="C1807" s="6" t="n">
        <v>43480</v>
      </c>
      <c r="D1807" s="3" t="n">
        <v>15</v>
      </c>
      <c r="E1807" s="3" t="n">
        <v>-9</v>
      </c>
      <c r="F1807" s="7" t="n">
        <f aca="false">IFERROR(Tableau1[[#This Row],[Score]]/Tableau1[[#This Row],[Nb]],0)</f>
        <v>-0.6</v>
      </c>
    </row>
    <row r="1808" customFormat="false" ht="30" hidden="false" customHeight="true" outlineLevel="0" collapsed="false">
      <c r="A1808" s="1" t="s">
        <v>3577</v>
      </c>
      <c r="B1808" s="2" t="s">
        <v>3578</v>
      </c>
      <c r="C1808" s="6" t="n">
        <v>43480</v>
      </c>
      <c r="D1808" s="3" t="n">
        <v>13</v>
      </c>
      <c r="E1808" s="3" t="n">
        <v>-4</v>
      </c>
      <c r="F1808" s="7" t="n">
        <f aca="false">IFERROR(Tableau1[[#This Row],[Score]]/Tableau1[[#This Row],[Nb]],0)</f>
        <v>-0.307692307692308</v>
      </c>
    </row>
    <row r="1809" customFormat="false" ht="30" hidden="false" customHeight="true" outlineLevel="0" collapsed="false">
      <c r="A1809" s="1" t="s">
        <v>3579</v>
      </c>
      <c r="B1809" s="2" t="s">
        <v>3580</v>
      </c>
      <c r="C1809" s="6" t="n">
        <v>43480</v>
      </c>
      <c r="D1809" s="3" t="n">
        <v>11</v>
      </c>
      <c r="E1809" s="3" t="n">
        <v>1</v>
      </c>
      <c r="F1809" s="7" t="n">
        <f aca="false">IFERROR(Tableau1[[#This Row],[Score]]/Tableau1[[#This Row],[Nb]],0)</f>
        <v>0.0909090909090909</v>
      </c>
    </row>
    <row r="1810" customFormat="false" ht="30" hidden="false" customHeight="true" outlineLevel="0" collapsed="false">
      <c r="A1810" s="1" t="s">
        <v>3581</v>
      </c>
      <c r="B1810" s="2" t="s">
        <v>3582</v>
      </c>
      <c r="C1810" s="6" t="n">
        <v>43480</v>
      </c>
      <c r="D1810" s="3" t="n">
        <v>9</v>
      </c>
      <c r="E1810" s="3" t="n">
        <v>3</v>
      </c>
      <c r="F1810" s="7" t="n">
        <f aca="false">IFERROR(Tableau1[[#This Row],[Score]]/Tableau1[[#This Row],[Nb]],0)</f>
        <v>0.333333333333333</v>
      </c>
    </row>
    <row r="1811" customFormat="false" ht="30" hidden="false" customHeight="true" outlineLevel="0" collapsed="false">
      <c r="A1811" s="1" t="s">
        <v>3583</v>
      </c>
      <c r="B1811" s="2" t="s">
        <v>3584</v>
      </c>
      <c r="C1811" s="6" t="n">
        <v>43480</v>
      </c>
      <c r="D1811" s="3" t="n">
        <v>10</v>
      </c>
      <c r="E1811" s="3" t="n">
        <v>9</v>
      </c>
      <c r="F1811" s="7" t="n">
        <f aca="false">IFERROR(Tableau1[[#This Row],[Score]]/Tableau1[[#This Row],[Nb]],0)</f>
        <v>0.9</v>
      </c>
    </row>
    <row r="1812" customFormat="false" ht="30" hidden="false" customHeight="true" outlineLevel="0" collapsed="false">
      <c r="A1812" s="1" t="s">
        <v>3585</v>
      </c>
      <c r="B1812" s="2" t="s">
        <v>3586</v>
      </c>
      <c r="C1812" s="6" t="n">
        <v>43487</v>
      </c>
      <c r="D1812" s="3" t="n">
        <v>10</v>
      </c>
      <c r="E1812" s="3" t="n">
        <v>-10</v>
      </c>
      <c r="F1812" s="7" t="n">
        <f aca="false">IFERROR(Tableau1[[#This Row],[Score]]/Tableau1[[#This Row],[Nb]],0)</f>
        <v>-1</v>
      </c>
    </row>
    <row r="1813" customFormat="false" ht="30" hidden="false" customHeight="true" outlineLevel="0" collapsed="false">
      <c r="A1813" s="1" t="s">
        <v>3587</v>
      </c>
      <c r="B1813" s="2" t="s">
        <v>2342</v>
      </c>
      <c r="C1813" s="6" t="n">
        <v>43488</v>
      </c>
      <c r="D1813" s="3" t="n">
        <v>6</v>
      </c>
      <c r="E1813" s="3" t="n">
        <v>4</v>
      </c>
      <c r="F1813" s="7" t="n">
        <f aca="false">IFERROR(Tableau1[[#This Row],[Score]]/Tableau1[[#This Row],[Nb]],0)</f>
        <v>0.666666666666667</v>
      </c>
    </row>
    <row r="1814" customFormat="false" ht="30" hidden="false" customHeight="true" outlineLevel="0" collapsed="false">
      <c r="A1814" s="8" t="s">
        <v>3588</v>
      </c>
      <c r="B1814" s="9" t="s">
        <v>3589</v>
      </c>
      <c r="C1814" s="6" t="n">
        <v>43489</v>
      </c>
      <c r="D1814" s="3" t="n">
        <v>10</v>
      </c>
      <c r="E1814" s="3" t="n">
        <v>10</v>
      </c>
      <c r="F1814" s="7" t="n">
        <f aca="false">IFERROR(Tableau1[[#This Row],[Score]]/Tableau1[[#This Row],[Nb]],0)</f>
        <v>1</v>
      </c>
    </row>
    <row r="1815" customFormat="false" ht="30" hidden="false" customHeight="true" outlineLevel="0" collapsed="false">
      <c r="A1815" s="1" t="s">
        <v>3590</v>
      </c>
      <c r="B1815" s="2" t="s">
        <v>3591</v>
      </c>
      <c r="C1815" s="6" t="n">
        <v>43490</v>
      </c>
      <c r="D1815" s="3" t="n">
        <v>22</v>
      </c>
      <c r="E1815" s="3" t="n">
        <v>-11</v>
      </c>
      <c r="F1815" s="7" t="n">
        <f aca="false">IFERROR(Tableau1[[#This Row],[Score]]/Tableau1[[#This Row],[Nb]],0)</f>
        <v>-0.5</v>
      </c>
    </row>
    <row r="1816" customFormat="false" ht="30" hidden="false" customHeight="true" outlineLevel="0" collapsed="false">
      <c r="A1816" s="1" t="s">
        <v>3592</v>
      </c>
      <c r="B1816" s="2" t="s">
        <v>3593</v>
      </c>
      <c r="C1816" s="6" t="n">
        <v>43491</v>
      </c>
      <c r="D1816" s="3" t="n">
        <v>14</v>
      </c>
      <c r="E1816" s="3" t="n">
        <v>10</v>
      </c>
      <c r="F1816" s="7" t="n">
        <f aca="false">IFERROR(Tableau1[[#This Row],[Score]]/Tableau1[[#This Row],[Nb]],0)</f>
        <v>0.714285714285714</v>
      </c>
    </row>
    <row r="1817" customFormat="false" ht="30" hidden="false" customHeight="true" outlineLevel="0" collapsed="false">
      <c r="A1817" s="1" t="s">
        <v>3594</v>
      </c>
      <c r="B1817" s="2" t="s">
        <v>3595</v>
      </c>
      <c r="C1817" s="6" t="n">
        <v>43494</v>
      </c>
      <c r="D1817" s="3" t="n">
        <v>13</v>
      </c>
      <c r="E1817" s="3" t="n">
        <v>5</v>
      </c>
      <c r="F1817" s="7" t="n">
        <f aca="false">IFERROR(Tableau1[[#This Row],[Score]]/Tableau1[[#This Row],[Nb]],0)</f>
        <v>0.384615384615385</v>
      </c>
    </row>
    <row r="1818" customFormat="false" ht="30" hidden="false" customHeight="true" outlineLevel="0" collapsed="false">
      <c r="A1818" s="1" t="s">
        <v>3596</v>
      </c>
      <c r="B1818" s="2" t="s">
        <v>3597</v>
      </c>
      <c r="C1818" s="6" t="n">
        <v>43494</v>
      </c>
      <c r="D1818" s="3" t="n">
        <v>16</v>
      </c>
      <c r="E1818" s="3" t="n">
        <v>14</v>
      </c>
      <c r="F1818" s="7" t="n">
        <f aca="false">IFERROR(Tableau1[[#This Row],[Score]]/Tableau1[[#This Row],[Nb]],0)</f>
        <v>0.875</v>
      </c>
    </row>
    <row r="1819" customFormat="false" ht="30" hidden="false" customHeight="true" outlineLevel="0" collapsed="false">
      <c r="A1819" s="1" t="s">
        <v>3598</v>
      </c>
      <c r="B1819" s="2" t="s">
        <v>3599</v>
      </c>
      <c r="C1819" s="6" t="n">
        <v>43501</v>
      </c>
      <c r="D1819" s="3" t="n">
        <v>7</v>
      </c>
      <c r="E1819" s="3" t="n">
        <v>-7</v>
      </c>
      <c r="F1819" s="7" t="n">
        <f aca="false">IFERROR(Tableau1[[#This Row],[Score]]/Tableau1[[#This Row],[Nb]],0)</f>
        <v>-1</v>
      </c>
    </row>
    <row r="1820" customFormat="false" ht="30" hidden="false" customHeight="true" outlineLevel="0" collapsed="false">
      <c r="A1820" s="1" t="s">
        <v>3600</v>
      </c>
      <c r="B1820" s="2" t="s">
        <v>3601</v>
      </c>
      <c r="C1820" s="6" t="n">
        <v>43501</v>
      </c>
      <c r="D1820" s="3" t="n">
        <v>11</v>
      </c>
      <c r="E1820" s="3" t="n">
        <v>-9</v>
      </c>
      <c r="F1820" s="7" t="n">
        <f aca="false">IFERROR(Tableau1[[#This Row],[Score]]/Tableau1[[#This Row],[Nb]],0)</f>
        <v>-0.818181818181818</v>
      </c>
    </row>
    <row r="1821" customFormat="false" ht="30" hidden="false" customHeight="true" outlineLevel="0" collapsed="false">
      <c r="A1821" s="1" t="s">
        <v>3602</v>
      </c>
      <c r="B1821" s="2" t="s">
        <v>3603</v>
      </c>
      <c r="C1821" s="6" t="n">
        <v>43501</v>
      </c>
      <c r="D1821" s="3" t="n">
        <v>7</v>
      </c>
      <c r="E1821" s="3" t="n">
        <v>-3</v>
      </c>
      <c r="F1821" s="7" t="n">
        <f aca="false">IFERROR(Tableau1[[#This Row],[Score]]/Tableau1[[#This Row],[Nb]],0)</f>
        <v>-0.428571428571429</v>
      </c>
    </row>
    <row r="1822" customFormat="false" ht="30" hidden="false" customHeight="true" outlineLevel="0" collapsed="false">
      <c r="A1822" s="1" t="s">
        <v>3604</v>
      </c>
      <c r="B1822" s="2" t="s">
        <v>3605</v>
      </c>
      <c r="C1822" s="6" t="n">
        <v>43501</v>
      </c>
      <c r="D1822" s="3" t="n">
        <v>9</v>
      </c>
      <c r="E1822" s="3" t="n">
        <v>-1</v>
      </c>
      <c r="F1822" s="7" t="n">
        <f aca="false">IFERROR(Tableau1[[#This Row],[Score]]/Tableau1[[#This Row],[Nb]],0)</f>
        <v>-0.111111111111111</v>
      </c>
    </row>
    <row r="1823" customFormat="false" ht="30" hidden="false" customHeight="true" outlineLevel="0" collapsed="false">
      <c r="A1823" s="1" t="s">
        <v>3606</v>
      </c>
      <c r="B1823" s="2" t="s">
        <v>3607</v>
      </c>
      <c r="C1823" s="6" t="n">
        <v>43501</v>
      </c>
      <c r="D1823" s="3" t="n">
        <v>18</v>
      </c>
      <c r="E1823" s="3" t="n">
        <v>1</v>
      </c>
      <c r="F1823" s="7" t="n">
        <f aca="false">IFERROR(Tableau1[[#This Row],[Score]]/Tableau1[[#This Row],[Nb]],0)</f>
        <v>0.0555555555555556</v>
      </c>
    </row>
    <row r="1824" customFormat="false" ht="30" hidden="false" customHeight="true" outlineLevel="0" collapsed="false">
      <c r="A1824" s="1" t="s">
        <v>3608</v>
      </c>
      <c r="B1824" s="2" t="s">
        <v>3609</v>
      </c>
      <c r="C1824" s="6" t="n">
        <v>43501</v>
      </c>
      <c r="D1824" s="3" t="n">
        <v>12</v>
      </c>
      <c r="E1824" s="3" t="n">
        <v>2</v>
      </c>
      <c r="F1824" s="7" t="n">
        <f aca="false">IFERROR(Tableau1[[#This Row],[Score]]/Tableau1[[#This Row],[Nb]],0)</f>
        <v>0.166666666666667</v>
      </c>
    </row>
    <row r="1825" customFormat="false" ht="30" hidden="false" customHeight="true" outlineLevel="0" collapsed="false">
      <c r="A1825" s="1" t="s">
        <v>3610</v>
      </c>
      <c r="B1825" s="2" t="s">
        <v>3611</v>
      </c>
      <c r="C1825" s="6" t="n">
        <v>43509</v>
      </c>
      <c r="D1825" s="3" t="n">
        <v>5</v>
      </c>
      <c r="E1825" s="3" t="n">
        <v>-5</v>
      </c>
      <c r="F1825" s="7" t="n">
        <f aca="false">IFERROR(Tableau1[[#This Row],[Score]]/Tableau1[[#This Row],[Nb]],0)</f>
        <v>-1</v>
      </c>
    </row>
    <row r="1826" customFormat="false" ht="30" hidden="false" customHeight="true" outlineLevel="0" collapsed="false">
      <c r="A1826" s="1" t="s">
        <v>3612</v>
      </c>
      <c r="B1826" s="2" t="s">
        <v>3613</v>
      </c>
      <c r="C1826" s="6" t="n">
        <v>43509</v>
      </c>
      <c r="D1826" s="3" t="n">
        <v>4</v>
      </c>
      <c r="E1826" s="3" t="n">
        <v>-4</v>
      </c>
      <c r="F1826" s="7" t="n">
        <f aca="false">IFERROR(Tableau1[[#This Row],[Score]]/Tableau1[[#This Row],[Nb]],0)</f>
        <v>-1</v>
      </c>
    </row>
    <row r="1827" customFormat="false" ht="30" hidden="false" customHeight="true" outlineLevel="0" collapsed="false">
      <c r="A1827" s="1" t="s">
        <v>3614</v>
      </c>
      <c r="B1827" s="2" t="s">
        <v>3615</v>
      </c>
      <c r="C1827" s="6" t="n">
        <v>43509</v>
      </c>
      <c r="D1827" s="3" t="n">
        <v>11</v>
      </c>
      <c r="E1827" s="3" t="n">
        <v>-7</v>
      </c>
      <c r="F1827" s="7" t="n">
        <f aca="false">IFERROR(Tableau1[[#This Row],[Score]]/Tableau1[[#This Row],[Nb]],0)</f>
        <v>-0.636363636363636</v>
      </c>
    </row>
    <row r="1828" customFormat="false" ht="30" hidden="false" customHeight="true" outlineLevel="0" collapsed="false">
      <c r="A1828" s="1" t="s">
        <v>1494</v>
      </c>
      <c r="B1828" s="2" t="s">
        <v>3616</v>
      </c>
      <c r="C1828" s="6" t="n">
        <v>43509</v>
      </c>
      <c r="D1828" s="3" t="n">
        <v>9</v>
      </c>
      <c r="E1828" s="3" t="n">
        <v>3</v>
      </c>
      <c r="F1828" s="7" t="n">
        <f aca="false">IFERROR(Tableau1[[#This Row],[Score]]/Tableau1[[#This Row],[Nb]],0)</f>
        <v>0.333333333333333</v>
      </c>
    </row>
    <row r="1829" customFormat="false" ht="30" hidden="false" customHeight="true" outlineLevel="0" collapsed="false">
      <c r="A1829" s="1" t="s">
        <v>3617</v>
      </c>
      <c r="B1829" s="2" t="s">
        <v>3618</v>
      </c>
      <c r="C1829" s="6" t="n">
        <v>43509</v>
      </c>
      <c r="D1829" s="3" t="n">
        <v>12</v>
      </c>
      <c r="E1829" s="3" t="n">
        <v>6</v>
      </c>
      <c r="F1829" s="7" t="n">
        <f aca="false">IFERROR(Tableau1[[#This Row],[Score]]/Tableau1[[#This Row],[Nb]],0)</f>
        <v>0.5</v>
      </c>
    </row>
    <row r="1830" customFormat="false" ht="30" hidden="false" customHeight="true" outlineLevel="0" collapsed="false">
      <c r="A1830" s="1" t="s">
        <v>3619</v>
      </c>
      <c r="B1830" s="2" t="s">
        <v>3620</v>
      </c>
      <c r="C1830" s="6" t="n">
        <v>43509</v>
      </c>
      <c r="D1830" s="3" t="n">
        <v>11</v>
      </c>
      <c r="E1830" s="3" t="n">
        <v>7</v>
      </c>
      <c r="F1830" s="7" t="n">
        <f aca="false">IFERROR(Tableau1[[#This Row],[Score]]/Tableau1[[#This Row],[Nb]],0)</f>
        <v>0.636363636363636</v>
      </c>
    </row>
    <row r="1831" customFormat="false" ht="30" hidden="false" customHeight="true" outlineLevel="0" collapsed="false">
      <c r="A1831" s="1" t="s">
        <v>3621</v>
      </c>
      <c r="B1831" s="2" t="s">
        <v>3622</v>
      </c>
      <c r="C1831" s="6" t="n">
        <v>43509</v>
      </c>
      <c r="D1831" s="3" t="n">
        <v>14</v>
      </c>
      <c r="E1831" s="3" t="n">
        <v>10</v>
      </c>
      <c r="F1831" s="7" t="n">
        <f aca="false">IFERROR(Tableau1[[#This Row],[Score]]/Tableau1[[#This Row],[Nb]],0)</f>
        <v>0.714285714285714</v>
      </c>
    </row>
    <row r="1832" customFormat="false" ht="30" hidden="false" customHeight="true" outlineLevel="0" collapsed="false">
      <c r="A1832" s="1" t="s">
        <v>3623</v>
      </c>
      <c r="B1832" s="2" t="s">
        <v>3624</v>
      </c>
      <c r="C1832" s="6" t="n">
        <v>43509</v>
      </c>
      <c r="D1832" s="3" t="n">
        <v>9</v>
      </c>
      <c r="E1832" s="3" t="n">
        <v>9</v>
      </c>
      <c r="F1832" s="7" t="n">
        <f aca="false">IFERROR(Tableau1[[#This Row],[Score]]/Tableau1[[#This Row],[Nb]],0)</f>
        <v>1</v>
      </c>
    </row>
    <row r="1833" customFormat="false" ht="30" hidden="false" customHeight="true" outlineLevel="0" collapsed="false">
      <c r="A1833" s="1" t="s">
        <v>3625</v>
      </c>
      <c r="B1833" s="2" t="s">
        <v>3626</v>
      </c>
      <c r="C1833" s="6" t="n">
        <v>43512</v>
      </c>
      <c r="D1833" s="3" t="n">
        <v>12</v>
      </c>
      <c r="E1833" s="3" t="n">
        <v>-8</v>
      </c>
      <c r="F1833" s="7" t="n">
        <f aca="false">IFERROR(Tableau1[[#This Row],[Score]]/Tableau1[[#This Row],[Nb]],0)</f>
        <v>-0.666666666666667</v>
      </c>
    </row>
    <row r="1834" customFormat="false" ht="30" hidden="false" customHeight="true" outlineLevel="0" collapsed="false">
      <c r="A1834" s="1" t="s">
        <v>3627</v>
      </c>
      <c r="B1834" s="2" t="s">
        <v>3628</v>
      </c>
      <c r="C1834" s="6" t="n">
        <v>43515</v>
      </c>
      <c r="D1834" s="3" t="n">
        <v>8</v>
      </c>
      <c r="E1834" s="3" t="n">
        <v>-8</v>
      </c>
      <c r="F1834" s="7" t="n">
        <f aca="false">IFERROR(Tableau1[[#This Row],[Score]]/Tableau1[[#This Row],[Nb]],0)</f>
        <v>-1</v>
      </c>
    </row>
    <row r="1835" customFormat="false" ht="30" hidden="false" customHeight="true" outlineLevel="0" collapsed="false">
      <c r="A1835" s="1" t="s">
        <v>3629</v>
      </c>
      <c r="B1835" s="2" t="s">
        <v>3630</v>
      </c>
      <c r="C1835" s="6" t="n">
        <v>43515</v>
      </c>
      <c r="D1835" s="3" t="n">
        <v>10</v>
      </c>
      <c r="E1835" s="3" t="n">
        <v>4</v>
      </c>
      <c r="F1835" s="7" t="n">
        <f aca="false">IFERROR(Tableau1[[#This Row],[Score]]/Tableau1[[#This Row],[Nb]],0)</f>
        <v>0.4</v>
      </c>
    </row>
    <row r="1836" customFormat="false" ht="30" hidden="false" customHeight="true" outlineLevel="0" collapsed="false">
      <c r="A1836" s="8" t="s">
        <v>3631</v>
      </c>
      <c r="B1836" s="9" t="s">
        <v>3632</v>
      </c>
      <c r="C1836" s="6" t="n">
        <v>43526</v>
      </c>
      <c r="D1836" s="3" t="n">
        <v>10</v>
      </c>
      <c r="E1836" s="3" t="n">
        <v>10</v>
      </c>
      <c r="F1836" s="7" t="n">
        <f aca="false">IFERROR(Tableau1[[#This Row],[Score]]/Tableau1[[#This Row],[Nb]],0)</f>
        <v>1</v>
      </c>
    </row>
    <row r="1837" customFormat="false" ht="30" hidden="false" customHeight="true" outlineLevel="0" collapsed="false">
      <c r="A1837" s="1" t="s">
        <v>3633</v>
      </c>
      <c r="B1837" s="2" t="s">
        <v>3634</v>
      </c>
      <c r="C1837" s="6" t="n">
        <v>43548</v>
      </c>
      <c r="D1837" s="3" t="n">
        <v>8</v>
      </c>
      <c r="E1837" s="3" t="n">
        <v>-6</v>
      </c>
      <c r="F1837" s="7" t="n">
        <f aca="false">IFERROR(Tableau1[[#This Row],[Score]]/Tableau1[[#This Row],[Nb]],0)</f>
        <v>-0.75</v>
      </c>
    </row>
    <row r="1838" customFormat="false" ht="30" hidden="false" customHeight="true" outlineLevel="0" collapsed="false">
      <c r="A1838" s="1" t="s">
        <v>3635</v>
      </c>
      <c r="B1838" s="2" t="s">
        <v>3636</v>
      </c>
      <c r="C1838" s="6" t="n">
        <v>43548</v>
      </c>
      <c r="D1838" s="3" t="n">
        <v>10</v>
      </c>
      <c r="E1838" s="3" t="n">
        <v>4</v>
      </c>
      <c r="F1838" s="7" t="n">
        <f aca="false">IFERROR(Tableau1[[#This Row],[Score]]/Tableau1[[#This Row],[Nb]],0)</f>
        <v>0.4</v>
      </c>
    </row>
    <row r="1839" customFormat="false" ht="30" hidden="false" customHeight="true" outlineLevel="0" collapsed="false">
      <c r="A1839" s="1" t="s">
        <v>3637</v>
      </c>
      <c r="B1839" s="2" t="s">
        <v>3638</v>
      </c>
      <c r="C1839" s="6" t="n">
        <v>43548</v>
      </c>
      <c r="D1839" s="3" t="n">
        <v>17</v>
      </c>
      <c r="E1839" s="3" t="n">
        <v>7</v>
      </c>
      <c r="F1839" s="7" t="n">
        <f aca="false">IFERROR(Tableau1[[#This Row],[Score]]/Tableau1[[#This Row],[Nb]],0)</f>
        <v>0.411764705882353</v>
      </c>
    </row>
    <row r="1840" customFormat="false" ht="30" hidden="false" customHeight="true" outlineLevel="0" collapsed="false">
      <c r="A1840" s="1" t="s">
        <v>3639</v>
      </c>
      <c r="B1840" s="2" t="s">
        <v>3640</v>
      </c>
      <c r="C1840" s="6" t="n">
        <v>43548</v>
      </c>
      <c r="D1840" s="3" t="n">
        <v>8</v>
      </c>
      <c r="E1840" s="3" t="n">
        <v>4</v>
      </c>
      <c r="F1840" s="7" t="n">
        <f aca="false">IFERROR(Tableau1[[#This Row],[Score]]/Tableau1[[#This Row],[Nb]],0)</f>
        <v>0.5</v>
      </c>
    </row>
    <row r="1841" customFormat="false" ht="30" hidden="false" customHeight="true" outlineLevel="0" collapsed="false">
      <c r="A1841" s="1" t="s">
        <v>3641</v>
      </c>
      <c r="B1841" s="2" t="s">
        <v>3642</v>
      </c>
      <c r="C1841" s="6" t="n">
        <v>43548</v>
      </c>
      <c r="D1841" s="3" t="n">
        <v>7</v>
      </c>
      <c r="E1841" s="3" t="n">
        <v>5</v>
      </c>
      <c r="F1841" s="7" t="n">
        <f aca="false">IFERROR(Tableau1[[#This Row],[Score]]/Tableau1[[#This Row],[Nb]],0)</f>
        <v>0.714285714285714</v>
      </c>
    </row>
    <row r="1842" customFormat="false" ht="30" hidden="false" customHeight="true" outlineLevel="0" collapsed="false">
      <c r="A1842" s="1" t="s">
        <v>3643</v>
      </c>
      <c r="B1842" s="2" t="s">
        <v>3644</v>
      </c>
      <c r="C1842" s="6" t="n">
        <v>43548</v>
      </c>
      <c r="D1842" s="3" t="n">
        <v>8</v>
      </c>
      <c r="E1842" s="3" t="n">
        <v>6</v>
      </c>
      <c r="F1842" s="7" t="n">
        <f aca="false">IFERROR(Tableau1[[#This Row],[Score]]/Tableau1[[#This Row],[Nb]],0)</f>
        <v>0.75</v>
      </c>
    </row>
    <row r="1843" customFormat="false" ht="30" hidden="false" customHeight="true" outlineLevel="0" collapsed="false">
      <c r="A1843" s="8" t="s">
        <v>3645</v>
      </c>
      <c r="B1843" s="9" t="s">
        <v>3646</v>
      </c>
      <c r="C1843" s="6" t="n">
        <v>43548</v>
      </c>
      <c r="D1843" s="3" t="n">
        <v>10</v>
      </c>
      <c r="E1843" s="3" t="n">
        <v>10</v>
      </c>
      <c r="F1843" s="7" t="n">
        <f aca="false">IFERROR(Tableau1[[#This Row],[Score]]/Tableau1[[#This Row],[Nb]],0)</f>
        <v>1</v>
      </c>
    </row>
    <row r="1844" customFormat="false" ht="30" hidden="false" customHeight="true" outlineLevel="0" collapsed="false">
      <c r="A1844" s="8" t="s">
        <v>3647</v>
      </c>
      <c r="B1844" s="9" t="s">
        <v>3648</v>
      </c>
      <c r="C1844" s="6" t="n">
        <v>43548</v>
      </c>
      <c r="D1844" s="3" t="n">
        <v>10</v>
      </c>
      <c r="E1844" s="3" t="n">
        <v>10</v>
      </c>
      <c r="F1844" s="7" t="n">
        <f aca="false">IFERROR(Tableau1[[#This Row],[Score]]/Tableau1[[#This Row],[Nb]],0)</f>
        <v>1</v>
      </c>
    </row>
    <row r="1845" customFormat="false" ht="30" hidden="false" customHeight="true" outlineLevel="0" collapsed="false">
      <c r="A1845" s="8" t="s">
        <v>3649</v>
      </c>
      <c r="B1845" s="9" t="s">
        <v>3650</v>
      </c>
      <c r="C1845" s="6" t="n">
        <v>43548</v>
      </c>
      <c r="D1845" s="3" t="n">
        <v>10</v>
      </c>
      <c r="E1845" s="3" t="n">
        <v>10</v>
      </c>
      <c r="F1845" s="7" t="n">
        <f aca="false">IFERROR(Tableau1[[#This Row],[Score]]/Tableau1[[#This Row],[Nb]],0)</f>
        <v>1</v>
      </c>
    </row>
    <row r="1846" customFormat="false" ht="30" hidden="false" customHeight="true" outlineLevel="0" collapsed="false">
      <c r="A1846" s="1" t="s">
        <v>3651</v>
      </c>
      <c r="B1846" s="2" t="s">
        <v>3652</v>
      </c>
      <c r="C1846" s="6" t="n">
        <v>43548</v>
      </c>
      <c r="D1846" s="3" t="n">
        <v>8</v>
      </c>
      <c r="E1846" s="3" t="n">
        <v>8</v>
      </c>
      <c r="F1846" s="7" t="n">
        <f aca="false">IFERROR(Tableau1[[#This Row],[Score]]/Tableau1[[#This Row],[Nb]],0)</f>
        <v>1</v>
      </c>
    </row>
    <row r="1847" customFormat="false" ht="30" hidden="false" customHeight="true" outlineLevel="0" collapsed="false">
      <c r="A1847" s="1" t="s">
        <v>3653</v>
      </c>
      <c r="B1847" s="2" t="s">
        <v>3654</v>
      </c>
      <c r="C1847" s="6" t="n">
        <v>43548</v>
      </c>
      <c r="D1847" s="3" t="n">
        <v>9</v>
      </c>
      <c r="E1847" s="3" t="n">
        <v>9</v>
      </c>
      <c r="F1847" s="7" t="n">
        <f aca="false">IFERROR(Tableau1[[#This Row],[Score]]/Tableau1[[#This Row],[Nb]],0)</f>
        <v>1</v>
      </c>
    </row>
    <row r="1848" customFormat="false" ht="30" hidden="false" customHeight="true" outlineLevel="0" collapsed="false">
      <c r="A1848" s="1" t="s">
        <v>3655</v>
      </c>
      <c r="B1848" s="2" t="s">
        <v>3656</v>
      </c>
      <c r="C1848" s="6" t="n">
        <v>43548</v>
      </c>
      <c r="D1848" s="3" t="n">
        <v>6</v>
      </c>
      <c r="E1848" s="3" t="n">
        <v>6</v>
      </c>
      <c r="F1848" s="7" t="n">
        <f aca="false">IFERROR(Tableau1[[#This Row],[Score]]/Tableau1[[#This Row],[Nb]],0)</f>
        <v>1</v>
      </c>
    </row>
    <row r="1849" customFormat="false" ht="30" hidden="false" customHeight="true" outlineLevel="0" collapsed="false">
      <c r="A1849" s="1" t="s">
        <v>3657</v>
      </c>
      <c r="B1849" s="2" t="s">
        <v>3658</v>
      </c>
      <c r="C1849" s="6" t="n">
        <v>43548</v>
      </c>
      <c r="D1849" s="3" t="n">
        <v>7</v>
      </c>
      <c r="E1849" s="3" t="n">
        <v>7</v>
      </c>
      <c r="F1849" s="7" t="n">
        <f aca="false">IFERROR(Tableau1[[#This Row],[Score]]/Tableau1[[#This Row],[Nb]],0)</f>
        <v>1</v>
      </c>
    </row>
    <row r="1850" customFormat="false" ht="30" hidden="false" customHeight="true" outlineLevel="0" collapsed="false">
      <c r="A1850" s="1" t="s">
        <v>3659</v>
      </c>
      <c r="B1850" s="2" t="s">
        <v>3660</v>
      </c>
      <c r="C1850" s="6" t="n">
        <v>43548</v>
      </c>
      <c r="D1850" s="3" t="n">
        <v>7</v>
      </c>
      <c r="E1850" s="3" t="n">
        <v>7</v>
      </c>
      <c r="F1850" s="7" t="n">
        <f aca="false">IFERROR(Tableau1[[#This Row],[Score]]/Tableau1[[#This Row],[Nb]],0)</f>
        <v>1</v>
      </c>
    </row>
    <row r="1851" customFormat="false" ht="30" hidden="false" customHeight="true" outlineLevel="0" collapsed="false">
      <c r="A1851" s="1" t="s">
        <v>3661</v>
      </c>
      <c r="B1851" s="2" t="s">
        <v>3662</v>
      </c>
      <c r="C1851" s="6" t="n">
        <v>43548</v>
      </c>
      <c r="D1851" s="3" t="n">
        <v>9</v>
      </c>
      <c r="E1851" s="3" t="n">
        <v>9</v>
      </c>
      <c r="F1851" s="7" t="n">
        <f aca="false">IFERROR(Tableau1[[#This Row],[Score]]/Tableau1[[#This Row],[Nb]],0)</f>
        <v>1</v>
      </c>
    </row>
    <row r="1852" customFormat="false" ht="30" hidden="false" customHeight="true" outlineLevel="0" collapsed="false">
      <c r="A1852" s="1" t="s">
        <v>3663</v>
      </c>
      <c r="B1852" s="2" t="s">
        <v>3664</v>
      </c>
      <c r="C1852" s="6" t="n">
        <v>43604</v>
      </c>
      <c r="D1852" s="3" t="n">
        <v>13</v>
      </c>
      <c r="E1852" s="3" t="n">
        <v>9</v>
      </c>
      <c r="F1852" s="7" t="n">
        <f aca="false">IFERROR(Tableau1[[#This Row],[Score]]/Tableau1[[#This Row],[Nb]],0)</f>
        <v>0.692307692307692</v>
      </c>
    </row>
    <row r="1853" customFormat="false" ht="30" hidden="false" customHeight="true" outlineLevel="0" collapsed="false">
      <c r="A1853" s="1" t="s">
        <v>3665</v>
      </c>
      <c r="B1853" s="2" t="s">
        <v>3666</v>
      </c>
      <c r="C1853" s="6" t="n">
        <v>43610</v>
      </c>
      <c r="D1853" s="3" t="n">
        <v>13</v>
      </c>
      <c r="E1853" s="3" t="n">
        <v>-11</v>
      </c>
      <c r="F1853" s="7" t="n">
        <f aca="false">IFERROR(Tableau1[[#This Row],[Score]]/Tableau1[[#This Row],[Nb]],0)</f>
        <v>-0.846153846153846</v>
      </c>
    </row>
    <row r="1854" customFormat="false" ht="30" hidden="false" customHeight="true" outlineLevel="0" collapsed="false">
      <c r="A1854" s="1" t="s">
        <v>3667</v>
      </c>
      <c r="B1854" s="2" t="s">
        <v>3668</v>
      </c>
      <c r="C1854" s="6" t="n">
        <v>43610</v>
      </c>
      <c r="D1854" s="3" t="n">
        <v>11</v>
      </c>
      <c r="E1854" s="3" t="n">
        <v>-9</v>
      </c>
      <c r="F1854" s="7" t="n">
        <f aca="false">IFERROR(Tableau1[[#This Row],[Score]]/Tableau1[[#This Row],[Nb]],0)</f>
        <v>-0.818181818181818</v>
      </c>
    </row>
    <row r="1855" customFormat="false" ht="30" hidden="false" customHeight="true" outlineLevel="0" collapsed="false">
      <c r="A1855" s="1" t="s">
        <v>3669</v>
      </c>
      <c r="B1855" s="2" t="s">
        <v>3670</v>
      </c>
      <c r="C1855" s="6" t="n">
        <v>43610</v>
      </c>
      <c r="D1855" s="3" t="n">
        <v>8</v>
      </c>
      <c r="E1855" s="3" t="n">
        <v>-6</v>
      </c>
      <c r="F1855" s="7" t="n">
        <f aca="false">IFERROR(Tableau1[[#This Row],[Score]]/Tableau1[[#This Row],[Nb]],0)</f>
        <v>-0.75</v>
      </c>
    </row>
    <row r="1856" customFormat="false" ht="30" hidden="false" customHeight="true" outlineLevel="0" collapsed="false">
      <c r="A1856" s="1" t="s">
        <v>3671</v>
      </c>
      <c r="B1856" s="2" t="s">
        <v>3672</v>
      </c>
      <c r="C1856" s="6" t="n">
        <v>43610</v>
      </c>
      <c r="D1856" s="3" t="n">
        <v>4</v>
      </c>
      <c r="E1856" s="3" t="n">
        <v>-2</v>
      </c>
      <c r="F1856" s="7" t="n">
        <f aca="false">IFERROR(Tableau1[[#This Row],[Score]]/Tableau1[[#This Row],[Nb]],0)</f>
        <v>-0.5</v>
      </c>
    </row>
    <row r="1857" customFormat="false" ht="30" hidden="false" customHeight="true" outlineLevel="0" collapsed="false">
      <c r="A1857" s="1" t="s">
        <v>3673</v>
      </c>
      <c r="B1857" s="2" t="s">
        <v>3674</v>
      </c>
      <c r="C1857" s="6" t="n">
        <v>43610</v>
      </c>
      <c r="D1857" s="3" t="n">
        <v>4</v>
      </c>
      <c r="E1857" s="3" t="n">
        <v>0</v>
      </c>
      <c r="F1857" s="7" t="n">
        <f aca="false">IFERROR(Tableau1[[#This Row],[Score]]/Tableau1[[#This Row],[Nb]],0)</f>
        <v>0</v>
      </c>
    </row>
    <row r="1858" customFormat="false" ht="30" hidden="false" customHeight="true" outlineLevel="0" collapsed="false">
      <c r="A1858" s="1" t="s">
        <v>3675</v>
      </c>
      <c r="B1858" s="2" t="s">
        <v>3676</v>
      </c>
      <c r="C1858" s="6" t="n">
        <v>43610</v>
      </c>
      <c r="D1858" s="3" t="n">
        <v>9</v>
      </c>
      <c r="E1858" s="3" t="n">
        <v>1</v>
      </c>
      <c r="F1858" s="7" t="n">
        <f aca="false">IFERROR(Tableau1[[#This Row],[Score]]/Tableau1[[#This Row],[Nb]],0)</f>
        <v>0.111111111111111</v>
      </c>
    </row>
    <row r="1859" customFormat="false" ht="30" hidden="false" customHeight="true" outlineLevel="0" collapsed="false">
      <c r="A1859" s="1" t="s">
        <v>3677</v>
      </c>
      <c r="B1859" s="2" t="s">
        <v>3678</v>
      </c>
      <c r="C1859" s="6" t="n">
        <v>43610</v>
      </c>
      <c r="D1859" s="3" t="n">
        <v>15</v>
      </c>
      <c r="E1859" s="3" t="n">
        <v>3</v>
      </c>
      <c r="F1859" s="7" t="n">
        <f aca="false">IFERROR(Tableau1[[#This Row],[Score]]/Tableau1[[#This Row],[Nb]],0)</f>
        <v>0.2</v>
      </c>
    </row>
    <row r="1860" customFormat="false" ht="30" hidden="false" customHeight="true" outlineLevel="0" collapsed="false">
      <c r="A1860" s="1" t="s">
        <v>3679</v>
      </c>
      <c r="B1860" s="2" t="s">
        <v>3680</v>
      </c>
      <c r="C1860" s="6" t="n">
        <v>43610</v>
      </c>
      <c r="D1860" s="3" t="n">
        <v>6</v>
      </c>
      <c r="E1860" s="3" t="n">
        <v>4</v>
      </c>
      <c r="F1860" s="7" t="n">
        <f aca="false">IFERROR(Tableau1[[#This Row],[Score]]/Tableau1[[#This Row],[Nb]],0)</f>
        <v>0.666666666666667</v>
      </c>
    </row>
    <row r="1861" customFormat="false" ht="30" hidden="false" customHeight="true" outlineLevel="0" collapsed="false">
      <c r="A1861" s="1" t="s">
        <v>3681</v>
      </c>
      <c r="B1861" s="2" t="s">
        <v>3682</v>
      </c>
      <c r="C1861" s="6" t="n">
        <v>43620</v>
      </c>
      <c r="D1861" s="3" t="n">
        <v>5</v>
      </c>
      <c r="E1861" s="3" t="n">
        <v>-5</v>
      </c>
      <c r="F1861" s="7" t="n">
        <f aca="false">IFERROR(Tableau1[[#This Row],[Score]]/Tableau1[[#This Row],[Nb]],0)</f>
        <v>-1</v>
      </c>
    </row>
    <row r="1862" customFormat="false" ht="30" hidden="false" customHeight="true" outlineLevel="0" collapsed="false">
      <c r="A1862" s="1" t="s">
        <v>3683</v>
      </c>
      <c r="B1862" s="2" t="s">
        <v>3684</v>
      </c>
      <c r="C1862" s="6" t="n">
        <v>43620</v>
      </c>
      <c r="D1862" s="3" t="n">
        <v>8</v>
      </c>
      <c r="E1862" s="3" t="n">
        <v>-8</v>
      </c>
      <c r="F1862" s="7" t="n">
        <f aca="false">IFERROR(Tableau1[[#This Row],[Score]]/Tableau1[[#This Row],[Nb]],0)</f>
        <v>-1</v>
      </c>
    </row>
    <row r="1863" customFormat="false" ht="30" hidden="false" customHeight="true" outlineLevel="0" collapsed="false">
      <c r="A1863" s="1" t="s">
        <v>3685</v>
      </c>
      <c r="B1863" s="2" t="s">
        <v>3686</v>
      </c>
      <c r="C1863" s="6" t="n">
        <v>43620</v>
      </c>
      <c r="D1863" s="3" t="n">
        <v>12</v>
      </c>
      <c r="E1863" s="3" t="n">
        <v>-10</v>
      </c>
      <c r="F1863" s="7" t="n">
        <f aca="false">IFERROR(Tableau1[[#This Row],[Score]]/Tableau1[[#This Row],[Nb]],0)</f>
        <v>-0.833333333333333</v>
      </c>
    </row>
    <row r="1864" customFormat="false" ht="30" hidden="false" customHeight="true" outlineLevel="0" collapsed="false">
      <c r="A1864" s="1" t="s">
        <v>3687</v>
      </c>
      <c r="B1864" s="2" t="s">
        <v>3688</v>
      </c>
      <c r="C1864" s="6" t="n">
        <v>43620</v>
      </c>
      <c r="D1864" s="3" t="n">
        <v>11</v>
      </c>
      <c r="E1864" s="3" t="n">
        <v>-7</v>
      </c>
      <c r="F1864" s="7" t="n">
        <f aca="false">IFERROR(Tableau1[[#This Row],[Score]]/Tableau1[[#This Row],[Nb]],0)</f>
        <v>-0.636363636363636</v>
      </c>
    </row>
    <row r="1865" customFormat="false" ht="30" hidden="false" customHeight="true" outlineLevel="0" collapsed="false">
      <c r="A1865" s="1" t="s">
        <v>3689</v>
      </c>
      <c r="B1865" s="2" t="s">
        <v>3690</v>
      </c>
      <c r="C1865" s="6" t="n">
        <v>43620</v>
      </c>
      <c r="D1865" s="3" t="n">
        <v>15</v>
      </c>
      <c r="E1865" s="3" t="n">
        <v>-3</v>
      </c>
      <c r="F1865" s="7" t="n">
        <f aca="false">IFERROR(Tableau1[[#This Row],[Score]]/Tableau1[[#This Row],[Nb]],0)</f>
        <v>-0.2</v>
      </c>
    </row>
    <row r="1866" customFormat="false" ht="30" hidden="false" customHeight="true" outlineLevel="0" collapsed="false">
      <c r="A1866" s="1" t="s">
        <v>3691</v>
      </c>
      <c r="B1866" s="2" t="s">
        <v>3692</v>
      </c>
      <c r="C1866" s="6" t="n">
        <v>43620</v>
      </c>
      <c r="D1866" s="3" t="n">
        <v>12</v>
      </c>
      <c r="E1866" s="3" t="n">
        <v>0</v>
      </c>
      <c r="F1866" s="7" t="n">
        <f aca="false">IFERROR(Tableau1[[#This Row],[Score]]/Tableau1[[#This Row],[Nb]],0)</f>
        <v>0</v>
      </c>
    </row>
    <row r="1867" customFormat="false" ht="30" hidden="false" customHeight="true" outlineLevel="0" collapsed="false">
      <c r="A1867" s="1" t="s">
        <v>3693</v>
      </c>
      <c r="B1867" s="2" t="s">
        <v>3694</v>
      </c>
      <c r="C1867" s="6" t="n">
        <v>43620</v>
      </c>
      <c r="D1867" s="3" t="n">
        <v>17</v>
      </c>
      <c r="E1867" s="3" t="n">
        <v>9</v>
      </c>
      <c r="F1867" s="7" t="n">
        <f aca="false">IFERROR(Tableau1[[#This Row],[Score]]/Tableau1[[#This Row],[Nb]],0)</f>
        <v>0.529411764705882</v>
      </c>
    </row>
    <row r="1868" customFormat="false" ht="30" hidden="false" customHeight="true" outlineLevel="0" collapsed="false">
      <c r="A1868" s="1" t="s">
        <v>3695</v>
      </c>
      <c r="B1868" s="2" t="s">
        <v>3696</v>
      </c>
      <c r="C1868" s="6" t="n">
        <v>43620</v>
      </c>
      <c r="D1868" s="3" t="n">
        <v>10</v>
      </c>
      <c r="E1868" s="3" t="n">
        <v>8</v>
      </c>
      <c r="F1868" s="7" t="n">
        <f aca="false">IFERROR(Tableau1[[#This Row],[Score]]/Tableau1[[#This Row],[Nb]],0)</f>
        <v>0.8</v>
      </c>
    </row>
    <row r="1869" customFormat="false" ht="30" hidden="false" customHeight="true" outlineLevel="0" collapsed="false">
      <c r="A1869" s="1" t="s">
        <v>3697</v>
      </c>
      <c r="B1869" s="2" t="s">
        <v>3698</v>
      </c>
      <c r="C1869" s="6" t="n">
        <v>43620</v>
      </c>
      <c r="D1869" s="3" t="n">
        <v>6</v>
      </c>
      <c r="E1869" s="3" t="n">
        <v>6</v>
      </c>
      <c r="F1869" s="7" t="n">
        <f aca="false">IFERROR(Tableau1[[#This Row],[Score]]/Tableau1[[#This Row],[Nb]],0)</f>
        <v>1</v>
      </c>
    </row>
    <row r="1870" customFormat="false" ht="30" hidden="false" customHeight="true" outlineLevel="0" collapsed="false">
      <c r="A1870" s="1" t="s">
        <v>3699</v>
      </c>
      <c r="B1870" s="2" t="s">
        <v>3700</v>
      </c>
      <c r="C1870" s="6" t="n">
        <v>43622</v>
      </c>
      <c r="D1870" s="3" t="n">
        <v>19</v>
      </c>
      <c r="E1870" s="3" t="n">
        <v>-5</v>
      </c>
      <c r="F1870" s="7" t="n">
        <f aca="false">IFERROR(Tableau1[[#This Row],[Score]]/Tableau1[[#This Row],[Nb]],0)</f>
        <v>-0.263157894736842</v>
      </c>
    </row>
    <row r="1871" customFormat="false" ht="30" hidden="false" customHeight="true" outlineLevel="0" collapsed="false">
      <c r="A1871" s="1" t="s">
        <v>3701</v>
      </c>
      <c r="B1871" s="2" t="s">
        <v>3702</v>
      </c>
      <c r="C1871" s="6" t="n">
        <v>43622</v>
      </c>
      <c r="D1871" s="3" t="n">
        <v>7</v>
      </c>
      <c r="E1871" s="3" t="n">
        <v>-7</v>
      </c>
      <c r="F1871" s="7" t="n">
        <f aca="false">IFERROR(Tableau1[[#This Row],[Score]]/Tableau1[[#This Row],[Nb]],0)</f>
        <v>-1</v>
      </c>
    </row>
    <row r="1872" customFormat="false" ht="30" hidden="false" customHeight="true" outlineLevel="0" collapsed="false">
      <c r="A1872" s="1" t="s">
        <v>1580</v>
      </c>
      <c r="B1872" s="2" t="s">
        <v>1581</v>
      </c>
      <c r="C1872" s="6" t="n">
        <v>43622</v>
      </c>
      <c r="D1872" s="3" t="n">
        <v>5</v>
      </c>
      <c r="E1872" s="3" t="n">
        <v>-5</v>
      </c>
      <c r="F1872" s="7" t="n">
        <f aca="false">IFERROR(Tableau1[[#This Row],[Score]]/Tableau1[[#This Row],[Nb]],0)</f>
        <v>-1</v>
      </c>
    </row>
    <row r="1873" customFormat="false" ht="30" hidden="false" customHeight="true" outlineLevel="0" collapsed="false">
      <c r="A1873" s="1" t="s">
        <v>3703</v>
      </c>
      <c r="B1873" s="2" t="s">
        <v>3704</v>
      </c>
      <c r="C1873" s="6" t="n">
        <v>43622</v>
      </c>
      <c r="D1873" s="3" t="n">
        <v>13</v>
      </c>
      <c r="E1873" s="3" t="n">
        <v>-13</v>
      </c>
      <c r="F1873" s="7" t="n">
        <f aca="false">IFERROR(Tableau1[[#This Row],[Score]]/Tableau1[[#This Row],[Nb]],0)</f>
        <v>-1</v>
      </c>
    </row>
    <row r="1874" customFormat="false" ht="30" hidden="false" customHeight="true" outlineLevel="0" collapsed="false">
      <c r="A1874" s="1" t="s">
        <v>3705</v>
      </c>
      <c r="B1874" s="2" t="s">
        <v>3706</v>
      </c>
      <c r="C1874" s="6" t="n">
        <v>43622</v>
      </c>
      <c r="D1874" s="3" t="n">
        <v>8</v>
      </c>
      <c r="E1874" s="3" t="n">
        <v>-4</v>
      </c>
      <c r="F1874" s="7" t="n">
        <f aca="false">IFERROR(Tableau1[[#This Row],[Score]]/Tableau1[[#This Row],[Nb]],0)</f>
        <v>-0.5</v>
      </c>
    </row>
    <row r="1875" customFormat="false" ht="30" hidden="false" customHeight="true" outlineLevel="0" collapsed="false">
      <c r="A1875" s="1" t="s">
        <v>3707</v>
      </c>
      <c r="B1875" s="2" t="s">
        <v>3708</v>
      </c>
      <c r="C1875" s="6" t="n">
        <v>43622</v>
      </c>
      <c r="D1875" s="3" t="n">
        <v>12</v>
      </c>
      <c r="E1875" s="3" t="n">
        <v>-4</v>
      </c>
      <c r="F1875" s="7" t="n">
        <f aca="false">IFERROR(Tableau1[[#This Row],[Score]]/Tableau1[[#This Row],[Nb]],0)</f>
        <v>-0.333333333333333</v>
      </c>
    </row>
    <row r="1876" customFormat="false" ht="30" hidden="false" customHeight="true" outlineLevel="0" collapsed="false">
      <c r="A1876" s="1" t="s">
        <v>2377</v>
      </c>
      <c r="B1876" s="2" t="s">
        <v>2378</v>
      </c>
      <c r="C1876" s="6" t="n">
        <v>43622</v>
      </c>
      <c r="D1876" s="3" t="n">
        <v>12</v>
      </c>
      <c r="E1876" s="3" t="n">
        <v>-2</v>
      </c>
      <c r="F1876" s="7" t="n">
        <f aca="false">IFERROR(Tableau1[[#This Row],[Score]]/Tableau1[[#This Row],[Nb]],0)</f>
        <v>-0.166666666666667</v>
      </c>
    </row>
    <row r="1877" customFormat="false" ht="30" hidden="false" customHeight="true" outlineLevel="0" collapsed="false">
      <c r="A1877" s="1" t="s">
        <v>3709</v>
      </c>
      <c r="B1877" s="2" t="s">
        <v>3710</v>
      </c>
      <c r="C1877" s="6" t="n">
        <v>43622</v>
      </c>
      <c r="D1877" s="3" t="n">
        <v>8</v>
      </c>
      <c r="E1877" s="3" t="n">
        <v>2</v>
      </c>
      <c r="F1877" s="7" t="n">
        <f aca="false">IFERROR(Tableau1[[#This Row],[Score]]/Tableau1[[#This Row],[Nb]],0)</f>
        <v>0.25</v>
      </c>
    </row>
    <row r="1878" customFormat="false" ht="30" hidden="false" customHeight="true" outlineLevel="0" collapsed="false">
      <c r="A1878" s="1" t="s">
        <v>3711</v>
      </c>
      <c r="B1878" s="2" t="s">
        <v>3712</v>
      </c>
      <c r="C1878" s="6" t="n">
        <v>43627</v>
      </c>
      <c r="D1878" s="3" t="n">
        <v>11</v>
      </c>
      <c r="E1878" s="3" t="n">
        <v>-11</v>
      </c>
      <c r="F1878" s="7" t="n">
        <f aca="false">IFERROR(Tableau1[[#This Row],[Score]]/Tableau1[[#This Row],[Nb]],0)</f>
        <v>-1</v>
      </c>
    </row>
    <row r="1879" customFormat="false" ht="30" hidden="false" customHeight="true" outlineLevel="0" collapsed="false">
      <c r="A1879" s="1" t="s">
        <v>3713</v>
      </c>
      <c r="B1879" s="2" t="s">
        <v>3714</v>
      </c>
      <c r="C1879" s="6" t="n">
        <v>43627</v>
      </c>
      <c r="D1879" s="3" t="n">
        <v>7</v>
      </c>
      <c r="E1879" s="3" t="n">
        <v>-7</v>
      </c>
      <c r="F1879" s="7" t="n">
        <f aca="false">IFERROR(Tableau1[[#This Row],[Score]]/Tableau1[[#This Row],[Nb]],0)</f>
        <v>-1</v>
      </c>
    </row>
    <row r="1880" customFormat="false" ht="30" hidden="false" customHeight="true" outlineLevel="0" collapsed="false">
      <c r="A1880" s="1" t="s">
        <v>3715</v>
      </c>
      <c r="B1880" s="2" t="s">
        <v>3716</v>
      </c>
      <c r="C1880" s="6" t="n">
        <v>43627</v>
      </c>
      <c r="D1880" s="3" t="n">
        <v>9</v>
      </c>
      <c r="E1880" s="3" t="n">
        <v>-7</v>
      </c>
      <c r="F1880" s="7" t="n">
        <f aca="false">IFERROR(Tableau1[[#This Row],[Score]]/Tableau1[[#This Row],[Nb]],0)</f>
        <v>-0.777777777777778</v>
      </c>
    </row>
    <row r="1881" customFormat="false" ht="30" hidden="false" customHeight="true" outlineLevel="0" collapsed="false">
      <c r="A1881" s="1" t="s">
        <v>3717</v>
      </c>
      <c r="B1881" s="2" t="s">
        <v>3718</v>
      </c>
      <c r="C1881" s="6" t="n">
        <v>43627</v>
      </c>
      <c r="D1881" s="3" t="n">
        <v>4</v>
      </c>
      <c r="E1881" s="3" t="n">
        <v>-2</v>
      </c>
      <c r="F1881" s="7" t="n">
        <f aca="false">IFERROR(Tableau1[[#This Row],[Score]]/Tableau1[[#This Row],[Nb]],0)</f>
        <v>-0.5</v>
      </c>
    </row>
    <row r="1882" customFormat="false" ht="30" hidden="false" customHeight="true" outlineLevel="0" collapsed="false">
      <c r="A1882" s="1" t="s">
        <v>3719</v>
      </c>
      <c r="B1882" s="2" t="s">
        <v>3720</v>
      </c>
      <c r="C1882" s="6" t="n">
        <v>43627</v>
      </c>
      <c r="D1882" s="3" t="n">
        <v>7</v>
      </c>
      <c r="E1882" s="3" t="n">
        <v>-1</v>
      </c>
      <c r="F1882" s="7" t="n">
        <f aca="false">IFERROR(Tableau1[[#This Row],[Score]]/Tableau1[[#This Row],[Nb]],0)</f>
        <v>-0.142857142857143</v>
      </c>
    </row>
    <row r="1883" customFormat="false" ht="30" hidden="false" customHeight="true" outlineLevel="0" collapsed="false">
      <c r="A1883" s="1" t="s">
        <v>3721</v>
      </c>
      <c r="B1883" s="2" t="s">
        <v>3722</v>
      </c>
      <c r="C1883" s="6" t="n">
        <v>43627</v>
      </c>
      <c r="D1883" s="3" t="n">
        <v>10</v>
      </c>
      <c r="E1883" s="3" t="n">
        <v>0</v>
      </c>
      <c r="F1883" s="7" t="n">
        <f aca="false">IFERROR(Tableau1[[#This Row],[Score]]/Tableau1[[#This Row],[Nb]],0)</f>
        <v>0</v>
      </c>
    </row>
    <row r="1884" customFormat="false" ht="30" hidden="false" customHeight="true" outlineLevel="0" collapsed="false">
      <c r="A1884" s="1" t="s">
        <v>3723</v>
      </c>
      <c r="B1884" s="2" t="s">
        <v>3724</v>
      </c>
      <c r="C1884" s="6" t="n">
        <v>43627</v>
      </c>
      <c r="D1884" s="3" t="n">
        <v>9</v>
      </c>
      <c r="E1884" s="3" t="n">
        <v>-1</v>
      </c>
      <c r="F1884" s="7" t="n">
        <f aca="false">IFERROR(Tableau1[[#This Row],[Score]]/Tableau1[[#This Row],[Nb]],0)</f>
        <v>-0.111111111111111</v>
      </c>
    </row>
    <row r="1885" customFormat="false" ht="30" hidden="false" customHeight="true" outlineLevel="0" collapsed="false">
      <c r="A1885" s="1" t="s">
        <v>3725</v>
      </c>
      <c r="B1885" s="2" t="s">
        <v>3726</v>
      </c>
      <c r="C1885" s="6" t="n">
        <v>43627</v>
      </c>
      <c r="D1885" s="3" t="n">
        <v>7</v>
      </c>
      <c r="E1885" s="3" t="n">
        <v>1</v>
      </c>
      <c r="F1885" s="7" t="n">
        <f aca="false">IFERROR(Tableau1[[#This Row],[Score]]/Tableau1[[#This Row],[Nb]],0)</f>
        <v>0.142857142857143</v>
      </c>
    </row>
    <row r="1886" customFormat="false" ht="30" hidden="false" customHeight="true" outlineLevel="0" collapsed="false">
      <c r="A1886" s="1" t="s">
        <v>3727</v>
      </c>
      <c r="B1886" s="2" t="s">
        <v>3728</v>
      </c>
      <c r="C1886" s="6" t="n">
        <v>43627</v>
      </c>
      <c r="D1886" s="3" t="n">
        <v>10</v>
      </c>
      <c r="E1886" s="3" t="n">
        <v>4</v>
      </c>
      <c r="F1886" s="7" t="n">
        <f aca="false">IFERROR(Tableau1[[#This Row],[Score]]/Tableau1[[#This Row],[Nb]],0)</f>
        <v>0.4</v>
      </c>
    </row>
    <row r="1887" customFormat="false" ht="30" hidden="false" customHeight="true" outlineLevel="0" collapsed="false">
      <c r="A1887" s="1" t="s">
        <v>3729</v>
      </c>
      <c r="B1887" s="2" t="s">
        <v>3730</v>
      </c>
      <c r="C1887" s="6" t="n">
        <v>43627</v>
      </c>
      <c r="D1887" s="3" t="n">
        <v>7</v>
      </c>
      <c r="E1887" s="3" t="n">
        <v>5</v>
      </c>
      <c r="F1887" s="7" t="n">
        <f aca="false">IFERROR(Tableau1[[#This Row],[Score]]/Tableau1[[#This Row],[Nb]],0)</f>
        <v>0.714285714285714</v>
      </c>
    </row>
    <row r="1888" customFormat="false" ht="30" hidden="false" customHeight="true" outlineLevel="0" collapsed="false">
      <c r="A1888" s="1" t="s">
        <v>3731</v>
      </c>
      <c r="B1888" s="2" t="s">
        <v>3732</v>
      </c>
      <c r="C1888" s="6" t="n">
        <v>43633</v>
      </c>
      <c r="D1888" s="3" t="n">
        <v>9</v>
      </c>
      <c r="E1888" s="3" t="n">
        <v>-3</v>
      </c>
      <c r="F1888" s="7" t="n">
        <f aca="false">IFERROR(Tableau1[[#This Row],[Score]]/Tableau1[[#This Row],[Nb]],0)</f>
        <v>-0.333333333333333</v>
      </c>
    </row>
    <row r="1889" customFormat="false" ht="30" hidden="false" customHeight="true" outlineLevel="0" collapsed="false">
      <c r="A1889" s="1" t="s">
        <v>3733</v>
      </c>
      <c r="B1889" s="2" t="s">
        <v>3734</v>
      </c>
      <c r="C1889" s="6" t="n">
        <v>43633</v>
      </c>
      <c r="D1889" s="3" t="n">
        <v>10</v>
      </c>
      <c r="E1889" s="3" t="n">
        <v>-2</v>
      </c>
      <c r="F1889" s="7" t="n">
        <f aca="false">IFERROR(Tableau1[[#This Row],[Score]]/Tableau1[[#This Row],[Nb]],0)</f>
        <v>-0.2</v>
      </c>
    </row>
    <row r="1890" customFormat="false" ht="30" hidden="false" customHeight="true" outlineLevel="0" collapsed="false">
      <c r="A1890" s="1" t="s">
        <v>3735</v>
      </c>
      <c r="B1890" s="2" t="s">
        <v>3736</v>
      </c>
      <c r="C1890" s="6" t="n">
        <v>43633</v>
      </c>
      <c r="D1890" s="3" t="n">
        <v>10</v>
      </c>
      <c r="E1890" s="3" t="n">
        <v>-2</v>
      </c>
      <c r="F1890" s="7" t="n">
        <f aca="false">IFERROR(Tableau1[[#This Row],[Score]]/Tableau1[[#This Row],[Nb]],0)</f>
        <v>-0.2</v>
      </c>
    </row>
    <row r="1891" customFormat="false" ht="30" hidden="false" customHeight="true" outlineLevel="0" collapsed="false">
      <c r="A1891" s="1" t="s">
        <v>3737</v>
      </c>
      <c r="B1891" s="2" t="s">
        <v>3738</v>
      </c>
      <c r="C1891" s="6" t="n">
        <v>43633</v>
      </c>
      <c r="D1891" s="3" t="n">
        <v>10</v>
      </c>
      <c r="E1891" s="3" t="n">
        <v>-2</v>
      </c>
      <c r="F1891" s="7" t="n">
        <f aca="false">IFERROR(Tableau1[[#This Row],[Score]]/Tableau1[[#This Row],[Nb]],0)</f>
        <v>-0.2</v>
      </c>
    </row>
    <row r="1892" customFormat="false" ht="30" hidden="false" customHeight="true" outlineLevel="0" collapsed="false">
      <c r="A1892" s="1" t="s">
        <v>3739</v>
      </c>
      <c r="B1892" s="2" t="s">
        <v>3740</v>
      </c>
      <c r="C1892" s="6" t="n">
        <v>43633</v>
      </c>
      <c r="D1892" s="3" t="n">
        <v>5</v>
      </c>
      <c r="E1892" s="3" t="n">
        <v>1</v>
      </c>
      <c r="F1892" s="7" t="n">
        <f aca="false">IFERROR(Tableau1[[#This Row],[Score]]/Tableau1[[#This Row],[Nb]],0)</f>
        <v>0.2</v>
      </c>
    </row>
    <row r="1893" customFormat="false" ht="30" hidden="false" customHeight="true" outlineLevel="0" collapsed="false">
      <c r="A1893" s="1" t="s">
        <v>3741</v>
      </c>
      <c r="B1893" s="2" t="s">
        <v>3742</v>
      </c>
      <c r="C1893" s="6" t="n">
        <v>43633</v>
      </c>
      <c r="D1893" s="3" t="n">
        <v>6</v>
      </c>
      <c r="E1893" s="3" t="n">
        <v>2</v>
      </c>
      <c r="F1893" s="7" t="n">
        <f aca="false">IFERROR(Tableau1[[#This Row],[Score]]/Tableau1[[#This Row],[Nb]],0)</f>
        <v>0.333333333333333</v>
      </c>
    </row>
    <row r="1894" customFormat="false" ht="30" hidden="false" customHeight="true" outlineLevel="0" collapsed="false">
      <c r="A1894" s="1" t="s">
        <v>3743</v>
      </c>
      <c r="B1894" s="2" t="s">
        <v>3744</v>
      </c>
      <c r="C1894" s="6" t="n">
        <v>43633</v>
      </c>
      <c r="D1894" s="3" t="n">
        <v>14</v>
      </c>
      <c r="E1894" s="3" t="n">
        <v>6</v>
      </c>
      <c r="F1894" s="7" t="n">
        <f aca="false">IFERROR(Tableau1[[#This Row],[Score]]/Tableau1[[#This Row],[Nb]],0)</f>
        <v>0.428571428571429</v>
      </c>
    </row>
    <row r="1895" customFormat="false" ht="30" hidden="false" customHeight="true" outlineLevel="0" collapsed="false">
      <c r="A1895" s="1" t="s">
        <v>3745</v>
      </c>
      <c r="B1895" s="2" t="s">
        <v>3746</v>
      </c>
      <c r="C1895" s="6" t="n">
        <v>43633</v>
      </c>
      <c r="D1895" s="3" t="n">
        <v>10</v>
      </c>
      <c r="E1895" s="3" t="n">
        <v>8</v>
      </c>
      <c r="F1895" s="7" t="n">
        <f aca="false">IFERROR(Tableau1[[#This Row],[Score]]/Tableau1[[#This Row],[Nb]],0)</f>
        <v>0.8</v>
      </c>
    </row>
    <row r="1896" customFormat="false" ht="30" hidden="false" customHeight="true" outlineLevel="0" collapsed="false">
      <c r="A1896" s="1" t="s">
        <v>3747</v>
      </c>
      <c r="B1896" s="2" t="s">
        <v>3748</v>
      </c>
      <c r="C1896" s="6" t="n">
        <v>43634</v>
      </c>
      <c r="D1896" s="3" t="n">
        <v>12</v>
      </c>
      <c r="E1896" s="3" t="n">
        <v>-12</v>
      </c>
      <c r="F1896" s="7" t="n">
        <f aca="false">IFERROR(Tableau1[[#This Row],[Score]]/Tableau1[[#This Row],[Nb]],0)</f>
        <v>-1</v>
      </c>
    </row>
    <row r="1897" customFormat="false" ht="30" hidden="false" customHeight="true" outlineLevel="0" collapsed="false">
      <c r="A1897" s="1" t="s">
        <v>3749</v>
      </c>
      <c r="B1897" s="2" t="s">
        <v>3750</v>
      </c>
      <c r="C1897" s="6" t="n">
        <v>43634</v>
      </c>
      <c r="D1897" s="3" t="n">
        <v>12</v>
      </c>
      <c r="E1897" s="3" t="n">
        <v>-12</v>
      </c>
      <c r="F1897" s="7" t="n">
        <f aca="false">IFERROR(Tableau1[[#This Row],[Score]]/Tableau1[[#This Row],[Nb]],0)</f>
        <v>-1</v>
      </c>
    </row>
    <row r="1898" customFormat="false" ht="30" hidden="false" customHeight="true" outlineLevel="0" collapsed="false">
      <c r="A1898" s="1" t="s">
        <v>3751</v>
      </c>
      <c r="B1898" s="2" t="s">
        <v>3752</v>
      </c>
      <c r="C1898" s="6" t="n">
        <v>43634</v>
      </c>
      <c r="D1898" s="3" t="n">
        <v>9</v>
      </c>
      <c r="E1898" s="3" t="n">
        <v>-7</v>
      </c>
      <c r="F1898" s="7" t="n">
        <f aca="false">IFERROR(Tableau1[[#This Row],[Score]]/Tableau1[[#This Row],[Nb]],0)</f>
        <v>-0.777777777777778</v>
      </c>
    </row>
    <row r="1899" customFormat="false" ht="30" hidden="false" customHeight="true" outlineLevel="0" collapsed="false">
      <c r="A1899" s="1" t="s">
        <v>3753</v>
      </c>
      <c r="B1899" s="2" t="s">
        <v>3754</v>
      </c>
      <c r="C1899" s="6" t="n">
        <v>43634</v>
      </c>
      <c r="D1899" s="3" t="n">
        <v>8</v>
      </c>
      <c r="E1899" s="3" t="n">
        <v>-4</v>
      </c>
      <c r="F1899" s="7" t="n">
        <f aca="false">IFERROR(Tableau1[[#This Row],[Score]]/Tableau1[[#This Row],[Nb]],0)</f>
        <v>-0.5</v>
      </c>
    </row>
    <row r="1900" customFormat="false" ht="30" hidden="false" customHeight="true" outlineLevel="0" collapsed="false">
      <c r="A1900" s="1" t="s">
        <v>3755</v>
      </c>
      <c r="B1900" s="2" t="s">
        <v>3756</v>
      </c>
      <c r="C1900" s="6" t="n">
        <v>43634</v>
      </c>
      <c r="D1900" s="3" t="n">
        <v>5</v>
      </c>
      <c r="E1900" s="3" t="n">
        <v>-1</v>
      </c>
      <c r="F1900" s="7" t="n">
        <f aca="false">IFERROR(Tableau1[[#This Row],[Score]]/Tableau1[[#This Row],[Nb]],0)</f>
        <v>-0.2</v>
      </c>
    </row>
    <row r="1901" customFormat="false" ht="30" hidden="false" customHeight="true" outlineLevel="0" collapsed="false">
      <c r="A1901" s="1" t="s">
        <v>3757</v>
      </c>
      <c r="B1901" s="2" t="s">
        <v>3758</v>
      </c>
      <c r="C1901" s="6" t="n">
        <v>43634</v>
      </c>
      <c r="D1901" s="3" t="n">
        <v>13</v>
      </c>
      <c r="E1901" s="3" t="n">
        <v>1</v>
      </c>
      <c r="F1901" s="7" t="n">
        <f aca="false">IFERROR(Tableau1[[#This Row],[Score]]/Tableau1[[#This Row],[Nb]],0)</f>
        <v>0.0769230769230769</v>
      </c>
    </row>
    <row r="1902" customFormat="false" ht="30" hidden="false" customHeight="true" outlineLevel="0" collapsed="false">
      <c r="A1902" s="1" t="s">
        <v>3759</v>
      </c>
      <c r="B1902" s="2" t="s">
        <v>3760</v>
      </c>
      <c r="C1902" s="6" t="n">
        <v>43634</v>
      </c>
      <c r="D1902" s="3" t="n">
        <v>12</v>
      </c>
      <c r="E1902" s="3" t="n">
        <v>6</v>
      </c>
      <c r="F1902" s="7" t="n">
        <f aca="false">IFERROR(Tableau1[[#This Row],[Score]]/Tableau1[[#This Row],[Nb]],0)</f>
        <v>0.5</v>
      </c>
    </row>
    <row r="1903" customFormat="false" ht="30" hidden="false" customHeight="true" outlineLevel="0" collapsed="false">
      <c r="A1903" s="1" t="s">
        <v>3761</v>
      </c>
      <c r="B1903" s="2" t="s">
        <v>3762</v>
      </c>
      <c r="C1903" s="6" t="n">
        <v>43634</v>
      </c>
      <c r="D1903" s="3" t="n">
        <v>8</v>
      </c>
      <c r="E1903" s="3" t="n">
        <v>4</v>
      </c>
      <c r="F1903" s="7" t="n">
        <f aca="false">IFERROR(Tableau1[[#This Row],[Score]]/Tableau1[[#This Row],[Nb]],0)</f>
        <v>0.5</v>
      </c>
    </row>
    <row r="1904" customFormat="false" ht="30" hidden="false" customHeight="true" outlineLevel="0" collapsed="false">
      <c r="A1904" s="1" t="s">
        <v>3763</v>
      </c>
      <c r="B1904" s="2" t="s">
        <v>3764</v>
      </c>
      <c r="C1904" s="6" t="n">
        <v>43634</v>
      </c>
      <c r="D1904" s="3" t="n">
        <v>13</v>
      </c>
      <c r="E1904" s="3" t="n">
        <v>11</v>
      </c>
      <c r="F1904" s="7" t="n">
        <f aca="false">IFERROR(Tableau1[[#This Row],[Score]]/Tableau1[[#This Row],[Nb]],0)</f>
        <v>0.846153846153846</v>
      </c>
    </row>
    <row r="1905" customFormat="false" ht="30" hidden="false" customHeight="true" outlineLevel="0" collapsed="false">
      <c r="A1905" s="1" t="s">
        <v>3765</v>
      </c>
      <c r="B1905" s="2" t="s">
        <v>3766</v>
      </c>
      <c r="C1905" s="6" t="n">
        <v>43634</v>
      </c>
      <c r="D1905" s="3" t="n">
        <v>14</v>
      </c>
      <c r="E1905" s="3" t="n">
        <v>12</v>
      </c>
      <c r="F1905" s="7" t="n">
        <f aca="false">IFERROR(Tableau1[[#This Row],[Score]]/Tableau1[[#This Row],[Nb]],0)</f>
        <v>0.857142857142857</v>
      </c>
    </row>
    <row r="1906" customFormat="false" ht="30" hidden="false" customHeight="true" outlineLevel="0" collapsed="false">
      <c r="A1906" s="1" t="s">
        <v>3767</v>
      </c>
      <c r="B1906" s="2" t="s">
        <v>3768</v>
      </c>
      <c r="C1906" s="6" t="n">
        <v>43673</v>
      </c>
      <c r="D1906" s="3" t="n">
        <v>5</v>
      </c>
      <c r="E1906" s="3" t="n">
        <v>-1</v>
      </c>
      <c r="F1906" s="7" t="n">
        <f aca="false">IFERROR(Tableau1[[#This Row],[Score]]/Tableau1[[#This Row],[Nb]],0)</f>
        <v>-0.2</v>
      </c>
    </row>
    <row r="1907" customFormat="false" ht="30" hidden="false" customHeight="true" outlineLevel="0" collapsed="false">
      <c r="A1907" s="1" t="s">
        <v>3769</v>
      </c>
      <c r="B1907" s="2" t="s">
        <v>3770</v>
      </c>
      <c r="C1907" s="6" t="n">
        <v>43673</v>
      </c>
      <c r="D1907" s="3" t="n">
        <v>11</v>
      </c>
      <c r="E1907" s="3" t="n">
        <v>-1</v>
      </c>
      <c r="F1907" s="7" t="n">
        <f aca="false">IFERROR(Tableau1[[#This Row],[Score]]/Tableau1[[#This Row],[Nb]],0)</f>
        <v>-0.0909090909090909</v>
      </c>
    </row>
    <row r="1908" customFormat="false" ht="30" hidden="false" customHeight="true" outlineLevel="0" collapsed="false">
      <c r="A1908" s="1" t="s">
        <v>3771</v>
      </c>
      <c r="B1908" s="2" t="s">
        <v>3772</v>
      </c>
      <c r="C1908" s="6" t="n">
        <v>43673</v>
      </c>
      <c r="D1908" s="3" t="n">
        <v>7</v>
      </c>
      <c r="E1908" s="3" t="n">
        <v>0</v>
      </c>
      <c r="F1908" s="7" t="n">
        <f aca="false">IFERROR(Tableau1[[#This Row],[Score]]/Tableau1[[#This Row],[Nb]],0)</f>
        <v>0</v>
      </c>
    </row>
    <row r="1909" customFormat="false" ht="30" hidden="false" customHeight="true" outlineLevel="0" collapsed="false">
      <c r="A1909" s="1" t="s">
        <v>3773</v>
      </c>
      <c r="B1909" s="2" t="s">
        <v>3774</v>
      </c>
      <c r="C1909" s="6" t="n">
        <v>43673</v>
      </c>
      <c r="D1909" s="3" t="n">
        <v>7</v>
      </c>
      <c r="E1909" s="3" t="n">
        <v>1</v>
      </c>
      <c r="F1909" s="7" t="n">
        <f aca="false">IFERROR(Tableau1[[#This Row],[Score]]/Tableau1[[#This Row],[Nb]],0)</f>
        <v>0.142857142857143</v>
      </c>
    </row>
    <row r="1910" customFormat="false" ht="30" hidden="false" customHeight="true" outlineLevel="0" collapsed="false">
      <c r="A1910" s="1" t="s">
        <v>3775</v>
      </c>
      <c r="B1910" s="2" t="s">
        <v>3776</v>
      </c>
      <c r="C1910" s="6" t="n">
        <v>43673</v>
      </c>
      <c r="D1910" s="3" t="n">
        <v>7</v>
      </c>
      <c r="E1910" s="3" t="n">
        <v>3</v>
      </c>
      <c r="F1910" s="7" t="n">
        <f aca="false">IFERROR(Tableau1[[#This Row],[Score]]/Tableau1[[#This Row],[Nb]],0)</f>
        <v>0.428571428571429</v>
      </c>
    </row>
    <row r="1911" customFormat="false" ht="30" hidden="false" customHeight="true" outlineLevel="0" collapsed="false">
      <c r="A1911" s="1" t="s">
        <v>3777</v>
      </c>
      <c r="B1911" s="2" t="s">
        <v>3778</v>
      </c>
      <c r="C1911" s="6" t="n">
        <v>43673</v>
      </c>
      <c r="D1911" s="3" t="n">
        <v>9</v>
      </c>
      <c r="E1911" s="3" t="n">
        <v>5</v>
      </c>
      <c r="F1911" s="7" t="n">
        <f aca="false">IFERROR(Tableau1[[#This Row],[Score]]/Tableau1[[#This Row],[Nb]],0)</f>
        <v>0.555555555555556</v>
      </c>
    </row>
    <row r="1912" customFormat="false" ht="30" hidden="false" customHeight="true" outlineLevel="0" collapsed="false">
      <c r="A1912" s="1" t="s">
        <v>3779</v>
      </c>
      <c r="B1912" s="2" t="s">
        <v>3780</v>
      </c>
      <c r="C1912" s="6" t="n">
        <v>43673</v>
      </c>
      <c r="D1912" s="3" t="n">
        <v>10</v>
      </c>
      <c r="E1912" s="3" t="n">
        <v>8</v>
      </c>
      <c r="F1912" s="7" t="n">
        <f aca="false">IFERROR(Tableau1[[#This Row],[Score]]/Tableau1[[#This Row],[Nb]],0)</f>
        <v>0.8</v>
      </c>
    </row>
    <row r="1913" customFormat="false" ht="30" hidden="false" customHeight="true" outlineLevel="0" collapsed="false">
      <c r="A1913" s="1" t="s">
        <v>3781</v>
      </c>
      <c r="B1913" s="2" t="s">
        <v>3782</v>
      </c>
      <c r="C1913" s="6" t="n">
        <v>43673</v>
      </c>
      <c r="D1913" s="3" t="n">
        <v>10</v>
      </c>
      <c r="E1913" s="3" t="n">
        <v>9</v>
      </c>
      <c r="F1913" s="7" t="n">
        <f aca="false">IFERROR(Tableau1[[#This Row],[Score]]/Tableau1[[#This Row],[Nb]],0)</f>
        <v>0.9</v>
      </c>
    </row>
    <row r="1914" customFormat="false" ht="30" hidden="false" customHeight="true" outlineLevel="0" collapsed="false">
      <c r="A1914" s="8" t="s">
        <v>3783</v>
      </c>
      <c r="B1914" s="9" t="s">
        <v>3784</v>
      </c>
      <c r="C1914" s="6" t="n">
        <v>43673</v>
      </c>
      <c r="D1914" s="3" t="n">
        <v>15</v>
      </c>
      <c r="E1914" s="3" t="n">
        <v>15</v>
      </c>
      <c r="F1914" s="7" t="n">
        <f aca="false">IFERROR(Tableau1[[#This Row],[Score]]/Tableau1[[#This Row],[Nb]],0)</f>
        <v>1</v>
      </c>
    </row>
    <row r="1915" customFormat="false" ht="30" hidden="false" customHeight="true" outlineLevel="0" collapsed="false">
      <c r="A1915" s="1" t="s">
        <v>3785</v>
      </c>
      <c r="B1915" s="2" t="s">
        <v>3786</v>
      </c>
      <c r="C1915" s="6" t="n">
        <v>43673</v>
      </c>
      <c r="D1915" s="3" t="n">
        <v>6</v>
      </c>
      <c r="E1915" s="3" t="n">
        <v>6</v>
      </c>
      <c r="F1915" s="7" t="n">
        <f aca="false">IFERROR(Tableau1[[#This Row],[Score]]/Tableau1[[#This Row],[Nb]],0)</f>
        <v>1</v>
      </c>
    </row>
    <row r="1916" customFormat="false" ht="30" hidden="false" customHeight="true" outlineLevel="0" collapsed="false">
      <c r="A1916" s="1" t="s">
        <v>3787</v>
      </c>
      <c r="B1916" s="2" t="s">
        <v>3788</v>
      </c>
      <c r="C1916" s="6" t="n">
        <v>43673</v>
      </c>
      <c r="D1916" s="3" t="n">
        <v>7</v>
      </c>
      <c r="E1916" s="3" t="n">
        <v>7</v>
      </c>
      <c r="F1916" s="7" t="n">
        <f aca="false">IFERROR(Tableau1[[#This Row],[Score]]/Tableau1[[#This Row],[Nb]],0)</f>
        <v>1</v>
      </c>
    </row>
    <row r="1917" customFormat="false" ht="30" hidden="false" customHeight="true" outlineLevel="0" collapsed="false">
      <c r="A1917" s="1" t="s">
        <v>3789</v>
      </c>
      <c r="B1917" s="2" t="s">
        <v>3790</v>
      </c>
      <c r="C1917" s="6" t="n">
        <v>43772</v>
      </c>
      <c r="D1917" s="3" t="n">
        <v>11</v>
      </c>
      <c r="E1917" s="3" t="n">
        <v>-9</v>
      </c>
      <c r="F1917" s="7" t="n">
        <f aca="false">IFERROR(Tableau1[[#This Row],[Score]]/Tableau1[[#This Row],[Nb]],0)</f>
        <v>-0.818181818181818</v>
      </c>
    </row>
    <row r="1918" customFormat="false" ht="30" hidden="false" customHeight="true" outlineLevel="0" collapsed="false">
      <c r="A1918" s="1" t="s">
        <v>3791</v>
      </c>
      <c r="B1918" s="2" t="s">
        <v>3792</v>
      </c>
      <c r="C1918" s="6" t="n">
        <v>43779</v>
      </c>
      <c r="D1918" s="3" t="n">
        <v>6</v>
      </c>
      <c r="E1918" s="3" t="n">
        <v>-2</v>
      </c>
      <c r="F1918" s="7" t="n">
        <f aca="false">IFERROR(Tableau1[[#This Row],[Score]]/Tableau1[[#This Row],[Nb]],0)</f>
        <v>-0.333333333333333</v>
      </c>
    </row>
    <row r="1919" customFormat="false" ht="30" hidden="false" customHeight="true" outlineLevel="0" collapsed="false">
      <c r="A1919" s="1" t="s">
        <v>3793</v>
      </c>
      <c r="B1919" s="2" t="s">
        <v>3794</v>
      </c>
      <c r="C1919" s="6" t="n">
        <v>43779</v>
      </c>
      <c r="D1919" s="3" t="n">
        <v>17</v>
      </c>
      <c r="E1919" s="3" t="n">
        <v>6</v>
      </c>
      <c r="F1919" s="7" t="n">
        <f aca="false">IFERROR(Tableau1[[#This Row],[Score]]/Tableau1[[#This Row],[Nb]],0)</f>
        <v>0.352941176470588</v>
      </c>
    </row>
    <row r="1920" customFormat="false" ht="30" hidden="false" customHeight="true" outlineLevel="0" collapsed="false">
      <c r="A1920" s="1" t="s">
        <v>3795</v>
      </c>
      <c r="B1920" s="2" t="s">
        <v>3796</v>
      </c>
      <c r="C1920" s="6" t="n">
        <v>43826</v>
      </c>
      <c r="D1920" s="3" t="n">
        <v>5</v>
      </c>
      <c r="E1920" s="3" t="n">
        <v>-3</v>
      </c>
      <c r="F1920" s="7" t="n">
        <f aca="false">IFERROR(Tableau1[[#This Row],[Score]]/Tableau1[[#This Row],[Nb]],0)</f>
        <v>-0.6</v>
      </c>
    </row>
    <row r="1921" customFormat="false" ht="30" hidden="false" customHeight="true" outlineLevel="0" collapsed="false">
      <c r="A1921" s="1" t="s">
        <v>3797</v>
      </c>
      <c r="B1921" s="2" t="s">
        <v>3798</v>
      </c>
      <c r="C1921" s="6" t="n">
        <v>43826</v>
      </c>
      <c r="D1921" s="3" t="n">
        <v>8</v>
      </c>
      <c r="E1921" s="3" t="n">
        <v>6</v>
      </c>
      <c r="F1921" s="7" t="n">
        <f aca="false">IFERROR(Tableau1[[#This Row],[Score]]/Tableau1[[#This Row],[Nb]],0)</f>
        <v>0.75</v>
      </c>
    </row>
    <row r="1922" customFormat="false" ht="30" hidden="false" customHeight="true" outlineLevel="0" collapsed="false">
      <c r="A1922" s="1" t="s">
        <v>3799</v>
      </c>
      <c r="B1922" s="2" t="s">
        <v>3800</v>
      </c>
      <c r="C1922" s="6" t="n">
        <v>43827</v>
      </c>
      <c r="D1922" s="3" t="n">
        <v>10</v>
      </c>
      <c r="E1922" s="3" t="n">
        <v>8</v>
      </c>
      <c r="F1922" s="7" t="n">
        <f aca="false">IFERROR(Tableau1[[#This Row],[Score]]/Tableau1[[#This Row],[Nb]],0)</f>
        <v>0.8</v>
      </c>
    </row>
    <row r="1923" customFormat="false" ht="30" hidden="false" customHeight="true" outlineLevel="0" collapsed="false">
      <c r="A1923" s="1" t="s">
        <v>3801</v>
      </c>
      <c r="B1923" s="2" t="s">
        <v>3802</v>
      </c>
      <c r="C1923" s="6" t="n">
        <v>43858</v>
      </c>
      <c r="D1923" s="3" t="n">
        <v>11</v>
      </c>
      <c r="E1923" s="3" t="n">
        <v>-11</v>
      </c>
      <c r="F1923" s="7" t="n">
        <f aca="false">IFERROR(Tableau1[[#This Row],[Score]]/Tableau1[[#This Row],[Nb]],0)</f>
        <v>-1</v>
      </c>
    </row>
    <row r="1924" customFormat="false" ht="30" hidden="false" customHeight="true" outlineLevel="0" collapsed="false">
      <c r="A1924" s="1" t="s">
        <v>3803</v>
      </c>
      <c r="B1924" s="2" t="s">
        <v>3804</v>
      </c>
      <c r="C1924" s="6" t="n">
        <v>43858</v>
      </c>
      <c r="D1924" s="3" t="n">
        <v>5</v>
      </c>
      <c r="E1924" s="3" t="n">
        <v>-5</v>
      </c>
      <c r="F1924" s="7" t="n">
        <f aca="false">IFERROR(Tableau1[[#This Row],[Score]]/Tableau1[[#This Row],[Nb]],0)</f>
        <v>-1</v>
      </c>
    </row>
    <row r="1925" customFormat="false" ht="30" hidden="false" customHeight="true" outlineLevel="0" collapsed="false">
      <c r="A1925" s="1" t="s">
        <v>3805</v>
      </c>
      <c r="B1925" s="2" t="s">
        <v>3806</v>
      </c>
      <c r="C1925" s="6" t="n">
        <v>43858</v>
      </c>
      <c r="D1925" s="3" t="n">
        <v>7</v>
      </c>
      <c r="E1925" s="3" t="n">
        <v>-7</v>
      </c>
      <c r="F1925" s="7" t="n">
        <f aca="false">IFERROR(Tableau1[[#This Row],[Score]]/Tableau1[[#This Row],[Nb]],0)</f>
        <v>-1</v>
      </c>
    </row>
    <row r="1926" customFormat="false" ht="30" hidden="false" customHeight="true" outlineLevel="0" collapsed="false">
      <c r="A1926" s="1" t="s">
        <v>3807</v>
      </c>
      <c r="B1926" s="2" t="s">
        <v>3808</v>
      </c>
      <c r="C1926" s="6" t="n">
        <v>43858</v>
      </c>
      <c r="D1926" s="3" t="n">
        <v>9</v>
      </c>
      <c r="E1926" s="3" t="n">
        <v>-7</v>
      </c>
      <c r="F1926" s="7" t="n">
        <f aca="false">IFERROR(Tableau1[[#This Row],[Score]]/Tableau1[[#This Row],[Nb]],0)</f>
        <v>-0.777777777777778</v>
      </c>
    </row>
    <row r="1927" customFormat="false" ht="30" hidden="false" customHeight="true" outlineLevel="0" collapsed="false">
      <c r="A1927" s="1" t="s">
        <v>3809</v>
      </c>
      <c r="B1927" s="2" t="s">
        <v>3613</v>
      </c>
      <c r="C1927" s="6" t="n">
        <v>43858</v>
      </c>
      <c r="D1927" s="3" t="n">
        <v>7</v>
      </c>
      <c r="E1927" s="3" t="n">
        <v>-5</v>
      </c>
      <c r="F1927" s="7" t="n">
        <f aca="false">IFERROR(Tableau1[[#This Row],[Score]]/Tableau1[[#This Row],[Nb]],0)</f>
        <v>-0.714285714285714</v>
      </c>
    </row>
    <row r="1928" customFormat="false" ht="30" hidden="false" customHeight="true" outlineLevel="0" collapsed="false">
      <c r="A1928" s="1" t="s">
        <v>3810</v>
      </c>
      <c r="B1928" s="2" t="s">
        <v>3811</v>
      </c>
      <c r="C1928" s="6" t="n">
        <v>43858</v>
      </c>
      <c r="D1928" s="3" t="n">
        <v>14</v>
      </c>
      <c r="E1928" s="3" t="n">
        <v>-6</v>
      </c>
      <c r="F1928" s="7" t="n">
        <f aca="false">IFERROR(Tableau1[[#This Row],[Score]]/Tableau1[[#This Row],[Nb]],0)</f>
        <v>-0.428571428571429</v>
      </c>
    </row>
    <row r="1929" customFormat="false" ht="30" hidden="false" customHeight="true" outlineLevel="0" collapsed="false">
      <c r="A1929" s="1" t="s">
        <v>3812</v>
      </c>
      <c r="B1929" s="2" t="s">
        <v>3813</v>
      </c>
      <c r="C1929" s="6" t="n">
        <v>43858</v>
      </c>
      <c r="D1929" s="3" t="n">
        <v>9</v>
      </c>
      <c r="E1929" s="3" t="n">
        <v>-3</v>
      </c>
      <c r="F1929" s="7" t="n">
        <f aca="false">IFERROR(Tableau1[[#This Row],[Score]]/Tableau1[[#This Row],[Nb]],0)</f>
        <v>-0.333333333333333</v>
      </c>
    </row>
    <row r="1930" customFormat="false" ht="30" hidden="false" customHeight="true" outlineLevel="0" collapsed="false">
      <c r="A1930" s="1" t="s">
        <v>3814</v>
      </c>
      <c r="B1930" s="2" t="s">
        <v>3815</v>
      </c>
      <c r="C1930" s="6" t="n">
        <v>43858</v>
      </c>
      <c r="D1930" s="3" t="n">
        <v>12</v>
      </c>
      <c r="E1930" s="3" t="n">
        <v>-2</v>
      </c>
      <c r="F1930" s="7" t="n">
        <f aca="false">IFERROR(Tableau1[[#This Row],[Score]]/Tableau1[[#This Row],[Nb]],0)</f>
        <v>-0.166666666666667</v>
      </c>
    </row>
    <row r="1931" customFormat="false" ht="30" hidden="false" customHeight="true" outlineLevel="0" collapsed="false">
      <c r="A1931" s="1" t="s">
        <v>1955</v>
      </c>
      <c r="B1931" s="2" t="s">
        <v>1956</v>
      </c>
      <c r="C1931" s="6" t="n">
        <v>43858</v>
      </c>
      <c r="D1931" s="3" t="n">
        <v>16</v>
      </c>
      <c r="E1931" s="3" t="n">
        <v>4</v>
      </c>
      <c r="F1931" s="7" t="n">
        <f aca="false">IFERROR(Tableau1[[#This Row],[Score]]/Tableau1[[#This Row],[Nb]],0)</f>
        <v>0.25</v>
      </c>
    </row>
    <row r="1932" customFormat="false" ht="30" hidden="false" customHeight="true" outlineLevel="0" collapsed="false">
      <c r="A1932" s="1" t="s">
        <v>3816</v>
      </c>
      <c r="B1932" s="2" t="s">
        <v>3817</v>
      </c>
      <c r="C1932" s="6" t="n">
        <v>43858</v>
      </c>
      <c r="D1932" s="3" t="n">
        <v>14</v>
      </c>
      <c r="E1932" s="3" t="n">
        <v>6</v>
      </c>
      <c r="F1932" s="7" t="n">
        <f aca="false">IFERROR(Tableau1[[#This Row],[Score]]/Tableau1[[#This Row],[Nb]],0)</f>
        <v>0.428571428571429</v>
      </c>
    </row>
    <row r="1933" customFormat="false" ht="30" hidden="false" customHeight="true" outlineLevel="0" collapsed="false">
      <c r="A1933" s="1" t="s">
        <v>3818</v>
      </c>
      <c r="B1933" s="2" t="s">
        <v>3819</v>
      </c>
      <c r="C1933" s="6" t="n">
        <v>43858</v>
      </c>
      <c r="D1933" s="3" t="n">
        <v>7</v>
      </c>
      <c r="E1933" s="3" t="n">
        <v>3</v>
      </c>
      <c r="F1933" s="7" t="n">
        <f aca="false">IFERROR(Tableau1[[#This Row],[Score]]/Tableau1[[#This Row],[Nb]],0)</f>
        <v>0.428571428571429</v>
      </c>
    </row>
    <row r="1934" customFormat="false" ht="30" hidden="false" customHeight="true" outlineLevel="0" collapsed="false">
      <c r="A1934" s="1" t="s">
        <v>3820</v>
      </c>
      <c r="B1934" s="2" t="s">
        <v>3821</v>
      </c>
      <c r="C1934" s="6" t="n">
        <v>43858</v>
      </c>
      <c r="D1934" s="3" t="n">
        <v>14</v>
      </c>
      <c r="E1934" s="3" t="n">
        <v>8</v>
      </c>
      <c r="F1934" s="7" t="n">
        <f aca="false">IFERROR(Tableau1[[#This Row],[Score]]/Tableau1[[#This Row],[Nb]],0)</f>
        <v>0.571428571428571</v>
      </c>
    </row>
    <row r="1935" customFormat="false" ht="30" hidden="false" customHeight="true" outlineLevel="0" collapsed="false">
      <c r="A1935" s="1" t="s">
        <v>3822</v>
      </c>
      <c r="B1935" s="2" t="s">
        <v>3823</v>
      </c>
      <c r="C1935" s="6" t="n">
        <v>43858</v>
      </c>
      <c r="D1935" s="3" t="n">
        <v>13</v>
      </c>
      <c r="E1935" s="3" t="n">
        <v>9</v>
      </c>
      <c r="F1935" s="7" t="n">
        <f aca="false">IFERROR(Tableau1[[#This Row],[Score]]/Tableau1[[#This Row],[Nb]],0)</f>
        <v>0.692307692307692</v>
      </c>
    </row>
    <row r="1936" customFormat="false" ht="30" hidden="false" customHeight="true" outlineLevel="0" collapsed="false">
      <c r="A1936" s="1" t="s">
        <v>3824</v>
      </c>
      <c r="B1936" s="2" t="s">
        <v>3825</v>
      </c>
      <c r="C1936" s="6" t="n">
        <v>43858</v>
      </c>
      <c r="D1936" s="3" t="n">
        <v>13</v>
      </c>
      <c r="E1936" s="3" t="n">
        <v>9</v>
      </c>
      <c r="F1936" s="7" t="n">
        <f aca="false">IFERROR(Tableau1[[#This Row],[Score]]/Tableau1[[#This Row],[Nb]],0)</f>
        <v>0.692307692307692</v>
      </c>
    </row>
    <row r="1937" customFormat="false" ht="30" hidden="false" customHeight="true" outlineLevel="0" collapsed="false">
      <c r="A1937" s="1" t="s">
        <v>3826</v>
      </c>
      <c r="B1937" s="2" t="s">
        <v>3827</v>
      </c>
      <c r="C1937" s="6" t="n">
        <v>43858</v>
      </c>
      <c r="D1937" s="3" t="n">
        <v>7</v>
      </c>
      <c r="E1937" s="3" t="n">
        <v>5</v>
      </c>
      <c r="F1937" s="7" t="n">
        <f aca="false">IFERROR(Tableau1[[#This Row],[Score]]/Tableau1[[#This Row],[Nb]],0)</f>
        <v>0.714285714285714</v>
      </c>
    </row>
    <row r="1938" customFormat="false" ht="30" hidden="false" customHeight="true" outlineLevel="0" collapsed="false">
      <c r="A1938" s="1" t="s">
        <v>3828</v>
      </c>
      <c r="B1938" s="2" t="s">
        <v>3829</v>
      </c>
      <c r="C1938" s="6" t="n">
        <v>43858</v>
      </c>
      <c r="D1938" s="3" t="n">
        <v>8</v>
      </c>
      <c r="E1938" s="3" t="n">
        <v>6</v>
      </c>
      <c r="F1938" s="7" t="n">
        <f aca="false">IFERROR(Tableau1[[#This Row],[Score]]/Tableau1[[#This Row],[Nb]],0)</f>
        <v>0.75</v>
      </c>
    </row>
    <row r="1939" customFormat="false" ht="30" hidden="false" customHeight="true" outlineLevel="0" collapsed="false">
      <c r="A1939" s="1" t="s">
        <v>3830</v>
      </c>
      <c r="B1939" s="2" t="s">
        <v>3831</v>
      </c>
      <c r="C1939" s="6" t="n">
        <v>43858</v>
      </c>
      <c r="D1939" s="3" t="n">
        <v>9</v>
      </c>
      <c r="E1939" s="3" t="n">
        <v>7</v>
      </c>
      <c r="F1939" s="7" t="n">
        <f aca="false">IFERROR(Tableau1[[#This Row],[Score]]/Tableau1[[#This Row],[Nb]],0)</f>
        <v>0.777777777777778</v>
      </c>
    </row>
    <row r="1940" customFormat="false" ht="30" hidden="false" customHeight="true" outlineLevel="0" collapsed="false">
      <c r="A1940" s="1" t="s">
        <v>3832</v>
      </c>
      <c r="B1940" s="2" t="s">
        <v>3833</v>
      </c>
      <c r="C1940" s="6" t="n">
        <v>43858</v>
      </c>
      <c r="D1940" s="3" t="n">
        <v>11</v>
      </c>
      <c r="E1940" s="3" t="n">
        <v>9</v>
      </c>
      <c r="F1940" s="7" t="n">
        <f aca="false">IFERROR(Tableau1[[#This Row],[Score]]/Tableau1[[#This Row],[Nb]],0)</f>
        <v>0.818181818181818</v>
      </c>
    </row>
    <row r="1941" customFormat="false" ht="30" hidden="false" customHeight="true" outlineLevel="0" collapsed="false">
      <c r="A1941" s="1" t="s">
        <v>3834</v>
      </c>
      <c r="B1941" s="2" t="s">
        <v>3835</v>
      </c>
      <c r="C1941" s="6" t="n">
        <v>43858</v>
      </c>
      <c r="D1941" s="3" t="n">
        <v>11</v>
      </c>
      <c r="E1941" s="3" t="n">
        <v>9</v>
      </c>
      <c r="F1941" s="7" t="n">
        <f aca="false">IFERROR(Tableau1[[#This Row],[Score]]/Tableau1[[#This Row],[Nb]],0)</f>
        <v>0.818181818181818</v>
      </c>
    </row>
    <row r="1942" customFormat="false" ht="30" hidden="false" customHeight="true" outlineLevel="0" collapsed="false">
      <c r="A1942" s="1" t="s">
        <v>3836</v>
      </c>
      <c r="B1942" s="2" t="s">
        <v>3837</v>
      </c>
      <c r="C1942" s="6" t="n">
        <v>43858</v>
      </c>
      <c r="D1942" s="3" t="n">
        <v>14</v>
      </c>
      <c r="E1942" s="3" t="n">
        <v>12</v>
      </c>
      <c r="F1942" s="7" t="n">
        <f aca="false">IFERROR(Tableau1[[#This Row],[Score]]/Tableau1[[#This Row],[Nb]],0)</f>
        <v>0.857142857142857</v>
      </c>
    </row>
    <row r="1943" customFormat="false" ht="30" hidden="false" customHeight="true" outlineLevel="0" collapsed="false">
      <c r="A1943" s="1" t="s">
        <v>3838</v>
      </c>
      <c r="B1943" s="2" t="s">
        <v>3839</v>
      </c>
      <c r="C1943" s="6" t="n">
        <v>43858</v>
      </c>
      <c r="D1943" s="3" t="n">
        <v>12</v>
      </c>
      <c r="E1943" s="3" t="n">
        <v>11</v>
      </c>
      <c r="F1943" s="7" t="n">
        <f aca="false">IFERROR(Tableau1[[#This Row],[Score]]/Tableau1[[#This Row],[Nb]],0)</f>
        <v>0.916666666666667</v>
      </c>
    </row>
    <row r="1944" customFormat="false" ht="30" hidden="false" customHeight="true" outlineLevel="0" collapsed="false">
      <c r="A1944" s="1" t="s">
        <v>3840</v>
      </c>
      <c r="B1944" s="2" t="s">
        <v>3841</v>
      </c>
      <c r="C1944" s="6" t="n">
        <v>43858</v>
      </c>
      <c r="D1944" s="3" t="n">
        <v>9</v>
      </c>
      <c r="E1944" s="3" t="n">
        <v>9</v>
      </c>
      <c r="F1944" s="7" t="n">
        <f aca="false">IFERROR(Tableau1[[#This Row],[Score]]/Tableau1[[#This Row],[Nb]],0)</f>
        <v>1</v>
      </c>
    </row>
    <row r="1945" customFormat="false" ht="30" hidden="false" customHeight="true" outlineLevel="0" collapsed="false">
      <c r="A1945" s="1" t="s">
        <v>3842</v>
      </c>
      <c r="B1945" s="2" t="s">
        <v>3843</v>
      </c>
      <c r="C1945" s="6" t="n">
        <v>43858</v>
      </c>
      <c r="D1945" s="3" t="n">
        <v>8</v>
      </c>
      <c r="E1945" s="3" t="n">
        <v>8</v>
      </c>
      <c r="F1945" s="7" t="n">
        <f aca="false">IFERROR(Tableau1[[#This Row],[Score]]/Tableau1[[#This Row],[Nb]],0)</f>
        <v>1</v>
      </c>
    </row>
    <row r="1946" customFormat="false" ht="30" hidden="false" customHeight="true" outlineLevel="0" collapsed="false">
      <c r="A1946" s="1" t="s">
        <v>3844</v>
      </c>
      <c r="B1946" s="2" t="s">
        <v>3259</v>
      </c>
      <c r="C1946" s="6" t="n">
        <v>43858</v>
      </c>
      <c r="D1946" s="3" t="n">
        <v>9</v>
      </c>
      <c r="E1946" s="3" t="n">
        <v>9</v>
      </c>
      <c r="F1946" s="7" t="n">
        <f aca="false">IFERROR(Tableau1[[#This Row],[Score]]/Tableau1[[#This Row],[Nb]],0)</f>
        <v>1</v>
      </c>
    </row>
    <row r="1947" customFormat="false" ht="30" hidden="false" customHeight="true" outlineLevel="0" collapsed="false">
      <c r="A1947" s="1" t="s">
        <v>3845</v>
      </c>
      <c r="B1947" s="2" t="s">
        <v>3846</v>
      </c>
      <c r="C1947" s="6" t="n">
        <v>43858</v>
      </c>
      <c r="D1947" s="3" t="n">
        <v>5</v>
      </c>
      <c r="E1947" s="3" t="n">
        <v>5</v>
      </c>
      <c r="F1947" s="7" t="n">
        <f aca="false">IFERROR(Tableau1[[#This Row],[Score]]/Tableau1[[#This Row],[Nb]],0)</f>
        <v>1</v>
      </c>
    </row>
    <row r="1948" customFormat="false" ht="30" hidden="false" customHeight="true" outlineLevel="0" collapsed="false">
      <c r="A1948" s="1" t="s">
        <v>3847</v>
      </c>
      <c r="B1948" s="2" t="s">
        <v>3848</v>
      </c>
      <c r="C1948" s="6" t="n">
        <v>43871</v>
      </c>
      <c r="D1948" s="3" t="n">
        <v>12</v>
      </c>
      <c r="E1948" s="3" t="n">
        <v>-12</v>
      </c>
      <c r="F1948" s="7" t="n">
        <f aca="false">IFERROR(Tableau1[[#This Row],[Score]]/Tableau1[[#This Row],[Nb]],0)</f>
        <v>-1</v>
      </c>
    </row>
    <row r="1949" customFormat="false" ht="30" hidden="false" customHeight="true" outlineLevel="0" collapsed="false">
      <c r="A1949" s="1" t="s">
        <v>3849</v>
      </c>
      <c r="B1949" s="2" t="s">
        <v>3850</v>
      </c>
      <c r="C1949" s="6" t="n">
        <v>43871</v>
      </c>
      <c r="D1949" s="3" t="n">
        <v>7</v>
      </c>
      <c r="E1949" s="3" t="n">
        <v>-7</v>
      </c>
      <c r="F1949" s="7" t="n">
        <f aca="false">IFERROR(Tableau1[[#This Row],[Score]]/Tableau1[[#This Row],[Nb]],0)</f>
        <v>-1</v>
      </c>
    </row>
    <row r="1950" customFormat="false" ht="30" hidden="false" customHeight="true" outlineLevel="0" collapsed="false">
      <c r="A1950" s="1" t="s">
        <v>3851</v>
      </c>
      <c r="B1950" s="2" t="s">
        <v>3852</v>
      </c>
      <c r="C1950" s="6" t="n">
        <v>43871</v>
      </c>
      <c r="D1950" s="3" t="n">
        <v>11</v>
      </c>
      <c r="E1950" s="3" t="n">
        <v>-9</v>
      </c>
      <c r="F1950" s="7" t="n">
        <f aca="false">IFERROR(Tableau1[[#This Row],[Score]]/Tableau1[[#This Row],[Nb]],0)</f>
        <v>-0.818181818181818</v>
      </c>
    </row>
    <row r="1951" customFormat="false" ht="30" hidden="false" customHeight="true" outlineLevel="0" collapsed="false">
      <c r="A1951" s="1" t="s">
        <v>3853</v>
      </c>
      <c r="B1951" s="2" t="s">
        <v>3854</v>
      </c>
      <c r="C1951" s="6" t="n">
        <v>43871</v>
      </c>
      <c r="D1951" s="3" t="n">
        <v>15</v>
      </c>
      <c r="E1951" s="3" t="n">
        <v>1</v>
      </c>
      <c r="F1951" s="7" t="n">
        <f aca="false">IFERROR(Tableau1[[#This Row],[Score]]/Tableau1[[#This Row],[Nb]],0)</f>
        <v>0.0666666666666667</v>
      </c>
    </row>
    <row r="1952" customFormat="false" ht="30" hidden="false" customHeight="true" outlineLevel="0" collapsed="false">
      <c r="A1952" s="1" t="s">
        <v>1222</v>
      </c>
      <c r="B1952" s="2" t="s">
        <v>3855</v>
      </c>
      <c r="C1952" s="6" t="n">
        <v>43871</v>
      </c>
      <c r="D1952" s="3" t="n">
        <v>6</v>
      </c>
      <c r="E1952" s="3" t="n">
        <v>2</v>
      </c>
      <c r="F1952" s="7" t="n">
        <f aca="false">IFERROR(Tableau1[[#This Row],[Score]]/Tableau1[[#This Row],[Nb]],0)</f>
        <v>0.333333333333333</v>
      </c>
    </row>
    <row r="1953" customFormat="false" ht="30" hidden="false" customHeight="true" outlineLevel="0" collapsed="false">
      <c r="A1953" s="1" t="s">
        <v>3856</v>
      </c>
      <c r="B1953" s="2" t="s">
        <v>3857</v>
      </c>
      <c r="C1953" s="6" t="n">
        <v>43871</v>
      </c>
      <c r="D1953" s="3" t="n">
        <v>14</v>
      </c>
      <c r="E1953" s="3" t="n">
        <v>10</v>
      </c>
      <c r="F1953" s="7" t="n">
        <f aca="false">IFERROR(Tableau1[[#This Row],[Score]]/Tableau1[[#This Row],[Nb]],0)</f>
        <v>0.714285714285714</v>
      </c>
    </row>
    <row r="1954" customFormat="false" ht="30" hidden="false" customHeight="true" outlineLevel="0" collapsed="false">
      <c r="A1954" s="1" t="s">
        <v>3858</v>
      </c>
      <c r="B1954" s="2" t="s">
        <v>3859</v>
      </c>
      <c r="C1954" s="6" t="n">
        <v>43871</v>
      </c>
      <c r="D1954" s="3" t="n">
        <v>18</v>
      </c>
      <c r="E1954" s="3" t="n">
        <v>16</v>
      </c>
      <c r="F1954" s="7" t="n">
        <f aca="false">IFERROR(Tableau1[[#This Row],[Score]]/Tableau1[[#This Row],[Nb]],0)</f>
        <v>0.888888888888889</v>
      </c>
    </row>
    <row r="1955" customFormat="false" ht="30" hidden="false" customHeight="true" outlineLevel="0" collapsed="false">
      <c r="A1955" s="1" t="s">
        <v>3860</v>
      </c>
      <c r="B1955" s="2" t="s">
        <v>3861</v>
      </c>
      <c r="C1955" s="6" t="n">
        <v>43887</v>
      </c>
      <c r="D1955" s="3" t="n">
        <v>15</v>
      </c>
      <c r="E1955" s="3" t="n">
        <v>-15</v>
      </c>
      <c r="F1955" s="7" t="n">
        <f aca="false">IFERROR(Tableau1[[#This Row],[Score]]/Tableau1[[#This Row],[Nb]],0)</f>
        <v>-1</v>
      </c>
    </row>
    <row r="1956" customFormat="false" ht="30" hidden="false" customHeight="true" outlineLevel="0" collapsed="false">
      <c r="A1956" s="1" t="s">
        <v>3862</v>
      </c>
      <c r="B1956" s="2" t="s">
        <v>3863</v>
      </c>
      <c r="C1956" s="6" t="n">
        <v>43887</v>
      </c>
      <c r="D1956" s="3" t="n">
        <v>5</v>
      </c>
      <c r="E1956" s="3" t="n">
        <v>-3</v>
      </c>
      <c r="F1956" s="7" t="n">
        <f aca="false">IFERROR(Tableau1[[#This Row],[Score]]/Tableau1[[#This Row],[Nb]],0)</f>
        <v>-0.6</v>
      </c>
    </row>
    <row r="1957" customFormat="false" ht="30" hidden="false" customHeight="true" outlineLevel="0" collapsed="false">
      <c r="A1957" s="1" t="s">
        <v>3864</v>
      </c>
      <c r="B1957" s="2" t="s">
        <v>3865</v>
      </c>
      <c r="C1957" s="6" t="n">
        <v>43887</v>
      </c>
      <c r="D1957" s="3" t="n">
        <v>5</v>
      </c>
      <c r="E1957" s="3" t="n">
        <v>1</v>
      </c>
      <c r="F1957" s="7" t="n">
        <f aca="false">IFERROR(Tableau1[[#This Row],[Score]]/Tableau1[[#This Row],[Nb]],0)</f>
        <v>0.2</v>
      </c>
    </row>
    <row r="1958" customFormat="false" ht="30" hidden="false" customHeight="true" outlineLevel="0" collapsed="false">
      <c r="A1958" s="1" t="s">
        <v>3866</v>
      </c>
      <c r="B1958" s="2" t="s">
        <v>3867</v>
      </c>
      <c r="C1958" s="6" t="n">
        <v>43887</v>
      </c>
      <c r="D1958" s="3" t="n">
        <v>9</v>
      </c>
      <c r="E1958" s="3" t="n">
        <v>5</v>
      </c>
      <c r="F1958" s="7" t="n">
        <f aca="false">IFERROR(Tableau1[[#This Row],[Score]]/Tableau1[[#This Row],[Nb]],0)</f>
        <v>0.555555555555556</v>
      </c>
    </row>
    <row r="1959" customFormat="false" ht="30" hidden="false" customHeight="true" outlineLevel="0" collapsed="false">
      <c r="A1959" s="1" t="s">
        <v>3868</v>
      </c>
      <c r="B1959" s="2" t="s">
        <v>3869</v>
      </c>
      <c r="C1959" s="6" t="n">
        <v>43887</v>
      </c>
      <c r="D1959" s="3" t="n">
        <v>10</v>
      </c>
      <c r="E1959" s="3" t="n">
        <v>8</v>
      </c>
      <c r="F1959" s="7" t="n">
        <f aca="false">IFERROR(Tableau1[[#This Row],[Score]]/Tableau1[[#This Row],[Nb]],0)</f>
        <v>0.8</v>
      </c>
    </row>
    <row r="1960" customFormat="false" ht="30" hidden="false" customHeight="true" outlineLevel="0" collapsed="false">
      <c r="A1960" s="1" t="s">
        <v>3870</v>
      </c>
      <c r="B1960" s="2" t="s">
        <v>3871</v>
      </c>
      <c r="C1960" s="6" t="n">
        <v>43887</v>
      </c>
      <c r="D1960" s="3" t="n">
        <v>5</v>
      </c>
      <c r="E1960" s="3" t="n">
        <v>5</v>
      </c>
      <c r="F1960" s="7" t="n">
        <f aca="false">IFERROR(Tableau1[[#This Row],[Score]]/Tableau1[[#This Row],[Nb]],0)</f>
        <v>1</v>
      </c>
    </row>
    <row r="1961" customFormat="false" ht="30" hidden="false" customHeight="true" outlineLevel="0" collapsed="false">
      <c r="A1961" s="1" t="s">
        <v>3872</v>
      </c>
      <c r="B1961" s="2" t="s">
        <v>3873</v>
      </c>
      <c r="C1961" s="6" t="n">
        <v>43887</v>
      </c>
      <c r="D1961" s="3" t="n">
        <v>6</v>
      </c>
      <c r="E1961" s="3" t="n">
        <v>6</v>
      </c>
      <c r="F1961" s="7" t="n">
        <f aca="false">IFERROR(Tableau1[[#This Row],[Score]]/Tableau1[[#This Row],[Nb]],0)</f>
        <v>1</v>
      </c>
    </row>
    <row r="1962" customFormat="false" ht="30" hidden="false" customHeight="true" outlineLevel="0" collapsed="false">
      <c r="A1962" s="1" t="s">
        <v>3874</v>
      </c>
      <c r="B1962" s="2" t="s">
        <v>3875</v>
      </c>
      <c r="C1962" s="6" t="n">
        <v>43923</v>
      </c>
      <c r="D1962" s="3" t="n">
        <v>9</v>
      </c>
      <c r="E1962" s="3" t="n">
        <v>-9</v>
      </c>
      <c r="F1962" s="7" t="n">
        <f aca="false">IFERROR(Tableau1[[#This Row],[Score]]/Tableau1[[#This Row],[Nb]],0)</f>
        <v>-1</v>
      </c>
    </row>
    <row r="1963" customFormat="false" ht="30" hidden="false" customHeight="true" outlineLevel="0" collapsed="false">
      <c r="A1963" s="1" t="s">
        <v>3876</v>
      </c>
      <c r="B1963" s="2" t="s">
        <v>3877</v>
      </c>
      <c r="C1963" s="6" t="n">
        <v>43934</v>
      </c>
      <c r="D1963" s="3" t="n">
        <v>7</v>
      </c>
      <c r="E1963" s="3" t="n">
        <v>-5</v>
      </c>
      <c r="F1963" s="7" t="n">
        <f aca="false">IFERROR(Tableau1[[#This Row],[Score]]/Tableau1[[#This Row],[Nb]],0)</f>
        <v>-0.714285714285714</v>
      </c>
    </row>
    <row r="1964" customFormat="false" ht="30" hidden="false" customHeight="true" outlineLevel="0" collapsed="false">
      <c r="A1964" s="1" t="s">
        <v>3878</v>
      </c>
      <c r="B1964" s="2" t="s">
        <v>3879</v>
      </c>
      <c r="C1964" s="6" t="n">
        <v>43934</v>
      </c>
      <c r="D1964" s="3" t="n">
        <v>11</v>
      </c>
      <c r="E1964" s="3" t="n">
        <v>-7</v>
      </c>
      <c r="F1964" s="7" t="n">
        <f aca="false">IFERROR(Tableau1[[#This Row],[Score]]/Tableau1[[#This Row],[Nb]],0)</f>
        <v>-0.636363636363636</v>
      </c>
    </row>
    <row r="1965" customFormat="false" ht="30" hidden="false" customHeight="true" outlineLevel="0" collapsed="false">
      <c r="A1965" s="1" t="s">
        <v>3880</v>
      </c>
      <c r="B1965" s="2" t="s">
        <v>3881</v>
      </c>
      <c r="C1965" s="6" t="n">
        <v>43934</v>
      </c>
      <c r="D1965" s="3" t="n">
        <v>9</v>
      </c>
      <c r="E1965" s="3" t="n">
        <v>-3</v>
      </c>
      <c r="F1965" s="7" t="n">
        <f aca="false">IFERROR(Tableau1[[#This Row],[Score]]/Tableau1[[#This Row],[Nb]],0)</f>
        <v>-0.333333333333333</v>
      </c>
    </row>
    <row r="1966" customFormat="false" ht="30" hidden="false" customHeight="true" outlineLevel="0" collapsed="false">
      <c r="A1966" s="1" t="s">
        <v>3882</v>
      </c>
      <c r="B1966" s="2" t="s">
        <v>3883</v>
      </c>
      <c r="C1966" s="6" t="n">
        <v>43934</v>
      </c>
      <c r="D1966" s="3" t="n">
        <v>12</v>
      </c>
      <c r="E1966" s="3" t="n">
        <v>-2</v>
      </c>
      <c r="F1966" s="7" t="n">
        <f aca="false">IFERROR(Tableau1[[#This Row],[Score]]/Tableau1[[#This Row],[Nb]],0)</f>
        <v>-0.166666666666667</v>
      </c>
    </row>
    <row r="1967" customFormat="false" ht="30" hidden="false" customHeight="true" outlineLevel="0" collapsed="false">
      <c r="A1967" s="1" t="s">
        <v>3884</v>
      </c>
      <c r="B1967" s="2" t="s">
        <v>3885</v>
      </c>
      <c r="C1967" s="6" t="n">
        <v>43934</v>
      </c>
      <c r="D1967" s="3" t="n">
        <v>10</v>
      </c>
      <c r="E1967" s="3" t="n">
        <v>0</v>
      </c>
      <c r="F1967" s="7" t="n">
        <f aca="false">IFERROR(Tableau1[[#This Row],[Score]]/Tableau1[[#This Row],[Nb]],0)</f>
        <v>0</v>
      </c>
    </row>
    <row r="1968" customFormat="false" ht="30" hidden="false" customHeight="true" outlineLevel="0" collapsed="false">
      <c r="A1968" s="1" t="s">
        <v>3886</v>
      </c>
      <c r="B1968" s="2" t="s">
        <v>3887</v>
      </c>
      <c r="C1968" s="6" t="n">
        <v>43934</v>
      </c>
      <c r="D1968" s="3" t="n">
        <v>11</v>
      </c>
      <c r="E1968" s="3" t="n">
        <v>5</v>
      </c>
      <c r="F1968" s="7" t="n">
        <f aca="false">IFERROR(Tableau1[[#This Row],[Score]]/Tableau1[[#This Row],[Nb]],0)</f>
        <v>0.454545454545455</v>
      </c>
    </row>
    <row r="1969" customFormat="false" ht="30" hidden="false" customHeight="true" outlineLevel="0" collapsed="false">
      <c r="A1969" s="1" t="s">
        <v>3888</v>
      </c>
      <c r="B1969" s="2" t="s">
        <v>3889</v>
      </c>
      <c r="C1969" s="6" t="n">
        <v>43934</v>
      </c>
      <c r="D1969" s="3" t="n">
        <v>8</v>
      </c>
      <c r="E1969" s="3" t="n">
        <v>4</v>
      </c>
      <c r="F1969" s="7" t="n">
        <f aca="false">IFERROR(Tableau1[[#This Row],[Score]]/Tableau1[[#This Row],[Nb]],0)</f>
        <v>0.5</v>
      </c>
    </row>
    <row r="1970" customFormat="false" ht="30" hidden="false" customHeight="true" outlineLevel="0" collapsed="false">
      <c r="A1970" s="1" t="s">
        <v>3890</v>
      </c>
      <c r="B1970" s="2" t="s">
        <v>3891</v>
      </c>
      <c r="C1970" s="6" t="n">
        <v>43934</v>
      </c>
      <c r="D1970" s="3" t="n">
        <v>8</v>
      </c>
      <c r="E1970" s="3" t="n">
        <v>4</v>
      </c>
      <c r="F1970" s="7" t="n">
        <f aca="false">IFERROR(Tableau1[[#This Row],[Score]]/Tableau1[[#This Row],[Nb]],0)</f>
        <v>0.5</v>
      </c>
    </row>
    <row r="1971" customFormat="false" ht="30" hidden="false" customHeight="true" outlineLevel="0" collapsed="false">
      <c r="A1971" s="1" t="s">
        <v>3892</v>
      </c>
      <c r="B1971" s="2" t="s">
        <v>3893</v>
      </c>
      <c r="C1971" s="6" t="n">
        <v>43973</v>
      </c>
      <c r="D1971" s="3" t="n">
        <v>11</v>
      </c>
      <c r="E1971" s="3" t="n">
        <v>-11</v>
      </c>
      <c r="F1971" s="7" t="n">
        <f aca="false">IFERROR(Tableau1[[#This Row],[Score]]/Tableau1[[#This Row],[Nb]],0)</f>
        <v>-1</v>
      </c>
    </row>
    <row r="1972" customFormat="false" ht="30" hidden="false" customHeight="true" outlineLevel="0" collapsed="false">
      <c r="A1972" s="1" t="s">
        <v>3894</v>
      </c>
      <c r="B1972" s="2" t="s">
        <v>3895</v>
      </c>
      <c r="C1972" s="6" t="n">
        <v>43973</v>
      </c>
      <c r="D1972" s="3" t="n">
        <v>7</v>
      </c>
      <c r="E1972" s="3" t="n">
        <v>-7</v>
      </c>
      <c r="F1972" s="7" t="n">
        <f aca="false">IFERROR(Tableau1[[#This Row],[Score]]/Tableau1[[#This Row],[Nb]],0)</f>
        <v>-1</v>
      </c>
    </row>
    <row r="1973" customFormat="false" ht="30" hidden="false" customHeight="true" outlineLevel="0" collapsed="false">
      <c r="A1973" s="1" t="s">
        <v>3896</v>
      </c>
      <c r="B1973" s="2" t="s">
        <v>3897</v>
      </c>
      <c r="C1973" s="6" t="n">
        <v>43973</v>
      </c>
      <c r="D1973" s="3" t="n">
        <v>7</v>
      </c>
      <c r="E1973" s="3" t="n">
        <v>-7</v>
      </c>
      <c r="F1973" s="7" t="n">
        <f aca="false">IFERROR(Tableau1[[#This Row],[Score]]/Tableau1[[#This Row],[Nb]],0)</f>
        <v>-1</v>
      </c>
    </row>
    <row r="1974" customFormat="false" ht="30" hidden="false" customHeight="true" outlineLevel="0" collapsed="false">
      <c r="A1974" s="1" t="s">
        <v>3898</v>
      </c>
      <c r="B1974" s="2" t="s">
        <v>3899</v>
      </c>
      <c r="C1974" s="6" t="n">
        <v>43973</v>
      </c>
      <c r="D1974" s="3" t="n">
        <v>9</v>
      </c>
      <c r="E1974" s="3" t="n">
        <v>-9</v>
      </c>
      <c r="F1974" s="7" t="n">
        <f aca="false">IFERROR(Tableau1[[#This Row],[Score]]/Tableau1[[#This Row],[Nb]],0)</f>
        <v>-1</v>
      </c>
    </row>
    <row r="1975" customFormat="false" ht="30" hidden="false" customHeight="true" outlineLevel="0" collapsed="false">
      <c r="A1975" s="1" t="s">
        <v>3900</v>
      </c>
      <c r="B1975" s="2" t="s">
        <v>3901</v>
      </c>
      <c r="C1975" s="6" t="n">
        <v>43973</v>
      </c>
      <c r="D1975" s="3" t="n">
        <v>5</v>
      </c>
      <c r="E1975" s="3" t="n">
        <v>-5</v>
      </c>
      <c r="F1975" s="7" t="n">
        <f aca="false">IFERROR(Tableau1[[#This Row],[Score]]/Tableau1[[#This Row],[Nb]],0)</f>
        <v>-1</v>
      </c>
    </row>
    <row r="1976" customFormat="false" ht="30" hidden="false" customHeight="true" outlineLevel="0" collapsed="false">
      <c r="A1976" s="1" t="s">
        <v>3902</v>
      </c>
      <c r="B1976" s="2" t="s">
        <v>3903</v>
      </c>
      <c r="C1976" s="6" t="n">
        <v>43973</v>
      </c>
      <c r="D1976" s="3" t="n">
        <v>5</v>
      </c>
      <c r="E1976" s="3" t="n">
        <v>-5</v>
      </c>
      <c r="F1976" s="7" t="n">
        <f aca="false">IFERROR(Tableau1[[#This Row],[Score]]/Tableau1[[#This Row],[Nb]],0)</f>
        <v>-1</v>
      </c>
    </row>
    <row r="1977" customFormat="false" ht="30" hidden="false" customHeight="true" outlineLevel="0" collapsed="false">
      <c r="A1977" s="1" t="s">
        <v>3904</v>
      </c>
      <c r="B1977" s="2" t="s">
        <v>3905</v>
      </c>
      <c r="C1977" s="6" t="n">
        <v>43973</v>
      </c>
      <c r="D1977" s="3" t="n">
        <v>13</v>
      </c>
      <c r="E1977" s="3" t="n">
        <v>-11</v>
      </c>
      <c r="F1977" s="7" t="n">
        <f aca="false">IFERROR(Tableau1[[#This Row],[Score]]/Tableau1[[#This Row],[Nb]],0)</f>
        <v>-0.846153846153846</v>
      </c>
    </row>
    <row r="1978" customFormat="false" ht="30" hidden="false" customHeight="true" outlineLevel="0" collapsed="false">
      <c r="A1978" s="1" t="s">
        <v>3906</v>
      </c>
      <c r="B1978" s="2" t="s">
        <v>3907</v>
      </c>
      <c r="C1978" s="6" t="n">
        <v>43973</v>
      </c>
      <c r="D1978" s="3" t="n">
        <v>11</v>
      </c>
      <c r="E1978" s="3" t="n">
        <v>-9</v>
      </c>
      <c r="F1978" s="7" t="n">
        <f aca="false">IFERROR(Tableau1[[#This Row],[Score]]/Tableau1[[#This Row],[Nb]],0)</f>
        <v>-0.818181818181818</v>
      </c>
    </row>
    <row r="1979" customFormat="false" ht="30" hidden="false" customHeight="true" outlineLevel="0" collapsed="false">
      <c r="A1979" s="1" t="s">
        <v>3908</v>
      </c>
      <c r="B1979" s="2" t="s">
        <v>3909</v>
      </c>
      <c r="C1979" s="6" t="n">
        <v>43973</v>
      </c>
      <c r="D1979" s="3" t="n">
        <v>14</v>
      </c>
      <c r="E1979" s="3" t="n">
        <v>-8</v>
      </c>
      <c r="F1979" s="7" t="n">
        <f aca="false">IFERROR(Tableau1[[#This Row],[Score]]/Tableau1[[#This Row],[Nb]],0)</f>
        <v>-0.571428571428571</v>
      </c>
    </row>
    <row r="1980" customFormat="false" ht="30" hidden="false" customHeight="true" outlineLevel="0" collapsed="false">
      <c r="A1980" s="1" t="s">
        <v>3910</v>
      </c>
      <c r="B1980" s="2" t="s">
        <v>3911</v>
      </c>
      <c r="C1980" s="6" t="n">
        <v>43973</v>
      </c>
      <c r="D1980" s="3" t="n">
        <v>16</v>
      </c>
      <c r="E1980" s="3" t="n">
        <v>-6</v>
      </c>
      <c r="F1980" s="7" t="n">
        <f aca="false">IFERROR(Tableau1[[#This Row],[Score]]/Tableau1[[#This Row],[Nb]],0)</f>
        <v>-0.375</v>
      </c>
    </row>
    <row r="1981" customFormat="false" ht="30" hidden="false" customHeight="true" outlineLevel="0" collapsed="false">
      <c r="A1981" s="1" t="s">
        <v>3912</v>
      </c>
      <c r="B1981" s="2" t="s">
        <v>3913</v>
      </c>
      <c r="C1981" s="6" t="n">
        <v>43973</v>
      </c>
      <c r="D1981" s="3" t="n">
        <v>9</v>
      </c>
      <c r="E1981" s="3" t="n">
        <v>-3</v>
      </c>
      <c r="F1981" s="7" t="n">
        <f aca="false">IFERROR(Tableau1[[#This Row],[Score]]/Tableau1[[#This Row],[Nb]],0)</f>
        <v>-0.333333333333333</v>
      </c>
    </row>
    <row r="1982" customFormat="false" ht="30" hidden="false" customHeight="true" outlineLevel="0" collapsed="false">
      <c r="A1982" s="1" t="s">
        <v>3914</v>
      </c>
      <c r="B1982" s="2" t="s">
        <v>3915</v>
      </c>
      <c r="C1982" s="6" t="n">
        <v>43973</v>
      </c>
      <c r="D1982" s="3" t="n">
        <v>14</v>
      </c>
      <c r="E1982" s="3" t="n">
        <v>-2</v>
      </c>
      <c r="F1982" s="7" t="n">
        <f aca="false">IFERROR(Tableau1[[#This Row],[Score]]/Tableau1[[#This Row],[Nb]],0)</f>
        <v>-0.142857142857143</v>
      </c>
    </row>
    <row r="1983" customFormat="false" ht="30" hidden="false" customHeight="true" outlineLevel="0" collapsed="false">
      <c r="A1983" s="1" t="s">
        <v>3916</v>
      </c>
      <c r="B1983" s="2" t="s">
        <v>3917</v>
      </c>
      <c r="C1983" s="6" t="n">
        <v>43973</v>
      </c>
      <c r="D1983" s="3" t="n">
        <v>10</v>
      </c>
      <c r="E1983" s="3" t="n">
        <v>4</v>
      </c>
      <c r="F1983" s="7" t="n">
        <f aca="false">IFERROR(Tableau1[[#This Row],[Score]]/Tableau1[[#This Row],[Nb]],0)</f>
        <v>0.4</v>
      </c>
    </row>
    <row r="1984" customFormat="false" ht="30" hidden="false" customHeight="true" outlineLevel="0" collapsed="false">
      <c r="A1984" s="1" t="s">
        <v>3918</v>
      </c>
      <c r="B1984" s="2" t="s">
        <v>3919</v>
      </c>
      <c r="C1984" s="6" t="n">
        <v>43973</v>
      </c>
      <c r="D1984" s="3" t="n">
        <v>8</v>
      </c>
      <c r="E1984" s="3" t="n">
        <v>4</v>
      </c>
      <c r="F1984" s="7" t="n">
        <f aca="false">IFERROR(Tableau1[[#This Row],[Score]]/Tableau1[[#This Row],[Nb]],0)</f>
        <v>0.5</v>
      </c>
    </row>
    <row r="1985" customFormat="false" ht="30" hidden="false" customHeight="true" outlineLevel="0" collapsed="false">
      <c r="A1985" s="1" t="s">
        <v>3920</v>
      </c>
      <c r="B1985" s="2" t="s">
        <v>3921</v>
      </c>
      <c r="C1985" s="6" t="n">
        <v>43973</v>
      </c>
      <c r="D1985" s="3" t="n">
        <v>12</v>
      </c>
      <c r="E1985" s="3" t="n">
        <v>10</v>
      </c>
      <c r="F1985" s="7" t="n">
        <f aca="false">IFERROR(Tableau1[[#This Row],[Score]]/Tableau1[[#This Row],[Nb]],0)</f>
        <v>0.833333333333333</v>
      </c>
    </row>
    <row r="1986" customFormat="false" ht="30" hidden="false" customHeight="true" outlineLevel="0" collapsed="false">
      <c r="A1986" s="1" t="s">
        <v>3922</v>
      </c>
      <c r="B1986" s="2" t="s">
        <v>3923</v>
      </c>
      <c r="C1986" s="6" t="n">
        <v>43973</v>
      </c>
      <c r="D1986" s="3" t="n">
        <v>6</v>
      </c>
      <c r="E1986" s="3" t="n">
        <v>6</v>
      </c>
      <c r="F1986" s="7" t="n">
        <f aca="false">IFERROR(Tableau1[[#This Row],[Score]]/Tableau1[[#This Row],[Nb]],0)</f>
        <v>1</v>
      </c>
    </row>
    <row r="1987" customFormat="false" ht="30" hidden="false" customHeight="true" outlineLevel="0" collapsed="false">
      <c r="A1987" s="1" t="s">
        <v>3924</v>
      </c>
      <c r="B1987" s="2" t="s">
        <v>3925</v>
      </c>
      <c r="C1987" s="6" t="n">
        <v>43985</v>
      </c>
      <c r="D1987" s="3" t="n">
        <v>12</v>
      </c>
      <c r="E1987" s="3" t="n">
        <v>-10</v>
      </c>
      <c r="F1987" s="7" t="n">
        <f aca="false">IFERROR(Tableau1[[#This Row],[Score]]/Tableau1[[#This Row],[Nb]],0)</f>
        <v>-0.833333333333333</v>
      </c>
    </row>
    <row r="1988" customFormat="false" ht="30" hidden="false" customHeight="true" outlineLevel="0" collapsed="false">
      <c r="A1988" s="1" t="s">
        <v>3926</v>
      </c>
      <c r="B1988" s="2" t="s">
        <v>3927</v>
      </c>
      <c r="C1988" s="6" t="n">
        <v>43985</v>
      </c>
      <c r="D1988" s="3" t="n">
        <v>12</v>
      </c>
      <c r="E1988" s="3" t="n">
        <v>-4</v>
      </c>
      <c r="F1988" s="7" t="n">
        <f aca="false">IFERROR(Tableau1[[#This Row],[Score]]/Tableau1[[#This Row],[Nb]],0)</f>
        <v>-0.333333333333333</v>
      </c>
    </row>
    <row r="1989" customFormat="false" ht="30" hidden="false" customHeight="true" outlineLevel="0" collapsed="false">
      <c r="A1989" s="1" t="s">
        <v>3928</v>
      </c>
      <c r="B1989" s="2" t="s">
        <v>3929</v>
      </c>
      <c r="C1989" s="6" t="n">
        <v>43985</v>
      </c>
      <c r="D1989" s="3" t="n">
        <v>12</v>
      </c>
      <c r="E1989" s="3" t="n">
        <v>-2</v>
      </c>
      <c r="F1989" s="7" t="n">
        <f aca="false">IFERROR(Tableau1[[#This Row],[Score]]/Tableau1[[#This Row],[Nb]],0)</f>
        <v>-0.166666666666667</v>
      </c>
    </row>
    <row r="1990" customFormat="false" ht="30" hidden="false" customHeight="true" outlineLevel="0" collapsed="false">
      <c r="A1990" s="1" t="s">
        <v>3930</v>
      </c>
      <c r="B1990" s="2" t="s">
        <v>3931</v>
      </c>
      <c r="C1990" s="6" t="n">
        <v>43985</v>
      </c>
      <c r="D1990" s="3" t="n">
        <v>9</v>
      </c>
      <c r="E1990" s="3" t="n">
        <v>-1</v>
      </c>
      <c r="F1990" s="7" t="n">
        <f aca="false">IFERROR(Tableau1[[#This Row],[Score]]/Tableau1[[#This Row],[Nb]],0)</f>
        <v>-0.111111111111111</v>
      </c>
    </row>
    <row r="1991" customFormat="false" ht="30" hidden="false" customHeight="true" outlineLevel="0" collapsed="false">
      <c r="A1991" s="1" t="s">
        <v>3932</v>
      </c>
      <c r="B1991" s="2" t="s">
        <v>3933</v>
      </c>
      <c r="C1991" s="6" t="n">
        <v>43985</v>
      </c>
      <c r="D1991" s="3" t="n">
        <v>10</v>
      </c>
      <c r="E1991" s="3" t="n">
        <v>6</v>
      </c>
      <c r="F1991" s="7" t="n">
        <f aca="false">IFERROR(Tableau1[[#This Row],[Score]]/Tableau1[[#This Row],[Nb]],0)</f>
        <v>0.6</v>
      </c>
    </row>
    <row r="1992" customFormat="false" ht="30" hidden="false" customHeight="true" outlineLevel="0" collapsed="false">
      <c r="A1992" s="1" t="s">
        <v>544</v>
      </c>
      <c r="B1992" s="2" t="s">
        <v>3934</v>
      </c>
      <c r="C1992" s="6" t="n">
        <v>43985</v>
      </c>
      <c r="D1992" s="3" t="n">
        <v>11</v>
      </c>
      <c r="E1992" s="3" t="n">
        <v>9</v>
      </c>
      <c r="F1992" s="7" t="n">
        <f aca="false">IFERROR(Tableau1[[#This Row],[Score]]/Tableau1[[#This Row],[Nb]],0)</f>
        <v>0.818181818181818</v>
      </c>
    </row>
    <row r="1993" customFormat="false" ht="30" hidden="false" customHeight="true" outlineLevel="0" collapsed="false">
      <c r="A1993" s="1" t="s">
        <v>3935</v>
      </c>
      <c r="B1993" s="2" t="s">
        <v>3936</v>
      </c>
      <c r="C1993" s="6" t="n">
        <v>43985</v>
      </c>
      <c r="D1993" s="3" t="n">
        <v>14</v>
      </c>
      <c r="E1993" s="3" t="n">
        <v>12</v>
      </c>
      <c r="F1993" s="7" t="n">
        <f aca="false">IFERROR(Tableau1[[#This Row],[Score]]/Tableau1[[#This Row],[Nb]],0)</f>
        <v>0.857142857142857</v>
      </c>
    </row>
    <row r="1994" customFormat="false" ht="30" hidden="false" customHeight="true" outlineLevel="0" collapsed="false">
      <c r="A1994" s="1" t="s">
        <v>3937</v>
      </c>
      <c r="B1994" s="2" t="s">
        <v>3938</v>
      </c>
      <c r="C1994" s="6" t="n">
        <v>44007</v>
      </c>
      <c r="D1994" s="3" t="n">
        <v>11</v>
      </c>
      <c r="E1994" s="3" t="n">
        <v>-11</v>
      </c>
      <c r="F1994" s="7" t="n">
        <f aca="false">IFERROR(Tableau1[[#This Row],[Score]]/Tableau1[[#This Row],[Nb]],0)</f>
        <v>-1</v>
      </c>
    </row>
    <row r="1995" customFormat="false" ht="30" hidden="false" customHeight="true" outlineLevel="0" collapsed="false">
      <c r="A1995" s="1" t="s">
        <v>3939</v>
      </c>
      <c r="B1995" s="2" t="s">
        <v>3940</v>
      </c>
      <c r="C1995" s="6" t="n">
        <v>44007</v>
      </c>
      <c r="D1995" s="3" t="n">
        <v>9</v>
      </c>
      <c r="E1995" s="3" t="n">
        <v>-9</v>
      </c>
      <c r="F1995" s="7" t="n">
        <f aca="false">IFERROR(Tableau1[[#This Row],[Score]]/Tableau1[[#This Row],[Nb]],0)</f>
        <v>-1</v>
      </c>
    </row>
    <row r="1996" customFormat="false" ht="30" hidden="false" customHeight="true" outlineLevel="0" collapsed="false">
      <c r="A1996" s="1" t="s">
        <v>3941</v>
      </c>
      <c r="B1996" s="2" t="s">
        <v>3942</v>
      </c>
      <c r="C1996" s="6" t="n">
        <v>44007</v>
      </c>
      <c r="D1996" s="3" t="n">
        <v>7</v>
      </c>
      <c r="E1996" s="3" t="n">
        <v>-7</v>
      </c>
      <c r="F1996" s="7" t="n">
        <f aca="false">IFERROR(Tableau1[[#This Row],[Score]]/Tableau1[[#This Row],[Nb]],0)</f>
        <v>-1</v>
      </c>
    </row>
    <row r="1997" customFormat="false" ht="30" hidden="false" customHeight="true" outlineLevel="0" collapsed="false">
      <c r="A1997" s="1" t="s">
        <v>3943</v>
      </c>
      <c r="B1997" s="2" t="s">
        <v>3944</v>
      </c>
      <c r="C1997" s="6" t="n">
        <v>44007</v>
      </c>
      <c r="D1997" s="3" t="n">
        <v>8</v>
      </c>
      <c r="E1997" s="3" t="n">
        <v>-8</v>
      </c>
      <c r="F1997" s="7" t="n">
        <f aca="false">IFERROR(Tableau1[[#This Row],[Score]]/Tableau1[[#This Row],[Nb]],0)</f>
        <v>-1</v>
      </c>
    </row>
    <row r="1998" customFormat="false" ht="30" hidden="false" customHeight="true" outlineLevel="0" collapsed="false">
      <c r="A1998" s="1" t="s">
        <v>3945</v>
      </c>
      <c r="B1998" s="2" t="s">
        <v>3946</v>
      </c>
      <c r="C1998" s="6" t="n">
        <v>44007</v>
      </c>
      <c r="D1998" s="3" t="n">
        <v>6</v>
      </c>
      <c r="E1998" s="3" t="n">
        <v>-6</v>
      </c>
      <c r="F1998" s="7" t="n">
        <f aca="false">IFERROR(Tableau1[[#This Row],[Score]]/Tableau1[[#This Row],[Nb]],0)</f>
        <v>-1</v>
      </c>
    </row>
    <row r="1999" customFormat="false" ht="30" hidden="false" customHeight="true" outlineLevel="0" collapsed="false">
      <c r="A1999" s="1" t="s">
        <v>3947</v>
      </c>
      <c r="B1999" s="2" t="s">
        <v>3948</v>
      </c>
      <c r="C1999" s="6" t="n">
        <v>44007</v>
      </c>
      <c r="D1999" s="3" t="n">
        <v>10</v>
      </c>
      <c r="E1999" s="3" t="n">
        <v>-6</v>
      </c>
      <c r="F1999" s="7" t="n">
        <f aca="false">IFERROR(Tableau1[[#This Row],[Score]]/Tableau1[[#This Row],[Nb]],0)</f>
        <v>-0.6</v>
      </c>
    </row>
    <row r="2000" customFormat="false" ht="30" hidden="false" customHeight="true" outlineLevel="0" collapsed="false">
      <c r="A2000" s="1" t="s">
        <v>3949</v>
      </c>
      <c r="B2000" s="2" t="s">
        <v>3950</v>
      </c>
      <c r="C2000" s="6" t="n">
        <v>44007</v>
      </c>
      <c r="D2000" s="3" t="n">
        <v>11</v>
      </c>
      <c r="E2000" s="3" t="n">
        <v>7</v>
      </c>
      <c r="F2000" s="7" t="n">
        <f aca="false">IFERROR(Tableau1[[#This Row],[Score]]/Tableau1[[#This Row],[Nb]],0)</f>
        <v>0.636363636363636</v>
      </c>
    </row>
    <row r="2001" customFormat="false" ht="30" hidden="false" customHeight="true" outlineLevel="0" collapsed="false">
      <c r="A2001" s="1" t="s">
        <v>3951</v>
      </c>
      <c r="B2001" s="2" t="s">
        <v>3952</v>
      </c>
      <c r="C2001" s="6" t="n">
        <v>44026</v>
      </c>
      <c r="D2001" s="3" t="n">
        <v>5</v>
      </c>
      <c r="E2001" s="3" t="n">
        <v>-5</v>
      </c>
      <c r="F2001" s="7" t="n">
        <f aca="false">IFERROR(Tableau1[[#This Row],[Score]]/Tableau1[[#This Row],[Nb]],0)</f>
        <v>-1</v>
      </c>
    </row>
    <row r="2002" customFormat="false" ht="30" hidden="false" customHeight="true" outlineLevel="0" collapsed="false">
      <c r="A2002" s="1" t="s">
        <v>3953</v>
      </c>
      <c r="B2002" s="2" t="s">
        <v>3954</v>
      </c>
      <c r="C2002" s="6" t="n">
        <v>44026</v>
      </c>
      <c r="D2002" s="3" t="n">
        <v>11</v>
      </c>
      <c r="E2002" s="3" t="n">
        <v>-9</v>
      </c>
      <c r="F2002" s="7" t="n">
        <f aca="false">IFERROR(Tableau1[[#This Row],[Score]]/Tableau1[[#This Row],[Nb]],0)</f>
        <v>-0.818181818181818</v>
      </c>
    </row>
    <row r="2003" customFormat="false" ht="30" hidden="false" customHeight="true" outlineLevel="0" collapsed="false">
      <c r="A2003" s="1" t="s">
        <v>3955</v>
      </c>
      <c r="B2003" s="2" t="s">
        <v>3956</v>
      </c>
      <c r="C2003" s="6" t="n">
        <v>44026</v>
      </c>
      <c r="D2003" s="3" t="n">
        <v>9</v>
      </c>
      <c r="E2003" s="3" t="n">
        <v>3</v>
      </c>
      <c r="F2003" s="7" t="n">
        <f aca="false">IFERROR(Tableau1[[#This Row],[Score]]/Tableau1[[#This Row],[Nb]],0)</f>
        <v>0.333333333333333</v>
      </c>
    </row>
    <row r="2004" customFormat="false" ht="30" hidden="false" customHeight="true" outlineLevel="0" collapsed="false">
      <c r="A2004" s="1" t="s">
        <v>3957</v>
      </c>
      <c r="B2004" s="2" t="s">
        <v>3958</v>
      </c>
      <c r="C2004" s="6" t="n">
        <v>44034</v>
      </c>
      <c r="D2004" s="3" t="n">
        <v>10</v>
      </c>
      <c r="E2004" s="3" t="n">
        <v>-10</v>
      </c>
      <c r="F2004" s="7" t="n">
        <f aca="false">IFERROR(Tableau1[[#This Row],[Score]]/Tableau1[[#This Row],[Nb]],0)</f>
        <v>-1</v>
      </c>
    </row>
    <row r="2005" customFormat="false" ht="30" hidden="false" customHeight="true" outlineLevel="0" collapsed="false">
      <c r="A2005" s="1" t="s">
        <v>3959</v>
      </c>
      <c r="B2005" s="2" t="s">
        <v>3960</v>
      </c>
      <c r="C2005" s="6" t="n">
        <v>44034</v>
      </c>
      <c r="D2005" s="3" t="n">
        <v>5</v>
      </c>
      <c r="E2005" s="3" t="n">
        <v>-5</v>
      </c>
      <c r="F2005" s="7" t="n">
        <f aca="false">IFERROR(Tableau1[[#This Row],[Score]]/Tableau1[[#This Row],[Nb]],0)</f>
        <v>-1</v>
      </c>
    </row>
    <row r="2006" customFormat="false" ht="30" hidden="false" customHeight="true" outlineLevel="0" collapsed="false">
      <c r="A2006" s="1" t="s">
        <v>3961</v>
      </c>
      <c r="B2006" s="2" t="s">
        <v>3962</v>
      </c>
      <c r="C2006" s="6" t="n">
        <v>44034</v>
      </c>
      <c r="D2006" s="3" t="n">
        <v>15</v>
      </c>
      <c r="E2006" s="3" t="n">
        <v>-1</v>
      </c>
      <c r="F2006" s="7" t="n">
        <f aca="false">IFERROR(Tableau1[[#This Row],[Score]]/Tableau1[[#This Row],[Nb]],0)</f>
        <v>-0.0666666666666667</v>
      </c>
    </row>
    <row r="2007" customFormat="false" ht="30" hidden="false" customHeight="true" outlineLevel="0" collapsed="false">
      <c r="A2007" s="1" t="s">
        <v>3963</v>
      </c>
      <c r="B2007" s="2" t="s">
        <v>3964</v>
      </c>
      <c r="C2007" s="6" t="n">
        <v>44034</v>
      </c>
      <c r="D2007" s="3" t="n">
        <v>11</v>
      </c>
      <c r="E2007" s="3" t="n">
        <v>1</v>
      </c>
      <c r="F2007" s="7" t="n">
        <f aca="false">IFERROR(Tableau1[[#This Row],[Score]]/Tableau1[[#This Row],[Nb]],0)</f>
        <v>0.0909090909090909</v>
      </c>
    </row>
    <row r="2008" customFormat="false" ht="30" hidden="false" customHeight="true" outlineLevel="0" collapsed="false">
      <c r="A2008" s="1" t="s">
        <v>3965</v>
      </c>
      <c r="B2008" s="2" t="s">
        <v>3966</v>
      </c>
      <c r="C2008" s="6" t="n">
        <v>44034</v>
      </c>
      <c r="D2008" s="3" t="n">
        <v>7</v>
      </c>
      <c r="E2008" s="3" t="n">
        <v>1</v>
      </c>
      <c r="F2008" s="7" t="n">
        <f aca="false">IFERROR(Tableau1[[#This Row],[Score]]/Tableau1[[#This Row],[Nb]],0)</f>
        <v>0.142857142857143</v>
      </c>
    </row>
    <row r="2009" customFormat="false" ht="30" hidden="false" customHeight="true" outlineLevel="0" collapsed="false">
      <c r="A2009" s="1" t="s">
        <v>3967</v>
      </c>
      <c r="B2009" s="2" t="s">
        <v>3968</v>
      </c>
      <c r="C2009" s="6" t="n">
        <v>44034</v>
      </c>
      <c r="D2009" s="3" t="n">
        <v>8</v>
      </c>
      <c r="E2009" s="3" t="n">
        <v>6</v>
      </c>
      <c r="F2009" s="7" t="n">
        <f aca="false">IFERROR(Tableau1[[#This Row],[Score]]/Tableau1[[#This Row],[Nb]],0)</f>
        <v>0.75</v>
      </c>
    </row>
    <row r="2010" customFormat="false" ht="30" hidden="false" customHeight="true" outlineLevel="0" collapsed="false">
      <c r="A2010" s="1" t="s">
        <v>3969</v>
      </c>
      <c r="B2010" s="2" t="s">
        <v>3970</v>
      </c>
      <c r="C2010" s="6" t="n">
        <v>44036</v>
      </c>
      <c r="D2010" s="3" t="n">
        <v>7</v>
      </c>
      <c r="E2010" s="3" t="n">
        <v>3</v>
      </c>
      <c r="F2010" s="7" t="n">
        <f aca="false">IFERROR(Tableau1[[#This Row],[Score]]/Tableau1[[#This Row],[Nb]],0)</f>
        <v>0.428571428571429</v>
      </c>
    </row>
    <row r="2011" customFormat="false" ht="30" hidden="false" customHeight="true" outlineLevel="0" collapsed="false">
      <c r="A2011" s="1" t="s">
        <v>3971</v>
      </c>
      <c r="B2011" s="2" t="s">
        <v>3972</v>
      </c>
      <c r="C2011" s="6" t="n">
        <v>44042</v>
      </c>
      <c r="D2011" s="3" t="n">
        <v>10</v>
      </c>
      <c r="E2011" s="3" t="n">
        <v>8</v>
      </c>
      <c r="F2011" s="7" t="n">
        <f aca="false">IFERROR(Tableau1[[#This Row],[Score]]/Tableau1[[#This Row],[Nb]],0)</f>
        <v>0.8</v>
      </c>
    </row>
    <row r="2012" customFormat="false" ht="30" hidden="false" customHeight="true" outlineLevel="0" collapsed="false">
      <c r="A2012" s="1" t="s">
        <v>3973</v>
      </c>
      <c r="B2012" s="2" t="s">
        <v>3974</v>
      </c>
      <c r="C2012" s="6" t="n">
        <v>44047</v>
      </c>
      <c r="D2012" s="3" t="n">
        <v>12</v>
      </c>
      <c r="E2012" s="3" t="n">
        <v>-12</v>
      </c>
      <c r="F2012" s="7" t="n">
        <f aca="false">IFERROR(Tableau1[[#This Row],[Score]]/Tableau1[[#This Row],[Nb]],0)</f>
        <v>-1</v>
      </c>
    </row>
    <row r="2013" customFormat="false" ht="30" hidden="false" customHeight="true" outlineLevel="0" collapsed="false">
      <c r="A2013" s="1" t="s">
        <v>3975</v>
      </c>
      <c r="B2013" s="2" t="s">
        <v>1866</v>
      </c>
      <c r="C2013" s="6" t="n">
        <v>44047</v>
      </c>
      <c r="D2013" s="3" t="n">
        <v>14</v>
      </c>
      <c r="E2013" s="3" t="n">
        <v>-8</v>
      </c>
      <c r="F2013" s="7" t="n">
        <f aca="false">IFERROR(Tableau1[[#This Row],[Score]]/Tableau1[[#This Row],[Nb]],0)</f>
        <v>-0.571428571428571</v>
      </c>
    </row>
    <row r="2014" customFormat="false" ht="30" hidden="false" customHeight="true" outlineLevel="0" collapsed="false">
      <c r="A2014" s="1" t="s">
        <v>3976</v>
      </c>
      <c r="B2014" s="2" t="s">
        <v>3977</v>
      </c>
      <c r="C2014" s="6" t="n">
        <v>44047</v>
      </c>
      <c r="D2014" s="3" t="n">
        <v>16</v>
      </c>
      <c r="E2014" s="3" t="n">
        <v>11</v>
      </c>
      <c r="F2014" s="7" t="n">
        <f aca="false">IFERROR(Tableau1[[#This Row],[Score]]/Tableau1[[#This Row],[Nb]],0)</f>
        <v>0.6875</v>
      </c>
    </row>
    <row r="2015" customFormat="false" ht="30" hidden="false" customHeight="true" outlineLevel="0" collapsed="false">
      <c r="A2015" s="1" t="s">
        <v>3978</v>
      </c>
      <c r="B2015" s="2" t="s">
        <v>3979</v>
      </c>
      <c r="C2015" s="6" t="n">
        <v>44047</v>
      </c>
      <c r="D2015" s="3" t="n">
        <v>10</v>
      </c>
      <c r="E2015" s="3" t="n">
        <v>8</v>
      </c>
      <c r="F2015" s="7" t="n">
        <f aca="false">IFERROR(Tableau1[[#This Row],[Score]]/Tableau1[[#This Row],[Nb]],0)</f>
        <v>0.8</v>
      </c>
    </row>
    <row r="2016" customFormat="false" ht="30" hidden="false" customHeight="true" outlineLevel="0" collapsed="false">
      <c r="A2016" s="1" t="s">
        <v>3980</v>
      </c>
      <c r="B2016" s="2" t="s">
        <v>3981</v>
      </c>
      <c r="C2016" s="6" t="n">
        <v>44047</v>
      </c>
      <c r="D2016" s="3" t="n">
        <v>11</v>
      </c>
      <c r="E2016" s="3" t="n">
        <v>9</v>
      </c>
      <c r="F2016" s="7" t="n">
        <f aca="false">IFERROR(Tableau1[[#This Row],[Score]]/Tableau1[[#This Row],[Nb]],0)</f>
        <v>0.818181818181818</v>
      </c>
    </row>
    <row r="2017" customFormat="false" ht="30" hidden="false" customHeight="true" outlineLevel="0" collapsed="false">
      <c r="A2017" s="1" t="s">
        <v>3982</v>
      </c>
      <c r="B2017" s="2" t="s">
        <v>3983</v>
      </c>
      <c r="C2017" s="6" t="n">
        <v>44047</v>
      </c>
      <c r="D2017" s="3" t="n">
        <v>8</v>
      </c>
      <c r="E2017" s="3" t="n">
        <v>8</v>
      </c>
      <c r="F2017" s="7" t="n">
        <f aca="false">IFERROR(Tableau1[[#This Row],[Score]]/Tableau1[[#This Row],[Nb]],0)</f>
        <v>1</v>
      </c>
    </row>
    <row r="2018" customFormat="false" ht="30" hidden="false" customHeight="true" outlineLevel="0" collapsed="false">
      <c r="A2018" s="1" t="s">
        <v>3984</v>
      </c>
      <c r="B2018" s="2" t="s">
        <v>3985</v>
      </c>
      <c r="C2018" s="6" t="n">
        <v>44236</v>
      </c>
      <c r="D2018" s="3" t="n">
        <v>11</v>
      </c>
      <c r="E2018" s="3" t="n">
        <v>-11</v>
      </c>
      <c r="F2018" s="7" t="n">
        <f aca="false">IFERROR(Tableau1[[#This Row],[Score]]/Tableau1[[#This Row],[Nb]],0)</f>
        <v>-1</v>
      </c>
    </row>
    <row r="2019" customFormat="false" ht="30" hidden="false" customHeight="true" outlineLevel="0" collapsed="false">
      <c r="A2019" s="1" t="s">
        <v>3986</v>
      </c>
      <c r="B2019" s="2" t="s">
        <v>3987</v>
      </c>
      <c r="C2019" s="6" t="n">
        <v>44236</v>
      </c>
      <c r="D2019" s="3" t="n">
        <v>9</v>
      </c>
      <c r="E2019" s="3" t="n">
        <v>-9</v>
      </c>
      <c r="F2019" s="7" t="n">
        <f aca="false">IFERROR(Tableau1[[#This Row],[Score]]/Tableau1[[#This Row],[Nb]],0)</f>
        <v>-1</v>
      </c>
    </row>
    <row r="2020" customFormat="false" ht="30" hidden="false" customHeight="true" outlineLevel="0" collapsed="false">
      <c r="A2020" s="1" t="s">
        <v>3988</v>
      </c>
      <c r="B2020" s="2" t="s">
        <v>3989</v>
      </c>
      <c r="C2020" s="6" t="n">
        <v>44236</v>
      </c>
      <c r="D2020" s="3" t="n">
        <v>11</v>
      </c>
      <c r="E2020" s="3" t="n">
        <v>-10</v>
      </c>
      <c r="F2020" s="7" t="n">
        <f aca="false">IFERROR(Tableau1[[#This Row],[Score]]/Tableau1[[#This Row],[Nb]],0)</f>
        <v>-0.909090909090909</v>
      </c>
    </row>
    <row r="2021" customFormat="false" ht="30" hidden="false" customHeight="true" outlineLevel="0" collapsed="false">
      <c r="A2021" s="1" t="s">
        <v>3990</v>
      </c>
      <c r="B2021" s="2" t="s">
        <v>3991</v>
      </c>
      <c r="C2021" s="6" t="n">
        <v>44236</v>
      </c>
      <c r="D2021" s="3" t="n">
        <v>11</v>
      </c>
      <c r="E2021" s="3" t="n">
        <v>-10</v>
      </c>
      <c r="F2021" s="7" t="n">
        <f aca="false">IFERROR(Tableau1[[#This Row],[Score]]/Tableau1[[#This Row],[Nb]],0)</f>
        <v>-0.909090909090909</v>
      </c>
    </row>
    <row r="2022" customFormat="false" ht="30" hidden="false" customHeight="true" outlineLevel="0" collapsed="false">
      <c r="A2022" s="1" t="s">
        <v>3992</v>
      </c>
      <c r="B2022" s="2" t="s">
        <v>3993</v>
      </c>
      <c r="C2022" s="6" t="n">
        <v>44236</v>
      </c>
      <c r="D2022" s="3" t="n">
        <v>8</v>
      </c>
      <c r="E2022" s="3" t="n">
        <v>-6</v>
      </c>
      <c r="F2022" s="7" t="n">
        <f aca="false">IFERROR(Tableau1[[#This Row],[Score]]/Tableau1[[#This Row],[Nb]],0)</f>
        <v>-0.75</v>
      </c>
    </row>
    <row r="2023" customFormat="false" ht="30" hidden="false" customHeight="true" outlineLevel="0" collapsed="false">
      <c r="A2023" s="1" t="s">
        <v>3994</v>
      </c>
      <c r="B2023" s="2" t="s">
        <v>3995</v>
      </c>
      <c r="C2023" s="6" t="n">
        <v>44236</v>
      </c>
      <c r="D2023" s="3" t="n">
        <v>6</v>
      </c>
      <c r="E2023" s="3" t="n">
        <v>-4</v>
      </c>
      <c r="F2023" s="7" t="n">
        <f aca="false">IFERROR(Tableau1[[#This Row],[Score]]/Tableau1[[#This Row],[Nb]],0)</f>
        <v>-0.666666666666667</v>
      </c>
    </row>
    <row r="2024" customFormat="false" ht="30" hidden="false" customHeight="true" outlineLevel="0" collapsed="false">
      <c r="A2024" s="1" t="s">
        <v>3996</v>
      </c>
      <c r="B2024" s="2" t="s">
        <v>3997</v>
      </c>
      <c r="C2024" s="6" t="n">
        <v>44236</v>
      </c>
      <c r="D2024" s="3" t="n">
        <v>11</v>
      </c>
      <c r="E2024" s="3" t="n">
        <v>-7</v>
      </c>
      <c r="F2024" s="7" t="n">
        <f aca="false">IFERROR(Tableau1[[#This Row],[Score]]/Tableau1[[#This Row],[Nb]],0)</f>
        <v>-0.636363636363636</v>
      </c>
    </row>
    <row r="2025" customFormat="false" ht="30" hidden="false" customHeight="true" outlineLevel="0" collapsed="false">
      <c r="A2025" s="1" t="s">
        <v>3998</v>
      </c>
      <c r="B2025" s="2" t="s">
        <v>3999</v>
      </c>
      <c r="C2025" s="6" t="n">
        <v>44236</v>
      </c>
      <c r="D2025" s="3" t="n">
        <v>16</v>
      </c>
      <c r="E2025" s="3" t="n">
        <v>-8</v>
      </c>
      <c r="F2025" s="7" t="n">
        <f aca="false">IFERROR(Tableau1[[#This Row],[Score]]/Tableau1[[#This Row],[Nb]],0)</f>
        <v>-0.5</v>
      </c>
    </row>
    <row r="2026" customFormat="false" ht="30" hidden="false" customHeight="true" outlineLevel="0" collapsed="false">
      <c r="A2026" s="1" t="s">
        <v>4000</v>
      </c>
      <c r="B2026" s="2" t="s">
        <v>4001</v>
      </c>
      <c r="C2026" s="6" t="n">
        <v>44236</v>
      </c>
      <c r="D2026" s="3" t="n">
        <v>12</v>
      </c>
      <c r="E2026" s="3" t="n">
        <v>-4</v>
      </c>
      <c r="F2026" s="7" t="n">
        <f aca="false">IFERROR(Tableau1[[#This Row],[Score]]/Tableau1[[#This Row],[Nb]],0)</f>
        <v>-0.333333333333333</v>
      </c>
    </row>
    <row r="2027" customFormat="false" ht="30" hidden="false" customHeight="true" outlineLevel="0" collapsed="false">
      <c r="A2027" s="1" t="s">
        <v>4002</v>
      </c>
      <c r="B2027" s="2" t="s">
        <v>4003</v>
      </c>
      <c r="C2027" s="6" t="n">
        <v>44236</v>
      </c>
      <c r="D2027" s="3" t="n">
        <v>11</v>
      </c>
      <c r="E2027" s="3" t="n">
        <v>-1</v>
      </c>
      <c r="F2027" s="7" t="n">
        <f aca="false">IFERROR(Tableau1[[#This Row],[Score]]/Tableau1[[#This Row],[Nb]],0)</f>
        <v>-0.0909090909090909</v>
      </c>
    </row>
    <row r="2028" customFormat="false" ht="30" hidden="false" customHeight="true" outlineLevel="0" collapsed="false">
      <c r="A2028" s="1" t="s">
        <v>4004</v>
      </c>
      <c r="B2028" s="2" t="s">
        <v>4005</v>
      </c>
      <c r="C2028" s="6" t="n">
        <v>44236</v>
      </c>
      <c r="D2028" s="3" t="n">
        <v>12</v>
      </c>
      <c r="E2028" s="3" t="n">
        <v>1</v>
      </c>
      <c r="F2028" s="7" t="n">
        <f aca="false">IFERROR(Tableau1[[#This Row],[Score]]/Tableau1[[#This Row],[Nb]],0)</f>
        <v>0.0833333333333333</v>
      </c>
    </row>
    <row r="2029" customFormat="false" ht="30" hidden="false" customHeight="true" outlineLevel="0" collapsed="false">
      <c r="A2029" s="1" t="s">
        <v>4006</v>
      </c>
      <c r="B2029" s="2" t="s">
        <v>4007</v>
      </c>
      <c r="C2029" s="6" t="n">
        <v>44236</v>
      </c>
      <c r="D2029" s="3" t="n">
        <v>10</v>
      </c>
      <c r="E2029" s="3" t="n">
        <v>2</v>
      </c>
      <c r="F2029" s="7" t="n">
        <f aca="false">IFERROR(Tableau1[[#This Row],[Score]]/Tableau1[[#This Row],[Nb]],0)</f>
        <v>0.2</v>
      </c>
    </row>
    <row r="2030" customFormat="false" ht="30" hidden="false" customHeight="true" outlineLevel="0" collapsed="false">
      <c r="A2030" s="1" t="s">
        <v>4008</v>
      </c>
      <c r="B2030" s="2" t="s">
        <v>4009</v>
      </c>
      <c r="C2030" s="6" t="n">
        <v>44236</v>
      </c>
      <c r="D2030" s="3" t="n">
        <v>16</v>
      </c>
      <c r="E2030" s="3" t="n">
        <v>4</v>
      </c>
      <c r="F2030" s="7" t="n">
        <f aca="false">IFERROR(Tableau1[[#This Row],[Score]]/Tableau1[[#This Row],[Nb]],0)</f>
        <v>0.25</v>
      </c>
    </row>
    <row r="2031" customFormat="false" ht="30" hidden="false" customHeight="true" outlineLevel="0" collapsed="false">
      <c r="A2031" s="1" t="s">
        <v>4010</v>
      </c>
      <c r="B2031" s="2" t="s">
        <v>4011</v>
      </c>
      <c r="C2031" s="6" t="n">
        <v>44236</v>
      </c>
      <c r="D2031" s="3" t="n">
        <v>11</v>
      </c>
      <c r="E2031" s="3" t="n">
        <v>6</v>
      </c>
      <c r="F2031" s="7" t="n">
        <f aca="false">IFERROR(Tableau1[[#This Row],[Score]]/Tableau1[[#This Row],[Nb]],0)</f>
        <v>0.545454545454545</v>
      </c>
    </row>
    <row r="2032" customFormat="false" ht="30" hidden="false" customHeight="true" outlineLevel="0" collapsed="false">
      <c r="A2032" s="1" t="s">
        <v>4012</v>
      </c>
      <c r="B2032" s="2" t="s">
        <v>4013</v>
      </c>
      <c r="C2032" s="6" t="n">
        <v>44250</v>
      </c>
      <c r="D2032" s="3" t="n">
        <v>11</v>
      </c>
      <c r="E2032" s="3" t="n">
        <v>-3</v>
      </c>
      <c r="F2032" s="7" t="n">
        <f aca="false">IFERROR(Tableau1[[#This Row],[Score]]/Tableau1[[#This Row],[Nb]],0)</f>
        <v>-0.272727272727273</v>
      </c>
    </row>
    <row r="2033" customFormat="false" ht="30" hidden="false" customHeight="true" outlineLevel="0" collapsed="false">
      <c r="A2033" s="1" t="s">
        <v>4014</v>
      </c>
      <c r="B2033" s="2" t="s">
        <v>4015</v>
      </c>
      <c r="C2033" s="6" t="n">
        <v>44250</v>
      </c>
      <c r="D2033" s="3" t="n">
        <v>9</v>
      </c>
      <c r="E2033" s="3" t="n">
        <v>9</v>
      </c>
      <c r="F2033" s="7" t="n">
        <f aca="false">IFERROR(Tableau1[[#This Row],[Score]]/Tableau1[[#This Row],[Nb]],0)</f>
        <v>1</v>
      </c>
    </row>
    <row r="2034" customFormat="false" ht="30" hidden="false" customHeight="true" outlineLevel="0" collapsed="false">
      <c r="A2034" s="1" t="s">
        <v>4016</v>
      </c>
      <c r="B2034" s="2" t="s">
        <v>4017</v>
      </c>
      <c r="C2034" s="6" t="n">
        <v>44254</v>
      </c>
      <c r="D2034" s="3" t="n">
        <v>9</v>
      </c>
      <c r="E2034" s="3" t="n">
        <v>-9</v>
      </c>
      <c r="F2034" s="7" t="n">
        <f aca="false">IFERROR(Tableau1[[#This Row],[Score]]/Tableau1[[#This Row],[Nb]],0)</f>
        <v>-1</v>
      </c>
    </row>
    <row r="2035" customFormat="false" ht="30" hidden="false" customHeight="true" outlineLevel="0" collapsed="false">
      <c r="A2035" s="1" t="s">
        <v>4018</v>
      </c>
      <c r="B2035" s="2" t="s">
        <v>4019</v>
      </c>
      <c r="C2035" s="6" t="n">
        <v>44254</v>
      </c>
      <c r="D2035" s="3" t="n">
        <v>5</v>
      </c>
      <c r="E2035" s="3" t="n">
        <v>-3</v>
      </c>
      <c r="F2035" s="7" t="n">
        <f aca="false">IFERROR(Tableau1[[#This Row],[Score]]/Tableau1[[#This Row],[Nb]],0)</f>
        <v>-0.6</v>
      </c>
    </row>
    <row r="2036" customFormat="false" ht="30" hidden="false" customHeight="true" outlineLevel="0" collapsed="false">
      <c r="A2036" s="1" t="s">
        <v>4020</v>
      </c>
      <c r="B2036" s="2" t="s">
        <v>4021</v>
      </c>
      <c r="C2036" s="6" t="n">
        <v>44254</v>
      </c>
      <c r="D2036" s="3" t="n">
        <v>8</v>
      </c>
      <c r="E2036" s="3" t="n">
        <v>-4</v>
      </c>
      <c r="F2036" s="7" t="n">
        <f aca="false">IFERROR(Tableau1[[#This Row],[Score]]/Tableau1[[#This Row],[Nb]],0)</f>
        <v>-0.5</v>
      </c>
    </row>
    <row r="2037" customFormat="false" ht="30" hidden="false" customHeight="true" outlineLevel="0" collapsed="false">
      <c r="A2037" s="1" t="s">
        <v>4022</v>
      </c>
      <c r="B2037" s="2" t="s">
        <v>4023</v>
      </c>
      <c r="C2037" s="6" t="n">
        <v>44254</v>
      </c>
      <c r="D2037" s="3" t="n">
        <v>6</v>
      </c>
      <c r="E2037" s="3" t="n">
        <v>6</v>
      </c>
      <c r="F2037" s="7" t="n">
        <f aca="false">IFERROR(Tableau1[[#This Row],[Score]]/Tableau1[[#This Row],[Nb]],0)</f>
        <v>1</v>
      </c>
    </row>
    <row r="2038" customFormat="false" ht="30" hidden="false" customHeight="true" outlineLevel="0" collapsed="false">
      <c r="A2038" s="1" t="s">
        <v>4024</v>
      </c>
      <c r="B2038" s="2" t="s">
        <v>4025</v>
      </c>
      <c r="C2038" s="6" t="n">
        <v>44353</v>
      </c>
      <c r="D2038" s="3" t="n">
        <v>7</v>
      </c>
      <c r="E2038" s="3" t="n">
        <v>-7</v>
      </c>
      <c r="F2038" s="7" t="n">
        <f aca="false">IFERROR(Tableau1[[#This Row],[Score]]/Tableau1[[#This Row],[Nb]],0)</f>
        <v>-1</v>
      </c>
    </row>
    <row r="2039" customFormat="false" ht="30" hidden="false" customHeight="true" outlineLevel="0" collapsed="false">
      <c r="A2039" s="1" t="s">
        <v>4026</v>
      </c>
      <c r="B2039" s="2" t="s">
        <v>4027</v>
      </c>
      <c r="C2039" s="6" t="n">
        <v>44353</v>
      </c>
      <c r="D2039" s="3" t="n">
        <v>7</v>
      </c>
      <c r="E2039" s="3" t="n">
        <v>-3</v>
      </c>
      <c r="F2039" s="7" t="n">
        <f aca="false">IFERROR(Tableau1[[#This Row],[Score]]/Tableau1[[#This Row],[Nb]],0)</f>
        <v>-0.428571428571429</v>
      </c>
    </row>
    <row r="2040" customFormat="false" ht="30" hidden="false" customHeight="true" outlineLevel="0" collapsed="false">
      <c r="A2040" s="1" t="s">
        <v>4028</v>
      </c>
      <c r="B2040" s="2" t="s">
        <v>4029</v>
      </c>
      <c r="C2040" s="6" t="n">
        <v>44353</v>
      </c>
      <c r="D2040" s="3" t="n">
        <v>8</v>
      </c>
      <c r="E2040" s="3" t="n">
        <v>6</v>
      </c>
      <c r="F2040" s="7" t="n">
        <f aca="false">IFERROR(Tableau1[[#This Row],[Score]]/Tableau1[[#This Row],[Nb]],0)</f>
        <v>0.75</v>
      </c>
    </row>
    <row r="2041" customFormat="false" ht="30" hidden="false" customHeight="true" outlineLevel="0" collapsed="false">
      <c r="A2041" s="1" t="s">
        <v>4030</v>
      </c>
      <c r="B2041" s="2" t="s">
        <v>4031</v>
      </c>
      <c r="C2041" s="6" t="n">
        <v>44411</v>
      </c>
      <c r="D2041" s="3" t="n">
        <v>8</v>
      </c>
      <c r="E2041" s="3" t="n">
        <v>4</v>
      </c>
      <c r="F2041" s="7" t="n">
        <f aca="false">IFERROR(Tableau1[[#This Row],[Score]]/Tableau1[[#This Row],[Nb]],0)</f>
        <v>0.5</v>
      </c>
    </row>
    <row r="2042" customFormat="false" ht="30" hidden="false" customHeight="true" outlineLevel="0" collapsed="false">
      <c r="A2042" s="1" t="s">
        <v>4032</v>
      </c>
      <c r="B2042" s="2" t="s">
        <v>4033</v>
      </c>
      <c r="C2042" s="6" t="n">
        <v>44461</v>
      </c>
      <c r="D2042" s="3" t="n">
        <v>16</v>
      </c>
      <c r="E2042" s="3" t="n">
        <v>-8</v>
      </c>
      <c r="F2042" s="7" t="n">
        <f aca="false">IFERROR(Tableau1[[#This Row],[Score]]/Tableau1[[#This Row],[Nb]],0)</f>
        <v>-0.5</v>
      </c>
    </row>
    <row r="2043" customFormat="false" ht="30" hidden="false" customHeight="true" outlineLevel="0" collapsed="false">
      <c r="A2043" s="1" t="s">
        <v>4034</v>
      </c>
      <c r="B2043" s="2" t="s">
        <v>4035</v>
      </c>
      <c r="C2043" s="6" t="n">
        <v>44461</v>
      </c>
      <c r="D2043" s="3" t="n">
        <v>7</v>
      </c>
      <c r="E2043" s="3" t="n">
        <v>5</v>
      </c>
      <c r="F2043" s="7" t="n">
        <f aca="false">IFERROR(Tableau1[[#This Row],[Score]]/Tableau1[[#This Row],[Nb]],0)</f>
        <v>0.714285714285714</v>
      </c>
    </row>
    <row r="2044" customFormat="false" ht="30" hidden="false" customHeight="true" outlineLevel="0" collapsed="false">
      <c r="A2044" s="1" t="s">
        <v>4036</v>
      </c>
      <c r="B2044" s="2" t="s">
        <v>4037</v>
      </c>
      <c r="C2044" s="6" t="n">
        <v>44463</v>
      </c>
      <c r="D2044" s="3" t="n">
        <v>10</v>
      </c>
      <c r="E2044" s="3" t="n">
        <v>-10</v>
      </c>
      <c r="F2044" s="7" t="n">
        <f aca="false">IFERROR(Tableau1[[#This Row],[Score]]/Tableau1[[#This Row],[Nb]],0)</f>
        <v>-1</v>
      </c>
    </row>
    <row r="2045" customFormat="false" ht="30" hidden="false" customHeight="true" outlineLevel="0" collapsed="false">
      <c r="A2045" s="1" t="s">
        <v>4038</v>
      </c>
      <c r="B2045" s="2" t="s">
        <v>4039</v>
      </c>
      <c r="C2045" s="6" t="n">
        <v>44464</v>
      </c>
      <c r="D2045" s="3" t="n">
        <v>1</v>
      </c>
      <c r="E2045" s="3" t="n">
        <v>-1</v>
      </c>
      <c r="F2045" s="7" t="n">
        <f aca="false">IFERROR(Tableau1[[#This Row],[Score]]/Tableau1[[#This Row],[Nb]],0)</f>
        <v>-1</v>
      </c>
    </row>
    <row r="2046" customFormat="false" ht="30" hidden="false" customHeight="true" outlineLevel="0" collapsed="false">
      <c r="A2046" s="1" t="s">
        <v>4040</v>
      </c>
      <c r="B2046" s="2" t="s">
        <v>4041</v>
      </c>
      <c r="C2046" s="6" t="n">
        <v>44464</v>
      </c>
      <c r="D2046" s="3" t="n">
        <v>11</v>
      </c>
      <c r="E2046" s="3" t="n">
        <v>-7</v>
      </c>
      <c r="F2046" s="7" t="n">
        <f aca="false">IFERROR(Tableau1[[#This Row],[Score]]/Tableau1[[#This Row],[Nb]],0)</f>
        <v>-0.636363636363636</v>
      </c>
    </row>
    <row r="2047" customFormat="false" ht="30" hidden="false" customHeight="true" outlineLevel="0" collapsed="false">
      <c r="A2047" s="1" t="s">
        <v>4042</v>
      </c>
      <c r="B2047" s="2" t="s">
        <v>4043</v>
      </c>
      <c r="C2047" s="6" t="n">
        <v>44464</v>
      </c>
      <c r="D2047" s="3" t="n">
        <v>7</v>
      </c>
      <c r="E2047" s="3" t="n">
        <v>1</v>
      </c>
      <c r="F2047" s="7" t="n">
        <f aca="false">IFERROR(Tableau1[[#This Row],[Score]]/Tableau1[[#This Row],[Nb]],0)</f>
        <v>0.142857142857143</v>
      </c>
    </row>
    <row r="2048" customFormat="false" ht="30" hidden="false" customHeight="true" outlineLevel="0" collapsed="false">
      <c r="A2048" s="1" t="s">
        <v>4044</v>
      </c>
      <c r="B2048" s="2" t="s">
        <v>4045</v>
      </c>
      <c r="C2048" s="6" t="n">
        <v>44464</v>
      </c>
      <c r="D2048" s="3" t="n">
        <v>7</v>
      </c>
      <c r="E2048" s="3" t="n">
        <v>7</v>
      </c>
      <c r="F2048" s="7" t="n">
        <f aca="false">IFERROR(Tableau1[[#This Row],[Score]]/Tableau1[[#This Row],[Nb]],0)</f>
        <v>1</v>
      </c>
    </row>
    <row r="2049" customFormat="false" ht="30" hidden="false" customHeight="true" outlineLevel="0" collapsed="false">
      <c r="A2049" s="1" t="s">
        <v>4046</v>
      </c>
      <c r="B2049" s="2" t="s">
        <v>4047</v>
      </c>
      <c r="C2049" s="6" t="n">
        <v>44474</v>
      </c>
      <c r="D2049" s="3" t="n">
        <v>13</v>
      </c>
      <c r="E2049" s="3" t="n">
        <v>-11</v>
      </c>
      <c r="F2049" s="7" t="n">
        <f aca="false">IFERROR(Tableau1[[#This Row],[Score]]/Tableau1[[#This Row],[Nb]],0)</f>
        <v>-0.846153846153846</v>
      </c>
    </row>
    <row r="2050" customFormat="false" ht="30" hidden="false" customHeight="true" outlineLevel="0" collapsed="false">
      <c r="A2050" s="1" t="s">
        <v>4048</v>
      </c>
      <c r="B2050" s="2" t="s">
        <v>4049</v>
      </c>
      <c r="C2050" s="6" t="n">
        <v>44474</v>
      </c>
      <c r="D2050" s="3" t="n">
        <v>7</v>
      </c>
      <c r="E2050" s="3" t="n">
        <v>-5</v>
      </c>
      <c r="F2050" s="7" t="n">
        <f aca="false">IFERROR(Tableau1[[#This Row],[Score]]/Tableau1[[#This Row],[Nb]],0)</f>
        <v>-0.714285714285714</v>
      </c>
    </row>
    <row r="2051" customFormat="false" ht="30" hidden="false" customHeight="true" outlineLevel="0" collapsed="false">
      <c r="A2051" s="1" t="s">
        <v>4050</v>
      </c>
      <c r="B2051" s="2" t="s">
        <v>4051</v>
      </c>
      <c r="C2051" s="6" t="n">
        <v>44474</v>
      </c>
      <c r="D2051" s="3" t="n">
        <v>11</v>
      </c>
      <c r="E2051" s="3" t="n">
        <v>7</v>
      </c>
      <c r="F2051" s="7" t="n">
        <f aca="false">IFERROR(Tableau1[[#This Row],[Score]]/Tableau1[[#This Row],[Nb]],0)</f>
        <v>0.636363636363636</v>
      </c>
    </row>
    <row r="2052" customFormat="false" ht="30" hidden="false" customHeight="true" outlineLevel="0" collapsed="false">
      <c r="A2052" s="1" t="s">
        <v>4052</v>
      </c>
      <c r="B2052" s="2" t="s">
        <v>4053</v>
      </c>
      <c r="C2052" s="6" t="n">
        <v>44474</v>
      </c>
      <c r="D2052" s="3" t="n">
        <v>14</v>
      </c>
      <c r="E2052" s="3" t="n">
        <v>10</v>
      </c>
      <c r="F2052" s="7" t="n">
        <f aca="false">IFERROR(Tableau1[[#This Row],[Score]]/Tableau1[[#This Row],[Nb]],0)</f>
        <v>0.714285714285714</v>
      </c>
    </row>
    <row r="2053" customFormat="false" ht="30" hidden="false" customHeight="true" outlineLevel="0" collapsed="false">
      <c r="A2053" s="1" t="s">
        <v>4054</v>
      </c>
      <c r="B2053" s="2" t="s">
        <v>4055</v>
      </c>
      <c r="C2053" s="6" t="n">
        <v>44485</v>
      </c>
      <c r="D2053" s="3" t="n">
        <v>5</v>
      </c>
      <c r="E2053" s="3" t="n">
        <v>-5</v>
      </c>
      <c r="F2053" s="7" t="n">
        <f aca="false">IFERROR(Tableau1[[#This Row],[Score]]/Tableau1[[#This Row],[Nb]],0)</f>
        <v>-1</v>
      </c>
    </row>
    <row r="2054" customFormat="false" ht="30" hidden="false" customHeight="true" outlineLevel="0" collapsed="false">
      <c r="A2054" s="1" t="s">
        <v>4056</v>
      </c>
      <c r="B2054" s="2" t="s">
        <v>4057</v>
      </c>
      <c r="C2054" s="6" t="n">
        <v>44485</v>
      </c>
      <c r="D2054" s="3" t="n">
        <v>8</v>
      </c>
      <c r="E2054" s="3" t="n">
        <v>0</v>
      </c>
      <c r="F2054" s="7" t="n">
        <f aca="false">IFERROR(Tableau1[[#This Row],[Score]]/Tableau1[[#This Row],[Nb]],0)</f>
        <v>0</v>
      </c>
    </row>
    <row r="2055" customFormat="false" ht="30" hidden="false" customHeight="true" outlineLevel="0" collapsed="false">
      <c r="A2055" s="1" t="s">
        <v>4058</v>
      </c>
      <c r="B2055" s="2" t="s">
        <v>4059</v>
      </c>
      <c r="C2055" s="6" t="n">
        <v>44490</v>
      </c>
      <c r="D2055" s="3" t="n">
        <v>7</v>
      </c>
      <c r="E2055" s="3" t="n">
        <v>-7</v>
      </c>
      <c r="F2055" s="7" t="n">
        <f aca="false">IFERROR(Tableau1[[#This Row],[Score]]/Tableau1[[#This Row],[Nb]],0)</f>
        <v>-1</v>
      </c>
    </row>
    <row r="2056" customFormat="false" ht="30" hidden="false" customHeight="true" outlineLevel="0" collapsed="false">
      <c r="A2056" s="1" t="s">
        <v>4060</v>
      </c>
      <c r="B2056" s="2" t="s">
        <v>4061</v>
      </c>
      <c r="C2056" s="6" t="n">
        <v>44491</v>
      </c>
      <c r="D2056" s="3" t="n">
        <v>4</v>
      </c>
      <c r="E2056" s="3" t="n">
        <v>-4</v>
      </c>
      <c r="F2056" s="7" t="n">
        <f aca="false">IFERROR(Tableau1[[#This Row],[Score]]/Tableau1[[#This Row],[Nb]],0)</f>
        <v>-1</v>
      </c>
    </row>
    <row r="2057" customFormat="false" ht="30" hidden="false" customHeight="true" outlineLevel="0" collapsed="false">
      <c r="A2057" s="1" t="s">
        <v>4062</v>
      </c>
      <c r="B2057" s="2" t="s">
        <v>4063</v>
      </c>
      <c r="C2057" s="6" t="n">
        <v>44491</v>
      </c>
      <c r="D2057" s="3" t="n">
        <v>8</v>
      </c>
      <c r="E2057" s="3" t="n">
        <v>-8</v>
      </c>
      <c r="F2057" s="7" t="n">
        <f aca="false">IFERROR(Tableau1[[#This Row],[Score]]/Tableau1[[#This Row],[Nb]],0)</f>
        <v>-1</v>
      </c>
    </row>
    <row r="2058" customFormat="false" ht="30" hidden="false" customHeight="true" outlineLevel="0" collapsed="false">
      <c r="A2058" s="1" t="s">
        <v>4064</v>
      </c>
      <c r="B2058" s="2" t="s">
        <v>4065</v>
      </c>
      <c r="C2058" s="6" t="n">
        <v>44491</v>
      </c>
      <c r="D2058" s="3" t="n">
        <v>10</v>
      </c>
      <c r="E2058" s="3" t="n">
        <v>-8</v>
      </c>
      <c r="F2058" s="7" t="n">
        <f aca="false">IFERROR(Tableau1[[#This Row],[Score]]/Tableau1[[#This Row],[Nb]],0)</f>
        <v>-0.8</v>
      </c>
    </row>
    <row r="2059" customFormat="false" ht="30" hidden="false" customHeight="true" outlineLevel="0" collapsed="false">
      <c r="A2059" s="1" t="s">
        <v>4066</v>
      </c>
      <c r="B2059" s="2" t="s">
        <v>4067</v>
      </c>
      <c r="C2059" s="6" t="n">
        <v>44491</v>
      </c>
      <c r="D2059" s="3" t="n">
        <v>6</v>
      </c>
      <c r="E2059" s="3" t="n">
        <v>-4</v>
      </c>
      <c r="F2059" s="7" t="n">
        <f aca="false">IFERROR(Tableau1[[#This Row],[Score]]/Tableau1[[#This Row],[Nb]],0)</f>
        <v>-0.666666666666667</v>
      </c>
    </row>
    <row r="2060" customFormat="false" ht="30" hidden="false" customHeight="true" outlineLevel="0" collapsed="false">
      <c r="A2060" s="1" t="s">
        <v>4068</v>
      </c>
      <c r="B2060" s="2" t="s">
        <v>4069</v>
      </c>
      <c r="C2060" s="6" t="n">
        <v>44491</v>
      </c>
      <c r="D2060" s="3" t="n">
        <v>11</v>
      </c>
      <c r="E2060" s="3" t="n">
        <v>-5</v>
      </c>
      <c r="F2060" s="7" t="n">
        <f aca="false">IFERROR(Tableau1[[#This Row],[Score]]/Tableau1[[#This Row],[Nb]],0)</f>
        <v>-0.454545454545455</v>
      </c>
    </row>
    <row r="2061" customFormat="false" ht="30" hidden="false" customHeight="true" outlineLevel="0" collapsed="false">
      <c r="A2061" s="1" t="s">
        <v>4070</v>
      </c>
      <c r="B2061" s="2" t="s">
        <v>4071</v>
      </c>
      <c r="C2061" s="6" t="n">
        <v>44491</v>
      </c>
      <c r="D2061" s="3" t="n">
        <v>6</v>
      </c>
      <c r="E2061" s="3" t="n">
        <v>-2</v>
      </c>
      <c r="F2061" s="7" t="n">
        <f aca="false">IFERROR(Tableau1[[#This Row],[Score]]/Tableau1[[#This Row],[Nb]],0)</f>
        <v>-0.333333333333333</v>
      </c>
    </row>
    <row r="2062" customFormat="false" ht="30" hidden="false" customHeight="true" outlineLevel="0" collapsed="false">
      <c r="A2062" s="1" t="s">
        <v>4072</v>
      </c>
      <c r="B2062" s="2" t="s">
        <v>4073</v>
      </c>
      <c r="C2062" s="6" t="n">
        <v>44491</v>
      </c>
      <c r="D2062" s="3" t="n">
        <v>8</v>
      </c>
      <c r="E2062" s="3" t="n">
        <v>-2</v>
      </c>
      <c r="F2062" s="7" t="n">
        <f aca="false">IFERROR(Tableau1[[#This Row],[Score]]/Tableau1[[#This Row],[Nb]],0)</f>
        <v>-0.25</v>
      </c>
    </row>
    <row r="2063" customFormat="false" ht="30" hidden="false" customHeight="true" outlineLevel="0" collapsed="false">
      <c r="A2063" s="1" t="s">
        <v>4074</v>
      </c>
      <c r="B2063" s="2" t="s">
        <v>4075</v>
      </c>
      <c r="C2063" s="6" t="n">
        <v>44491</v>
      </c>
      <c r="D2063" s="3" t="n">
        <v>5</v>
      </c>
      <c r="E2063" s="3" t="n">
        <v>-1</v>
      </c>
      <c r="F2063" s="7" t="n">
        <f aca="false">IFERROR(Tableau1[[#This Row],[Score]]/Tableau1[[#This Row],[Nb]],0)</f>
        <v>-0.2</v>
      </c>
    </row>
    <row r="2064" customFormat="false" ht="30" hidden="false" customHeight="true" outlineLevel="0" collapsed="false">
      <c r="A2064" s="1" t="s">
        <v>4076</v>
      </c>
      <c r="B2064" s="2" t="s">
        <v>4077</v>
      </c>
      <c r="C2064" s="6" t="n">
        <v>44491</v>
      </c>
      <c r="D2064" s="3" t="n">
        <v>10</v>
      </c>
      <c r="E2064" s="3" t="n">
        <v>0</v>
      </c>
      <c r="F2064" s="7" t="n">
        <f aca="false">IFERROR(Tableau1[[#This Row],[Score]]/Tableau1[[#This Row],[Nb]],0)</f>
        <v>0</v>
      </c>
    </row>
    <row r="2065" customFormat="false" ht="30" hidden="false" customHeight="true" outlineLevel="0" collapsed="false">
      <c r="A2065" s="8" t="s">
        <v>4078</v>
      </c>
      <c r="B2065" s="9" t="s">
        <v>4079</v>
      </c>
      <c r="C2065" s="6" t="n">
        <v>44491</v>
      </c>
      <c r="D2065" s="3" t="n">
        <v>12</v>
      </c>
      <c r="E2065" s="3" t="n">
        <v>12</v>
      </c>
      <c r="F2065" s="7" t="n">
        <f aca="false">IFERROR(Tableau1[[#This Row],[Score]]/Tableau1[[#This Row],[Nb]],0)</f>
        <v>1</v>
      </c>
    </row>
    <row r="2066" customFormat="false" ht="30" hidden="false" customHeight="true" outlineLevel="0" collapsed="false">
      <c r="A2066" s="1" t="s">
        <v>4080</v>
      </c>
      <c r="B2066" s="2" t="s">
        <v>4081</v>
      </c>
      <c r="C2066" s="6" t="n">
        <v>44498</v>
      </c>
      <c r="D2066" s="3" t="n">
        <v>6</v>
      </c>
      <c r="E2066" s="3" t="n">
        <v>-6</v>
      </c>
      <c r="F2066" s="7" t="n">
        <f aca="false">IFERROR(Tableau1[[#This Row],[Score]]/Tableau1[[#This Row],[Nb]],0)</f>
        <v>-1</v>
      </c>
    </row>
    <row r="2067" customFormat="false" ht="30" hidden="false" customHeight="true" outlineLevel="0" collapsed="false">
      <c r="A2067" s="1" t="s">
        <v>4082</v>
      </c>
      <c r="B2067" s="2" t="s">
        <v>4083</v>
      </c>
      <c r="C2067" s="6" t="n">
        <v>44498</v>
      </c>
      <c r="D2067" s="3" t="n">
        <v>6</v>
      </c>
      <c r="E2067" s="3" t="n">
        <v>-2</v>
      </c>
      <c r="F2067" s="7" t="n">
        <f aca="false">IFERROR(Tableau1[[#This Row],[Score]]/Tableau1[[#This Row],[Nb]],0)</f>
        <v>-0.333333333333333</v>
      </c>
    </row>
    <row r="2068" customFormat="false" ht="30" hidden="false" customHeight="true" outlineLevel="0" collapsed="false">
      <c r="A2068" s="1" t="s">
        <v>4084</v>
      </c>
      <c r="B2068" s="2" t="s">
        <v>4085</v>
      </c>
      <c r="C2068" s="6" t="n">
        <v>44498</v>
      </c>
      <c r="D2068" s="3" t="n">
        <v>2</v>
      </c>
      <c r="E2068" s="3" t="n">
        <v>2</v>
      </c>
      <c r="F2068" s="7" t="n">
        <f aca="false">IFERROR(Tableau1[[#This Row],[Score]]/Tableau1[[#This Row],[Nb]],0)</f>
        <v>1</v>
      </c>
    </row>
    <row r="2069" customFormat="false" ht="30" hidden="false" customHeight="true" outlineLevel="0" collapsed="false">
      <c r="A2069" s="1" t="s">
        <v>4086</v>
      </c>
      <c r="B2069" s="2" t="s">
        <v>4087</v>
      </c>
      <c r="C2069" s="6" t="n">
        <v>44504</v>
      </c>
      <c r="D2069" s="3" t="n">
        <v>6</v>
      </c>
      <c r="E2069" s="3" t="n">
        <v>6</v>
      </c>
      <c r="F2069" s="7" t="n">
        <f aca="false">IFERROR(Tableau1[[#This Row],[Score]]/Tableau1[[#This Row],[Nb]],0)</f>
        <v>1</v>
      </c>
    </row>
    <row r="2070" customFormat="false" ht="30" hidden="false" customHeight="true" outlineLevel="0" collapsed="false">
      <c r="A2070" s="1" t="s">
        <v>4088</v>
      </c>
      <c r="B2070" s="2" t="s">
        <v>4089</v>
      </c>
      <c r="C2070" s="6" t="n">
        <v>44516</v>
      </c>
      <c r="D2070" s="3" t="n">
        <v>7</v>
      </c>
      <c r="E2070" s="3" t="n">
        <v>-7</v>
      </c>
      <c r="F2070" s="7" t="n">
        <f aca="false">IFERROR(Tableau1[[#This Row],[Score]]/Tableau1[[#This Row],[Nb]],0)</f>
        <v>-1</v>
      </c>
    </row>
    <row r="2071" customFormat="false" ht="30" hidden="false" customHeight="true" outlineLevel="0" collapsed="false">
      <c r="A2071" s="1" t="s">
        <v>4090</v>
      </c>
      <c r="B2071" s="2" t="s">
        <v>4091</v>
      </c>
      <c r="C2071" s="6" t="n">
        <v>44517</v>
      </c>
      <c r="D2071" s="3" t="n">
        <v>4</v>
      </c>
      <c r="E2071" s="3" t="n">
        <v>-4</v>
      </c>
      <c r="F2071" s="7" t="n">
        <f aca="false">IFERROR(Tableau1[[#This Row],[Score]]/Tableau1[[#This Row],[Nb]],0)</f>
        <v>-1</v>
      </c>
    </row>
    <row r="2072" customFormat="false" ht="30" hidden="false" customHeight="true" outlineLevel="0" collapsed="false">
      <c r="A2072" s="1" t="s">
        <v>4092</v>
      </c>
      <c r="B2072" s="2" t="s">
        <v>4093</v>
      </c>
      <c r="C2072" s="6" t="n">
        <v>44517</v>
      </c>
      <c r="D2072" s="3" t="n">
        <v>8</v>
      </c>
      <c r="E2072" s="3" t="n">
        <v>0</v>
      </c>
      <c r="F2072" s="7" t="n">
        <f aca="false">IFERROR(Tableau1[[#This Row],[Score]]/Tableau1[[#This Row],[Nb]],0)</f>
        <v>0</v>
      </c>
    </row>
    <row r="2073" customFormat="false" ht="30" hidden="false" customHeight="true" outlineLevel="0" collapsed="false">
      <c r="A2073" s="1" t="s">
        <v>4094</v>
      </c>
      <c r="B2073" s="2" t="s">
        <v>4095</v>
      </c>
      <c r="C2073" s="6" t="n">
        <v>44518</v>
      </c>
      <c r="D2073" s="3" t="n">
        <v>4</v>
      </c>
      <c r="E2073" s="3" t="n">
        <v>2</v>
      </c>
      <c r="F2073" s="7" t="n">
        <f aca="false">IFERROR(Tableau1[[#This Row],[Score]]/Tableau1[[#This Row],[Nb]],0)</f>
        <v>0.5</v>
      </c>
    </row>
    <row r="2074" customFormat="false" ht="30" hidden="false" customHeight="true" outlineLevel="0" collapsed="false">
      <c r="A2074" s="1" t="s">
        <v>4096</v>
      </c>
      <c r="B2074" s="2" t="s">
        <v>4097</v>
      </c>
      <c r="C2074" s="6" t="n">
        <v>44525</v>
      </c>
      <c r="D2074" s="3" t="n">
        <v>7</v>
      </c>
      <c r="E2074" s="3" t="n">
        <v>-3</v>
      </c>
      <c r="F2074" s="7" t="n">
        <f aca="false">IFERROR(Tableau1[[#This Row],[Score]]/Tableau1[[#This Row],[Nb]],0)</f>
        <v>-0.428571428571429</v>
      </c>
    </row>
    <row r="2075" customFormat="false" ht="30" hidden="false" customHeight="true" outlineLevel="0" collapsed="false">
      <c r="A2075" s="1" t="s">
        <v>4098</v>
      </c>
      <c r="B2075" s="2" t="s">
        <v>4099</v>
      </c>
      <c r="C2075" s="6" t="n">
        <v>44526</v>
      </c>
      <c r="D2075" s="3" t="n">
        <v>12</v>
      </c>
      <c r="E2075" s="3" t="n">
        <v>0</v>
      </c>
      <c r="F2075" s="7" t="n">
        <f aca="false">IFERROR(Tableau1[[#This Row],[Score]]/Tableau1[[#This Row],[Nb]],0)</f>
        <v>0</v>
      </c>
    </row>
    <row r="2076" customFormat="false" ht="30" hidden="false" customHeight="true" outlineLevel="0" collapsed="false">
      <c r="A2076" s="1" t="s">
        <v>4100</v>
      </c>
      <c r="B2076" s="2" t="s">
        <v>4101</v>
      </c>
      <c r="C2076" s="6" t="n">
        <v>44527</v>
      </c>
      <c r="D2076" s="3" t="n">
        <v>10</v>
      </c>
      <c r="E2076" s="3" t="n">
        <v>-8</v>
      </c>
      <c r="F2076" s="7" t="n">
        <f aca="false">IFERROR(Tableau1[[#This Row],[Score]]/Tableau1[[#This Row],[Nb]],0)</f>
        <v>-0.8</v>
      </c>
    </row>
    <row r="2077" customFormat="false" ht="30" hidden="false" customHeight="true" outlineLevel="0" collapsed="false">
      <c r="A2077" s="1" t="s">
        <v>4102</v>
      </c>
      <c r="B2077" s="2" t="s">
        <v>4103</v>
      </c>
      <c r="C2077" s="6" t="n">
        <v>44527</v>
      </c>
      <c r="D2077" s="3" t="n">
        <v>6</v>
      </c>
      <c r="E2077" s="3" t="n">
        <v>6</v>
      </c>
      <c r="F2077" s="7" t="n">
        <f aca="false">IFERROR(Tableau1[[#This Row],[Score]]/Tableau1[[#This Row],[Nb]],0)</f>
        <v>1</v>
      </c>
    </row>
    <row r="2078" customFormat="false" ht="30" hidden="false" customHeight="true" outlineLevel="0" collapsed="false">
      <c r="A2078" s="1" t="s">
        <v>4104</v>
      </c>
      <c r="B2078" s="2" t="s">
        <v>4105</v>
      </c>
      <c r="C2078" s="6" t="n">
        <v>44533</v>
      </c>
      <c r="D2078" s="3" t="n">
        <v>7</v>
      </c>
      <c r="E2078" s="3" t="n">
        <v>7</v>
      </c>
      <c r="F2078" s="7" t="n">
        <f aca="false">IFERROR(Tableau1[[#This Row],[Score]]/Tableau1[[#This Row],[Nb]],0)</f>
        <v>1</v>
      </c>
    </row>
    <row r="2079" customFormat="false" ht="30" hidden="false" customHeight="true" outlineLevel="0" collapsed="false">
      <c r="A2079" s="1" t="s">
        <v>4106</v>
      </c>
      <c r="B2079" s="2" t="s">
        <v>4107</v>
      </c>
      <c r="C2079" s="6" t="n">
        <v>44535</v>
      </c>
      <c r="D2079" s="3" t="n">
        <v>8</v>
      </c>
      <c r="E2079" s="3" t="n">
        <v>6</v>
      </c>
      <c r="F2079" s="7" t="n">
        <f aca="false">IFERROR(Tableau1[[#This Row],[Score]]/Tableau1[[#This Row],[Nb]],0)</f>
        <v>0.75</v>
      </c>
    </row>
    <row r="2080" customFormat="false" ht="30" hidden="false" customHeight="true" outlineLevel="0" collapsed="false">
      <c r="A2080" s="1" t="s">
        <v>4108</v>
      </c>
      <c r="B2080" s="2" t="s">
        <v>4109</v>
      </c>
      <c r="C2080" s="6" t="n">
        <v>44537</v>
      </c>
      <c r="D2080" s="3" t="n">
        <v>6</v>
      </c>
      <c r="E2080" s="3" t="n">
        <v>-6</v>
      </c>
      <c r="F2080" s="7" t="n">
        <f aca="false">IFERROR(Tableau1[[#This Row],[Score]]/Tableau1[[#This Row],[Nb]],0)</f>
        <v>-1</v>
      </c>
    </row>
    <row r="2081" customFormat="false" ht="30" hidden="false" customHeight="true" outlineLevel="0" collapsed="false">
      <c r="A2081" s="1" t="s">
        <v>4110</v>
      </c>
      <c r="B2081" s="2" t="s">
        <v>4111</v>
      </c>
      <c r="C2081" s="6" t="n">
        <v>44537</v>
      </c>
      <c r="D2081" s="3" t="n">
        <v>6</v>
      </c>
      <c r="E2081" s="3" t="n">
        <v>6</v>
      </c>
      <c r="F2081" s="7" t="n">
        <f aca="false">IFERROR(Tableau1[[#This Row],[Score]]/Tableau1[[#This Row],[Nb]],0)</f>
        <v>1</v>
      </c>
    </row>
    <row r="2082" customFormat="false" ht="30" hidden="false" customHeight="true" outlineLevel="0" collapsed="false">
      <c r="A2082" s="1" t="s">
        <v>4112</v>
      </c>
      <c r="B2082" s="2" t="s">
        <v>4113</v>
      </c>
      <c r="C2082" s="6" t="n">
        <v>44544</v>
      </c>
      <c r="D2082" s="3" t="n">
        <v>5</v>
      </c>
      <c r="E2082" s="3" t="n">
        <v>-1</v>
      </c>
      <c r="F2082" s="7" t="n">
        <f aca="false">IFERROR(Tableau1[[#This Row],[Score]]/Tableau1[[#This Row],[Nb]],0)</f>
        <v>-0.2</v>
      </c>
    </row>
    <row r="2083" customFormat="false" ht="30" hidden="false" customHeight="true" outlineLevel="0" collapsed="false">
      <c r="A2083" s="1" t="s">
        <v>4114</v>
      </c>
      <c r="B2083" s="2" t="s">
        <v>4115</v>
      </c>
      <c r="C2083" s="6" t="n">
        <v>44545</v>
      </c>
      <c r="D2083" s="3" t="n">
        <v>7</v>
      </c>
      <c r="E2083" s="3" t="n">
        <v>-1</v>
      </c>
      <c r="F2083" s="7" t="n">
        <f aca="false">IFERROR(Tableau1[[#This Row],[Score]]/Tableau1[[#This Row],[Nb]],0)</f>
        <v>-0.142857142857143</v>
      </c>
    </row>
    <row r="2084" customFormat="false" ht="30" hidden="false" customHeight="true" outlineLevel="0" collapsed="false">
      <c r="A2084" s="1" t="s">
        <v>4116</v>
      </c>
      <c r="B2084" s="2" t="s">
        <v>4117</v>
      </c>
      <c r="C2084" s="6" t="n">
        <v>44546</v>
      </c>
      <c r="D2084" s="3" t="n">
        <v>7</v>
      </c>
      <c r="E2084" s="3" t="n">
        <v>-7</v>
      </c>
      <c r="F2084" s="7" t="n">
        <f aca="false">IFERROR(Tableau1[[#This Row],[Score]]/Tableau1[[#This Row],[Nb]],0)</f>
        <v>-1</v>
      </c>
    </row>
    <row r="2085" customFormat="false" ht="30" hidden="false" customHeight="true" outlineLevel="0" collapsed="false">
      <c r="A2085" s="1" t="s">
        <v>4118</v>
      </c>
      <c r="B2085" s="2" t="s">
        <v>4119</v>
      </c>
      <c r="C2085" s="6" t="n">
        <v>44546</v>
      </c>
      <c r="D2085" s="3" t="n">
        <v>6</v>
      </c>
      <c r="E2085" s="3" t="n">
        <v>4</v>
      </c>
      <c r="F2085" s="7" t="n">
        <f aca="false">IFERROR(Tableau1[[#This Row],[Score]]/Tableau1[[#This Row],[Nb]],0)</f>
        <v>0.666666666666667</v>
      </c>
    </row>
    <row r="2086" customFormat="false" ht="30" hidden="false" customHeight="true" outlineLevel="0" collapsed="false">
      <c r="A2086" s="1" t="s">
        <v>4120</v>
      </c>
      <c r="B2086" s="2" t="s">
        <v>4121</v>
      </c>
      <c r="C2086" s="6" t="n">
        <v>44550</v>
      </c>
      <c r="D2086" s="3" t="n">
        <v>11</v>
      </c>
      <c r="E2086" s="3" t="n">
        <v>-9</v>
      </c>
      <c r="F2086" s="7" t="n">
        <f aca="false">IFERROR(Tableau1[[#This Row],[Score]]/Tableau1[[#This Row],[Nb]],0)</f>
        <v>-0.818181818181818</v>
      </c>
    </row>
    <row r="2087" customFormat="false" ht="30" hidden="false" customHeight="true" outlineLevel="0" collapsed="false">
      <c r="A2087" s="1" t="s">
        <v>4122</v>
      </c>
      <c r="B2087" s="2" t="s">
        <v>4123</v>
      </c>
      <c r="C2087" s="6" t="n">
        <v>44550</v>
      </c>
      <c r="D2087" s="3" t="n">
        <v>10</v>
      </c>
      <c r="E2087" s="3" t="n">
        <v>-4</v>
      </c>
      <c r="F2087" s="7" t="n">
        <f aca="false">IFERROR(Tableau1[[#This Row],[Score]]/Tableau1[[#This Row],[Nb]],0)</f>
        <v>-0.4</v>
      </c>
    </row>
    <row r="2088" customFormat="false" ht="30" hidden="false" customHeight="true" outlineLevel="0" collapsed="false">
      <c r="A2088" s="1" t="s">
        <v>4124</v>
      </c>
      <c r="B2088" s="2" t="s">
        <v>4125</v>
      </c>
      <c r="C2088" s="6" t="n">
        <v>44552</v>
      </c>
      <c r="D2088" s="3" t="n">
        <v>7</v>
      </c>
      <c r="E2088" s="3" t="n">
        <v>-7</v>
      </c>
      <c r="F2088" s="7" t="n">
        <f aca="false">IFERROR(Tableau1[[#This Row],[Score]]/Tableau1[[#This Row],[Nb]],0)</f>
        <v>-1</v>
      </c>
    </row>
    <row r="2089" customFormat="false" ht="30" hidden="false" customHeight="true" outlineLevel="0" collapsed="false">
      <c r="A2089" s="1" t="s">
        <v>4126</v>
      </c>
      <c r="B2089" s="2" t="s">
        <v>4127</v>
      </c>
      <c r="C2089" s="6" t="n">
        <v>44552</v>
      </c>
      <c r="D2089" s="3" t="n">
        <v>7</v>
      </c>
      <c r="E2089" s="3" t="n">
        <v>-7</v>
      </c>
      <c r="F2089" s="7" t="n">
        <f aca="false">IFERROR(Tableau1[[#This Row],[Score]]/Tableau1[[#This Row],[Nb]],0)</f>
        <v>-1</v>
      </c>
    </row>
    <row r="2090" customFormat="false" ht="30" hidden="false" customHeight="true" outlineLevel="0" collapsed="false">
      <c r="A2090" s="1" t="s">
        <v>4128</v>
      </c>
      <c r="B2090" s="2" t="s">
        <v>4129</v>
      </c>
      <c r="C2090" s="6" t="n">
        <v>44552</v>
      </c>
      <c r="D2090" s="3" t="n">
        <v>9</v>
      </c>
      <c r="E2090" s="3" t="n">
        <v>-9</v>
      </c>
      <c r="F2090" s="7" t="n">
        <f aca="false">IFERROR(Tableau1[[#This Row],[Score]]/Tableau1[[#This Row],[Nb]],0)</f>
        <v>-1</v>
      </c>
    </row>
    <row r="2091" customFormat="false" ht="30" hidden="false" customHeight="true" outlineLevel="0" collapsed="false">
      <c r="A2091" s="1" t="s">
        <v>4130</v>
      </c>
      <c r="B2091" s="2" t="s">
        <v>4131</v>
      </c>
      <c r="C2091" s="6" t="n">
        <v>44552</v>
      </c>
      <c r="D2091" s="3" t="n">
        <v>7</v>
      </c>
      <c r="E2091" s="3" t="n">
        <v>-3</v>
      </c>
      <c r="F2091" s="7" t="n">
        <f aca="false">IFERROR(Tableau1[[#This Row],[Score]]/Tableau1[[#This Row],[Nb]],0)</f>
        <v>-0.428571428571429</v>
      </c>
    </row>
    <row r="2092" customFormat="false" ht="30" hidden="false" customHeight="true" outlineLevel="0" collapsed="false">
      <c r="A2092" s="1" t="s">
        <v>4132</v>
      </c>
      <c r="B2092" s="2" t="s">
        <v>4133</v>
      </c>
      <c r="C2092" s="6" t="n">
        <v>44552</v>
      </c>
      <c r="D2092" s="3" t="n">
        <v>11</v>
      </c>
      <c r="E2092" s="3" t="n">
        <v>5</v>
      </c>
      <c r="F2092" s="7" t="n">
        <f aca="false">IFERROR(Tableau1[[#This Row],[Score]]/Tableau1[[#This Row],[Nb]],0)</f>
        <v>0.454545454545455</v>
      </c>
    </row>
    <row r="2093" customFormat="false" ht="30" hidden="false" customHeight="true" outlineLevel="0" collapsed="false">
      <c r="A2093" s="1" t="s">
        <v>4134</v>
      </c>
      <c r="B2093" s="2" t="s">
        <v>4135</v>
      </c>
      <c r="C2093" s="6" t="n">
        <v>44559</v>
      </c>
      <c r="D2093" s="3" t="n">
        <v>8</v>
      </c>
      <c r="E2093" s="3" t="n">
        <v>-6</v>
      </c>
      <c r="F2093" s="7" t="n">
        <f aca="false">IFERROR(Tableau1[[#This Row],[Score]]/Tableau1[[#This Row],[Nb]],0)</f>
        <v>-0.75</v>
      </c>
    </row>
    <row r="2094" customFormat="false" ht="30" hidden="false" customHeight="true" outlineLevel="0" collapsed="false">
      <c r="A2094" s="1" t="s">
        <v>4136</v>
      </c>
      <c r="B2094" s="2" t="s">
        <v>4137</v>
      </c>
      <c r="C2094" s="6" t="n">
        <v>44560</v>
      </c>
      <c r="D2094" s="3" t="n">
        <v>9</v>
      </c>
      <c r="E2094" s="3" t="n">
        <v>-3</v>
      </c>
      <c r="F2094" s="7" t="n">
        <f aca="false">IFERROR(Tableau1[[#This Row],[Score]]/Tableau1[[#This Row],[Nb]],0)</f>
        <v>-0.333333333333333</v>
      </c>
    </row>
    <row r="2095" customFormat="false" ht="30" hidden="false" customHeight="true" outlineLevel="0" collapsed="false">
      <c r="A2095" s="1" t="s">
        <v>4138</v>
      </c>
      <c r="B2095" s="2" t="s">
        <v>4139</v>
      </c>
      <c r="C2095" s="6" t="n">
        <v>44560</v>
      </c>
      <c r="D2095" s="3" t="n">
        <v>7</v>
      </c>
      <c r="E2095" s="3" t="n">
        <v>-1</v>
      </c>
      <c r="F2095" s="7" t="n">
        <f aca="false">IFERROR(Tableau1[[#This Row],[Score]]/Tableau1[[#This Row],[Nb]],0)</f>
        <v>-0.142857142857143</v>
      </c>
    </row>
    <row r="2096" customFormat="false" ht="30" hidden="false" customHeight="true" outlineLevel="0" collapsed="false">
      <c r="A2096" s="1" t="s">
        <v>4140</v>
      </c>
      <c r="B2096" s="2" t="s">
        <v>4141</v>
      </c>
      <c r="C2096" s="6" t="n">
        <v>44564</v>
      </c>
      <c r="D2096" s="3" t="n">
        <v>2</v>
      </c>
      <c r="E2096" s="3" t="n">
        <v>-2</v>
      </c>
      <c r="F2096" s="7" t="n">
        <f aca="false">IFERROR(Tableau1[[#This Row],[Score]]/Tableau1[[#This Row],[Nb]],0)</f>
        <v>-1</v>
      </c>
    </row>
    <row r="2097" customFormat="false" ht="30" hidden="false" customHeight="true" outlineLevel="0" collapsed="false">
      <c r="A2097" s="1" t="s">
        <v>4142</v>
      </c>
      <c r="B2097" s="2" t="s">
        <v>4143</v>
      </c>
      <c r="C2097" s="6" t="n">
        <v>44565</v>
      </c>
      <c r="D2097" s="3" t="n">
        <v>9</v>
      </c>
      <c r="E2097" s="3" t="n">
        <v>-9</v>
      </c>
      <c r="F2097" s="7" t="n">
        <f aca="false">IFERROR(Tableau1[[#This Row],[Score]]/Tableau1[[#This Row],[Nb]],0)</f>
        <v>-1</v>
      </c>
    </row>
    <row r="2098" customFormat="false" ht="30" hidden="false" customHeight="true" outlineLevel="0" collapsed="false">
      <c r="A2098" s="1" t="s">
        <v>4144</v>
      </c>
      <c r="B2098" s="2" t="s">
        <v>4145</v>
      </c>
      <c r="C2098" s="6" t="n">
        <v>44566</v>
      </c>
      <c r="D2098" s="3" t="n">
        <v>5</v>
      </c>
      <c r="E2098" s="3" t="n">
        <v>5</v>
      </c>
      <c r="F2098" s="7" t="n">
        <f aca="false">IFERROR(Tableau1[[#This Row],[Score]]/Tableau1[[#This Row],[Nb]],0)</f>
        <v>1</v>
      </c>
    </row>
    <row r="2099" customFormat="false" ht="30" hidden="false" customHeight="true" outlineLevel="0" collapsed="false">
      <c r="A2099" s="1" t="s">
        <v>4146</v>
      </c>
      <c r="B2099" s="2" t="s">
        <v>4147</v>
      </c>
      <c r="C2099" s="6" t="n">
        <v>44572</v>
      </c>
      <c r="D2099" s="3" t="n">
        <v>8</v>
      </c>
      <c r="E2099" s="3" t="n">
        <v>-8</v>
      </c>
      <c r="F2099" s="7" t="n">
        <f aca="false">IFERROR(Tableau1[[#This Row],[Score]]/Tableau1[[#This Row],[Nb]],0)</f>
        <v>-1</v>
      </c>
    </row>
    <row r="2100" customFormat="false" ht="30" hidden="false" customHeight="true" outlineLevel="0" collapsed="false">
      <c r="A2100" s="1" t="s">
        <v>4148</v>
      </c>
      <c r="B2100" s="2" t="s">
        <v>4149</v>
      </c>
      <c r="C2100" s="6" t="n">
        <v>44574</v>
      </c>
      <c r="D2100" s="3" t="n">
        <v>10</v>
      </c>
      <c r="E2100" s="3" t="n">
        <v>-2</v>
      </c>
      <c r="F2100" s="7" t="n">
        <f aca="false">IFERROR(Tableau1[[#This Row],[Score]]/Tableau1[[#This Row],[Nb]],0)</f>
        <v>-0.2</v>
      </c>
    </row>
    <row r="2101" customFormat="false" ht="30" hidden="false" customHeight="true" outlineLevel="0" collapsed="false">
      <c r="A2101" s="1" t="s">
        <v>4150</v>
      </c>
      <c r="B2101" s="2" t="s">
        <v>4151</v>
      </c>
      <c r="C2101" s="6" t="n">
        <v>44575</v>
      </c>
      <c r="D2101" s="3" t="n">
        <v>4</v>
      </c>
      <c r="E2101" s="3" t="n">
        <v>-4</v>
      </c>
      <c r="F2101" s="7" t="n">
        <f aca="false">IFERROR(Tableau1[[#This Row],[Score]]/Tableau1[[#This Row],[Nb]],0)</f>
        <v>-1</v>
      </c>
    </row>
    <row r="2102" customFormat="false" ht="30" hidden="false" customHeight="true" outlineLevel="0" collapsed="false">
      <c r="A2102" s="1" t="s">
        <v>4152</v>
      </c>
      <c r="B2102" s="2" t="s">
        <v>4153</v>
      </c>
      <c r="C2102" s="6" t="n">
        <v>44575</v>
      </c>
      <c r="D2102" s="3" t="n">
        <v>4</v>
      </c>
      <c r="E2102" s="3" t="n">
        <v>4</v>
      </c>
      <c r="F2102" s="7" t="n">
        <f aca="false">IFERROR(Tableau1[[#This Row],[Score]]/Tableau1[[#This Row],[Nb]],0)</f>
        <v>1</v>
      </c>
    </row>
    <row r="2103" customFormat="false" ht="30" hidden="false" customHeight="true" outlineLevel="0" collapsed="false">
      <c r="A2103" s="1" t="s">
        <v>4154</v>
      </c>
      <c r="B2103" s="2" t="s">
        <v>4155</v>
      </c>
      <c r="C2103" s="6" t="n">
        <v>44576</v>
      </c>
      <c r="D2103" s="3" t="n">
        <v>3</v>
      </c>
      <c r="E2103" s="3" t="n">
        <v>-3</v>
      </c>
      <c r="F2103" s="7" t="n">
        <f aca="false">IFERROR(Tableau1[[#This Row],[Score]]/Tableau1[[#This Row],[Nb]],0)</f>
        <v>-1</v>
      </c>
    </row>
    <row r="2104" customFormat="false" ht="30" hidden="false" customHeight="true" outlineLevel="0" collapsed="false">
      <c r="A2104" s="1" t="s">
        <v>4156</v>
      </c>
      <c r="B2104" s="2" t="s">
        <v>4157</v>
      </c>
      <c r="C2104" s="6" t="n">
        <v>44578</v>
      </c>
      <c r="D2104" s="3" t="n">
        <v>4</v>
      </c>
      <c r="E2104" s="3" t="n">
        <v>-4</v>
      </c>
      <c r="F2104" s="7" t="n">
        <f aca="false">IFERROR(Tableau1[[#This Row],[Score]]/Tableau1[[#This Row],[Nb]],0)</f>
        <v>-1</v>
      </c>
    </row>
    <row r="2105" customFormat="false" ht="30" hidden="false" customHeight="true" outlineLevel="0" collapsed="false">
      <c r="A2105" s="1" t="s">
        <v>4158</v>
      </c>
      <c r="B2105" s="2" t="s">
        <v>4159</v>
      </c>
      <c r="C2105" s="6" t="n">
        <v>44579</v>
      </c>
      <c r="D2105" s="3" t="n">
        <v>8</v>
      </c>
      <c r="E2105" s="3" t="n">
        <v>6</v>
      </c>
      <c r="F2105" s="7" t="n">
        <f aca="false">IFERROR(Tableau1[[#This Row],[Score]]/Tableau1[[#This Row],[Nb]],0)</f>
        <v>0.75</v>
      </c>
    </row>
    <row r="2106" customFormat="false" ht="30" hidden="false" customHeight="true" outlineLevel="0" collapsed="false">
      <c r="A2106" s="1" t="s">
        <v>4160</v>
      </c>
      <c r="B2106" s="2" t="s">
        <v>4161</v>
      </c>
      <c r="C2106" s="6" t="n">
        <v>44583</v>
      </c>
      <c r="D2106" s="3" t="n">
        <v>5</v>
      </c>
      <c r="E2106" s="3" t="n">
        <v>-5</v>
      </c>
      <c r="F2106" s="7" t="n">
        <f aca="false">IFERROR(Tableau1[[#This Row],[Score]]/Tableau1[[#This Row],[Nb]],0)</f>
        <v>-1</v>
      </c>
    </row>
    <row r="2107" customFormat="false" ht="30" hidden="false" customHeight="true" outlineLevel="0" collapsed="false">
      <c r="A2107" s="1" t="s">
        <v>4162</v>
      </c>
      <c r="B2107" s="2" t="s">
        <v>4163</v>
      </c>
      <c r="C2107" s="6" t="n">
        <v>44586</v>
      </c>
      <c r="D2107" s="3" t="n">
        <v>4</v>
      </c>
      <c r="E2107" s="3" t="n">
        <v>-4</v>
      </c>
      <c r="F2107" s="7" t="n">
        <f aca="false">IFERROR(Tableau1[[#This Row],[Score]]/Tableau1[[#This Row],[Nb]],0)</f>
        <v>-1</v>
      </c>
    </row>
    <row r="2108" customFormat="false" ht="30" hidden="false" customHeight="true" outlineLevel="0" collapsed="false">
      <c r="A2108" s="1" t="s">
        <v>4164</v>
      </c>
      <c r="B2108" s="2" t="s">
        <v>4165</v>
      </c>
      <c r="C2108" s="6" t="n">
        <v>44593</v>
      </c>
      <c r="D2108" s="3" t="n">
        <v>7</v>
      </c>
      <c r="E2108" s="3" t="n">
        <v>-5</v>
      </c>
      <c r="F2108" s="7" t="n">
        <f aca="false">IFERROR(Tableau1[[#This Row],[Score]]/Tableau1[[#This Row],[Nb]],0)</f>
        <v>-0.714285714285714</v>
      </c>
    </row>
    <row r="2109" customFormat="false" ht="30" hidden="false" customHeight="true" outlineLevel="0" collapsed="false">
      <c r="A2109" s="1" t="s">
        <v>4166</v>
      </c>
      <c r="B2109" s="2" t="s">
        <v>4167</v>
      </c>
      <c r="C2109" s="6" t="n">
        <v>44597</v>
      </c>
      <c r="D2109" s="3" t="n">
        <v>6</v>
      </c>
      <c r="E2109" s="3" t="n">
        <v>-6</v>
      </c>
      <c r="F2109" s="7" t="n">
        <f aca="false">IFERROR(Tableau1[[#This Row],[Score]]/Tableau1[[#This Row],[Nb]],0)</f>
        <v>-1</v>
      </c>
    </row>
    <row r="2110" customFormat="false" ht="30" hidden="false" customHeight="true" outlineLevel="0" collapsed="false">
      <c r="A2110" s="1" t="s">
        <v>4168</v>
      </c>
      <c r="B2110" s="2" t="s">
        <v>297</v>
      </c>
      <c r="C2110" s="6" t="n">
        <v>44600</v>
      </c>
      <c r="D2110" s="3" t="n">
        <v>4</v>
      </c>
      <c r="E2110" s="3" t="n">
        <v>2</v>
      </c>
      <c r="F2110" s="7" t="n">
        <f aca="false">IFERROR(Tableau1[[#This Row],[Score]]/Tableau1[[#This Row],[Nb]],0)</f>
        <v>0.5</v>
      </c>
    </row>
    <row r="2111" customFormat="false" ht="30" hidden="false" customHeight="true" outlineLevel="0" collapsed="false">
      <c r="A2111" s="1" t="s">
        <v>4169</v>
      </c>
      <c r="B2111" s="2" t="s">
        <v>4170</v>
      </c>
      <c r="C2111" s="6" t="n">
        <v>44603</v>
      </c>
      <c r="D2111" s="3" t="n">
        <v>4</v>
      </c>
      <c r="E2111" s="3" t="n">
        <v>-4</v>
      </c>
      <c r="F2111" s="7" t="n">
        <f aca="false">IFERROR(Tableau1[[#This Row],[Score]]/Tableau1[[#This Row],[Nb]],0)</f>
        <v>-1</v>
      </c>
    </row>
    <row r="2112" customFormat="false" ht="30" hidden="false" customHeight="true" outlineLevel="0" collapsed="false">
      <c r="A2112" s="1" t="s">
        <v>4171</v>
      </c>
      <c r="B2112" s="2" t="s">
        <v>4172</v>
      </c>
      <c r="C2112" s="6" t="n">
        <v>44605</v>
      </c>
      <c r="D2112" s="3" t="n">
        <v>6</v>
      </c>
      <c r="E2112" s="3" t="n">
        <v>-6</v>
      </c>
      <c r="F2112" s="7" t="n">
        <f aca="false">IFERROR(Tableau1[[#This Row],[Score]]/Tableau1[[#This Row],[Nb]],0)</f>
        <v>-1</v>
      </c>
    </row>
    <row r="2113" customFormat="false" ht="30" hidden="false" customHeight="true" outlineLevel="0" collapsed="false">
      <c r="A2113" s="1" t="s">
        <v>4173</v>
      </c>
      <c r="B2113" s="2" t="s">
        <v>4174</v>
      </c>
      <c r="C2113" s="6" t="n">
        <v>44605</v>
      </c>
      <c r="D2113" s="3" t="n">
        <v>7</v>
      </c>
      <c r="E2113" s="3" t="n">
        <v>-5</v>
      </c>
      <c r="F2113" s="7" t="n">
        <f aca="false">IFERROR(Tableau1[[#This Row],[Score]]/Tableau1[[#This Row],[Nb]],0)</f>
        <v>-0.714285714285714</v>
      </c>
    </row>
    <row r="2114" customFormat="false" ht="30" hidden="false" customHeight="true" outlineLevel="0" collapsed="false">
      <c r="A2114" s="1" t="s">
        <v>4175</v>
      </c>
      <c r="B2114" s="2" t="s">
        <v>4176</v>
      </c>
      <c r="C2114" s="6" t="n">
        <v>44605</v>
      </c>
      <c r="D2114" s="3" t="n">
        <v>6</v>
      </c>
      <c r="E2114" s="3" t="n">
        <v>-4</v>
      </c>
      <c r="F2114" s="7" t="n">
        <f aca="false">IFERROR(Tableau1[[#This Row],[Score]]/Tableau1[[#This Row],[Nb]],0)</f>
        <v>-0.666666666666667</v>
      </c>
    </row>
    <row r="2115" customFormat="false" ht="30" hidden="false" customHeight="true" outlineLevel="0" collapsed="false">
      <c r="A2115" s="1" t="s">
        <v>4177</v>
      </c>
      <c r="B2115" s="2" t="s">
        <v>4178</v>
      </c>
      <c r="C2115" s="6" t="n">
        <v>44605</v>
      </c>
      <c r="D2115" s="3" t="n">
        <v>4</v>
      </c>
      <c r="E2115" s="3" t="n">
        <v>-2</v>
      </c>
      <c r="F2115" s="7" t="n">
        <f aca="false">IFERROR(Tableau1[[#This Row],[Score]]/Tableau1[[#This Row],[Nb]],0)</f>
        <v>-0.5</v>
      </c>
    </row>
    <row r="2116" customFormat="false" ht="30" hidden="false" customHeight="true" outlineLevel="0" collapsed="false">
      <c r="A2116" s="1" t="s">
        <v>4179</v>
      </c>
      <c r="B2116" s="2" t="s">
        <v>4180</v>
      </c>
      <c r="C2116" s="6" t="n">
        <v>44605</v>
      </c>
      <c r="D2116" s="3" t="n">
        <v>3</v>
      </c>
      <c r="E2116" s="3" t="n">
        <v>-1</v>
      </c>
      <c r="F2116" s="7" t="n">
        <f aca="false">IFERROR(Tableau1[[#This Row],[Score]]/Tableau1[[#This Row],[Nb]],0)</f>
        <v>-0.333333333333333</v>
      </c>
    </row>
    <row r="2117" customFormat="false" ht="30" hidden="false" customHeight="true" outlineLevel="0" collapsed="false">
      <c r="A2117" s="1" t="s">
        <v>4181</v>
      </c>
      <c r="B2117" s="2" t="s">
        <v>4182</v>
      </c>
      <c r="C2117" s="6" t="n">
        <v>44605</v>
      </c>
      <c r="D2117" s="3" t="n">
        <v>5</v>
      </c>
      <c r="E2117" s="3" t="n">
        <v>-1</v>
      </c>
      <c r="F2117" s="7" t="n">
        <f aca="false">IFERROR(Tableau1[[#This Row],[Score]]/Tableau1[[#This Row],[Nb]],0)</f>
        <v>-0.2</v>
      </c>
    </row>
    <row r="2118" customFormat="false" ht="30" hidden="false" customHeight="true" outlineLevel="0" collapsed="false">
      <c r="A2118" s="1" t="s">
        <v>4183</v>
      </c>
      <c r="B2118" s="2" t="s">
        <v>4184</v>
      </c>
      <c r="C2118" s="6" t="n">
        <v>44605</v>
      </c>
      <c r="D2118" s="3" t="n">
        <v>4</v>
      </c>
      <c r="E2118" s="3" t="n">
        <v>0</v>
      </c>
      <c r="F2118" s="7" t="n">
        <f aca="false">IFERROR(Tableau1[[#This Row],[Score]]/Tableau1[[#This Row],[Nb]],0)</f>
        <v>0</v>
      </c>
    </row>
    <row r="2119" customFormat="false" ht="30" hidden="false" customHeight="true" outlineLevel="0" collapsed="false">
      <c r="A2119" s="1" t="s">
        <v>4185</v>
      </c>
      <c r="B2119" s="2" t="s">
        <v>4186</v>
      </c>
      <c r="C2119" s="6" t="n">
        <v>44605</v>
      </c>
      <c r="D2119" s="3" t="n">
        <v>4</v>
      </c>
      <c r="E2119" s="3" t="n">
        <v>0</v>
      </c>
      <c r="F2119" s="7" t="n">
        <f aca="false">IFERROR(Tableau1[[#This Row],[Score]]/Tableau1[[#This Row],[Nb]],0)</f>
        <v>0</v>
      </c>
    </row>
    <row r="2120" customFormat="false" ht="30" hidden="false" customHeight="true" outlineLevel="0" collapsed="false">
      <c r="A2120" s="1" t="s">
        <v>4187</v>
      </c>
      <c r="B2120" s="2" t="s">
        <v>4188</v>
      </c>
      <c r="C2120" s="6" t="n">
        <v>44605</v>
      </c>
      <c r="D2120" s="3" t="n">
        <v>3</v>
      </c>
      <c r="E2120" s="3" t="n">
        <v>-1</v>
      </c>
      <c r="F2120" s="7" t="n">
        <f aca="false">IFERROR(Tableau1[[#This Row],[Score]]/Tableau1[[#This Row],[Nb]],0)</f>
        <v>-0.333333333333333</v>
      </c>
    </row>
    <row r="2121" customFormat="false" ht="30" hidden="false" customHeight="true" outlineLevel="0" collapsed="false">
      <c r="A2121" s="1" t="s">
        <v>4189</v>
      </c>
      <c r="B2121" s="2" t="s">
        <v>4190</v>
      </c>
      <c r="C2121" s="6" t="n">
        <v>44605</v>
      </c>
      <c r="D2121" s="3" t="n">
        <v>7</v>
      </c>
      <c r="E2121" s="3" t="n">
        <v>1</v>
      </c>
      <c r="F2121" s="7" t="n">
        <f aca="false">IFERROR(Tableau1[[#This Row],[Score]]/Tableau1[[#This Row],[Nb]],0)</f>
        <v>0.142857142857143</v>
      </c>
    </row>
    <row r="2122" customFormat="false" ht="30" hidden="false" customHeight="true" outlineLevel="0" collapsed="false">
      <c r="A2122" s="1" t="s">
        <v>4191</v>
      </c>
      <c r="B2122" s="2" t="s">
        <v>4192</v>
      </c>
      <c r="C2122" s="6" t="n">
        <v>44605</v>
      </c>
      <c r="D2122" s="3" t="n">
        <v>7</v>
      </c>
      <c r="E2122" s="3" t="n">
        <v>3</v>
      </c>
      <c r="F2122" s="7" t="n">
        <f aca="false">IFERROR(Tableau1[[#This Row],[Score]]/Tableau1[[#This Row],[Nb]],0)</f>
        <v>0.428571428571429</v>
      </c>
    </row>
    <row r="2123" customFormat="false" ht="30" hidden="false" customHeight="true" outlineLevel="0" collapsed="false">
      <c r="A2123" s="1" t="s">
        <v>4193</v>
      </c>
      <c r="B2123" s="2" t="s">
        <v>4194</v>
      </c>
      <c r="C2123" s="6" t="n">
        <v>44605</v>
      </c>
      <c r="D2123" s="3" t="n">
        <v>11</v>
      </c>
      <c r="E2123" s="3" t="n">
        <v>5</v>
      </c>
      <c r="F2123" s="7" t="n">
        <f aca="false">IFERROR(Tableau1[[#This Row],[Score]]/Tableau1[[#This Row],[Nb]],0)</f>
        <v>0.454545454545455</v>
      </c>
    </row>
    <row r="2124" customFormat="false" ht="30" hidden="false" customHeight="true" outlineLevel="0" collapsed="false">
      <c r="A2124" s="1" t="s">
        <v>4195</v>
      </c>
      <c r="B2124" s="2" t="s">
        <v>4196</v>
      </c>
      <c r="C2124" s="6" t="n">
        <v>44605</v>
      </c>
      <c r="D2124" s="3" t="n">
        <v>4</v>
      </c>
      <c r="E2124" s="3" t="n">
        <v>2</v>
      </c>
      <c r="F2124" s="7" t="n">
        <f aca="false">IFERROR(Tableau1[[#This Row],[Score]]/Tableau1[[#This Row],[Nb]],0)</f>
        <v>0.5</v>
      </c>
    </row>
    <row r="2125" customFormat="false" ht="30" hidden="false" customHeight="true" outlineLevel="0" collapsed="false">
      <c r="A2125" s="1" t="s">
        <v>4197</v>
      </c>
      <c r="B2125" s="2" t="s">
        <v>4198</v>
      </c>
      <c r="C2125" s="6" t="n">
        <v>44605</v>
      </c>
      <c r="D2125" s="3" t="n">
        <v>4</v>
      </c>
      <c r="E2125" s="3" t="n">
        <v>2</v>
      </c>
      <c r="F2125" s="7" t="n">
        <f aca="false">IFERROR(Tableau1[[#This Row],[Score]]/Tableau1[[#This Row],[Nb]],0)</f>
        <v>0.5</v>
      </c>
    </row>
    <row r="2126" customFormat="false" ht="30" hidden="false" customHeight="true" outlineLevel="0" collapsed="false">
      <c r="A2126" s="1" t="s">
        <v>4199</v>
      </c>
      <c r="B2126" s="2" t="s">
        <v>4200</v>
      </c>
      <c r="C2126" s="6" t="n">
        <v>44605</v>
      </c>
      <c r="D2126" s="3" t="n">
        <v>10</v>
      </c>
      <c r="E2126" s="3" t="n">
        <v>6</v>
      </c>
      <c r="F2126" s="7" t="n">
        <f aca="false">IFERROR(Tableau1[[#This Row],[Score]]/Tableau1[[#This Row],[Nb]],0)</f>
        <v>0.6</v>
      </c>
    </row>
    <row r="2127" customFormat="false" ht="30" hidden="false" customHeight="true" outlineLevel="0" collapsed="false">
      <c r="A2127" s="1" t="s">
        <v>4201</v>
      </c>
      <c r="B2127" s="2" t="s">
        <v>4202</v>
      </c>
      <c r="C2127" s="6" t="n">
        <v>44605</v>
      </c>
      <c r="D2127" s="3" t="n">
        <v>5</v>
      </c>
      <c r="E2127" s="3" t="n">
        <v>3</v>
      </c>
      <c r="F2127" s="7" t="n">
        <f aca="false">IFERROR(Tableau1[[#This Row],[Score]]/Tableau1[[#This Row],[Nb]],0)</f>
        <v>0.6</v>
      </c>
    </row>
    <row r="2128" customFormat="false" ht="30" hidden="false" customHeight="true" outlineLevel="0" collapsed="false">
      <c r="A2128" s="1" t="s">
        <v>4203</v>
      </c>
      <c r="B2128" s="2" t="s">
        <v>4204</v>
      </c>
      <c r="C2128" s="6" t="n">
        <v>44605</v>
      </c>
      <c r="D2128" s="3" t="n">
        <v>5</v>
      </c>
      <c r="E2128" s="3" t="n">
        <v>3</v>
      </c>
      <c r="F2128" s="7" t="n">
        <f aca="false">IFERROR(Tableau1[[#This Row],[Score]]/Tableau1[[#This Row],[Nb]],0)</f>
        <v>0.6</v>
      </c>
    </row>
    <row r="2129" customFormat="false" ht="30" hidden="false" customHeight="true" outlineLevel="0" collapsed="false">
      <c r="A2129" s="1" t="s">
        <v>4205</v>
      </c>
      <c r="B2129" s="2" t="s">
        <v>4206</v>
      </c>
      <c r="C2129" s="6" t="n">
        <v>44605</v>
      </c>
      <c r="D2129" s="3" t="n">
        <v>5</v>
      </c>
      <c r="E2129" s="3" t="n">
        <v>3</v>
      </c>
      <c r="F2129" s="7" t="n">
        <f aca="false">IFERROR(Tableau1[[#This Row],[Score]]/Tableau1[[#This Row],[Nb]],0)</f>
        <v>0.6</v>
      </c>
    </row>
    <row r="2130" customFormat="false" ht="30" hidden="false" customHeight="true" outlineLevel="0" collapsed="false">
      <c r="A2130" s="1" t="s">
        <v>4207</v>
      </c>
      <c r="B2130" s="2" t="s">
        <v>4208</v>
      </c>
      <c r="C2130" s="6" t="n">
        <v>44605</v>
      </c>
      <c r="D2130" s="3" t="n">
        <v>5</v>
      </c>
      <c r="E2130" s="3" t="n">
        <v>3</v>
      </c>
      <c r="F2130" s="7" t="n">
        <f aca="false">IFERROR(Tableau1[[#This Row],[Score]]/Tableau1[[#This Row],[Nb]],0)</f>
        <v>0.6</v>
      </c>
    </row>
    <row r="2131" customFormat="false" ht="30" hidden="false" customHeight="true" outlineLevel="0" collapsed="false">
      <c r="A2131" s="1" t="s">
        <v>4209</v>
      </c>
      <c r="B2131" s="2" t="s">
        <v>4210</v>
      </c>
      <c r="C2131" s="6" t="n">
        <v>44605</v>
      </c>
      <c r="D2131" s="3" t="n">
        <v>7</v>
      </c>
      <c r="E2131" s="3" t="n">
        <v>5</v>
      </c>
      <c r="F2131" s="7" t="n">
        <f aca="false">IFERROR(Tableau1[[#This Row],[Score]]/Tableau1[[#This Row],[Nb]],0)</f>
        <v>0.714285714285714</v>
      </c>
    </row>
    <row r="2132" customFormat="false" ht="30" hidden="false" customHeight="true" outlineLevel="0" collapsed="false">
      <c r="A2132" s="1" t="s">
        <v>4211</v>
      </c>
      <c r="B2132" s="2" t="s">
        <v>4212</v>
      </c>
      <c r="C2132" s="6" t="n">
        <v>44605</v>
      </c>
      <c r="D2132" s="3" t="n">
        <v>7</v>
      </c>
      <c r="E2132" s="3" t="n">
        <v>5</v>
      </c>
      <c r="F2132" s="7" t="n">
        <f aca="false">IFERROR(Tableau1[[#This Row],[Score]]/Tableau1[[#This Row],[Nb]],0)</f>
        <v>0.714285714285714</v>
      </c>
    </row>
    <row r="2133" customFormat="false" ht="30" hidden="false" customHeight="true" outlineLevel="0" collapsed="false">
      <c r="A2133" s="1" t="s">
        <v>4213</v>
      </c>
      <c r="B2133" s="2" t="s">
        <v>4214</v>
      </c>
      <c r="C2133" s="6" t="n">
        <v>44605</v>
      </c>
      <c r="D2133" s="3" t="n">
        <v>7</v>
      </c>
      <c r="E2133" s="3" t="n">
        <v>5</v>
      </c>
      <c r="F2133" s="7" t="n">
        <f aca="false">IFERROR(Tableau1[[#This Row],[Score]]/Tableau1[[#This Row],[Nb]],0)</f>
        <v>0.714285714285714</v>
      </c>
    </row>
    <row r="2134" customFormat="false" ht="30" hidden="false" customHeight="true" outlineLevel="0" collapsed="false">
      <c r="A2134" s="1" t="s">
        <v>4215</v>
      </c>
      <c r="B2134" s="2" t="s">
        <v>4216</v>
      </c>
      <c r="C2134" s="6" t="n">
        <v>44605</v>
      </c>
      <c r="D2134" s="3" t="n">
        <v>7</v>
      </c>
      <c r="E2134" s="3" t="n">
        <v>5</v>
      </c>
      <c r="F2134" s="7" t="n">
        <f aca="false">IFERROR(Tableau1[[#This Row],[Score]]/Tableau1[[#This Row],[Nb]],0)</f>
        <v>0.714285714285714</v>
      </c>
    </row>
    <row r="2135" customFormat="false" ht="30" hidden="false" customHeight="true" outlineLevel="0" collapsed="false">
      <c r="A2135" s="1" t="s">
        <v>4217</v>
      </c>
      <c r="B2135" s="2" t="s">
        <v>4218</v>
      </c>
      <c r="C2135" s="6" t="n">
        <v>44605</v>
      </c>
      <c r="D2135" s="3" t="n">
        <v>8</v>
      </c>
      <c r="E2135" s="3" t="n">
        <v>6</v>
      </c>
      <c r="F2135" s="7" t="n">
        <f aca="false">IFERROR(Tableau1[[#This Row],[Score]]/Tableau1[[#This Row],[Nb]],0)</f>
        <v>0.75</v>
      </c>
    </row>
    <row r="2136" customFormat="false" ht="30" hidden="false" customHeight="true" outlineLevel="0" collapsed="false">
      <c r="A2136" s="1" t="s">
        <v>4219</v>
      </c>
      <c r="B2136" s="2" t="s">
        <v>4220</v>
      </c>
      <c r="C2136" s="6" t="n">
        <v>44605</v>
      </c>
      <c r="D2136" s="3" t="n">
        <v>10</v>
      </c>
      <c r="E2136" s="3" t="n">
        <v>8</v>
      </c>
      <c r="F2136" s="7" t="n">
        <f aca="false">IFERROR(Tableau1[[#This Row],[Score]]/Tableau1[[#This Row],[Nb]],0)</f>
        <v>0.8</v>
      </c>
    </row>
    <row r="2137" customFormat="false" ht="30" hidden="false" customHeight="true" outlineLevel="0" collapsed="false">
      <c r="A2137" s="1" t="s">
        <v>4221</v>
      </c>
      <c r="B2137" s="2" t="s">
        <v>4222</v>
      </c>
      <c r="C2137" s="6" t="n">
        <v>44605</v>
      </c>
      <c r="D2137" s="3" t="n">
        <v>12</v>
      </c>
      <c r="E2137" s="3" t="n">
        <v>10</v>
      </c>
      <c r="F2137" s="7" t="n">
        <f aca="false">IFERROR(Tableau1[[#This Row],[Score]]/Tableau1[[#This Row],[Nb]],0)</f>
        <v>0.833333333333333</v>
      </c>
    </row>
    <row r="2138" customFormat="false" ht="30" hidden="false" customHeight="true" outlineLevel="0" collapsed="false">
      <c r="A2138" s="1" t="s">
        <v>4223</v>
      </c>
      <c r="B2138" s="2" t="s">
        <v>4224</v>
      </c>
      <c r="C2138" s="6" t="n">
        <v>44605</v>
      </c>
      <c r="D2138" s="3" t="n">
        <v>8</v>
      </c>
      <c r="E2138" s="3" t="n">
        <v>8</v>
      </c>
      <c r="F2138" s="7" t="n">
        <f aca="false">IFERROR(Tableau1[[#This Row],[Score]]/Tableau1[[#This Row],[Nb]],0)</f>
        <v>1</v>
      </c>
    </row>
    <row r="2139" customFormat="false" ht="30" hidden="false" customHeight="true" outlineLevel="0" collapsed="false">
      <c r="A2139" s="1" t="s">
        <v>4225</v>
      </c>
      <c r="B2139" s="2" t="s">
        <v>4226</v>
      </c>
      <c r="C2139" s="6" t="n">
        <v>44605</v>
      </c>
      <c r="D2139" s="3" t="n">
        <v>9</v>
      </c>
      <c r="E2139" s="3" t="n">
        <v>9</v>
      </c>
      <c r="F2139" s="7" t="n">
        <f aca="false">IFERROR(Tableau1[[#This Row],[Score]]/Tableau1[[#This Row],[Nb]],0)</f>
        <v>1</v>
      </c>
    </row>
    <row r="2140" customFormat="false" ht="30" hidden="false" customHeight="true" outlineLevel="0" collapsed="false">
      <c r="A2140" s="1" t="s">
        <v>4227</v>
      </c>
      <c r="B2140" s="2" t="s">
        <v>4228</v>
      </c>
      <c r="C2140" s="6" t="n">
        <v>44605</v>
      </c>
      <c r="D2140" s="3" t="n">
        <v>9</v>
      </c>
      <c r="E2140" s="3" t="n">
        <v>9</v>
      </c>
      <c r="F2140" s="7" t="n">
        <f aca="false">IFERROR(Tableau1[[#This Row],[Score]]/Tableau1[[#This Row],[Nb]],0)</f>
        <v>1</v>
      </c>
    </row>
    <row r="2141" customFormat="false" ht="30" hidden="false" customHeight="true" outlineLevel="0" collapsed="false">
      <c r="A2141" s="1" t="s">
        <v>4229</v>
      </c>
      <c r="B2141" s="2" t="s">
        <v>4230</v>
      </c>
      <c r="C2141" s="6" t="n">
        <v>44605</v>
      </c>
      <c r="D2141" s="3" t="n">
        <v>2</v>
      </c>
      <c r="E2141" s="3" t="n">
        <v>2</v>
      </c>
      <c r="F2141" s="7" t="n">
        <f aca="false">IFERROR(Tableau1[[#This Row],[Score]]/Tableau1[[#This Row],[Nb]],0)</f>
        <v>1</v>
      </c>
    </row>
    <row r="2142" customFormat="false" ht="30" hidden="false" customHeight="true" outlineLevel="0" collapsed="false">
      <c r="A2142" s="1" t="s">
        <v>4231</v>
      </c>
      <c r="B2142" s="2" t="s">
        <v>4232</v>
      </c>
      <c r="C2142" s="6" t="n">
        <v>44605</v>
      </c>
      <c r="D2142" s="3" t="n">
        <v>2</v>
      </c>
      <c r="E2142" s="3" t="n">
        <v>2</v>
      </c>
      <c r="F2142" s="7" t="n">
        <f aca="false">IFERROR(Tableau1[[#This Row],[Score]]/Tableau1[[#This Row],[Nb]],0)</f>
        <v>1</v>
      </c>
    </row>
    <row r="2143" customFormat="false" ht="30" hidden="false" customHeight="true" outlineLevel="0" collapsed="false">
      <c r="A2143" s="1" t="s">
        <v>4233</v>
      </c>
      <c r="B2143" s="2" t="s">
        <v>4234</v>
      </c>
      <c r="C2143" s="6" t="n">
        <v>44605</v>
      </c>
      <c r="D2143" s="3" t="n">
        <v>3</v>
      </c>
      <c r="E2143" s="3" t="n">
        <v>3</v>
      </c>
      <c r="F2143" s="7" t="n">
        <f aca="false">IFERROR(Tableau1[[#This Row],[Score]]/Tableau1[[#This Row],[Nb]],0)</f>
        <v>1</v>
      </c>
    </row>
    <row r="2144" customFormat="false" ht="30" hidden="false" customHeight="true" outlineLevel="0" collapsed="false">
      <c r="A2144" s="1" t="s">
        <v>4235</v>
      </c>
      <c r="B2144" s="2" t="s">
        <v>4236</v>
      </c>
      <c r="C2144" s="6" t="n">
        <v>44605</v>
      </c>
      <c r="D2144" s="3" t="n">
        <v>3</v>
      </c>
      <c r="E2144" s="3" t="n">
        <v>3</v>
      </c>
      <c r="F2144" s="7" t="n">
        <f aca="false">IFERROR(Tableau1[[#This Row],[Score]]/Tableau1[[#This Row],[Nb]],0)</f>
        <v>1</v>
      </c>
    </row>
    <row r="2145" customFormat="false" ht="30" hidden="false" customHeight="true" outlineLevel="0" collapsed="false">
      <c r="A2145" s="1" t="s">
        <v>4237</v>
      </c>
      <c r="B2145" s="2" t="s">
        <v>4238</v>
      </c>
      <c r="C2145" s="6" t="n">
        <v>44605</v>
      </c>
      <c r="D2145" s="3" t="n">
        <v>4</v>
      </c>
      <c r="E2145" s="3" t="n">
        <v>4</v>
      </c>
      <c r="F2145" s="7" t="n">
        <f aca="false">IFERROR(Tableau1[[#This Row],[Score]]/Tableau1[[#This Row],[Nb]],0)</f>
        <v>1</v>
      </c>
    </row>
    <row r="2146" customFormat="false" ht="30" hidden="false" customHeight="true" outlineLevel="0" collapsed="false">
      <c r="A2146" s="1" t="s">
        <v>4239</v>
      </c>
      <c r="B2146" s="2" t="s">
        <v>4240</v>
      </c>
      <c r="C2146" s="6" t="n">
        <v>44605</v>
      </c>
      <c r="D2146" s="3" t="n">
        <v>5</v>
      </c>
      <c r="E2146" s="3" t="n">
        <v>5</v>
      </c>
      <c r="F2146" s="7" t="n">
        <f aca="false">IFERROR(Tableau1[[#This Row],[Score]]/Tableau1[[#This Row],[Nb]],0)</f>
        <v>1</v>
      </c>
    </row>
    <row r="2147" customFormat="false" ht="30" hidden="false" customHeight="true" outlineLevel="0" collapsed="false">
      <c r="A2147" s="1" t="s">
        <v>4241</v>
      </c>
      <c r="B2147" s="2" t="s">
        <v>4242</v>
      </c>
      <c r="C2147" s="6" t="n">
        <v>44605</v>
      </c>
      <c r="D2147" s="3" t="n">
        <v>5</v>
      </c>
      <c r="E2147" s="3" t="n">
        <v>5</v>
      </c>
      <c r="F2147" s="7" t="n">
        <f aca="false">IFERROR(Tableau1[[#This Row],[Score]]/Tableau1[[#This Row],[Nb]],0)</f>
        <v>1</v>
      </c>
    </row>
    <row r="2148" customFormat="false" ht="30" hidden="false" customHeight="true" outlineLevel="0" collapsed="false">
      <c r="A2148" s="1" t="s">
        <v>4243</v>
      </c>
      <c r="B2148" s="2" t="s">
        <v>4244</v>
      </c>
      <c r="C2148" s="6" t="n">
        <v>44605</v>
      </c>
      <c r="D2148" s="3" t="n">
        <v>5</v>
      </c>
      <c r="E2148" s="3" t="n">
        <v>5</v>
      </c>
      <c r="F2148" s="7" t="n">
        <f aca="false">IFERROR(Tableau1[[#This Row],[Score]]/Tableau1[[#This Row],[Nb]],0)</f>
        <v>1</v>
      </c>
    </row>
    <row r="2149" customFormat="false" ht="30" hidden="false" customHeight="true" outlineLevel="0" collapsed="false">
      <c r="A2149" s="1" t="s">
        <v>4245</v>
      </c>
      <c r="B2149" s="2" t="s">
        <v>4246</v>
      </c>
      <c r="C2149" s="6" t="n">
        <v>44605</v>
      </c>
      <c r="D2149" s="3" t="n">
        <v>7</v>
      </c>
      <c r="E2149" s="3" t="n">
        <v>7</v>
      </c>
      <c r="F2149" s="7" t="n">
        <f aca="false">IFERROR(Tableau1[[#This Row],[Score]]/Tableau1[[#This Row],[Nb]],0)</f>
        <v>1</v>
      </c>
    </row>
    <row r="2150" customFormat="false" ht="30" hidden="false" customHeight="true" outlineLevel="0" collapsed="false">
      <c r="A2150" s="1" t="s">
        <v>4247</v>
      </c>
      <c r="B2150" s="2" t="s">
        <v>4248</v>
      </c>
      <c r="C2150" s="6" t="n">
        <v>44605</v>
      </c>
      <c r="D2150" s="3" t="n">
        <v>7</v>
      </c>
      <c r="E2150" s="3" t="n">
        <v>7</v>
      </c>
      <c r="F2150" s="7" t="n">
        <f aca="false">IFERROR(Tableau1[[#This Row],[Score]]/Tableau1[[#This Row],[Nb]],0)</f>
        <v>1</v>
      </c>
    </row>
    <row r="2151" customFormat="false" ht="30" hidden="false" customHeight="true" outlineLevel="0" collapsed="false">
      <c r="A2151" s="1" t="s">
        <v>4249</v>
      </c>
      <c r="B2151" s="2" t="s">
        <v>4250</v>
      </c>
      <c r="C2151" s="6" t="n">
        <v>44605</v>
      </c>
      <c r="D2151" s="3" t="n">
        <v>9</v>
      </c>
      <c r="E2151" s="3" t="n">
        <v>9</v>
      </c>
      <c r="F2151" s="7" t="n">
        <f aca="false">IFERROR(Tableau1[[#This Row],[Score]]/Tableau1[[#This Row],[Nb]],0)</f>
        <v>1</v>
      </c>
    </row>
    <row r="2152" customFormat="false" ht="30" hidden="false" customHeight="true" outlineLevel="0" collapsed="false">
      <c r="A2152" s="1" t="s">
        <v>4251</v>
      </c>
      <c r="B2152" s="2" t="s">
        <v>4252</v>
      </c>
      <c r="C2152" s="6" t="n">
        <v>44609</v>
      </c>
      <c r="D2152" s="3" t="n">
        <v>4</v>
      </c>
      <c r="E2152" s="3" t="n">
        <v>2</v>
      </c>
      <c r="F2152" s="7" t="n">
        <f aca="false">IFERROR(Tableau1[[#This Row],[Score]]/Tableau1[[#This Row],[Nb]],0)</f>
        <v>0.5</v>
      </c>
    </row>
    <row r="2153" customFormat="false" ht="30" hidden="false" customHeight="true" outlineLevel="0" collapsed="false">
      <c r="A2153" s="1" t="s">
        <v>4253</v>
      </c>
      <c r="B2153" s="2" t="s">
        <v>4254</v>
      </c>
      <c r="C2153" s="6" t="n">
        <v>44616</v>
      </c>
      <c r="D2153" s="3" t="n">
        <v>8</v>
      </c>
      <c r="E2153" s="3" t="n">
        <v>-8</v>
      </c>
      <c r="F2153" s="7" t="n">
        <f aca="false">IFERROR(Tableau1[[#This Row],[Score]]/Tableau1[[#This Row],[Nb]],0)</f>
        <v>-1</v>
      </c>
    </row>
    <row r="2154" customFormat="false" ht="30" hidden="false" customHeight="true" outlineLevel="0" collapsed="false">
      <c r="A2154" s="1" t="s">
        <v>4255</v>
      </c>
      <c r="B2154" s="2" t="s">
        <v>4256</v>
      </c>
      <c r="C2154" s="6" t="n">
        <v>44628</v>
      </c>
      <c r="D2154" s="3" t="n">
        <v>4</v>
      </c>
      <c r="E2154" s="3" t="n">
        <v>4</v>
      </c>
      <c r="F2154" s="7" t="n">
        <f aca="false">IFERROR(Tableau1[[#This Row],[Score]]/Tableau1[[#This Row],[Nb]],0)</f>
        <v>1</v>
      </c>
    </row>
    <row r="2155" customFormat="false" ht="30" hidden="false" customHeight="true" outlineLevel="0" collapsed="false">
      <c r="A2155" s="1" t="s">
        <v>4257</v>
      </c>
      <c r="B2155" s="2" t="s">
        <v>4258</v>
      </c>
      <c r="C2155" s="6" t="n">
        <v>44633</v>
      </c>
      <c r="D2155" s="3" t="n">
        <v>1</v>
      </c>
      <c r="E2155" s="3" t="n">
        <v>-1</v>
      </c>
      <c r="F2155" s="7" t="n">
        <f aca="false">IFERROR(Tableau1[[#This Row],[Score]]/Tableau1[[#This Row],[Nb]],0)</f>
        <v>-1</v>
      </c>
    </row>
    <row r="2156" customFormat="false" ht="30" hidden="false" customHeight="true" outlineLevel="0" collapsed="false">
      <c r="A2156" s="1" t="s">
        <v>4259</v>
      </c>
      <c r="B2156" s="2" t="s">
        <v>4260</v>
      </c>
      <c r="C2156" s="6" t="n">
        <v>44639</v>
      </c>
      <c r="D2156" s="3" t="n">
        <v>5</v>
      </c>
      <c r="E2156" s="3" t="n">
        <v>5</v>
      </c>
      <c r="F2156" s="7" t="n">
        <f aca="false">IFERROR(Tableau1[[#This Row],[Score]]/Tableau1[[#This Row],[Nb]],0)</f>
        <v>1</v>
      </c>
    </row>
    <row r="2157" customFormat="false" ht="30" hidden="false" customHeight="true" outlineLevel="0" collapsed="false">
      <c r="A2157" s="1" t="s">
        <v>4261</v>
      </c>
      <c r="B2157" s="2" t="s">
        <v>4262</v>
      </c>
      <c r="C2157" s="6" t="n">
        <v>44644</v>
      </c>
      <c r="D2157" s="3" t="n">
        <v>2</v>
      </c>
      <c r="E2157" s="3" t="n">
        <v>0</v>
      </c>
      <c r="F2157" s="7" t="n">
        <f aca="false">IFERROR(Tableau1[[#This Row],[Score]]/Tableau1[[#This Row],[Nb]],0)</f>
        <v>0</v>
      </c>
    </row>
    <row r="2158" customFormat="false" ht="30" hidden="false" customHeight="true" outlineLevel="0" collapsed="false">
      <c r="A2158" s="1" t="s">
        <v>4263</v>
      </c>
      <c r="B2158" s="2" t="s">
        <v>4264</v>
      </c>
      <c r="C2158" s="6" t="n">
        <v>44652</v>
      </c>
      <c r="D2158" s="3" t="n">
        <v>0</v>
      </c>
      <c r="E2158" s="3" t="n">
        <v>0</v>
      </c>
      <c r="F2158" s="7" t="n">
        <f aca="false">IFERROR(Tableau1[[#This Row],[Score]]/Tableau1[[#This Row],[Nb]],0)</f>
        <v>0</v>
      </c>
    </row>
    <row r="2159" customFormat="false" ht="30" hidden="false" customHeight="true" outlineLevel="0" collapsed="false">
      <c r="A2159" s="1" t="s">
        <v>4265</v>
      </c>
      <c r="B2159" s="2" t="s">
        <v>4266</v>
      </c>
      <c r="C2159" s="6" t="n">
        <v>44666</v>
      </c>
      <c r="D2159" s="3" t="n">
        <v>4</v>
      </c>
      <c r="E2159" s="3" t="n">
        <v>-2</v>
      </c>
      <c r="F2159" s="7" t="n">
        <f aca="false">IFERROR(Tableau1[[#This Row],[Score]]/Tableau1[[#This Row],[Nb]],0)</f>
        <v>-0.5</v>
      </c>
    </row>
    <row r="2160" customFormat="false" ht="30" hidden="false" customHeight="true" outlineLevel="0" collapsed="false">
      <c r="A2160" s="1" t="s">
        <v>4267</v>
      </c>
      <c r="B2160" s="2" t="s">
        <v>4268</v>
      </c>
      <c r="C2160" s="6" t="n">
        <v>44673</v>
      </c>
      <c r="D2160" s="3" t="n">
        <v>1</v>
      </c>
      <c r="E2160" s="3" t="n">
        <v>-1</v>
      </c>
      <c r="F2160" s="7" t="n">
        <f aca="false">IFERROR(Tableau1[[#This Row],[Score]]/Tableau1[[#This Row],[Nb]],0)</f>
        <v>-1</v>
      </c>
    </row>
    <row r="2161" customFormat="false" ht="30" hidden="false" customHeight="true" outlineLevel="0" collapsed="false">
      <c r="A2161" s="1" t="s">
        <v>4269</v>
      </c>
      <c r="B2161" s="2" t="s">
        <v>4270</v>
      </c>
      <c r="C2161" s="6" t="n">
        <v>44679</v>
      </c>
      <c r="D2161" s="3" t="n">
        <v>0</v>
      </c>
      <c r="E2161" s="3" t="n">
        <v>0</v>
      </c>
      <c r="F2161" s="7" t="n">
        <f aca="false">IFERROR(Tableau1[[#This Row],[Score]]/Tableau1[[#This Row],[Nb]],0)</f>
        <v>0</v>
      </c>
    </row>
    <row r="2162" customFormat="false" ht="30" hidden="false" customHeight="true" outlineLevel="0" collapsed="false">
      <c r="A2162" s="1" t="s">
        <v>4271</v>
      </c>
      <c r="B2162" s="2" t="s">
        <v>4272</v>
      </c>
      <c r="C2162" s="6" t="n">
        <v>44680</v>
      </c>
      <c r="D2162" s="3" t="n">
        <v>2</v>
      </c>
      <c r="E2162" s="3" t="n">
        <v>-2</v>
      </c>
      <c r="F2162" s="7" t="n">
        <f aca="false">IFERROR(Tableau1[[#This Row],[Score]]/Tableau1[[#This Row],[Nb]],0)</f>
        <v>-1</v>
      </c>
    </row>
    <row r="2163" customFormat="false" ht="30" hidden="false" customHeight="true" outlineLevel="0" collapsed="false">
      <c r="A2163" s="1" t="s">
        <v>4273</v>
      </c>
      <c r="B2163" s="2" t="s">
        <v>4274</v>
      </c>
      <c r="C2163" s="6" t="n">
        <v>44684</v>
      </c>
      <c r="D2163" s="3" t="n">
        <v>3</v>
      </c>
      <c r="E2163" s="3" t="n">
        <v>-1</v>
      </c>
      <c r="F2163" s="7" t="n">
        <f aca="false">IFERROR(Tableau1[[#This Row],[Score]]/Tableau1[[#This Row],[Nb]],0)</f>
        <v>-0.333333333333333</v>
      </c>
    </row>
    <row r="2164" customFormat="false" ht="30" hidden="false" customHeight="true" outlineLevel="0" collapsed="false">
      <c r="A2164" s="1" t="s">
        <v>4275</v>
      </c>
      <c r="B2164" s="2" t="s">
        <v>4276</v>
      </c>
      <c r="C2164" s="6" t="n">
        <v>44684</v>
      </c>
      <c r="D2164" s="3" t="n">
        <v>0</v>
      </c>
      <c r="E2164" s="3" t="n">
        <v>0</v>
      </c>
      <c r="F2164" s="7" t="n">
        <f aca="false">IFERROR(Tableau1[[#This Row],[Score]]/Tableau1[[#This Row],[Nb]],0)</f>
        <v>0</v>
      </c>
    </row>
    <row r="2165" customFormat="false" ht="30" hidden="false" customHeight="true" outlineLevel="0" collapsed="false">
      <c r="A2165" s="1" t="s">
        <v>4277</v>
      </c>
      <c r="B2165" s="2" t="s">
        <v>4278</v>
      </c>
      <c r="C2165" s="6" t="n">
        <v>44685</v>
      </c>
      <c r="D2165" s="3" t="n">
        <v>2</v>
      </c>
      <c r="E2165" s="3" t="n">
        <v>-2</v>
      </c>
      <c r="F2165" s="7" t="n">
        <f aca="false">IFERROR(Tableau1[[#This Row],[Score]]/Tableau1[[#This Row],[Nb]],0)</f>
        <v>-1</v>
      </c>
    </row>
    <row r="2166" customFormat="false" ht="30" hidden="false" customHeight="true" outlineLevel="0" collapsed="false">
      <c r="A2166" s="1" t="s">
        <v>4279</v>
      </c>
      <c r="B2166" s="2" t="s">
        <v>1483</v>
      </c>
      <c r="C2166" s="6" t="n">
        <v>44688</v>
      </c>
      <c r="D2166" s="3" t="n">
        <v>1</v>
      </c>
      <c r="E2166" s="3" t="n">
        <v>-1</v>
      </c>
      <c r="F2166" s="7" t="n">
        <f aca="false">IFERROR(Tableau1[[#This Row],[Score]]/Tableau1[[#This Row],[Nb]],0)</f>
        <v>-1</v>
      </c>
    </row>
    <row r="2167" customFormat="false" ht="30" hidden="false" customHeight="true" outlineLevel="0" collapsed="false">
      <c r="A2167" s="1" t="s">
        <v>4280</v>
      </c>
      <c r="B2167" s="2" t="s">
        <v>4281</v>
      </c>
      <c r="C2167" s="6" t="n">
        <v>44691</v>
      </c>
      <c r="D2167" s="3" t="n">
        <v>2</v>
      </c>
      <c r="E2167" s="3" t="n">
        <v>-2</v>
      </c>
      <c r="F2167" s="7" t="n">
        <f aca="false">IFERROR(Tableau1[[#This Row],[Score]]/Tableau1[[#This Row],[Nb]],0)</f>
        <v>-1</v>
      </c>
    </row>
    <row r="2168" customFormat="false" ht="30" hidden="false" customHeight="true" outlineLevel="0" collapsed="false">
      <c r="A2168" s="1" t="s">
        <v>4282</v>
      </c>
      <c r="B2168" s="2" t="s">
        <v>4283</v>
      </c>
      <c r="C2168" s="6" t="n">
        <v>44698</v>
      </c>
      <c r="D2168" s="3" t="n">
        <v>1</v>
      </c>
      <c r="E2168" s="3" t="n">
        <v>-1</v>
      </c>
      <c r="F2168" s="7" t="n">
        <f aca="false">IFERROR(Tableau1[[#This Row],[Score]]/Tableau1[[#This Row],[Nb]],0)</f>
        <v>-1</v>
      </c>
    </row>
    <row r="2169" customFormat="false" ht="30" hidden="false" customHeight="true" outlineLevel="0" collapsed="false">
      <c r="A2169" s="1" t="s">
        <v>4284</v>
      </c>
      <c r="B2169" s="2" t="s">
        <v>4285</v>
      </c>
      <c r="C2169" s="6" t="n">
        <v>44702</v>
      </c>
      <c r="D2169" s="3" t="n">
        <v>2</v>
      </c>
      <c r="E2169" s="3" t="n">
        <v>-2</v>
      </c>
      <c r="F2169" s="7" t="n">
        <f aca="false">IFERROR(Tableau1[[#This Row],[Score]]/Tableau1[[#This Row],[Nb]],0)</f>
        <v>-1</v>
      </c>
    </row>
    <row r="2170" customFormat="false" ht="30" hidden="false" customHeight="true" outlineLevel="0" collapsed="false">
      <c r="A2170" s="1" t="s">
        <v>4286</v>
      </c>
      <c r="B2170" s="2" t="s">
        <v>4287</v>
      </c>
      <c r="C2170" s="6" t="n">
        <v>44709</v>
      </c>
      <c r="D2170" s="3" t="n">
        <v>1</v>
      </c>
      <c r="E2170" s="3" t="n">
        <v>-1</v>
      </c>
      <c r="F2170" s="7" t="n">
        <f aca="false">IFERROR(Tableau1[[#This Row],[Score]]/Tableau1[[#This Row],[Nb]],0)</f>
        <v>-1</v>
      </c>
    </row>
    <row r="2171" customFormat="false" ht="30" hidden="false" customHeight="true" outlineLevel="0" collapsed="false">
      <c r="A2171" s="1" t="s">
        <v>4288</v>
      </c>
      <c r="B2171" s="2" t="s">
        <v>4289</v>
      </c>
      <c r="C2171" s="6" t="n">
        <v>44709</v>
      </c>
      <c r="D2171" s="3" t="n">
        <v>2</v>
      </c>
      <c r="E2171" s="3" t="n">
        <v>-2</v>
      </c>
      <c r="F2171" s="7" t="n">
        <f aca="false">IFERROR(Tableau1[[#This Row],[Score]]/Tableau1[[#This Row],[Nb]],0)</f>
        <v>-1</v>
      </c>
    </row>
    <row r="2172" customFormat="false" ht="30" hidden="false" customHeight="true" outlineLevel="0" collapsed="false">
      <c r="A2172" s="1" t="s">
        <v>4290</v>
      </c>
      <c r="B2172" s="2" t="s">
        <v>4291</v>
      </c>
      <c r="C2172" s="6" t="n">
        <v>44721</v>
      </c>
      <c r="D2172" s="3" t="n">
        <v>0</v>
      </c>
      <c r="E2172" s="3" t="n">
        <v>0</v>
      </c>
      <c r="F2172" s="7" t="n">
        <f aca="false">IFERROR(Tableau1[[#This Row],[Score]]/Tableau1[[#This Row],[Nb]],0)</f>
        <v>0</v>
      </c>
    </row>
    <row r="2173" customFormat="false" ht="30" hidden="false" customHeight="true" outlineLevel="0" collapsed="false">
      <c r="A2173" s="1" t="s">
        <v>4292</v>
      </c>
      <c r="B2173" s="2" t="s">
        <v>4293</v>
      </c>
      <c r="C2173" s="6" t="n">
        <v>44721</v>
      </c>
      <c r="D2173" s="3" t="n">
        <v>0</v>
      </c>
      <c r="E2173" s="3" t="n">
        <v>0</v>
      </c>
      <c r="F2173" s="7" t="n">
        <f aca="false">IFERROR(Tableau1[[#This Row],[Score]]/Tableau1[[#This Row],[Nb]],0)</f>
        <v>0</v>
      </c>
    </row>
    <row r="2174" customFormat="false" ht="30" hidden="false" customHeight="true" outlineLevel="0" collapsed="false">
      <c r="A2174" s="1" t="s">
        <v>4294</v>
      </c>
      <c r="B2174" s="2" t="s">
        <v>4295</v>
      </c>
      <c r="C2174" s="6" t="n">
        <v>44722</v>
      </c>
      <c r="D2174" s="3" t="n">
        <v>3</v>
      </c>
      <c r="E2174" s="3" t="n">
        <v>-1</v>
      </c>
      <c r="F2174" s="7" t="n">
        <f aca="false">IFERROR(Tableau1[[#This Row],[Score]]/Tableau1[[#This Row],[Nb]],0)</f>
        <v>-0.333333333333333</v>
      </c>
    </row>
    <row r="2175" customFormat="false" ht="30" hidden="false" customHeight="true" outlineLevel="0" collapsed="false">
      <c r="A2175" s="1" t="s">
        <v>4296</v>
      </c>
      <c r="B2175" s="2" t="s">
        <v>4297</v>
      </c>
      <c r="C2175" s="6" t="n">
        <v>44726</v>
      </c>
      <c r="D2175" s="3" t="n">
        <v>0</v>
      </c>
      <c r="E2175" s="3" t="n">
        <v>0</v>
      </c>
      <c r="F2175" s="7" t="n">
        <f aca="false">IFERROR(Tableau1[[#This Row],[Score]]/Tableau1[[#This Row],[Nb]],0)</f>
        <v>0</v>
      </c>
    </row>
    <row r="2176" customFormat="false" ht="30" hidden="false" customHeight="true" outlineLevel="0" collapsed="false">
      <c r="A2176" s="1" t="s">
        <v>4298</v>
      </c>
      <c r="B2176" s="2" t="s">
        <v>4299</v>
      </c>
      <c r="C2176" s="6" t="n">
        <v>44727</v>
      </c>
      <c r="D2176" s="3" t="n">
        <v>0</v>
      </c>
      <c r="E2176" s="3" t="n">
        <v>0</v>
      </c>
      <c r="F2176" s="7" t="n">
        <f aca="false">IFERROR(Tableau1[[#This Row],[Score]]/Tableau1[[#This Row],[Nb]],0)</f>
        <v>0</v>
      </c>
    </row>
    <row r="2177" customFormat="false" ht="30" hidden="false" customHeight="true" outlineLevel="0" collapsed="false">
      <c r="A2177" s="1" t="s">
        <v>4300</v>
      </c>
      <c r="B2177" s="2" t="s">
        <v>4301</v>
      </c>
      <c r="C2177" s="6" t="n">
        <v>44733</v>
      </c>
      <c r="D2177" s="3" t="n">
        <v>0</v>
      </c>
      <c r="E2177" s="3" t="n">
        <v>0</v>
      </c>
      <c r="F2177" s="7" t="n">
        <f aca="false">IFERROR(Tableau1[[#This Row],[Score]]/Tableau1[[#This Row],[Nb]],0)</f>
        <v>0</v>
      </c>
    </row>
    <row r="2178" customFormat="false" ht="30" hidden="false" customHeight="true" outlineLevel="0" collapsed="false">
      <c r="A2178" s="1" t="s">
        <v>4302</v>
      </c>
      <c r="B2178" s="2" t="s">
        <v>4303</v>
      </c>
      <c r="C2178" s="6" t="n">
        <v>44737</v>
      </c>
      <c r="D2178" s="3" t="n">
        <v>0</v>
      </c>
      <c r="E2178" s="3" t="n">
        <v>0</v>
      </c>
      <c r="F2178" s="7" t="n">
        <f aca="false">IFERROR(Tableau1[[#This Row],[Score]]/Tableau1[[#This Row],[Nb]],0)</f>
        <v>0</v>
      </c>
    </row>
    <row r="2179" customFormat="false" ht="30" hidden="false" customHeight="true" outlineLevel="0" collapsed="false">
      <c r="A2179" s="1" t="s">
        <v>4304</v>
      </c>
      <c r="B2179" s="2" t="s">
        <v>4305</v>
      </c>
      <c r="C2179" s="6" t="n">
        <v>44750</v>
      </c>
      <c r="D2179" s="3" t="n">
        <v>0</v>
      </c>
      <c r="E2179" s="3" t="n">
        <v>0</v>
      </c>
      <c r="F2179" s="7" t="n">
        <f aca="false">IFERROR(Tableau1[[#This Row],[Score]]/Tableau1[[#This Row],[Nb]],0)</f>
        <v>0</v>
      </c>
    </row>
    <row r="2180" customFormat="false" ht="30" hidden="false" customHeight="true" outlineLevel="0" collapsed="false">
      <c r="A2180" s="1" t="s">
        <v>4306</v>
      </c>
      <c r="B2180" s="2" t="s">
        <v>4307</v>
      </c>
      <c r="C2180" s="6" t="n">
        <v>44755</v>
      </c>
      <c r="D2180" s="3" t="n">
        <v>0</v>
      </c>
      <c r="E2180" s="3" t="n">
        <v>0</v>
      </c>
      <c r="F2180" s="7" t="n">
        <f aca="false">IFERROR(Tableau1[[#This Row],[Score]]/Tableau1[[#This Row],[Nb]],0)</f>
        <v>0</v>
      </c>
    </row>
    <row r="2181" customFormat="false" ht="30" hidden="false" customHeight="true" outlineLevel="0" collapsed="false">
      <c r="A2181" s="1" t="s">
        <v>4308</v>
      </c>
      <c r="B2181" s="2" t="s">
        <v>4309</v>
      </c>
      <c r="C2181" s="6" t="n">
        <v>44766</v>
      </c>
      <c r="D2181" s="3" t="n">
        <v>0</v>
      </c>
      <c r="E2181" s="3" t="n">
        <v>0</v>
      </c>
      <c r="F2181" s="7" t="n">
        <f aca="false">IFERROR(Tableau1[[#This Row],[Score]]/Tableau1[[#This Row],[Nb]],0)</f>
        <v>0</v>
      </c>
    </row>
    <row r="2182" customFormat="false" ht="30" hidden="false" customHeight="true" outlineLevel="0" collapsed="false">
      <c r="A2182" s="1" t="s">
        <v>4310</v>
      </c>
      <c r="B2182" s="2" t="s">
        <v>4311</v>
      </c>
      <c r="C2182" s="6" t="n">
        <v>44869</v>
      </c>
      <c r="D2182" s="3" t="n">
        <v>0</v>
      </c>
      <c r="E2182" s="3" t="n">
        <v>0</v>
      </c>
      <c r="F2182" s="7" t="n">
        <f aca="false">IFERROR(Tableau1[[#This Row],[Score]]/Tableau1[[#This Row],[Nb]],0)</f>
        <v>0</v>
      </c>
    </row>
    <row r="2183" customFormat="false" ht="30" hidden="false" customHeight="true" outlineLevel="0" collapsed="false">
      <c r="A2183" s="1" t="s">
        <v>4312</v>
      </c>
      <c r="B2183" s="2" t="s">
        <v>4313</v>
      </c>
      <c r="C2183" s="6" t="n">
        <v>44900</v>
      </c>
      <c r="D2183" s="3" t="n">
        <v>0</v>
      </c>
      <c r="E2183" s="3" t="n">
        <v>0</v>
      </c>
      <c r="F2183" s="7" t="n">
        <f aca="false">IFERROR(Tableau1[[#This Row],[Score]]/Tableau1[[#This Row],[Nb]],0)</f>
        <v>0</v>
      </c>
    </row>
    <row r="2184" customFormat="false" ht="30" hidden="false" customHeight="true" outlineLevel="0" collapsed="false">
      <c r="A2184" s="1" t="s">
        <v>4314</v>
      </c>
      <c r="B2184" s="2" t="s">
        <v>4315</v>
      </c>
      <c r="C2184" s="6" t="n">
        <v>44983</v>
      </c>
      <c r="D2184" s="3" t="n">
        <v>0</v>
      </c>
      <c r="E2184" s="3" t="n">
        <v>0</v>
      </c>
      <c r="F2184" s="7" t="n">
        <f aca="false">IFERROR(Tableau1[[#This Row],[Score]]/Tableau1[[#This Row],[Nb]],0)</f>
        <v>0</v>
      </c>
    </row>
    <row r="2185" customFormat="false" ht="30" hidden="false" customHeight="true" outlineLevel="0" collapsed="false">
      <c r="A2185" s="1" t="s">
        <v>4316</v>
      </c>
      <c r="B2185" s="2" t="s">
        <v>4317</v>
      </c>
      <c r="C2185" s="6" t="n">
        <v>44983</v>
      </c>
      <c r="D2185" s="3" t="n">
        <v>0</v>
      </c>
      <c r="E2185" s="3" t="n">
        <v>0</v>
      </c>
      <c r="F2185" s="7" t="n">
        <f aca="false">IFERROR(Tableau1[[#This Row],[Score]]/Tableau1[[#This Row],[Nb]],0)</f>
        <v>0</v>
      </c>
    </row>
    <row r="2186" customFormat="false" ht="30" hidden="false" customHeight="true" outlineLevel="0" collapsed="false">
      <c r="A2186" s="1" t="s">
        <v>4318</v>
      </c>
      <c r="B2186" s="2" t="s">
        <v>4319</v>
      </c>
      <c r="C2186" s="6" t="n">
        <v>44983</v>
      </c>
      <c r="D2186" s="3" t="n">
        <v>0</v>
      </c>
      <c r="E2186" s="3" t="n">
        <v>0</v>
      </c>
      <c r="F2186" s="7" t="n">
        <f aca="false">IFERROR(Tableau1[[#This Row],[Score]]/Tableau1[[#This Row],[Nb]],0)</f>
        <v>0</v>
      </c>
    </row>
    <row r="2187" customFormat="false" ht="30" hidden="false" customHeight="true" outlineLevel="0" collapsed="false">
      <c r="A2187" s="1" t="s">
        <v>4320</v>
      </c>
      <c r="B2187" s="2" t="s">
        <v>4321</v>
      </c>
      <c r="C2187" s="6" t="n">
        <v>44983</v>
      </c>
      <c r="D2187" s="3" t="n">
        <v>0</v>
      </c>
      <c r="E2187" s="3" t="n">
        <v>0</v>
      </c>
      <c r="F2187" s="7" t="n">
        <f aca="false">IFERROR(Tableau1[[#This Row],[Score]]/Tableau1[[#This Row],[Nb]],0)</f>
        <v>0</v>
      </c>
    </row>
    <row r="2188" customFormat="false" ht="30" hidden="false" customHeight="true" outlineLevel="0" collapsed="false">
      <c r="A2188" s="1" t="s">
        <v>4322</v>
      </c>
      <c r="B2188" s="2" t="s">
        <v>4323</v>
      </c>
      <c r="C2188" s="6" t="n">
        <v>44983</v>
      </c>
      <c r="D2188" s="3" t="n">
        <v>1</v>
      </c>
      <c r="E2188" s="3" t="n">
        <v>1</v>
      </c>
      <c r="F2188" s="7" t="n">
        <f aca="false">IFERROR(Tableau1[[#This Row],[Score]]/Tableau1[[#This Row],[Nb]],0)</f>
        <v>1</v>
      </c>
    </row>
    <row r="2189" customFormat="false" ht="30" hidden="false" customHeight="true" outlineLevel="0" collapsed="false">
      <c r="A2189" s="1" t="s">
        <v>4324</v>
      </c>
      <c r="B2189" s="2" t="s">
        <v>4325</v>
      </c>
      <c r="C2189" s="6" t="n">
        <v>44983</v>
      </c>
      <c r="D2189" s="3" t="n">
        <v>0</v>
      </c>
      <c r="E2189" s="3" t="n">
        <v>0</v>
      </c>
      <c r="F2189" s="7" t="n">
        <f aca="false">IFERROR(Tableau1[[#This Row],[Score]]/Tableau1[[#This Row],[Nb]],0)</f>
        <v>0</v>
      </c>
    </row>
    <row r="2190" customFormat="false" ht="30" hidden="false" customHeight="true" outlineLevel="0" collapsed="false">
      <c r="A2190" s="1" t="s">
        <v>4326</v>
      </c>
      <c r="B2190" s="2" t="s">
        <v>4327</v>
      </c>
      <c r="C2190" s="6" t="n">
        <v>44983</v>
      </c>
      <c r="D2190" s="3" t="n">
        <v>0</v>
      </c>
      <c r="E2190" s="3" t="n">
        <v>0</v>
      </c>
      <c r="F2190" s="7" t="n">
        <f aca="false">IFERROR(Tableau1[[#This Row],[Score]]/Tableau1[[#This Row],[Nb]],0)</f>
        <v>0</v>
      </c>
    </row>
    <row r="2191" customFormat="false" ht="30" hidden="false" customHeight="true" outlineLevel="0" collapsed="false">
      <c r="A2191" s="1" t="s">
        <v>4328</v>
      </c>
      <c r="B2191" s="2" t="s">
        <v>4329</v>
      </c>
      <c r="C2191" s="6" t="n">
        <v>44983</v>
      </c>
      <c r="D2191" s="3" t="n">
        <v>0</v>
      </c>
      <c r="E2191" s="3" t="n">
        <v>0</v>
      </c>
      <c r="F2191" s="7" t="n">
        <f aca="false">IFERROR(Tableau1[[#This Row],[Score]]/Tableau1[[#This Row],[Nb]],0)</f>
        <v>0</v>
      </c>
    </row>
    <row r="2192" customFormat="false" ht="30" hidden="false" customHeight="true" outlineLevel="0" collapsed="false">
      <c r="A2192" s="1" t="s">
        <v>4330</v>
      </c>
      <c r="B2192" s="2" t="s">
        <v>4331</v>
      </c>
      <c r="C2192" s="6" t="n">
        <v>44983</v>
      </c>
      <c r="D2192" s="3" t="n">
        <v>0</v>
      </c>
      <c r="E2192" s="3" t="n">
        <v>0</v>
      </c>
      <c r="F2192" s="7" t="n">
        <f aca="false">IFERROR(Tableau1[[#This Row],[Score]]/Tableau1[[#This Row],[Nb]],0)</f>
        <v>0</v>
      </c>
    </row>
    <row r="2193" customFormat="false" ht="30" hidden="false" customHeight="true" outlineLevel="0" collapsed="false">
      <c r="A2193" s="1" t="s">
        <v>4332</v>
      </c>
      <c r="B2193" s="2" t="s">
        <v>4333</v>
      </c>
      <c r="C2193" s="6" t="n">
        <v>44984</v>
      </c>
      <c r="D2193" s="3" t="n">
        <v>0</v>
      </c>
      <c r="E2193" s="3" t="n">
        <v>0</v>
      </c>
      <c r="F2193" s="7" t="n">
        <f aca="false">IFERROR(Tableau1[[#This Row],[Score]]/Tableau1[[#This Row],[Nb]],0)</f>
        <v>0</v>
      </c>
    </row>
    <row r="2194" customFormat="false" ht="30" hidden="false" customHeight="true" outlineLevel="0" collapsed="false">
      <c r="A2194" s="1" t="s">
        <v>4334</v>
      </c>
      <c r="B2194" s="2" t="s">
        <v>4335</v>
      </c>
      <c r="C2194" s="6" t="n">
        <v>44984</v>
      </c>
      <c r="D2194" s="3" t="n">
        <v>0</v>
      </c>
      <c r="E2194" s="3" t="n">
        <v>0</v>
      </c>
      <c r="F2194" s="7" t="n">
        <f aca="false">IFERROR(Tableau1[[#This Row],[Score]]/Tableau1[[#This Row],[Nb]],0)</f>
        <v>0</v>
      </c>
    </row>
    <row r="2195" customFormat="false" ht="30" hidden="false" customHeight="true" outlineLevel="0" collapsed="false">
      <c r="A2195" s="1" t="s">
        <v>4336</v>
      </c>
      <c r="B2195" s="2" t="s">
        <v>4337</v>
      </c>
      <c r="C2195" s="6" t="n">
        <v>44984</v>
      </c>
      <c r="D2195" s="3" t="n">
        <v>0</v>
      </c>
      <c r="E2195" s="3" t="n">
        <v>0</v>
      </c>
      <c r="F2195" s="7" t="n">
        <f aca="false">IFERROR(Tableau1[[#This Row],[Score]]/Tableau1[[#This Row],[Nb]],0)</f>
        <v>0</v>
      </c>
    </row>
    <row r="2196" customFormat="false" ht="30" hidden="false" customHeight="true" outlineLevel="0" collapsed="false">
      <c r="A2196" s="1" t="s">
        <v>4338</v>
      </c>
      <c r="B2196" s="2" t="s">
        <v>4339</v>
      </c>
      <c r="C2196" s="6" t="n">
        <v>44984</v>
      </c>
      <c r="D2196" s="3" t="n">
        <v>0</v>
      </c>
      <c r="E2196" s="3" t="n">
        <v>0</v>
      </c>
      <c r="F2196" s="7" t="n">
        <f aca="false">IFERROR(Tableau1[[#This Row],[Score]]/Tableau1[[#This Row],[Nb]],0)</f>
        <v>0</v>
      </c>
    </row>
    <row r="2197" customFormat="false" ht="30" hidden="false" customHeight="true" outlineLevel="0" collapsed="false">
      <c r="A2197" s="1" t="s">
        <v>4340</v>
      </c>
      <c r="B2197" s="2" t="s">
        <v>4341</v>
      </c>
      <c r="C2197" s="6" t="n">
        <v>44984</v>
      </c>
      <c r="D2197" s="3" t="n">
        <v>0</v>
      </c>
      <c r="E2197" s="3" t="n">
        <v>0</v>
      </c>
      <c r="F2197" s="7" t="n">
        <f aca="false">IFERROR(Tableau1[[#This Row],[Score]]/Tableau1[[#This Row],[Nb]],0)</f>
        <v>0</v>
      </c>
    </row>
    <row r="2198" customFormat="false" ht="30" hidden="false" customHeight="true" outlineLevel="0" collapsed="false">
      <c r="A2198" s="1" t="s">
        <v>4342</v>
      </c>
      <c r="B2198" s="2" t="s">
        <v>4343</v>
      </c>
      <c r="C2198" s="6" t="n">
        <v>44984</v>
      </c>
      <c r="D2198" s="3" t="n">
        <v>0</v>
      </c>
      <c r="E2198" s="3" t="n">
        <v>0</v>
      </c>
      <c r="F2198" s="7" t="n">
        <f aca="false">IFERROR(Tableau1[[#This Row],[Score]]/Tableau1[[#This Row],[Nb]],0)</f>
        <v>0</v>
      </c>
    </row>
    <row r="2199" customFormat="false" ht="30" hidden="false" customHeight="true" outlineLevel="0" collapsed="false">
      <c r="A2199" s="1" t="s">
        <v>4344</v>
      </c>
      <c r="B2199" s="2" t="s">
        <v>4345</v>
      </c>
      <c r="C2199" s="6" t="n">
        <v>44984</v>
      </c>
      <c r="D2199" s="3" t="n">
        <v>0</v>
      </c>
      <c r="E2199" s="3" t="n">
        <v>0</v>
      </c>
      <c r="F2199" s="7" t="n">
        <f aca="false">IFERROR(Tableau1[[#This Row],[Score]]/Tableau1[[#This Row],[Nb]],0)</f>
        <v>0</v>
      </c>
    </row>
    <row r="2200" customFormat="false" ht="30" hidden="false" customHeight="true" outlineLevel="0" collapsed="false">
      <c r="A2200" s="1" t="s">
        <v>4346</v>
      </c>
      <c r="B2200" s="2" t="s">
        <v>4347</v>
      </c>
      <c r="C2200" s="6" t="n">
        <v>44985</v>
      </c>
      <c r="D2200" s="3" t="n">
        <v>0</v>
      </c>
      <c r="E2200" s="3" t="n">
        <v>0</v>
      </c>
      <c r="F2200" s="7" t="n">
        <f aca="false">IFERROR(Tableau1[[#This Row],[Score]]/Tableau1[[#This Row],[Nb]],0)</f>
        <v>0</v>
      </c>
    </row>
    <row r="2201" customFormat="false" ht="30" hidden="false" customHeight="true" outlineLevel="0" collapsed="false">
      <c r="A2201" s="1" t="s">
        <v>4348</v>
      </c>
      <c r="B2201" s="2" t="s">
        <v>4349</v>
      </c>
      <c r="C2201" s="6" t="n">
        <v>44985</v>
      </c>
      <c r="D2201" s="3" t="n">
        <v>0</v>
      </c>
      <c r="E2201" s="3" t="n">
        <v>0</v>
      </c>
      <c r="F2201" s="7" t="n">
        <f aca="false">IFERROR(Tableau1[[#This Row],[Score]]/Tableau1[[#This Row],[Nb]],0)</f>
        <v>0</v>
      </c>
    </row>
    <row r="2202" customFormat="false" ht="30" hidden="false" customHeight="true" outlineLevel="0" collapsed="false">
      <c r="A2202" s="1" t="s">
        <v>4350</v>
      </c>
      <c r="B2202" s="2" t="s">
        <v>4351</v>
      </c>
      <c r="C2202" s="6" t="n">
        <v>44985</v>
      </c>
      <c r="D2202" s="3" t="n">
        <v>0</v>
      </c>
      <c r="E2202" s="3" t="n">
        <v>0</v>
      </c>
      <c r="F2202" s="7" t="n">
        <f aca="false">IFERROR(Tableau1[[#This Row],[Score]]/Tableau1[[#This Row],[Nb]],0)</f>
        <v>0</v>
      </c>
    </row>
    <row r="2203" customFormat="false" ht="30" hidden="false" customHeight="true" outlineLevel="0" collapsed="false">
      <c r="A2203" s="1" t="s">
        <v>4352</v>
      </c>
      <c r="B2203" s="2" t="s">
        <v>4353</v>
      </c>
      <c r="C2203" s="6" t="n">
        <v>44985</v>
      </c>
      <c r="D2203" s="3" t="n">
        <v>0</v>
      </c>
      <c r="E2203" s="3" t="n">
        <v>0</v>
      </c>
      <c r="F2203" s="7" t="n">
        <f aca="false">IFERROR(Tableau1[[#This Row],[Score]]/Tableau1[[#This Row],[Nb]],0)</f>
        <v>0</v>
      </c>
    </row>
    <row r="2204" customFormat="false" ht="30" hidden="false" customHeight="true" outlineLevel="0" collapsed="false">
      <c r="A2204" s="1" t="s">
        <v>4354</v>
      </c>
      <c r="B2204" s="2" t="s">
        <v>4355</v>
      </c>
      <c r="C2204" s="6" t="n">
        <v>44986</v>
      </c>
      <c r="D2204" s="3" t="n">
        <v>0</v>
      </c>
      <c r="E2204" s="3" t="n">
        <v>0</v>
      </c>
      <c r="F2204" s="7" t="n">
        <f aca="false">IFERROR(Tableau1[[#This Row],[Score]]/Tableau1[[#This Row],[Nb]],0)</f>
        <v>0</v>
      </c>
    </row>
    <row r="2205" customFormat="false" ht="30" hidden="false" customHeight="true" outlineLevel="0" collapsed="false">
      <c r="A2205" s="1" t="s">
        <v>4356</v>
      </c>
      <c r="B2205" s="2" t="s">
        <v>4357</v>
      </c>
      <c r="C2205" s="6" t="n">
        <v>44986</v>
      </c>
      <c r="D2205" s="3" t="n">
        <v>0</v>
      </c>
      <c r="E2205" s="3" t="n">
        <v>0</v>
      </c>
      <c r="F2205" s="7" t="n">
        <f aca="false">IFERROR(Tableau1[[#This Row],[Score]]/Tableau1[[#This Row],[Nb]],0)</f>
        <v>0</v>
      </c>
    </row>
    <row r="2206" customFormat="false" ht="30" hidden="false" customHeight="true" outlineLevel="0" collapsed="false">
      <c r="A2206" s="1" t="s">
        <v>4358</v>
      </c>
      <c r="B2206" s="2" t="s">
        <v>4359</v>
      </c>
      <c r="C2206" s="6" t="n">
        <v>44986</v>
      </c>
      <c r="D2206" s="3" t="n">
        <v>0</v>
      </c>
      <c r="E2206" s="3" t="n">
        <v>0</v>
      </c>
      <c r="F2206" s="7" t="n">
        <f aca="false">IFERROR(Tableau1[[#This Row],[Score]]/Tableau1[[#This Row],[Nb]],0)</f>
        <v>0</v>
      </c>
    </row>
    <row r="2207" customFormat="false" ht="30" hidden="false" customHeight="true" outlineLevel="0" collapsed="false">
      <c r="A2207" s="1" t="s">
        <v>4360</v>
      </c>
      <c r="B2207" s="2" t="s">
        <v>4361</v>
      </c>
      <c r="C2207" s="6" t="n">
        <v>44986</v>
      </c>
      <c r="D2207" s="3" t="n">
        <v>0</v>
      </c>
      <c r="E2207" s="3" t="n">
        <v>0</v>
      </c>
      <c r="F2207" s="7" t="n">
        <f aca="false">IFERROR(Tableau1[[#This Row],[Score]]/Tableau1[[#This Row],[Nb]],0)</f>
        <v>0</v>
      </c>
    </row>
    <row r="2208" customFormat="false" ht="30" hidden="false" customHeight="true" outlineLevel="0" collapsed="false">
      <c r="A2208" s="1" t="s">
        <v>4362</v>
      </c>
      <c r="B2208" s="2" t="s">
        <v>4363</v>
      </c>
      <c r="C2208" s="6" t="n">
        <v>44986</v>
      </c>
      <c r="D2208" s="3" t="n">
        <v>0</v>
      </c>
      <c r="E2208" s="3" t="n">
        <v>0</v>
      </c>
      <c r="F2208" s="7" t="n">
        <f aca="false">IFERROR(Tableau1[[#This Row],[Score]]/Tableau1[[#This Row],[Nb]],0)</f>
        <v>0</v>
      </c>
    </row>
    <row r="2209" customFormat="false" ht="30" hidden="false" customHeight="true" outlineLevel="0" collapsed="false">
      <c r="A2209" s="1" t="s">
        <v>4364</v>
      </c>
      <c r="B2209" s="2" t="s">
        <v>4365</v>
      </c>
      <c r="C2209" s="6" t="n">
        <v>44986</v>
      </c>
      <c r="D2209" s="3" t="n">
        <v>0</v>
      </c>
      <c r="E2209" s="3" t="n">
        <v>0</v>
      </c>
      <c r="F2209" s="7" t="n">
        <f aca="false">IFERROR(Tableau1[[#This Row],[Score]]/Tableau1[[#This Row],[Nb]],0)</f>
        <v>0</v>
      </c>
    </row>
    <row r="2210" customFormat="false" ht="30" hidden="false" customHeight="true" outlineLevel="0" collapsed="false">
      <c r="A2210" s="1" t="s">
        <v>4366</v>
      </c>
      <c r="B2210" s="2" t="s">
        <v>1736</v>
      </c>
      <c r="C2210" s="6" t="n">
        <v>44986</v>
      </c>
      <c r="D2210" s="3" t="n">
        <v>0</v>
      </c>
      <c r="E2210" s="3" t="n">
        <v>0</v>
      </c>
      <c r="F2210" s="7" t="n">
        <f aca="false">IFERROR(Tableau1[[#This Row],[Score]]/Tableau1[[#This Row],[Nb]],0)</f>
        <v>0</v>
      </c>
    </row>
    <row r="2211" customFormat="false" ht="30" hidden="false" customHeight="true" outlineLevel="0" collapsed="false">
      <c r="A2211" s="1" t="s">
        <v>4367</v>
      </c>
      <c r="B2211" s="2" t="s">
        <v>4368</v>
      </c>
      <c r="C2211" s="6" t="n">
        <v>44987</v>
      </c>
      <c r="D2211" s="3" t="n">
        <v>0</v>
      </c>
      <c r="E2211" s="3" t="n">
        <v>0</v>
      </c>
      <c r="F2211" s="7" t="n">
        <f aca="false">IFERROR(Tableau1[[#This Row],[Score]]/Tableau1[[#This Row],[Nb]],0)</f>
        <v>0</v>
      </c>
    </row>
    <row r="2212" customFormat="false" ht="30" hidden="false" customHeight="true" outlineLevel="0" collapsed="false">
      <c r="A2212" s="1" t="s">
        <v>4369</v>
      </c>
      <c r="B2212" s="2" t="s">
        <v>4370</v>
      </c>
      <c r="C2212" s="6" t="n">
        <v>44987</v>
      </c>
      <c r="D2212" s="3" t="n">
        <v>0</v>
      </c>
      <c r="E2212" s="3" t="n">
        <v>0</v>
      </c>
      <c r="F2212" s="7" t="n">
        <f aca="false">IFERROR(Tableau1[[#This Row],[Score]]/Tableau1[[#This Row],[Nb]],0)</f>
        <v>0</v>
      </c>
    </row>
    <row r="2213" customFormat="false" ht="30" hidden="false" customHeight="true" outlineLevel="0" collapsed="false">
      <c r="A2213" s="1" t="s">
        <v>4371</v>
      </c>
      <c r="B2213" s="2" t="s">
        <v>4372</v>
      </c>
      <c r="C2213" s="6" t="n">
        <v>44987</v>
      </c>
      <c r="D2213" s="3" t="n">
        <v>0</v>
      </c>
      <c r="E2213" s="3" t="n">
        <v>0</v>
      </c>
      <c r="F2213" s="7" t="n">
        <f aca="false">IFERROR(Tableau1[[#This Row],[Score]]/Tableau1[[#This Row],[Nb]],0)</f>
        <v>0</v>
      </c>
    </row>
    <row r="2214" customFormat="false" ht="30" hidden="false" customHeight="true" outlineLevel="0" collapsed="false">
      <c r="A2214" s="1" t="s">
        <v>4373</v>
      </c>
      <c r="B2214" s="2" t="s">
        <v>4374</v>
      </c>
      <c r="C2214" s="6" t="n">
        <v>44987</v>
      </c>
      <c r="D2214" s="3" t="n">
        <v>0</v>
      </c>
      <c r="E2214" s="3" t="n">
        <v>0</v>
      </c>
      <c r="F2214" s="7" t="n">
        <f aca="false">IFERROR(Tableau1[[#This Row],[Score]]/Tableau1[[#This Row],[Nb]],0)</f>
        <v>0</v>
      </c>
    </row>
    <row r="2215" customFormat="false" ht="30" hidden="false" customHeight="true" outlineLevel="0" collapsed="false">
      <c r="A2215" s="1" t="s">
        <v>4375</v>
      </c>
      <c r="B2215" s="2" t="s">
        <v>4376</v>
      </c>
      <c r="C2215" s="6" t="n">
        <v>44987</v>
      </c>
      <c r="D2215" s="3" t="n">
        <v>0</v>
      </c>
      <c r="E2215" s="3" t="n">
        <v>0</v>
      </c>
      <c r="F2215" s="7" t="n">
        <f aca="false">IFERROR(Tableau1[[#This Row],[Score]]/Tableau1[[#This Row],[Nb]],0)</f>
        <v>0</v>
      </c>
    </row>
    <row r="2216" customFormat="false" ht="30" hidden="false" customHeight="true" outlineLevel="0" collapsed="false">
      <c r="A2216" s="1" t="s">
        <v>4377</v>
      </c>
      <c r="B2216" s="2" t="s">
        <v>4378</v>
      </c>
      <c r="C2216" s="6" t="n">
        <v>44988</v>
      </c>
      <c r="D2216" s="3" t="n">
        <v>0</v>
      </c>
      <c r="E2216" s="3" t="n">
        <v>0</v>
      </c>
      <c r="F2216" s="7" t="n">
        <f aca="false">IFERROR(Tableau1[[#This Row],[Score]]/Tableau1[[#This Row],[Nb]],0)</f>
        <v>0</v>
      </c>
    </row>
    <row r="2217" customFormat="false" ht="30" hidden="false" customHeight="true" outlineLevel="0" collapsed="false">
      <c r="A2217" s="1" t="s">
        <v>4379</v>
      </c>
      <c r="B2217" s="2" t="s">
        <v>4380</v>
      </c>
      <c r="C2217" s="6" t="n">
        <v>44988</v>
      </c>
      <c r="D2217" s="3" t="n">
        <v>0</v>
      </c>
      <c r="E2217" s="3" t="n">
        <v>0</v>
      </c>
      <c r="F2217" s="7" t="n">
        <f aca="false">IFERROR(Tableau1[[#This Row],[Score]]/Tableau1[[#This Row],[Nb]],0)</f>
        <v>0</v>
      </c>
    </row>
    <row r="2218" customFormat="false" ht="30" hidden="false" customHeight="true" outlineLevel="0" collapsed="false">
      <c r="A2218" s="1" t="s">
        <v>4381</v>
      </c>
      <c r="B2218" s="2" t="s">
        <v>4382</v>
      </c>
      <c r="C2218" s="6" t="n">
        <v>44988</v>
      </c>
      <c r="D2218" s="3" t="n">
        <v>0</v>
      </c>
      <c r="E2218" s="3" t="n">
        <v>0</v>
      </c>
      <c r="F2218" s="7" t="n">
        <f aca="false">IFERROR(Tableau1[[#This Row],[Score]]/Tableau1[[#This Row],[Nb]],0)</f>
        <v>0</v>
      </c>
    </row>
    <row r="2219" customFormat="false" ht="30" hidden="false" customHeight="true" outlineLevel="0" collapsed="false">
      <c r="A2219" s="1" t="s">
        <v>4383</v>
      </c>
      <c r="B2219" s="2" t="s">
        <v>4384</v>
      </c>
      <c r="C2219" s="6" t="n">
        <v>44988</v>
      </c>
      <c r="D2219" s="3" t="n">
        <v>0</v>
      </c>
      <c r="E2219" s="3" t="n">
        <v>0</v>
      </c>
      <c r="F2219" s="7" t="n">
        <f aca="false">IFERROR(Tableau1[[#This Row],[Score]]/Tableau1[[#This Row],[Nb]],0)</f>
        <v>0</v>
      </c>
    </row>
    <row r="2220" customFormat="false" ht="30" hidden="false" customHeight="true" outlineLevel="0" collapsed="false">
      <c r="A2220" s="1" t="s">
        <v>4385</v>
      </c>
      <c r="B2220" s="2" t="s">
        <v>4386</v>
      </c>
      <c r="C2220" s="6" t="n">
        <v>44988</v>
      </c>
      <c r="D2220" s="3" t="n">
        <v>0</v>
      </c>
      <c r="E2220" s="3" t="n">
        <v>0</v>
      </c>
      <c r="F2220" s="7" t="n">
        <f aca="false">IFERROR(Tableau1[[#This Row],[Score]]/Tableau1[[#This Row],[Nb]],0)</f>
        <v>0</v>
      </c>
    </row>
    <row r="2221" customFormat="false" ht="30" hidden="false" customHeight="true" outlineLevel="0" collapsed="false">
      <c r="A2221" s="1" t="s">
        <v>4387</v>
      </c>
      <c r="B2221" s="2" t="s">
        <v>4388</v>
      </c>
      <c r="C2221" s="6" t="n">
        <v>44989</v>
      </c>
      <c r="D2221" s="3" t="n">
        <v>0</v>
      </c>
      <c r="E2221" s="3" t="n">
        <v>0</v>
      </c>
      <c r="F2221" s="7" t="n">
        <f aca="false">IFERROR(Tableau1[[#This Row],[Score]]/Tableau1[[#This Row],[Nb]],0)</f>
        <v>0</v>
      </c>
    </row>
    <row r="2222" customFormat="false" ht="30" hidden="false" customHeight="true" outlineLevel="0" collapsed="false">
      <c r="A2222" s="1" t="s">
        <v>4389</v>
      </c>
      <c r="B2222" s="2" t="s">
        <v>4390</v>
      </c>
      <c r="C2222" s="6" t="n">
        <v>44989</v>
      </c>
      <c r="D2222" s="3" t="n">
        <v>0</v>
      </c>
      <c r="E2222" s="3" t="n">
        <v>0</v>
      </c>
      <c r="F2222" s="7" t="n">
        <f aca="false">IFERROR(Tableau1[[#This Row],[Score]]/Tableau1[[#This Row],[Nb]],0)</f>
        <v>0</v>
      </c>
    </row>
    <row r="2223" customFormat="false" ht="30" hidden="false" customHeight="true" outlineLevel="0" collapsed="false">
      <c r="A2223" s="1" t="s">
        <v>4391</v>
      </c>
      <c r="B2223" s="2" t="s">
        <v>4392</v>
      </c>
      <c r="C2223" s="6" t="n">
        <v>44989</v>
      </c>
      <c r="D2223" s="3" t="n">
        <v>0</v>
      </c>
      <c r="E2223" s="3" t="n">
        <v>0</v>
      </c>
      <c r="F2223" s="7" t="n">
        <f aca="false">IFERROR(Tableau1[[#This Row],[Score]]/Tableau1[[#This Row],[Nb]],0)</f>
        <v>0</v>
      </c>
    </row>
    <row r="2224" customFormat="false" ht="30" hidden="false" customHeight="true" outlineLevel="0" collapsed="false">
      <c r="A2224" s="1" t="s">
        <v>4393</v>
      </c>
      <c r="B2224" s="2" t="s">
        <v>4394</v>
      </c>
      <c r="C2224" s="6" t="n">
        <v>44989</v>
      </c>
      <c r="D2224" s="3" t="n">
        <v>0</v>
      </c>
      <c r="E2224" s="3" t="n">
        <v>0</v>
      </c>
      <c r="F2224" s="7" t="n">
        <f aca="false">IFERROR(Tableau1[[#This Row],[Score]]/Tableau1[[#This Row],[Nb]],0)</f>
        <v>0</v>
      </c>
    </row>
    <row r="2225" customFormat="false" ht="30" hidden="false" customHeight="true" outlineLevel="0" collapsed="false">
      <c r="A2225" s="1" t="s">
        <v>4395</v>
      </c>
      <c r="B2225" s="2" t="s">
        <v>4396</v>
      </c>
      <c r="C2225" s="6" t="n">
        <v>44989</v>
      </c>
      <c r="D2225" s="3" t="n">
        <v>0</v>
      </c>
      <c r="E2225" s="3" t="n">
        <v>0</v>
      </c>
      <c r="F2225" s="7" t="n">
        <f aca="false">IFERROR(Tableau1[[#This Row],[Score]]/Tableau1[[#This Row],[Nb]],0)</f>
        <v>0</v>
      </c>
    </row>
    <row r="2226" customFormat="false" ht="30" hidden="false" customHeight="true" outlineLevel="0" collapsed="false">
      <c r="A2226" s="1" t="s">
        <v>4397</v>
      </c>
      <c r="B2226" s="2" t="s">
        <v>4398</v>
      </c>
      <c r="C2226" s="6" t="n">
        <v>44989</v>
      </c>
      <c r="D2226" s="3" t="n">
        <v>0</v>
      </c>
      <c r="E2226" s="3" t="n">
        <v>0</v>
      </c>
      <c r="F2226" s="7" t="n">
        <f aca="false">IFERROR(Tableau1[[#This Row],[Score]]/Tableau1[[#This Row],[Nb]],0)</f>
        <v>0</v>
      </c>
    </row>
    <row r="2227" customFormat="false" ht="30" hidden="false" customHeight="true" outlineLevel="0" collapsed="false">
      <c r="A2227" s="1" t="s">
        <v>4399</v>
      </c>
      <c r="B2227" s="2" t="s">
        <v>4400</v>
      </c>
      <c r="C2227" s="6" t="n">
        <v>44990</v>
      </c>
      <c r="D2227" s="3" t="n">
        <v>0</v>
      </c>
      <c r="E2227" s="3" t="n">
        <v>0</v>
      </c>
      <c r="F2227" s="7" t="n">
        <f aca="false">IFERROR(Tableau1[[#This Row],[Score]]/Tableau1[[#This Row],[Nb]],0)</f>
        <v>0</v>
      </c>
    </row>
    <row r="2228" customFormat="false" ht="30" hidden="false" customHeight="true" outlineLevel="0" collapsed="false">
      <c r="A2228" s="1" t="s">
        <v>4401</v>
      </c>
      <c r="B2228" s="2" t="s">
        <v>4402</v>
      </c>
      <c r="C2228" s="6" t="n">
        <v>44990</v>
      </c>
      <c r="D2228" s="3" t="n">
        <v>0</v>
      </c>
      <c r="E2228" s="3" t="n">
        <v>0</v>
      </c>
      <c r="F2228" s="7" t="n">
        <f aca="false">IFERROR(Tableau1[[#This Row],[Score]]/Tableau1[[#This Row],[Nb]],0)</f>
        <v>0</v>
      </c>
    </row>
    <row r="2229" customFormat="false" ht="30" hidden="false" customHeight="true" outlineLevel="0" collapsed="false">
      <c r="A2229" s="1" t="s">
        <v>4403</v>
      </c>
      <c r="B2229" s="2" t="s">
        <v>4404</v>
      </c>
      <c r="C2229" s="6" t="n">
        <v>44990</v>
      </c>
      <c r="D2229" s="3" t="n">
        <v>0</v>
      </c>
      <c r="E2229" s="3" t="n">
        <v>0</v>
      </c>
      <c r="F2229" s="7" t="n">
        <f aca="false">IFERROR(Tableau1[[#This Row],[Score]]/Tableau1[[#This Row],[Nb]],0)</f>
        <v>0</v>
      </c>
    </row>
    <row r="2230" customFormat="false" ht="30" hidden="false" customHeight="true" outlineLevel="0" collapsed="false">
      <c r="A2230" s="1" t="s">
        <v>4405</v>
      </c>
      <c r="B2230" s="2" t="s">
        <v>4406</v>
      </c>
      <c r="C2230" s="6" t="n">
        <v>44990</v>
      </c>
      <c r="D2230" s="3" t="n">
        <v>0</v>
      </c>
      <c r="E2230" s="3" t="n">
        <v>0</v>
      </c>
      <c r="F2230" s="7" t="n">
        <f aca="false">IFERROR(Tableau1[[#This Row],[Score]]/Tableau1[[#This Row],[Nb]],0)</f>
        <v>0</v>
      </c>
    </row>
    <row r="2231" customFormat="false" ht="30" hidden="false" customHeight="true" outlineLevel="0" collapsed="false">
      <c r="A2231" s="1" t="s">
        <v>4407</v>
      </c>
      <c r="B2231" s="2" t="s">
        <v>3413</v>
      </c>
      <c r="C2231" s="6" t="n">
        <v>44990</v>
      </c>
      <c r="D2231" s="3" t="n">
        <v>0</v>
      </c>
      <c r="E2231" s="3" t="n">
        <v>0</v>
      </c>
      <c r="F2231" s="7" t="n">
        <f aca="false">IFERROR(Tableau1[[#This Row],[Score]]/Tableau1[[#This Row],[Nb]],0)</f>
        <v>0</v>
      </c>
    </row>
    <row r="2232" customFormat="false" ht="30" hidden="false" customHeight="true" outlineLevel="0" collapsed="false">
      <c r="A2232" s="1" t="s">
        <v>4408</v>
      </c>
      <c r="B2232" s="2" t="s">
        <v>4409</v>
      </c>
      <c r="C2232" s="6" t="n">
        <v>44990</v>
      </c>
      <c r="D2232" s="3" t="n">
        <v>0</v>
      </c>
      <c r="E2232" s="3" t="n">
        <v>0</v>
      </c>
      <c r="F2232" s="7" t="n">
        <f aca="false">IFERROR(Tableau1[[#This Row],[Score]]/Tableau1[[#This Row],[Nb]],0)</f>
        <v>0</v>
      </c>
    </row>
    <row r="2233" customFormat="false" ht="30" hidden="false" customHeight="true" outlineLevel="0" collapsed="false">
      <c r="A2233" s="1" t="s">
        <v>4410</v>
      </c>
      <c r="B2233" s="2" t="s">
        <v>4411</v>
      </c>
      <c r="C2233" s="6" t="n">
        <v>44991</v>
      </c>
      <c r="D2233" s="3" t="n">
        <v>0</v>
      </c>
      <c r="E2233" s="3" t="n">
        <v>0</v>
      </c>
      <c r="F2233" s="7" t="n">
        <f aca="false">IFERROR(Tableau1[[#This Row],[Score]]/Tableau1[[#This Row],[Nb]],0)</f>
        <v>0</v>
      </c>
    </row>
    <row r="2234" customFormat="false" ht="30" hidden="false" customHeight="true" outlineLevel="0" collapsed="false">
      <c r="A2234" s="1" t="s">
        <v>4412</v>
      </c>
      <c r="B2234" s="2" t="s">
        <v>4413</v>
      </c>
      <c r="C2234" s="6" t="n">
        <v>44991</v>
      </c>
      <c r="D2234" s="3" t="n">
        <v>0</v>
      </c>
      <c r="E2234" s="3" t="n">
        <v>0</v>
      </c>
      <c r="F2234" s="7" t="n">
        <f aca="false">IFERROR(Tableau1[[#This Row],[Score]]/Tableau1[[#This Row],[Nb]],0)</f>
        <v>0</v>
      </c>
    </row>
    <row r="2235" customFormat="false" ht="30" hidden="false" customHeight="true" outlineLevel="0" collapsed="false">
      <c r="A2235" s="1" t="s">
        <v>4414</v>
      </c>
      <c r="B2235" s="2" t="s">
        <v>4415</v>
      </c>
      <c r="C2235" s="6" t="n">
        <v>44991</v>
      </c>
      <c r="D2235" s="3" t="n">
        <v>0</v>
      </c>
      <c r="E2235" s="3" t="n">
        <v>0</v>
      </c>
      <c r="F2235" s="7" t="n">
        <f aca="false">IFERROR(Tableau1[[#This Row],[Score]]/Tableau1[[#This Row],[Nb]],0)</f>
        <v>0</v>
      </c>
    </row>
    <row r="2236" customFormat="false" ht="30" hidden="false" customHeight="true" outlineLevel="0" collapsed="false">
      <c r="A2236" s="1" t="s">
        <v>4416</v>
      </c>
      <c r="B2236" s="2" t="s">
        <v>4417</v>
      </c>
      <c r="C2236" s="6" t="n">
        <v>44991</v>
      </c>
      <c r="D2236" s="3" t="n">
        <v>0</v>
      </c>
      <c r="E2236" s="3" t="n">
        <v>0</v>
      </c>
      <c r="F2236" s="7" t="n">
        <f aca="false">IFERROR(Tableau1[[#This Row],[Score]]/Tableau1[[#This Row],[Nb]],0)</f>
        <v>0</v>
      </c>
    </row>
    <row r="2237" customFormat="false" ht="30" hidden="false" customHeight="true" outlineLevel="0" collapsed="false">
      <c r="A2237" s="1" t="s">
        <v>4418</v>
      </c>
      <c r="B2237" s="2" t="s">
        <v>4419</v>
      </c>
      <c r="C2237" s="6" t="n">
        <v>44991</v>
      </c>
      <c r="D2237" s="3" t="n">
        <v>0</v>
      </c>
      <c r="E2237" s="3" t="n">
        <v>0</v>
      </c>
      <c r="F2237" s="7" t="n">
        <f aca="false">IFERROR(Tableau1[[#This Row],[Score]]/Tableau1[[#This Row],[Nb]],0)</f>
        <v>0</v>
      </c>
    </row>
    <row r="2238" customFormat="false" ht="30" hidden="false" customHeight="true" outlineLevel="0" collapsed="false">
      <c r="A2238" s="1" t="s">
        <v>4420</v>
      </c>
      <c r="B2238" s="2" t="s">
        <v>4421</v>
      </c>
      <c r="C2238" s="6" t="n">
        <v>44991</v>
      </c>
      <c r="D2238" s="3" t="n">
        <v>0</v>
      </c>
      <c r="E2238" s="3" t="n">
        <v>0</v>
      </c>
      <c r="F2238" s="7" t="n">
        <f aca="false">IFERROR(Tableau1[[#This Row],[Score]]/Tableau1[[#This Row],[Nb]],0)</f>
        <v>0</v>
      </c>
    </row>
    <row r="2239" customFormat="false" ht="30" hidden="false" customHeight="true" outlineLevel="0" collapsed="false">
      <c r="A2239" s="1" t="s">
        <v>4422</v>
      </c>
      <c r="B2239" s="2" t="s">
        <v>4423</v>
      </c>
      <c r="C2239" s="6" t="n">
        <v>44992</v>
      </c>
      <c r="D2239" s="3" t="n">
        <v>0</v>
      </c>
      <c r="E2239" s="3" t="n">
        <v>0</v>
      </c>
      <c r="F2239" s="7" t="n">
        <f aca="false">IFERROR(Tableau1[[#This Row],[Score]]/Tableau1[[#This Row],[Nb]],0)</f>
        <v>0</v>
      </c>
    </row>
    <row r="2240" customFormat="false" ht="30" hidden="false" customHeight="true" outlineLevel="0" collapsed="false">
      <c r="A2240" s="1" t="s">
        <v>4424</v>
      </c>
      <c r="B2240" s="2" t="s">
        <v>4425</v>
      </c>
      <c r="C2240" s="6" t="n">
        <v>44992</v>
      </c>
      <c r="D2240" s="3" t="n">
        <v>0</v>
      </c>
      <c r="E2240" s="3" t="n">
        <v>0</v>
      </c>
      <c r="F2240" s="7" t="n">
        <f aca="false">IFERROR(Tableau1[[#This Row],[Score]]/Tableau1[[#This Row],[Nb]],0)</f>
        <v>0</v>
      </c>
    </row>
    <row r="2241" customFormat="false" ht="30" hidden="false" customHeight="true" outlineLevel="0" collapsed="false">
      <c r="A2241" s="1" t="s">
        <v>4426</v>
      </c>
      <c r="B2241" s="2" t="s">
        <v>4427</v>
      </c>
      <c r="C2241" s="6" t="n">
        <v>44992</v>
      </c>
      <c r="D2241" s="3" t="n">
        <v>0</v>
      </c>
      <c r="E2241" s="3" t="n">
        <v>0</v>
      </c>
      <c r="F2241" s="7" t="n">
        <f aca="false">IFERROR(Tableau1[[#This Row],[Score]]/Tableau1[[#This Row],[Nb]],0)</f>
        <v>0</v>
      </c>
    </row>
    <row r="2242" customFormat="false" ht="30" hidden="false" customHeight="true" outlineLevel="0" collapsed="false">
      <c r="A2242" s="1" t="s">
        <v>4428</v>
      </c>
      <c r="B2242" s="2" t="s">
        <v>4429</v>
      </c>
      <c r="C2242" s="6" t="n">
        <v>44992</v>
      </c>
      <c r="D2242" s="3" t="n">
        <v>0</v>
      </c>
      <c r="E2242" s="3" t="n">
        <v>0</v>
      </c>
      <c r="F2242" s="7" t="n">
        <f aca="false">IFERROR(Tableau1[[#This Row],[Score]]/Tableau1[[#This Row],[Nb]],0)</f>
        <v>0</v>
      </c>
    </row>
    <row r="2243" customFormat="false" ht="30" hidden="false" customHeight="true" outlineLevel="0" collapsed="false">
      <c r="A2243" s="1" t="s">
        <v>4430</v>
      </c>
      <c r="B2243" s="2" t="s">
        <v>4431</v>
      </c>
      <c r="C2243" s="6" t="n">
        <v>44992</v>
      </c>
      <c r="D2243" s="3" t="n">
        <v>0</v>
      </c>
      <c r="E2243" s="3" t="n">
        <v>0</v>
      </c>
      <c r="F2243" s="7" t="n">
        <f aca="false">IFERROR(Tableau1[[#This Row],[Score]]/Tableau1[[#This Row],[Nb]],0)</f>
        <v>0</v>
      </c>
    </row>
    <row r="2244" customFormat="false" ht="30" hidden="false" customHeight="true" outlineLevel="0" collapsed="false">
      <c r="A2244" s="1" t="s">
        <v>4432</v>
      </c>
      <c r="B2244" s="2" t="s">
        <v>4433</v>
      </c>
      <c r="C2244" s="6" t="n">
        <v>44992</v>
      </c>
      <c r="D2244" s="3" t="n">
        <v>0</v>
      </c>
      <c r="E2244" s="3" t="n">
        <v>0</v>
      </c>
      <c r="F2244" s="7" t="n">
        <f aca="false">IFERROR(Tableau1[[#This Row],[Score]]/Tableau1[[#This Row],[Nb]],0)</f>
        <v>0</v>
      </c>
    </row>
    <row r="2245" customFormat="false" ht="30" hidden="false" customHeight="true" outlineLevel="0" collapsed="false">
      <c r="A2245" s="1" t="s">
        <v>4434</v>
      </c>
      <c r="B2245" s="2" t="s">
        <v>4435</v>
      </c>
      <c r="C2245" s="6" t="n">
        <v>44992</v>
      </c>
      <c r="D2245" s="3" t="n">
        <v>0</v>
      </c>
      <c r="E2245" s="3" t="n">
        <v>0</v>
      </c>
      <c r="F2245" s="7" t="n">
        <f aca="false">IFERROR(Tableau1[[#This Row],[Score]]/Tableau1[[#This Row],[Nb]],0)</f>
        <v>0</v>
      </c>
    </row>
    <row r="2246" customFormat="false" ht="30" hidden="false" customHeight="true" outlineLevel="0" collapsed="false">
      <c r="A2246" s="1" t="s">
        <v>4436</v>
      </c>
      <c r="B2246" s="2" t="s">
        <v>4437</v>
      </c>
      <c r="C2246" s="6" t="n">
        <v>44993</v>
      </c>
      <c r="D2246" s="3" t="n">
        <v>0</v>
      </c>
      <c r="E2246" s="3" t="n">
        <v>0</v>
      </c>
      <c r="F2246" s="7" t="n">
        <f aca="false">IFERROR(Tableau1[[#This Row],[Score]]/Tableau1[[#This Row],[Nb]],0)</f>
        <v>0</v>
      </c>
    </row>
    <row r="2247" customFormat="false" ht="30" hidden="false" customHeight="true" outlineLevel="0" collapsed="false">
      <c r="A2247" s="1" t="s">
        <v>4438</v>
      </c>
      <c r="B2247" s="2" t="s">
        <v>4439</v>
      </c>
      <c r="C2247" s="6" t="n">
        <v>44993</v>
      </c>
      <c r="D2247" s="3" t="n">
        <v>0</v>
      </c>
      <c r="E2247" s="3" t="n">
        <v>0</v>
      </c>
      <c r="F2247" s="7" t="n">
        <f aca="false">IFERROR(Tableau1[[#This Row],[Score]]/Tableau1[[#This Row],[Nb]],0)</f>
        <v>0</v>
      </c>
    </row>
    <row r="2248" customFormat="false" ht="30" hidden="false" customHeight="true" outlineLevel="0" collapsed="false">
      <c r="A2248" s="1" t="s">
        <v>4440</v>
      </c>
      <c r="B2248" s="2" t="s">
        <v>4441</v>
      </c>
      <c r="C2248" s="6" t="n">
        <v>44993</v>
      </c>
      <c r="D2248" s="3" t="n">
        <v>0</v>
      </c>
      <c r="E2248" s="3" t="n">
        <v>0</v>
      </c>
      <c r="F2248" s="7" t="n">
        <f aca="false">IFERROR(Tableau1[[#This Row],[Score]]/Tableau1[[#This Row],[Nb]],0)</f>
        <v>0</v>
      </c>
    </row>
    <row r="2249" customFormat="false" ht="30" hidden="false" customHeight="true" outlineLevel="0" collapsed="false">
      <c r="A2249" s="1" t="s">
        <v>4442</v>
      </c>
      <c r="B2249" s="2" t="s">
        <v>4443</v>
      </c>
      <c r="C2249" s="6" t="n">
        <v>44993</v>
      </c>
      <c r="D2249" s="3" t="n">
        <v>0</v>
      </c>
      <c r="E2249" s="3" t="n">
        <v>0</v>
      </c>
      <c r="F2249" s="7" t="n">
        <f aca="false">IFERROR(Tableau1[[#This Row],[Score]]/Tableau1[[#This Row],[Nb]],0)</f>
        <v>0</v>
      </c>
    </row>
    <row r="2250" customFormat="false" ht="30" hidden="false" customHeight="true" outlineLevel="0" collapsed="false">
      <c r="A2250" s="1" t="s">
        <v>4444</v>
      </c>
      <c r="B2250" s="2" t="s">
        <v>4445</v>
      </c>
      <c r="C2250" s="6" t="n">
        <v>44993</v>
      </c>
      <c r="D2250" s="3" t="n">
        <v>0</v>
      </c>
      <c r="E2250" s="3" t="n">
        <v>0</v>
      </c>
      <c r="F2250" s="7" t="n">
        <f aca="false">IFERROR(Tableau1[[#This Row],[Score]]/Tableau1[[#This Row],[Nb]],0)</f>
        <v>0</v>
      </c>
    </row>
    <row r="2251" customFormat="false" ht="30" hidden="false" customHeight="true" outlineLevel="0" collapsed="false">
      <c r="A2251" s="1" t="s">
        <v>4446</v>
      </c>
      <c r="B2251" s="2" t="s">
        <v>4447</v>
      </c>
      <c r="C2251" s="6" t="n">
        <v>45001</v>
      </c>
      <c r="D2251" s="3" t="n">
        <v>0</v>
      </c>
      <c r="E2251" s="3" t="n">
        <v>0</v>
      </c>
      <c r="F2251" s="7" t="n">
        <f aca="false">IFERROR(Tableau1[[#This Row],[Score]]/Tableau1[[#This Row],[Nb]],0)</f>
        <v>0</v>
      </c>
    </row>
    <row r="2252" customFormat="false" ht="30" hidden="false" customHeight="true" outlineLevel="0" collapsed="false">
      <c r="A2252" s="1" t="s">
        <v>4448</v>
      </c>
      <c r="B2252" s="2" t="s">
        <v>4449</v>
      </c>
      <c r="C2252" s="6" t="n">
        <v>45009</v>
      </c>
      <c r="D2252" s="3" t="n">
        <v>0</v>
      </c>
      <c r="E2252" s="3" t="n">
        <v>0</v>
      </c>
      <c r="F2252" s="7" t="n">
        <f aca="false">IFERROR(Tableau1[[#This Row],[Score]]/Tableau1[[#This Row],[Nb]],0)</f>
        <v>0</v>
      </c>
    </row>
    <row r="2253" customFormat="false" ht="30" hidden="false" customHeight="true" outlineLevel="0" collapsed="false">
      <c r="A2253" s="1" t="s">
        <v>4450</v>
      </c>
      <c r="B2253" s="2" t="s">
        <v>4451</v>
      </c>
      <c r="C2253" s="6" t="n">
        <v>45020</v>
      </c>
      <c r="D2253" s="3" t="n">
        <v>0</v>
      </c>
      <c r="E2253" s="3" t="n">
        <v>0</v>
      </c>
      <c r="F2253" s="7" t="n">
        <f aca="false">IFERROR(Tableau1[[#This Row],[Score]]/Tableau1[[#This Row],[Nb]],0)</f>
        <v>0</v>
      </c>
    </row>
    <row r="2254" customFormat="false" ht="30" hidden="false" customHeight="true" outlineLevel="0" collapsed="false">
      <c r="A2254" s="1" t="s">
        <v>4452</v>
      </c>
      <c r="B2254" s="2" t="s">
        <v>4453</v>
      </c>
      <c r="C2254" s="6" t="n">
        <v>45028</v>
      </c>
      <c r="D2254" s="3" t="n">
        <v>0</v>
      </c>
      <c r="E2254" s="3" t="n">
        <v>0</v>
      </c>
      <c r="F2254" s="7" t="n">
        <f aca="false">IFERROR(Tableau1[[#This Row],[Score]]/Tableau1[[#This Row],[Nb]],0)</f>
        <v>0</v>
      </c>
    </row>
    <row r="2255" customFormat="false" ht="30" hidden="false" customHeight="true" outlineLevel="0" collapsed="false">
      <c r="A2255" s="1" t="s">
        <v>4454</v>
      </c>
      <c r="B2255" s="2" t="s">
        <v>4455</v>
      </c>
      <c r="C2255" s="6" t="n">
        <v>45035</v>
      </c>
      <c r="D2255" s="3" t="n">
        <v>0</v>
      </c>
      <c r="E2255" s="3" t="n">
        <v>0</v>
      </c>
      <c r="F2255" s="7" t="n">
        <f aca="false">IFERROR(Tableau1[[#This Row],[Score]]/Tableau1[[#This Row],[Nb]],0)</f>
        <v>0</v>
      </c>
    </row>
    <row r="2256" customFormat="false" ht="30" hidden="false" customHeight="true" outlineLevel="0" collapsed="false">
      <c r="A2256" s="1" t="s">
        <v>4456</v>
      </c>
      <c r="B2256" s="2" t="s">
        <v>4457</v>
      </c>
      <c r="C2256" s="6" t="n">
        <v>45035</v>
      </c>
      <c r="D2256" s="3" t="n">
        <v>0</v>
      </c>
      <c r="E2256" s="3" t="n">
        <v>0</v>
      </c>
      <c r="F2256" s="7" t="n">
        <f aca="false">IFERROR(Tableau1[[#This Row],[Score]]/Tableau1[[#This Row],[Nb]],0)</f>
        <v>0</v>
      </c>
    </row>
    <row r="2257" customFormat="false" ht="30" hidden="false" customHeight="true" outlineLevel="0" collapsed="false">
      <c r="A2257" s="1" t="s">
        <v>4458</v>
      </c>
      <c r="B2257" s="2" t="s">
        <v>4459</v>
      </c>
      <c r="C2257" s="6" t="n">
        <v>45077</v>
      </c>
      <c r="D2257" s="3" t="n">
        <v>0</v>
      </c>
      <c r="E2257" s="3" t="n">
        <v>0</v>
      </c>
      <c r="F2257" s="7" t="n">
        <f aca="false">IFERROR(Tableau1[[#This Row],[Score]]/Tableau1[[#This Row],[Nb]],0)</f>
        <v>0</v>
      </c>
    </row>
    <row r="2258" customFormat="false" ht="30" hidden="false" customHeight="true" outlineLevel="0" collapsed="false">
      <c r="A2258" s="1" t="s">
        <v>4460</v>
      </c>
      <c r="B2258" s="2" t="s">
        <v>4461</v>
      </c>
      <c r="C2258" s="6" t="n">
        <v>45096</v>
      </c>
      <c r="D2258" s="3" t="n">
        <v>0</v>
      </c>
      <c r="E2258" s="3" t="n">
        <v>0</v>
      </c>
      <c r="F2258" s="7" t="n">
        <f aca="false">IFERROR(Tableau1[[#This Row],[Score]]/Tableau1[[#This Row],[Nb]],0)</f>
        <v>0</v>
      </c>
    </row>
    <row r="2259" customFormat="false" ht="30" hidden="false" customHeight="true" outlineLevel="0" collapsed="false">
      <c r="A2259" s="1" t="s">
        <v>4462</v>
      </c>
      <c r="B2259" s="2" t="s">
        <v>4463</v>
      </c>
      <c r="C2259" s="6" t="n">
        <v>45188</v>
      </c>
      <c r="D2259" s="3" t="n">
        <v>0</v>
      </c>
      <c r="E2259" s="3" t="n">
        <v>0</v>
      </c>
      <c r="F2259" s="7" t="n">
        <f aca="false">IFERROR(Tableau1[[#This Row],[Score]]/Tableau1[[#This Row],[Nb]],0)</f>
        <v>0</v>
      </c>
    </row>
    <row r="2260" customFormat="false" ht="30" hidden="false" customHeight="true" outlineLevel="0" collapsed="false">
      <c r="A2260" s="1" t="s">
        <v>4464</v>
      </c>
      <c r="B2260" s="2" t="s">
        <v>4465</v>
      </c>
      <c r="C2260" s="6" t="n">
        <v>45213</v>
      </c>
      <c r="D2260" s="3" t="n">
        <v>0</v>
      </c>
      <c r="E2260" s="3" t="n">
        <v>0</v>
      </c>
      <c r="F2260" s="7" t="n">
        <f aca="false">IFERROR(Tableau1[[#This Row],[Score]]/Tableau1[[#This Row],[Nb]],0)</f>
        <v>0</v>
      </c>
    </row>
    <row r="2261" customFormat="false" ht="30" hidden="false" customHeight="true" outlineLevel="0" collapsed="false">
      <c r="A2261" s="1" t="s">
        <v>4466</v>
      </c>
      <c r="B2261" s="2" t="s">
        <v>4467</v>
      </c>
      <c r="C2261" s="6" t="n">
        <v>45213</v>
      </c>
      <c r="D2261" s="3" t="n">
        <v>0</v>
      </c>
      <c r="E2261" s="3" t="n">
        <v>0</v>
      </c>
      <c r="F2261" s="7" t="n">
        <f aca="false">IFERROR(Tableau1[[#This Row],[Score]]/Tableau1[[#This Row],[Nb]],0)</f>
        <v>0</v>
      </c>
    </row>
    <row r="2262" customFormat="false" ht="30" hidden="false" customHeight="true" outlineLevel="0" collapsed="false">
      <c r="A2262" s="1" t="s">
        <v>4468</v>
      </c>
      <c r="B2262" s="2" t="s">
        <v>4469</v>
      </c>
      <c r="C2262" s="6" t="n">
        <v>45213</v>
      </c>
      <c r="D2262" s="3" t="n">
        <v>0</v>
      </c>
      <c r="E2262" s="3" t="n">
        <v>0</v>
      </c>
      <c r="F2262" s="7" t="n">
        <f aca="false">IFERROR(Tableau1[[#This Row],[Score]]/Tableau1[[#This Row],[Nb]],0)</f>
        <v>0</v>
      </c>
    </row>
    <row r="2263" customFormat="false" ht="30" hidden="false" customHeight="true" outlineLevel="0" collapsed="false">
      <c r="A2263" s="1" t="s">
        <v>4470</v>
      </c>
      <c r="B2263" s="2" t="s">
        <v>4471</v>
      </c>
      <c r="C2263" s="6" t="n">
        <v>45213</v>
      </c>
      <c r="D2263" s="3" t="n">
        <v>0</v>
      </c>
      <c r="E2263" s="3" t="n">
        <v>0</v>
      </c>
      <c r="F2263" s="7" t="n">
        <f aca="false">IFERROR(Tableau1[[#This Row],[Score]]/Tableau1[[#This Row],[Nb]],0)</f>
        <v>0</v>
      </c>
    </row>
    <row r="2264" customFormat="false" ht="30" hidden="false" customHeight="true" outlineLevel="0" collapsed="false">
      <c r="A2264" s="1" t="s">
        <v>4472</v>
      </c>
      <c r="B2264" s="2" t="s">
        <v>4473</v>
      </c>
      <c r="C2264" s="6" t="n">
        <v>45213</v>
      </c>
      <c r="D2264" s="3" t="n">
        <v>0</v>
      </c>
      <c r="E2264" s="3" t="n">
        <v>0</v>
      </c>
      <c r="F2264" s="7" t="n">
        <f aca="false">IFERROR(Tableau1[[#This Row],[Score]]/Tableau1[[#This Row],[Nb]],0)</f>
        <v>0</v>
      </c>
    </row>
    <row r="2265" customFormat="false" ht="30" hidden="false" customHeight="true" outlineLevel="0" collapsed="false">
      <c r="A2265" s="1" t="s">
        <v>4474</v>
      </c>
      <c r="B2265" s="2" t="s">
        <v>4475</v>
      </c>
      <c r="C2265" s="6" t="n">
        <v>45221</v>
      </c>
      <c r="D2265" s="3" t="n">
        <v>0</v>
      </c>
      <c r="E2265" s="3" t="n">
        <v>0</v>
      </c>
      <c r="F2265" s="7" t="n">
        <f aca="false">IFERROR(Tableau1[[#This Row],[Score]]/Tableau1[[#This Row],[Nb]],0)</f>
        <v>0</v>
      </c>
    </row>
    <row r="2266" customFormat="false" ht="30" hidden="false" customHeight="true" outlineLevel="0" collapsed="false">
      <c r="A2266" s="1" t="s">
        <v>4476</v>
      </c>
      <c r="B2266" s="2" t="s">
        <v>4477</v>
      </c>
      <c r="C2266" s="6" t="n">
        <v>45221</v>
      </c>
      <c r="D2266" s="3" t="n">
        <v>0</v>
      </c>
      <c r="E2266" s="3" t="n">
        <v>0</v>
      </c>
      <c r="F2266" s="7" t="n">
        <f aca="false">IFERROR(Tableau1[[#This Row],[Score]]/Tableau1[[#This Row],[Nb]],0)</f>
        <v>0</v>
      </c>
    </row>
    <row r="2267" customFormat="false" ht="30" hidden="false" customHeight="true" outlineLevel="0" collapsed="false">
      <c r="A2267" s="1" t="s">
        <v>4478</v>
      </c>
      <c r="B2267" s="2" t="s">
        <v>4479</v>
      </c>
      <c r="C2267" s="6" t="n">
        <v>45221</v>
      </c>
      <c r="D2267" s="3" t="n">
        <v>0</v>
      </c>
      <c r="E2267" s="3" t="n">
        <v>0</v>
      </c>
      <c r="F2267" s="7" t="n">
        <f aca="false">IFERROR(Tableau1[[#This Row],[Score]]/Tableau1[[#This Row],[Nb]],0)</f>
        <v>0</v>
      </c>
    </row>
    <row r="2268" customFormat="false" ht="30" hidden="false" customHeight="true" outlineLevel="0" collapsed="false">
      <c r="A2268" s="1" t="s">
        <v>4480</v>
      </c>
      <c r="B2268" s="2" t="s">
        <v>4481</v>
      </c>
      <c r="C2268" s="6" t="n">
        <v>45257</v>
      </c>
      <c r="D2268" s="3" t="n">
        <v>0</v>
      </c>
      <c r="E2268" s="3" t="n">
        <v>0</v>
      </c>
      <c r="F2268" s="7" t="n">
        <f aca="false">IFERROR(Tableau1[[#This Row],[Score]]/Tableau1[[#This Row],[Nb]],0)</f>
        <v>0</v>
      </c>
    </row>
    <row r="2269" customFormat="false" ht="30" hidden="false" customHeight="true" outlineLevel="0" collapsed="false">
      <c r="A2269" s="1" t="s">
        <v>4482</v>
      </c>
      <c r="B2269" s="2" t="s">
        <v>4483</v>
      </c>
      <c r="C2269" s="6" t="n">
        <v>45314</v>
      </c>
      <c r="D2269" s="3" t="n">
        <v>0</v>
      </c>
      <c r="E2269" s="3" t="n">
        <v>0</v>
      </c>
      <c r="F2269" s="7" t="n">
        <f aca="false">IFERROR(Tableau1[[#This Row],[Score]]/Tableau1[[#This Row],[Nb]],0)</f>
        <v>0</v>
      </c>
    </row>
    <row r="2270" customFormat="false" ht="30" hidden="false" customHeight="true" outlineLevel="0" collapsed="false">
      <c r="A2270" s="1" t="s">
        <v>4484</v>
      </c>
      <c r="B2270" s="2" t="s">
        <v>4485</v>
      </c>
      <c r="C2270" s="6" t="n">
        <v>45361</v>
      </c>
      <c r="D2270" s="3" t="n">
        <v>0</v>
      </c>
      <c r="E2270" s="3" t="n">
        <v>0</v>
      </c>
      <c r="F2270" s="7" t="n">
        <f aca="false">IFERROR(Tableau1[[#This Row],[Score]]/Tableau1[[#This Row],[Nb]],0)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6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1" topLeftCell="A359" activePane="bottomLeft" state="frozen"/>
      <selection pane="topLeft" activeCell="A1" activeCellId="0" sqref="A1"/>
      <selection pane="bottomLeft" activeCell="D363" activeCellId="0" sqref="D363"/>
    </sheetView>
  </sheetViews>
  <sheetFormatPr defaultColWidth="14.66796875" defaultRowHeight="30" zeroHeight="false" outlineLevelRow="0" outlineLevelCol="0"/>
  <cols>
    <col collapsed="false" customWidth="false" hidden="false" outlineLevel="0" max="1" min="1" style="10" width="14.67"/>
    <col collapsed="false" customWidth="true" hidden="false" outlineLevel="0" max="2" min="2" style="11" width="5.11"/>
    <col collapsed="false" customWidth="false" hidden="false" outlineLevel="0" max="5" min="3" style="11" width="14.67"/>
    <col collapsed="false" customWidth="false" hidden="false" outlineLevel="0" max="9" min="6" style="12" width="14.67"/>
    <col collapsed="false" customWidth="false" hidden="false" outlineLevel="0" max="12" min="10" style="13" width="14.67"/>
    <col collapsed="false" customWidth="false" hidden="false" outlineLevel="0" max="13" min="13" style="14" width="14.67"/>
    <col collapsed="false" customWidth="false" hidden="false" outlineLevel="0" max="15" min="14" style="13" width="14.67"/>
    <col collapsed="false" customWidth="false" hidden="false" outlineLevel="0" max="16" min="16" style="12" width="14.67"/>
    <col collapsed="false" customWidth="false" hidden="false" outlineLevel="0" max="16384" min="17" style="11" width="14.67"/>
  </cols>
  <sheetData>
    <row r="1" customFormat="false" ht="30" hidden="false" customHeight="true" outlineLevel="0" collapsed="false">
      <c r="A1" s="15"/>
      <c r="B1" s="3"/>
      <c r="C1" s="3"/>
      <c r="D1" s="3"/>
      <c r="E1" s="16"/>
      <c r="J1" s="14"/>
      <c r="K1" s="14"/>
    </row>
    <row r="2" customFormat="false" ht="30" hidden="false" customHeight="true" outlineLevel="0" collapsed="false">
      <c r="A2" s="17"/>
      <c r="B2" s="3"/>
      <c r="C2" s="18" t="s">
        <v>4486</v>
      </c>
      <c r="D2" s="3"/>
      <c r="E2" s="16"/>
      <c r="J2" s="14"/>
      <c r="K2" s="14"/>
    </row>
    <row r="3" customFormat="false" ht="30" hidden="false" customHeight="true" outlineLevel="0" collapsed="false">
      <c r="A3" s="17"/>
      <c r="B3" s="3"/>
      <c r="C3" s="3" t="n">
        <v>352</v>
      </c>
      <c r="D3" s="3"/>
      <c r="E3" s="16"/>
      <c r="J3" s="14"/>
      <c r="K3" s="14"/>
    </row>
    <row r="4" customFormat="false" ht="51" hidden="false" customHeight="true" outlineLevel="0" collapsed="false">
      <c r="J4" s="14"/>
      <c r="K4" s="14"/>
    </row>
    <row r="5" customFormat="false" ht="51" hidden="false" customHeight="true" outlineLevel="0" collapsed="false">
      <c r="I5" s="12" t="n">
        <v>18</v>
      </c>
      <c r="J5" s="14"/>
      <c r="K5" s="14"/>
    </row>
    <row r="6" customFormat="false" ht="51" hidden="false" customHeight="true" outlineLevel="0" collapsed="false">
      <c r="A6" s="17"/>
      <c r="G6" s="19" t="s">
        <v>4187</v>
      </c>
      <c r="H6" s="19" t="s">
        <v>4188</v>
      </c>
      <c r="I6" s="19" t="s">
        <v>3874</v>
      </c>
      <c r="J6" s="20" t="s">
        <v>3875</v>
      </c>
      <c r="K6" s="14"/>
    </row>
    <row r="7" customFormat="false" ht="51" hidden="false" customHeight="true" outlineLevel="0" collapsed="false">
      <c r="G7" s="19" t="s">
        <v>1202</v>
      </c>
      <c r="H7" s="19" t="s">
        <v>1203</v>
      </c>
      <c r="I7" s="19" t="s">
        <v>3569</v>
      </c>
      <c r="J7" s="20" t="s">
        <v>3570</v>
      </c>
      <c r="K7" s="14"/>
    </row>
    <row r="8" customFormat="false" ht="51" hidden="false" customHeight="true" outlineLevel="0" collapsed="false">
      <c r="A8" s="17"/>
      <c r="G8" s="19" t="s">
        <v>3874</v>
      </c>
      <c r="H8" s="19" t="s">
        <v>3875</v>
      </c>
      <c r="I8" s="19" t="s">
        <v>3258</v>
      </c>
      <c r="J8" s="20" t="s">
        <v>3259</v>
      </c>
      <c r="K8" s="14"/>
    </row>
    <row r="9" customFormat="false" ht="51" hidden="false" customHeight="true" outlineLevel="0" collapsed="false">
      <c r="G9" s="19" t="s">
        <v>886</v>
      </c>
      <c r="H9" s="19" t="s">
        <v>887</v>
      </c>
      <c r="I9" s="19" t="s">
        <v>4487</v>
      </c>
      <c r="J9" s="20" t="s">
        <v>259</v>
      </c>
      <c r="K9" s="14"/>
    </row>
    <row r="10" customFormat="false" ht="51" hidden="false" customHeight="true" outlineLevel="0" collapsed="false">
      <c r="A10" s="17"/>
      <c r="G10" s="19" t="s">
        <v>2229</v>
      </c>
      <c r="H10" s="19" t="s">
        <v>2230</v>
      </c>
      <c r="I10" s="19" t="s">
        <v>4284</v>
      </c>
      <c r="J10" s="20" t="s">
        <v>4285</v>
      </c>
      <c r="K10" s="14"/>
    </row>
    <row r="11" customFormat="false" ht="30" hidden="false" customHeight="true" outlineLevel="0" collapsed="false">
      <c r="A11" s="21" t="s">
        <v>2</v>
      </c>
      <c r="B11" s="22" t="s">
        <v>4488</v>
      </c>
      <c r="C11" s="22" t="s">
        <v>4489</v>
      </c>
      <c r="D11" s="22" t="s">
        <v>4490</v>
      </c>
      <c r="E11" s="22" t="s">
        <v>4491</v>
      </c>
      <c r="G11" s="19" t="s">
        <v>3569</v>
      </c>
      <c r="H11" s="19" t="s">
        <v>3570</v>
      </c>
      <c r="I11" s="19" t="s">
        <v>4128</v>
      </c>
      <c r="J11" s="23" t="s">
        <v>4129</v>
      </c>
      <c r="K11" s="24"/>
      <c r="L11" s="24"/>
      <c r="M11" s="25"/>
      <c r="N11" s="24"/>
      <c r="O11" s="24"/>
    </row>
    <row r="12" customFormat="false" ht="30" hidden="false" customHeight="true" outlineLevel="0" collapsed="false">
      <c r="A12" s="15" t="n">
        <f aca="false">A13-7</f>
        <v>42866</v>
      </c>
      <c r="B12" s="3" t="n">
        <v>1</v>
      </c>
      <c r="C12" s="3"/>
      <c r="D12" s="26"/>
      <c r="E12" s="27"/>
      <c r="G12" s="19" t="s">
        <v>3414</v>
      </c>
      <c r="H12" s="19" t="s">
        <v>3415</v>
      </c>
      <c r="I12" s="19" t="s">
        <v>2634</v>
      </c>
      <c r="J12" s="28" t="s">
        <v>2635</v>
      </c>
      <c r="K12" s="28"/>
      <c r="L12" s="28"/>
      <c r="M12" s="29"/>
      <c r="N12" s="28"/>
      <c r="O12" s="28"/>
    </row>
    <row r="13" customFormat="false" ht="30" hidden="false" customHeight="true" outlineLevel="0" collapsed="false">
      <c r="A13" s="30" t="n">
        <f aca="false">A14-7</f>
        <v>42873</v>
      </c>
      <c r="B13" s="31" t="n">
        <v>2</v>
      </c>
      <c r="C13" s="31"/>
      <c r="D13" s="32" t="n">
        <v>44</v>
      </c>
      <c r="E13" s="32" t="n">
        <v>69.6428571428571</v>
      </c>
      <c r="F13" s="33"/>
      <c r="G13" s="19" t="s">
        <v>414</v>
      </c>
      <c r="H13" s="19" t="s">
        <v>415</v>
      </c>
      <c r="I13" s="19" t="s">
        <v>2324</v>
      </c>
      <c r="J13" s="28" t="s">
        <v>2325</v>
      </c>
      <c r="K13" s="28"/>
      <c r="L13" s="28"/>
      <c r="M13" s="29"/>
      <c r="N13" s="28"/>
      <c r="O13" s="28"/>
    </row>
    <row r="14" customFormat="false" ht="30" hidden="false" customHeight="true" outlineLevel="0" collapsed="false">
      <c r="A14" s="15" t="n">
        <f aca="false">A15-7</f>
        <v>42880</v>
      </c>
      <c r="B14" s="3" t="n">
        <v>3</v>
      </c>
      <c r="C14" s="3"/>
      <c r="D14" s="26" t="n">
        <v>67.6767676767677</v>
      </c>
      <c r="E14" s="26" t="n">
        <v>46.875</v>
      </c>
      <c r="F14" s="33"/>
      <c r="G14" s="19" t="s">
        <v>3258</v>
      </c>
      <c r="H14" s="19" t="s">
        <v>3259</v>
      </c>
      <c r="I14" s="19" t="s">
        <v>3665</v>
      </c>
      <c r="J14" s="28" t="s">
        <v>3666</v>
      </c>
      <c r="K14" s="28"/>
      <c r="L14" s="28"/>
      <c r="M14" s="29"/>
      <c r="N14" s="28"/>
      <c r="O14" s="28"/>
    </row>
    <row r="15" customFormat="false" ht="30" hidden="false" customHeight="true" outlineLevel="0" collapsed="false">
      <c r="A15" s="30" t="n">
        <f aca="false">A16-7</f>
        <v>42887</v>
      </c>
      <c r="B15" s="31" t="n">
        <v>4</v>
      </c>
      <c r="C15" s="31"/>
      <c r="D15" s="32" t="n">
        <v>48</v>
      </c>
      <c r="E15" s="32" t="n">
        <v>50</v>
      </c>
      <c r="F15" s="33"/>
      <c r="G15" s="19" t="s">
        <v>4487</v>
      </c>
      <c r="H15" s="19" t="s">
        <v>259</v>
      </c>
      <c r="I15" s="19" t="s">
        <v>4492</v>
      </c>
      <c r="J15" s="28" t="s">
        <v>2171</v>
      </c>
      <c r="K15" s="28"/>
      <c r="L15" s="28"/>
      <c r="M15" s="29"/>
      <c r="N15" s="28"/>
      <c r="O15" s="28"/>
    </row>
    <row r="16" customFormat="false" ht="30" hidden="false" customHeight="true" outlineLevel="0" collapsed="false">
      <c r="A16" s="15" t="n">
        <f aca="false">A17-7</f>
        <v>42894</v>
      </c>
      <c r="B16" s="3" t="n">
        <v>5</v>
      </c>
      <c r="C16" s="3"/>
      <c r="D16" s="26" t="n">
        <v>33.3333333333333</v>
      </c>
      <c r="E16" s="26" t="n">
        <v>31.5789473684211</v>
      </c>
      <c r="F16" s="33"/>
      <c r="G16" s="19" t="s">
        <v>3103</v>
      </c>
      <c r="H16" s="19" t="s">
        <v>3104</v>
      </c>
      <c r="I16" s="19" t="s">
        <v>1865</v>
      </c>
      <c r="J16" s="28" t="s">
        <v>1866</v>
      </c>
      <c r="K16" s="28"/>
      <c r="L16" s="28"/>
      <c r="M16" s="29"/>
      <c r="N16" s="28"/>
      <c r="O16" s="28"/>
    </row>
    <row r="17" customFormat="false" ht="30" hidden="false" customHeight="true" outlineLevel="0" collapsed="false">
      <c r="A17" s="30" t="n">
        <f aca="false">A18-7</f>
        <v>42901</v>
      </c>
      <c r="B17" s="31" t="n">
        <v>6</v>
      </c>
      <c r="C17" s="31"/>
      <c r="D17" s="32" t="n">
        <v>46</v>
      </c>
      <c r="E17" s="32" t="n">
        <v>72.2222222222222</v>
      </c>
      <c r="F17" s="33"/>
      <c r="G17" s="19" t="s">
        <v>1614</v>
      </c>
      <c r="H17" s="19" t="s">
        <v>1615</v>
      </c>
      <c r="I17" s="19" t="s">
        <v>1710</v>
      </c>
      <c r="J17" s="28" t="s">
        <v>1711</v>
      </c>
      <c r="K17" s="28"/>
      <c r="L17" s="28"/>
      <c r="M17" s="29"/>
      <c r="N17" s="28"/>
      <c r="O17" s="28"/>
    </row>
    <row r="18" customFormat="false" ht="30" hidden="false" customHeight="true" outlineLevel="0" collapsed="false">
      <c r="A18" s="15" t="n">
        <f aca="false">A19-7</f>
        <v>42908</v>
      </c>
      <c r="B18" s="3" t="n">
        <v>7</v>
      </c>
      <c r="C18" s="3"/>
      <c r="D18" s="26" t="n">
        <v>56.7010309278351</v>
      </c>
      <c r="E18" s="26" t="n">
        <v>51.219512195122</v>
      </c>
      <c r="F18" s="33"/>
      <c r="G18" s="19" t="s">
        <v>2946</v>
      </c>
      <c r="H18" s="19" t="s">
        <v>2947</v>
      </c>
      <c r="I18" s="19" t="s">
        <v>3043</v>
      </c>
      <c r="J18" s="28" t="s">
        <v>3044</v>
      </c>
      <c r="K18" s="28"/>
      <c r="L18" s="28"/>
      <c r="M18" s="29"/>
      <c r="N18" s="28"/>
      <c r="O18" s="28"/>
    </row>
    <row r="19" customFormat="false" ht="30" hidden="false" customHeight="true" outlineLevel="0" collapsed="false">
      <c r="A19" s="30" t="n">
        <f aca="false">A20-7</f>
        <v>42915</v>
      </c>
      <c r="B19" s="31" t="n">
        <v>8</v>
      </c>
      <c r="C19" s="31"/>
      <c r="D19" s="32" t="n">
        <v>51.4851485148515</v>
      </c>
      <c r="E19" s="32" t="n">
        <v>44.8979591836735</v>
      </c>
      <c r="F19" s="33"/>
      <c r="G19" s="19" t="s">
        <v>4284</v>
      </c>
      <c r="H19" s="19" t="s">
        <v>4285</v>
      </c>
      <c r="I19" s="19" t="s">
        <v>4068</v>
      </c>
      <c r="J19" s="28" t="s">
        <v>4069</v>
      </c>
      <c r="K19" s="28"/>
      <c r="L19" s="28"/>
      <c r="M19" s="29"/>
      <c r="N19" s="28"/>
      <c r="O19" s="28"/>
    </row>
    <row r="20" customFormat="false" ht="30" hidden="false" customHeight="true" outlineLevel="0" collapsed="false">
      <c r="A20" s="15" t="n">
        <f aca="false">A21-7</f>
        <v>42922</v>
      </c>
      <c r="B20" s="3" t="n">
        <v>9</v>
      </c>
      <c r="C20" s="3"/>
      <c r="D20" s="26" t="n">
        <v>49.5049504950495</v>
      </c>
      <c r="E20" s="26" t="n">
        <v>68</v>
      </c>
      <c r="F20" s="33"/>
      <c r="G20" s="19" t="s">
        <v>1300</v>
      </c>
      <c r="H20" s="19" t="s">
        <v>1301</v>
      </c>
      <c r="I20" s="19" t="s">
        <v>3450</v>
      </c>
      <c r="J20" s="28" t="s">
        <v>3451</v>
      </c>
      <c r="K20" s="28"/>
      <c r="L20" s="28"/>
      <c r="M20" s="29"/>
      <c r="N20" s="28"/>
      <c r="O20" s="28"/>
    </row>
    <row r="21" customFormat="false" ht="30" hidden="false" customHeight="true" outlineLevel="0" collapsed="false">
      <c r="A21" s="30" t="n">
        <f aca="false">A22-7</f>
        <v>42929</v>
      </c>
      <c r="B21" s="31" t="n">
        <v>10</v>
      </c>
      <c r="C21" s="31"/>
      <c r="D21" s="32" t="n">
        <v>55.4455445544554</v>
      </c>
      <c r="E21" s="32" t="n">
        <v>26.6666666666667</v>
      </c>
      <c r="F21" s="33"/>
      <c r="G21" s="19" t="s">
        <v>4128</v>
      </c>
      <c r="H21" s="19" t="s">
        <v>4129</v>
      </c>
      <c r="I21" s="19" t="s">
        <v>4166</v>
      </c>
      <c r="J21" s="28" t="s">
        <v>4167</v>
      </c>
      <c r="K21" s="28"/>
      <c r="L21" s="28"/>
      <c r="M21" s="29"/>
      <c r="N21" s="28"/>
      <c r="O21" s="28"/>
    </row>
    <row r="22" customFormat="false" ht="30" hidden="false" customHeight="true" outlineLevel="0" collapsed="false">
      <c r="A22" s="15" t="n">
        <f aca="false">A23-7</f>
        <v>42936</v>
      </c>
      <c r="B22" s="3" t="n">
        <v>11</v>
      </c>
      <c r="C22" s="3"/>
      <c r="D22" s="26" t="n">
        <v>57.4257425742574</v>
      </c>
      <c r="E22" s="26" t="n">
        <v>53.4883720930233</v>
      </c>
      <c r="F22" s="33"/>
      <c r="G22" s="19" t="s">
        <v>2634</v>
      </c>
      <c r="H22" s="19" t="s">
        <v>2635</v>
      </c>
      <c r="I22" s="19" t="s">
        <v>3703</v>
      </c>
      <c r="J22" s="28" t="s">
        <v>3704</v>
      </c>
      <c r="K22" s="28"/>
      <c r="L22" s="28"/>
      <c r="M22" s="29"/>
      <c r="N22" s="28"/>
      <c r="O22" s="28"/>
    </row>
    <row r="23" customFormat="false" ht="30" hidden="false" customHeight="true" outlineLevel="0" collapsed="false">
      <c r="A23" s="30" t="n">
        <f aca="false">A24-7</f>
        <v>42943</v>
      </c>
      <c r="B23" s="31" t="n">
        <v>12</v>
      </c>
      <c r="C23" s="31"/>
      <c r="D23" s="32" t="n">
        <v>58.4158415841584</v>
      </c>
      <c r="E23" s="32" t="n">
        <v>52.3809523809524</v>
      </c>
      <c r="F23" s="33"/>
      <c r="G23" s="19" t="s">
        <v>2477</v>
      </c>
      <c r="H23" s="19" t="s">
        <v>2478</v>
      </c>
      <c r="I23" s="19" t="s">
        <v>3547</v>
      </c>
      <c r="J23" s="28" t="s">
        <v>3548</v>
      </c>
      <c r="K23" s="28"/>
      <c r="L23" s="28"/>
      <c r="M23" s="29"/>
      <c r="N23" s="28"/>
      <c r="O23" s="28"/>
    </row>
    <row r="24" customFormat="false" ht="30" hidden="false" customHeight="true" outlineLevel="0" collapsed="false">
      <c r="A24" s="15" t="n">
        <f aca="false">A25-7</f>
        <v>42950</v>
      </c>
      <c r="B24" s="3" t="n">
        <v>13</v>
      </c>
      <c r="C24" s="3"/>
      <c r="D24" s="26" t="n">
        <v>55.4455445544554</v>
      </c>
      <c r="E24" s="26" t="n">
        <v>48.8888888888889</v>
      </c>
      <c r="F24" s="33"/>
      <c r="G24" s="19" t="s">
        <v>984</v>
      </c>
      <c r="H24" s="19" t="s">
        <v>985</v>
      </c>
      <c r="J24" s="28"/>
      <c r="K24" s="28"/>
      <c r="L24" s="28"/>
      <c r="M24" s="29"/>
      <c r="N24" s="28"/>
      <c r="O24" s="28"/>
    </row>
    <row r="25" customFormat="false" ht="30" hidden="false" customHeight="true" outlineLevel="0" collapsed="false">
      <c r="A25" s="30" t="n">
        <f aca="false">A26-7</f>
        <v>42957</v>
      </c>
      <c r="B25" s="31" t="n">
        <v>14</v>
      </c>
      <c r="C25" s="31"/>
      <c r="D25" s="32" t="n">
        <v>58.4158415841584</v>
      </c>
      <c r="E25" s="32" t="n">
        <v>45.2380952380952</v>
      </c>
      <c r="F25" s="33"/>
      <c r="G25" s="19" t="s">
        <v>2324</v>
      </c>
      <c r="H25" s="19" t="s">
        <v>2325</v>
      </c>
      <c r="J25" s="28"/>
      <c r="K25" s="28"/>
      <c r="L25" s="28"/>
      <c r="M25" s="29"/>
      <c r="N25" s="28"/>
      <c r="O25" s="28"/>
    </row>
    <row r="26" customFormat="false" ht="30" hidden="false" customHeight="true" outlineLevel="0" collapsed="false">
      <c r="A26" s="15" t="n">
        <f aca="false">A27-7</f>
        <v>42964</v>
      </c>
      <c r="B26" s="3" t="n">
        <v>15</v>
      </c>
      <c r="C26" s="3"/>
      <c r="D26" s="26" t="n">
        <v>55</v>
      </c>
      <c r="E26" s="26" t="n">
        <v>39.1304347826087</v>
      </c>
      <c r="F26" s="33"/>
      <c r="G26" s="19" t="s">
        <v>3665</v>
      </c>
      <c r="H26" s="19" t="s">
        <v>3666</v>
      </c>
      <c r="J26" s="28"/>
      <c r="K26" s="28"/>
      <c r="L26" s="28"/>
      <c r="M26" s="29"/>
      <c r="N26" s="28"/>
      <c r="O26" s="28"/>
    </row>
    <row r="27" customFormat="false" ht="30" hidden="false" customHeight="true" outlineLevel="0" collapsed="false">
      <c r="A27" s="30" t="n">
        <f aca="false">A28-7</f>
        <v>42971</v>
      </c>
      <c r="B27" s="31" t="n">
        <v>16</v>
      </c>
      <c r="C27" s="31"/>
      <c r="D27" s="32" t="n">
        <v>52.6315789473684</v>
      </c>
      <c r="E27" s="32" t="n">
        <v>69.5652173913043</v>
      </c>
      <c r="F27" s="33"/>
      <c r="G27" s="19" t="s">
        <v>4492</v>
      </c>
      <c r="H27" s="19" t="s">
        <v>2171</v>
      </c>
      <c r="J27" s="28"/>
      <c r="K27" s="28"/>
      <c r="L27" s="28"/>
      <c r="M27" s="29"/>
      <c r="N27" s="28"/>
      <c r="O27" s="28"/>
    </row>
    <row r="28" customFormat="false" ht="30" hidden="false" customHeight="true" outlineLevel="0" collapsed="false">
      <c r="A28" s="15" t="n">
        <f aca="false">A29-7</f>
        <v>42978</v>
      </c>
      <c r="B28" s="3" t="n">
        <v>17</v>
      </c>
      <c r="C28" s="3"/>
      <c r="D28" s="26" t="n">
        <v>60</v>
      </c>
      <c r="E28" s="26" t="n">
        <v>73.1707317073171</v>
      </c>
      <c r="F28" s="33"/>
      <c r="G28" s="19" t="s">
        <v>2022</v>
      </c>
      <c r="H28" s="19" t="s">
        <v>2023</v>
      </c>
      <c r="J28" s="28"/>
      <c r="K28" s="28"/>
      <c r="L28" s="28"/>
      <c r="M28" s="29"/>
      <c r="N28" s="28"/>
      <c r="O28" s="28"/>
    </row>
    <row r="29" customFormat="false" ht="30" hidden="false" customHeight="true" outlineLevel="0" collapsed="false">
      <c r="A29" s="30" t="n">
        <f aca="false">A30-7</f>
        <v>42985</v>
      </c>
      <c r="B29" s="31" t="n">
        <v>18</v>
      </c>
      <c r="C29" s="31"/>
      <c r="D29" s="32" t="n">
        <v>55.5555555555556</v>
      </c>
      <c r="E29" s="32" t="n">
        <v>64.4444444444444</v>
      </c>
      <c r="F29" s="33"/>
      <c r="G29" s="19" t="s">
        <v>1865</v>
      </c>
      <c r="H29" s="19" t="s">
        <v>1866</v>
      </c>
      <c r="J29" s="28"/>
      <c r="K29" s="28"/>
      <c r="L29" s="28"/>
      <c r="M29" s="29"/>
      <c r="N29" s="28"/>
      <c r="O29" s="28"/>
    </row>
    <row r="30" customFormat="false" ht="30" hidden="false" customHeight="true" outlineLevel="0" collapsed="false">
      <c r="A30" s="15" t="n">
        <f aca="false">A31-7</f>
        <v>42992</v>
      </c>
      <c r="B30" s="3" t="n">
        <v>19</v>
      </c>
      <c r="C30" s="3"/>
      <c r="D30" s="26" t="n">
        <v>57.5757575757576</v>
      </c>
      <c r="E30" s="26" t="n">
        <v>58.1395348837209</v>
      </c>
      <c r="F30" s="33"/>
      <c r="G30" s="19" t="s">
        <v>3200</v>
      </c>
      <c r="H30" s="19" t="s">
        <v>3201</v>
      </c>
      <c r="J30" s="28"/>
      <c r="K30" s="28"/>
      <c r="L30" s="28"/>
      <c r="M30" s="29"/>
      <c r="N30" s="28"/>
      <c r="O30" s="28"/>
    </row>
    <row r="31" customFormat="false" ht="30" hidden="false" customHeight="true" outlineLevel="0" collapsed="false">
      <c r="A31" s="30" t="n">
        <f aca="false">A32-7</f>
        <v>42999</v>
      </c>
      <c r="B31" s="31" t="n">
        <v>20</v>
      </c>
      <c r="C31" s="31"/>
      <c r="D31" s="32" t="n">
        <v>66</v>
      </c>
      <c r="E31" s="32" t="n">
        <v>42.8571428571429</v>
      </c>
      <c r="F31" s="33"/>
      <c r="G31" s="19" t="s">
        <v>1710</v>
      </c>
      <c r="H31" s="19" t="s">
        <v>1711</v>
      </c>
      <c r="J31" s="28"/>
      <c r="K31" s="28"/>
      <c r="L31" s="28"/>
      <c r="M31" s="29"/>
      <c r="N31" s="28"/>
      <c r="O31" s="28"/>
    </row>
    <row r="32" customFormat="false" ht="30" hidden="false" customHeight="true" outlineLevel="0" collapsed="false">
      <c r="A32" s="15" t="n">
        <f aca="false">A33-7</f>
        <v>43006</v>
      </c>
      <c r="B32" s="3" t="n">
        <v>21</v>
      </c>
      <c r="C32" s="3"/>
      <c r="D32" s="26" t="n">
        <v>70.1030927835052</v>
      </c>
      <c r="E32" s="26" t="n">
        <v>62.0689655172414</v>
      </c>
      <c r="F32" s="33"/>
      <c r="G32" s="19" t="s">
        <v>3043</v>
      </c>
      <c r="H32" s="19" t="s">
        <v>3044</v>
      </c>
      <c r="J32" s="28"/>
      <c r="K32" s="28"/>
      <c r="L32" s="28"/>
      <c r="M32" s="29"/>
      <c r="N32" s="28"/>
      <c r="O32" s="28"/>
    </row>
    <row r="33" customFormat="false" ht="30" hidden="false" customHeight="true" outlineLevel="0" collapsed="false">
      <c r="A33" s="30" t="n">
        <f aca="false">A34-7</f>
        <v>43013</v>
      </c>
      <c r="B33" s="31" t="n">
        <v>22</v>
      </c>
      <c r="C33" s="31"/>
      <c r="D33" s="32" t="n">
        <v>58</v>
      </c>
      <c r="E33" s="32" t="n">
        <v>60.4651162790698</v>
      </c>
      <c r="F33" s="33"/>
      <c r="G33" s="19" t="s">
        <v>40</v>
      </c>
      <c r="H33" s="19" t="s">
        <v>41</v>
      </c>
      <c r="J33" s="28"/>
      <c r="K33" s="28"/>
      <c r="L33" s="28"/>
      <c r="M33" s="29"/>
      <c r="N33" s="28"/>
      <c r="O33" s="28"/>
    </row>
    <row r="34" customFormat="false" ht="30" hidden="false" customHeight="true" outlineLevel="0" collapsed="false">
      <c r="A34" s="15" t="n">
        <f aca="false">A35-7</f>
        <v>43020</v>
      </c>
      <c r="B34" s="3" t="n">
        <v>23</v>
      </c>
      <c r="C34" s="3"/>
      <c r="D34" s="26" t="n">
        <v>65.3061224489796</v>
      </c>
      <c r="E34" s="26" t="n">
        <v>45.7142857142857</v>
      </c>
      <c r="F34" s="33"/>
      <c r="G34" s="19" t="s">
        <v>4068</v>
      </c>
      <c r="H34" s="19" t="s">
        <v>4069</v>
      </c>
      <c r="J34" s="28"/>
      <c r="K34" s="28"/>
      <c r="L34" s="28"/>
      <c r="M34" s="29"/>
      <c r="N34" s="28"/>
      <c r="O34" s="28"/>
    </row>
    <row r="35" customFormat="false" ht="30" hidden="false" customHeight="true" outlineLevel="0" collapsed="false">
      <c r="A35" s="30" t="n">
        <f aca="false">A36-7</f>
        <v>43027</v>
      </c>
      <c r="B35" s="31" t="n">
        <v>24</v>
      </c>
      <c r="C35" s="31"/>
      <c r="D35" s="32" t="n">
        <v>57</v>
      </c>
      <c r="E35" s="32" t="n">
        <v>68.1818181818182</v>
      </c>
      <c r="F35" s="33"/>
      <c r="G35" s="19" t="s">
        <v>2266</v>
      </c>
      <c r="H35" s="19" t="s">
        <v>2267</v>
      </c>
      <c r="J35" s="28"/>
      <c r="K35" s="28"/>
      <c r="L35" s="28"/>
      <c r="M35" s="29"/>
      <c r="N35" s="28"/>
      <c r="O35" s="28"/>
    </row>
    <row r="36" customFormat="false" ht="30" hidden="false" customHeight="true" outlineLevel="0" collapsed="false">
      <c r="A36" s="15" t="n">
        <f aca="false">A37-7</f>
        <v>43034</v>
      </c>
      <c r="B36" s="3" t="n">
        <v>25</v>
      </c>
      <c r="C36" s="3"/>
      <c r="D36" s="26" t="n">
        <v>64.5161290322581</v>
      </c>
      <c r="E36" s="26" t="n">
        <v>64.7058823529412</v>
      </c>
      <c r="F36" s="33"/>
      <c r="G36" s="19" t="s">
        <v>3450</v>
      </c>
      <c r="H36" s="19" t="s">
        <v>3451</v>
      </c>
      <c r="J36" s="28"/>
      <c r="K36" s="28"/>
      <c r="L36" s="28"/>
      <c r="M36" s="29"/>
      <c r="N36" s="28"/>
      <c r="O36" s="28"/>
    </row>
    <row r="37" customFormat="false" ht="30" hidden="false" customHeight="true" outlineLevel="0" collapsed="false">
      <c r="A37" s="30" t="n">
        <f aca="false">A38-7</f>
        <v>43041</v>
      </c>
      <c r="B37" s="31" t="n">
        <v>26</v>
      </c>
      <c r="C37" s="31"/>
      <c r="D37" s="32" t="n">
        <v>61.1111111111111</v>
      </c>
      <c r="E37" s="32" t="n">
        <v>73.0769230769231</v>
      </c>
      <c r="F37" s="33"/>
      <c r="G37" s="19" t="s">
        <v>3295</v>
      </c>
      <c r="H37" s="19" t="s">
        <v>3296</v>
      </c>
      <c r="J37" s="28"/>
      <c r="K37" s="28"/>
      <c r="L37" s="28"/>
      <c r="M37" s="29"/>
      <c r="N37" s="28"/>
      <c r="O37" s="28"/>
    </row>
    <row r="38" customFormat="false" ht="30" hidden="false" customHeight="true" outlineLevel="0" collapsed="false">
      <c r="A38" s="15" t="n">
        <f aca="false">A39-7</f>
        <v>43048</v>
      </c>
      <c r="B38" s="3" t="n">
        <v>27</v>
      </c>
      <c r="C38" s="3"/>
      <c r="D38" s="26" t="n">
        <v>59.5</v>
      </c>
      <c r="E38" s="26" t="n">
        <v>64.1975308641975</v>
      </c>
      <c r="F38" s="33"/>
      <c r="G38" s="19" t="s">
        <v>3141</v>
      </c>
      <c r="H38" s="19" t="s">
        <v>3142</v>
      </c>
      <c r="J38" s="28"/>
      <c r="K38" s="28"/>
      <c r="L38" s="28"/>
      <c r="M38" s="29"/>
      <c r="N38" s="28"/>
      <c r="O38" s="28"/>
    </row>
    <row r="39" customFormat="false" ht="30" hidden="false" customHeight="true" outlineLevel="0" collapsed="false">
      <c r="A39" s="30" t="n">
        <f aca="false">A40-7</f>
        <v>43055</v>
      </c>
      <c r="B39" s="31" t="n">
        <v>28</v>
      </c>
      <c r="C39" s="31"/>
      <c r="D39" s="32" t="n">
        <v>62.8140703517588</v>
      </c>
      <c r="E39" s="32" t="n">
        <v>56</v>
      </c>
      <c r="F39" s="33"/>
      <c r="G39" s="19" t="s">
        <v>1650</v>
      </c>
      <c r="H39" s="19" t="s">
        <v>1651</v>
      </c>
      <c r="J39" s="28"/>
      <c r="K39" s="28"/>
      <c r="L39" s="28"/>
      <c r="M39" s="29"/>
      <c r="N39" s="28"/>
      <c r="O39" s="28"/>
    </row>
    <row r="40" customFormat="false" ht="30" hidden="false" customHeight="true" outlineLevel="0" collapsed="false">
      <c r="A40" s="15" t="n">
        <f aca="false">A41-7</f>
        <v>43062</v>
      </c>
      <c r="B40" s="3" t="n">
        <v>29</v>
      </c>
      <c r="C40" s="3"/>
      <c r="D40" s="26" t="n">
        <v>63.5</v>
      </c>
      <c r="E40" s="26" t="n">
        <v>56.7567567567568</v>
      </c>
      <c r="F40" s="33"/>
      <c r="G40" s="19" t="s">
        <v>2829</v>
      </c>
      <c r="H40" s="19" t="s">
        <v>2830</v>
      </c>
      <c r="J40" s="28"/>
      <c r="K40" s="28"/>
      <c r="L40" s="28"/>
      <c r="M40" s="29"/>
      <c r="N40" s="28"/>
      <c r="O40" s="28"/>
    </row>
    <row r="41" customFormat="false" ht="30" hidden="false" customHeight="true" outlineLevel="0" collapsed="false">
      <c r="A41" s="30" t="n">
        <f aca="false">A42-7</f>
        <v>43069</v>
      </c>
      <c r="B41" s="31" t="n">
        <v>30</v>
      </c>
      <c r="C41" s="31"/>
      <c r="D41" s="32" t="n">
        <v>69.5</v>
      </c>
      <c r="E41" s="32" t="n">
        <v>62.9032258064516</v>
      </c>
      <c r="F41" s="33"/>
      <c r="G41" s="19" t="s">
        <v>4166</v>
      </c>
      <c r="H41" s="19" t="s">
        <v>4167</v>
      </c>
      <c r="J41" s="28"/>
      <c r="K41" s="28"/>
      <c r="L41" s="28"/>
      <c r="M41" s="29"/>
      <c r="N41" s="28"/>
      <c r="O41" s="28"/>
    </row>
    <row r="42" customFormat="false" ht="30" hidden="false" customHeight="true" outlineLevel="0" collapsed="false">
      <c r="A42" s="15" t="n">
        <f aca="false">A43-7</f>
        <v>43076</v>
      </c>
      <c r="B42" s="3" t="n">
        <v>31</v>
      </c>
      <c r="C42" s="3"/>
      <c r="D42" s="26" t="n">
        <v>70.5</v>
      </c>
      <c r="E42" s="26" t="n">
        <v>63.3333333333333</v>
      </c>
      <c r="F42" s="33"/>
      <c r="G42" s="19" t="s">
        <v>1180</v>
      </c>
      <c r="H42" s="19" t="s">
        <v>1181</v>
      </c>
      <c r="J42" s="28"/>
      <c r="K42" s="28"/>
      <c r="L42" s="28"/>
      <c r="M42" s="29"/>
      <c r="N42" s="28"/>
      <c r="O42" s="28"/>
    </row>
    <row r="43" customFormat="false" ht="30" hidden="false" customHeight="true" outlineLevel="0" collapsed="false">
      <c r="A43" s="30" t="n">
        <f aca="false">A44-7</f>
        <v>43083</v>
      </c>
      <c r="B43" s="31" t="n">
        <v>32</v>
      </c>
      <c r="C43" s="31"/>
      <c r="D43" s="32" t="n">
        <v>68.5279187817259</v>
      </c>
      <c r="E43" s="32" t="n">
        <v>60.3174603174603</v>
      </c>
      <c r="F43" s="33"/>
      <c r="G43" s="19" t="s">
        <v>4008</v>
      </c>
      <c r="H43" s="19" t="s">
        <v>4009</v>
      </c>
      <c r="J43" s="28"/>
      <c r="K43" s="28"/>
      <c r="L43" s="28"/>
      <c r="M43" s="29"/>
      <c r="N43" s="28"/>
      <c r="O43" s="28"/>
    </row>
    <row r="44" customFormat="false" ht="30" hidden="false" customHeight="true" outlineLevel="0" collapsed="false">
      <c r="A44" s="15" t="n">
        <f aca="false">A45-7</f>
        <v>43090</v>
      </c>
      <c r="B44" s="3" t="n">
        <v>33</v>
      </c>
      <c r="C44" s="3"/>
      <c r="D44" s="26" t="n">
        <v>66</v>
      </c>
      <c r="E44" s="26" t="n">
        <v>59.4202898550725</v>
      </c>
      <c r="F44" s="33"/>
      <c r="G44" s="19" t="s">
        <v>3853</v>
      </c>
      <c r="H44" s="19" t="s">
        <v>3854</v>
      </c>
      <c r="J44" s="28"/>
      <c r="K44" s="28"/>
      <c r="L44" s="28"/>
      <c r="M44" s="29"/>
      <c r="N44" s="28"/>
      <c r="O44" s="28"/>
    </row>
    <row r="45" customFormat="false" ht="30" hidden="false" customHeight="true" outlineLevel="0" collapsed="false">
      <c r="A45" s="30" t="n">
        <f aca="false">A46-7</f>
        <v>43097</v>
      </c>
      <c r="B45" s="31" t="n">
        <v>34</v>
      </c>
      <c r="C45" s="31"/>
      <c r="D45" s="32" t="n">
        <v>72.7272727272727</v>
      </c>
      <c r="E45" s="32" t="n">
        <v>65.4545454545455</v>
      </c>
      <c r="F45" s="33"/>
      <c r="G45" s="19" t="s">
        <v>864</v>
      </c>
      <c r="H45" s="19" t="s">
        <v>865</v>
      </c>
      <c r="J45" s="28"/>
      <c r="K45" s="28"/>
      <c r="L45" s="28"/>
      <c r="M45" s="29"/>
      <c r="N45" s="28"/>
      <c r="O45" s="28"/>
    </row>
    <row r="46" customFormat="false" ht="30" hidden="false" customHeight="true" outlineLevel="0" collapsed="false">
      <c r="A46" s="15" t="n">
        <f aca="false">A47-7</f>
        <v>43104</v>
      </c>
      <c r="B46" s="3" t="n">
        <v>35</v>
      </c>
      <c r="C46" s="3"/>
      <c r="D46" s="26" t="n">
        <v>72.020725388601</v>
      </c>
      <c r="E46" s="26" t="n">
        <v>60</v>
      </c>
      <c r="F46" s="33"/>
      <c r="G46" s="19" t="s">
        <v>3703</v>
      </c>
      <c r="H46" s="19" t="s">
        <v>3704</v>
      </c>
      <c r="J46" s="28"/>
      <c r="K46" s="28"/>
      <c r="L46" s="28"/>
      <c r="M46" s="29"/>
      <c r="N46" s="28"/>
      <c r="O46" s="28"/>
    </row>
    <row r="47" customFormat="false" ht="30" hidden="false" customHeight="true" outlineLevel="0" collapsed="false">
      <c r="A47" s="30" t="n">
        <f aca="false">A48-7</f>
        <v>43111</v>
      </c>
      <c r="B47" s="31" t="n">
        <v>36</v>
      </c>
      <c r="C47" s="31"/>
      <c r="D47" s="32" t="n">
        <v>65.3266331658292</v>
      </c>
      <c r="E47" s="32" t="n">
        <v>65.7142857142857</v>
      </c>
      <c r="F47" s="33"/>
      <c r="G47" s="19" t="s">
        <v>2207</v>
      </c>
      <c r="H47" s="19" t="s">
        <v>2208</v>
      </c>
      <c r="J47" s="28"/>
      <c r="K47" s="28"/>
      <c r="L47" s="28"/>
      <c r="M47" s="29"/>
      <c r="N47" s="28"/>
      <c r="O47" s="28"/>
    </row>
    <row r="48" customFormat="false" ht="30" hidden="false" customHeight="true" outlineLevel="0" collapsed="false">
      <c r="A48" s="15" t="n">
        <f aca="false">A49-7</f>
        <v>43118</v>
      </c>
      <c r="B48" s="3" t="n">
        <v>37</v>
      </c>
      <c r="C48" s="3"/>
      <c r="D48" s="26" t="n">
        <v>65.8536585365854</v>
      </c>
      <c r="E48" s="26" t="n">
        <v>57.8947368421053</v>
      </c>
      <c r="F48" s="33"/>
      <c r="G48" s="19" t="s">
        <v>3547</v>
      </c>
      <c r="H48" s="19" t="s">
        <v>3548</v>
      </c>
      <c r="J48" s="28"/>
      <c r="K48" s="28"/>
      <c r="L48" s="28"/>
      <c r="M48" s="29"/>
      <c r="N48" s="28"/>
      <c r="O48" s="28"/>
    </row>
    <row r="49" customFormat="false" ht="30" hidden="false" customHeight="true" outlineLevel="0" collapsed="false">
      <c r="A49" s="30" t="n">
        <f aca="false">A50-7</f>
        <v>43125</v>
      </c>
      <c r="B49" s="31" t="n">
        <v>38</v>
      </c>
      <c r="C49" s="31"/>
      <c r="D49" s="32" t="n">
        <v>62.2093023255814</v>
      </c>
      <c r="E49" s="32" t="n">
        <v>68.1818181818182</v>
      </c>
      <c r="F49" s="33"/>
      <c r="J49" s="28"/>
      <c r="K49" s="28"/>
      <c r="L49" s="28"/>
      <c r="M49" s="29"/>
      <c r="N49" s="28"/>
      <c r="O49" s="28"/>
    </row>
    <row r="50" customFormat="false" ht="30" hidden="false" customHeight="true" outlineLevel="0" collapsed="false">
      <c r="A50" s="15" t="n">
        <f aca="false">A51-7</f>
        <v>43132</v>
      </c>
      <c r="B50" s="3" t="n">
        <v>39</v>
      </c>
      <c r="C50" s="3"/>
      <c r="D50" s="26" t="n">
        <v>67.6300578034682</v>
      </c>
      <c r="E50" s="26" t="n">
        <v>64.9122807017544</v>
      </c>
      <c r="F50" s="33"/>
      <c r="J50" s="28"/>
      <c r="K50" s="28"/>
      <c r="L50" s="28"/>
      <c r="M50" s="29"/>
      <c r="N50" s="28"/>
      <c r="O50" s="28"/>
    </row>
    <row r="51" customFormat="false" ht="30" hidden="false" customHeight="true" outlineLevel="0" collapsed="false">
      <c r="A51" s="30" t="n">
        <f aca="false">A52-7</f>
        <v>43139</v>
      </c>
      <c r="B51" s="31" t="n">
        <v>40</v>
      </c>
      <c r="C51" s="31"/>
      <c r="D51" s="32"/>
      <c r="E51" s="32" t="n">
        <v>69.8275862068966</v>
      </c>
      <c r="F51" s="33"/>
      <c r="J51" s="28"/>
      <c r="K51" s="28"/>
      <c r="L51" s="28"/>
      <c r="M51" s="29"/>
      <c r="N51" s="28"/>
      <c r="O51" s="28"/>
    </row>
    <row r="52" customFormat="false" ht="30" hidden="false" customHeight="true" outlineLevel="0" collapsed="false">
      <c r="A52" s="15" t="n">
        <f aca="false">A53-7</f>
        <v>43146</v>
      </c>
      <c r="B52" s="3" t="n">
        <v>41</v>
      </c>
      <c r="C52" s="3"/>
      <c r="D52" s="26" t="n">
        <v>64.367816091954</v>
      </c>
      <c r="E52" s="26"/>
      <c r="F52" s="33"/>
      <c r="J52" s="28"/>
      <c r="K52" s="28"/>
      <c r="L52" s="28"/>
      <c r="M52" s="29"/>
      <c r="N52" s="28"/>
      <c r="O52" s="28"/>
    </row>
    <row r="53" customFormat="false" ht="30" hidden="false" customHeight="true" outlineLevel="0" collapsed="false">
      <c r="A53" s="30" t="n">
        <f aca="false">A54-7</f>
        <v>43153</v>
      </c>
      <c r="B53" s="31" t="n">
        <v>42</v>
      </c>
      <c r="C53" s="31"/>
      <c r="D53" s="32" t="n">
        <v>60</v>
      </c>
      <c r="E53" s="32" t="n">
        <v>71.830985915493</v>
      </c>
      <c r="F53" s="33"/>
      <c r="J53" s="28"/>
      <c r="K53" s="28"/>
      <c r="L53" s="28"/>
      <c r="M53" s="29"/>
      <c r="N53" s="28"/>
      <c r="O53" s="28"/>
    </row>
    <row r="54" customFormat="false" ht="30" hidden="false" customHeight="true" outlineLevel="0" collapsed="false">
      <c r="A54" s="15" t="n">
        <f aca="false">A55-7</f>
        <v>43160</v>
      </c>
      <c r="B54" s="3" t="n">
        <v>43</v>
      </c>
      <c r="C54" s="3"/>
      <c r="D54" s="26" t="n">
        <v>63.0681818181818</v>
      </c>
      <c r="E54" s="26" t="n">
        <v>68.1818181818182</v>
      </c>
      <c r="F54" s="33"/>
      <c r="J54" s="28"/>
      <c r="K54" s="28"/>
      <c r="L54" s="28"/>
      <c r="M54" s="29"/>
      <c r="N54" s="28"/>
      <c r="O54" s="28"/>
    </row>
    <row r="55" customFormat="false" ht="30" hidden="false" customHeight="true" outlineLevel="0" collapsed="false">
      <c r="A55" s="30" t="n">
        <f aca="false">A56-7</f>
        <v>43167</v>
      </c>
      <c r="B55" s="31" t="n">
        <v>44</v>
      </c>
      <c r="C55" s="31"/>
      <c r="D55" s="32" t="n">
        <v>65.3409090909091</v>
      </c>
      <c r="E55" s="32" t="n">
        <v>82.7586206896552</v>
      </c>
      <c r="F55" s="33"/>
      <c r="J55" s="28"/>
      <c r="K55" s="28"/>
      <c r="L55" s="28"/>
      <c r="M55" s="29"/>
      <c r="N55" s="28"/>
      <c r="O55" s="28"/>
    </row>
    <row r="56" customFormat="false" ht="30" hidden="false" customHeight="true" outlineLevel="0" collapsed="false">
      <c r="A56" s="15" t="n">
        <f aca="false">A57-7</f>
        <v>43174</v>
      </c>
      <c r="B56" s="3" t="n">
        <v>45</v>
      </c>
      <c r="C56" s="3"/>
      <c r="D56" s="26" t="n">
        <v>60</v>
      </c>
      <c r="E56" s="26" t="n">
        <v>69.8630136986301</v>
      </c>
      <c r="F56" s="33"/>
      <c r="J56" s="28"/>
      <c r="K56" s="28"/>
      <c r="L56" s="28"/>
      <c r="M56" s="29"/>
      <c r="N56" s="28"/>
      <c r="O56" s="28"/>
    </row>
    <row r="57" customFormat="false" ht="30" hidden="false" customHeight="true" outlineLevel="0" collapsed="false">
      <c r="A57" s="30" t="n">
        <f aca="false">A58-7</f>
        <v>43181</v>
      </c>
      <c r="B57" s="31" t="n">
        <v>46</v>
      </c>
      <c r="C57" s="31"/>
      <c r="D57" s="32" t="n">
        <v>62.5</v>
      </c>
      <c r="E57" s="32" t="n">
        <v>65.6716417910448</v>
      </c>
      <c r="F57" s="33"/>
      <c r="J57" s="28"/>
      <c r="K57" s="28"/>
      <c r="L57" s="28"/>
      <c r="M57" s="29"/>
      <c r="N57" s="28"/>
      <c r="O57" s="28"/>
    </row>
    <row r="58" customFormat="false" ht="30" hidden="false" customHeight="true" outlineLevel="0" collapsed="false">
      <c r="A58" s="15" t="n">
        <f aca="false">A59-7</f>
        <v>43188</v>
      </c>
      <c r="B58" s="3" t="n">
        <v>47</v>
      </c>
      <c r="C58" s="3"/>
      <c r="D58" s="26" t="n">
        <v>71.1111111111111</v>
      </c>
      <c r="E58" s="26" t="n">
        <v>81.1320754716981</v>
      </c>
      <c r="F58" s="33"/>
      <c r="J58" s="28"/>
      <c r="K58" s="28"/>
      <c r="L58" s="28"/>
      <c r="M58" s="29"/>
      <c r="N58" s="28"/>
      <c r="O58" s="28"/>
    </row>
    <row r="59" customFormat="false" ht="30" hidden="false" customHeight="true" outlineLevel="0" collapsed="false">
      <c r="A59" s="30" t="n">
        <f aca="false">A60-7</f>
        <v>43195</v>
      </c>
      <c r="B59" s="31" t="n">
        <v>48</v>
      </c>
      <c r="C59" s="31"/>
      <c r="D59" s="32" t="n">
        <v>70.391061452514</v>
      </c>
      <c r="E59" s="32" t="n">
        <v>72.2222222222222</v>
      </c>
      <c r="F59" s="33"/>
      <c r="J59" s="28"/>
      <c r="K59" s="28"/>
      <c r="L59" s="28"/>
      <c r="M59" s="29"/>
      <c r="N59" s="28"/>
      <c r="O59" s="28"/>
    </row>
    <row r="60" customFormat="false" ht="30" hidden="false" customHeight="true" outlineLevel="0" collapsed="false">
      <c r="A60" s="15" t="n">
        <f aca="false">A61-7</f>
        <v>43202</v>
      </c>
      <c r="B60" s="3" t="n">
        <v>49</v>
      </c>
      <c r="C60" s="3"/>
      <c r="D60" s="26" t="n">
        <v>67.9558011049724</v>
      </c>
      <c r="E60" s="26" t="n">
        <v>66.1016949152542</v>
      </c>
      <c r="F60" s="33"/>
      <c r="J60" s="28"/>
      <c r="K60" s="28"/>
      <c r="L60" s="28"/>
      <c r="M60" s="29"/>
      <c r="N60" s="28"/>
      <c r="O60" s="28"/>
    </row>
    <row r="61" customFormat="false" ht="30" hidden="false" customHeight="true" outlineLevel="0" collapsed="false">
      <c r="A61" s="30" t="n">
        <f aca="false">A62-7</f>
        <v>43209</v>
      </c>
      <c r="B61" s="31" t="n">
        <v>50</v>
      </c>
      <c r="C61" s="31"/>
      <c r="D61" s="32" t="n">
        <v>72.3756906077348</v>
      </c>
      <c r="E61" s="32" t="n">
        <v>66.6666666666667</v>
      </c>
      <c r="F61" s="33"/>
      <c r="J61" s="28"/>
      <c r="K61" s="28"/>
      <c r="L61" s="28"/>
      <c r="M61" s="29"/>
      <c r="N61" s="28"/>
      <c r="O61" s="28"/>
    </row>
    <row r="62" customFormat="false" ht="30" hidden="false" customHeight="true" outlineLevel="0" collapsed="false">
      <c r="A62" s="15" t="n">
        <f aca="false">A63-7</f>
        <v>43216</v>
      </c>
      <c r="B62" s="3" t="n">
        <v>51</v>
      </c>
      <c r="C62" s="3"/>
      <c r="D62" s="26" t="n">
        <v>74.1071428571429</v>
      </c>
      <c r="E62" s="26" t="n">
        <v>70.9677419354839</v>
      </c>
      <c r="F62" s="33"/>
      <c r="J62" s="28"/>
      <c r="K62" s="28"/>
      <c r="L62" s="28"/>
      <c r="M62" s="29"/>
      <c r="N62" s="28"/>
      <c r="O62" s="28"/>
    </row>
    <row r="63" customFormat="false" ht="30" hidden="false" customHeight="true" outlineLevel="0" collapsed="false">
      <c r="A63" s="30" t="n">
        <f aca="false">A64-7</f>
        <v>43223</v>
      </c>
      <c r="B63" s="31" t="n">
        <v>52</v>
      </c>
      <c r="C63" s="31"/>
      <c r="D63" s="32" t="n">
        <v>74.0331491712707</v>
      </c>
      <c r="E63" s="32" t="n">
        <v>79.1666666666667</v>
      </c>
      <c r="F63" s="33"/>
      <c r="J63" s="28"/>
      <c r="K63" s="28"/>
      <c r="L63" s="28"/>
      <c r="M63" s="29"/>
      <c r="N63" s="28"/>
      <c r="O63" s="28"/>
    </row>
    <row r="64" customFormat="false" ht="30" hidden="false" customHeight="true" outlineLevel="0" collapsed="false">
      <c r="A64" s="15" t="n">
        <f aca="false">A65-7</f>
        <v>43230</v>
      </c>
      <c r="B64" s="3" t="n">
        <v>53</v>
      </c>
      <c r="C64" s="3"/>
      <c r="D64" s="26" t="n">
        <v>72.4719101123596</v>
      </c>
      <c r="E64" s="26" t="n">
        <v>50</v>
      </c>
      <c r="F64" s="33"/>
      <c r="J64" s="28"/>
      <c r="K64" s="28"/>
      <c r="L64" s="28"/>
      <c r="M64" s="29"/>
      <c r="N64" s="28"/>
      <c r="O64" s="28"/>
    </row>
    <row r="65" customFormat="false" ht="30" hidden="false" customHeight="true" outlineLevel="0" collapsed="false">
      <c r="A65" s="30" t="n">
        <f aca="false">A66-7</f>
        <v>43237</v>
      </c>
      <c r="B65" s="31" t="n">
        <v>54</v>
      </c>
      <c r="C65" s="31"/>
      <c r="D65" s="32" t="n">
        <v>68.1081081081081</v>
      </c>
      <c r="E65" s="32" t="n">
        <v>73.3333333333333</v>
      </c>
      <c r="F65" s="33"/>
      <c r="J65" s="28"/>
      <c r="K65" s="28"/>
      <c r="L65" s="28"/>
      <c r="M65" s="29"/>
      <c r="N65" s="28"/>
      <c r="O65" s="28"/>
    </row>
    <row r="66" customFormat="false" ht="30" hidden="false" customHeight="true" outlineLevel="0" collapsed="false">
      <c r="A66" s="15" t="n">
        <f aca="false">A67-7</f>
        <v>43244</v>
      </c>
      <c r="B66" s="3" t="n">
        <v>55</v>
      </c>
      <c r="C66" s="3"/>
      <c r="D66" s="26" t="n">
        <v>70.9677419354839</v>
      </c>
      <c r="E66" s="26" t="n">
        <v>45.4545454545455</v>
      </c>
      <c r="F66" s="33"/>
      <c r="J66" s="28"/>
      <c r="K66" s="28"/>
      <c r="L66" s="28"/>
      <c r="M66" s="29"/>
      <c r="N66" s="28"/>
      <c r="O66" s="28"/>
    </row>
    <row r="67" customFormat="false" ht="30" hidden="false" customHeight="true" outlineLevel="0" collapsed="false">
      <c r="A67" s="30" t="n">
        <f aca="false">A68-7</f>
        <v>43251</v>
      </c>
      <c r="B67" s="31" t="n">
        <v>56</v>
      </c>
      <c r="C67" s="31"/>
      <c r="D67" s="32" t="n">
        <v>76.4705882352941</v>
      </c>
      <c r="E67" s="32" t="n">
        <v>75.5555555555556</v>
      </c>
      <c r="F67" s="33"/>
      <c r="J67" s="28"/>
      <c r="K67" s="28"/>
      <c r="L67" s="28"/>
      <c r="M67" s="29"/>
      <c r="N67" s="28"/>
      <c r="O67" s="28"/>
    </row>
    <row r="68" customFormat="false" ht="30" hidden="false" customHeight="true" outlineLevel="0" collapsed="false">
      <c r="A68" s="15" t="n">
        <f aca="false">A69-7</f>
        <v>43258</v>
      </c>
      <c r="B68" s="3" t="n">
        <v>57</v>
      </c>
      <c r="C68" s="3"/>
      <c r="D68" s="26" t="n">
        <v>77.2222222222222</v>
      </c>
      <c r="E68" s="26" t="n">
        <v>73.8095238095238</v>
      </c>
      <c r="F68" s="33"/>
      <c r="J68" s="28"/>
      <c r="K68" s="28"/>
      <c r="L68" s="28"/>
      <c r="M68" s="29"/>
      <c r="N68" s="28"/>
      <c r="O68" s="28"/>
    </row>
    <row r="69" customFormat="false" ht="30" hidden="false" customHeight="true" outlineLevel="0" collapsed="false">
      <c r="A69" s="30" t="n">
        <f aca="false">A70-7</f>
        <v>43265</v>
      </c>
      <c r="B69" s="31" t="n">
        <v>58</v>
      </c>
      <c r="C69" s="31"/>
      <c r="D69" s="32" t="n">
        <v>74.6113989637306</v>
      </c>
      <c r="E69" s="32" t="n">
        <v>64</v>
      </c>
      <c r="F69" s="33"/>
      <c r="J69" s="28"/>
      <c r="K69" s="28"/>
      <c r="L69" s="28"/>
      <c r="M69" s="29"/>
      <c r="N69" s="28"/>
      <c r="O69" s="28"/>
    </row>
    <row r="70" customFormat="false" ht="30" hidden="false" customHeight="true" outlineLevel="0" collapsed="false">
      <c r="A70" s="15" t="n">
        <f aca="false">A71-7</f>
        <v>43272</v>
      </c>
      <c r="B70" s="3" t="n">
        <v>59</v>
      </c>
      <c r="C70" s="3"/>
      <c r="D70" s="26" t="n">
        <v>70.9844559585492</v>
      </c>
      <c r="E70" s="26" t="n">
        <v>64.9122807017544</v>
      </c>
      <c r="F70" s="33"/>
      <c r="J70" s="28"/>
      <c r="K70" s="28"/>
      <c r="L70" s="28"/>
      <c r="M70" s="29"/>
      <c r="N70" s="28"/>
      <c r="O70" s="28"/>
    </row>
    <row r="71" customFormat="false" ht="30" hidden="false" customHeight="true" outlineLevel="0" collapsed="false">
      <c r="A71" s="30" t="n">
        <f aca="false">A72-7</f>
        <v>43279</v>
      </c>
      <c r="B71" s="31" t="n">
        <v>60</v>
      </c>
      <c r="C71" s="31"/>
      <c r="D71" s="32" t="n">
        <v>68.2539682539683</v>
      </c>
      <c r="E71" s="32" t="n">
        <v>65.5737704918033</v>
      </c>
      <c r="F71" s="33"/>
      <c r="J71" s="28"/>
      <c r="K71" s="28"/>
      <c r="L71" s="28"/>
      <c r="M71" s="29"/>
      <c r="N71" s="28"/>
      <c r="O71" s="28"/>
    </row>
    <row r="72" customFormat="false" ht="30" hidden="false" customHeight="true" outlineLevel="0" collapsed="false">
      <c r="A72" s="15" t="n">
        <v>43286</v>
      </c>
      <c r="B72" s="3" t="n">
        <v>61</v>
      </c>
      <c r="C72" s="3" t="n">
        <v>194</v>
      </c>
      <c r="D72" s="26" t="n">
        <v>67.5257731958763</v>
      </c>
      <c r="E72" s="26" t="n">
        <v>58.73</v>
      </c>
      <c r="J72" s="28"/>
      <c r="K72" s="28"/>
      <c r="L72" s="28"/>
      <c r="M72" s="29"/>
      <c r="N72" s="28"/>
      <c r="O72" s="28"/>
    </row>
    <row r="73" customFormat="false" ht="30" hidden="false" customHeight="true" outlineLevel="0" collapsed="false">
      <c r="A73" s="30" t="n">
        <v>43290</v>
      </c>
      <c r="B73" s="31" t="n">
        <v>62</v>
      </c>
      <c r="C73" s="31" t="n">
        <v>195</v>
      </c>
      <c r="D73" s="32" t="n">
        <v>64.6153846153846</v>
      </c>
      <c r="E73" s="32" t="n">
        <v>79.7101449275362</v>
      </c>
      <c r="J73" s="28"/>
      <c r="K73" s="28"/>
      <c r="L73" s="28"/>
      <c r="M73" s="29"/>
      <c r="N73" s="28"/>
      <c r="O73" s="28"/>
    </row>
    <row r="74" customFormat="false" ht="30" hidden="false" customHeight="true" outlineLevel="0" collapsed="false">
      <c r="A74" s="15" t="n">
        <v>43291</v>
      </c>
      <c r="B74" s="3" t="n">
        <v>63</v>
      </c>
      <c r="C74" s="3" t="n">
        <v>195</v>
      </c>
      <c r="D74" s="26" t="n">
        <v>69.2307692307692</v>
      </c>
      <c r="E74" s="26" t="n">
        <v>70</v>
      </c>
      <c r="J74" s="28"/>
      <c r="K74" s="28"/>
      <c r="L74" s="28"/>
      <c r="M74" s="29"/>
      <c r="N74" s="28"/>
      <c r="O74" s="28"/>
    </row>
    <row r="75" customFormat="false" ht="30" hidden="false" customHeight="true" outlineLevel="0" collapsed="false">
      <c r="A75" s="30" t="n">
        <v>43293</v>
      </c>
      <c r="B75" s="31" t="n">
        <v>64</v>
      </c>
      <c r="C75" s="31" t="n">
        <v>195</v>
      </c>
      <c r="D75" s="32" t="n">
        <v>64.6153846153846</v>
      </c>
      <c r="E75" s="32" t="n">
        <v>71.0144927536232</v>
      </c>
      <c r="J75" s="28"/>
      <c r="K75" s="28"/>
      <c r="L75" s="28"/>
      <c r="M75" s="29"/>
      <c r="N75" s="28"/>
      <c r="O75" s="28"/>
    </row>
    <row r="76" customFormat="false" ht="30" hidden="false" customHeight="true" outlineLevel="0" collapsed="false">
      <c r="A76" s="15" t="n">
        <v>43296</v>
      </c>
      <c r="B76" s="3" t="n">
        <v>65</v>
      </c>
      <c r="C76" s="3" t="n">
        <v>192</v>
      </c>
      <c r="D76" s="26" t="n">
        <v>66.6666666666667</v>
      </c>
      <c r="E76" s="26" t="n">
        <v>70.3125</v>
      </c>
      <c r="J76" s="28"/>
      <c r="K76" s="28"/>
      <c r="L76" s="28"/>
      <c r="M76" s="29"/>
      <c r="N76" s="28"/>
      <c r="O76" s="28"/>
    </row>
    <row r="77" customFormat="false" ht="30" hidden="false" customHeight="true" outlineLevel="0" collapsed="false">
      <c r="A77" s="30" t="n">
        <v>43300</v>
      </c>
      <c r="B77" s="31" t="n">
        <v>66</v>
      </c>
      <c r="C77" s="31" t="n">
        <v>194</v>
      </c>
      <c r="D77" s="32" t="n">
        <v>68.5567010309278</v>
      </c>
      <c r="E77" s="32" t="n">
        <v>60.655737704918</v>
      </c>
      <c r="J77" s="28"/>
      <c r="K77" s="28"/>
      <c r="L77" s="28"/>
      <c r="M77" s="29"/>
      <c r="N77" s="28"/>
      <c r="O77" s="28"/>
    </row>
    <row r="78" customFormat="false" ht="30" hidden="false" customHeight="true" outlineLevel="0" collapsed="false">
      <c r="A78" s="15" t="n">
        <v>43347</v>
      </c>
      <c r="B78" s="3" t="n">
        <v>67</v>
      </c>
      <c r="C78" s="3" t="n">
        <v>199</v>
      </c>
      <c r="D78" s="26" t="n">
        <v>67.3366834170854</v>
      </c>
      <c r="E78" s="26" t="n">
        <v>49.2307692307692</v>
      </c>
      <c r="J78" s="28"/>
      <c r="K78" s="28"/>
      <c r="L78" s="28"/>
      <c r="M78" s="29"/>
      <c r="N78" s="28"/>
      <c r="O78" s="28"/>
    </row>
    <row r="79" customFormat="false" ht="30" hidden="false" customHeight="true" outlineLevel="0" collapsed="false">
      <c r="A79" s="30" t="n">
        <v>43347</v>
      </c>
      <c r="B79" s="31" t="n">
        <v>68</v>
      </c>
      <c r="C79" s="31" t="n">
        <v>200</v>
      </c>
      <c r="D79" s="32" t="n">
        <v>67.5</v>
      </c>
      <c r="E79" s="32" t="n">
        <v>69.2307692307692</v>
      </c>
      <c r="J79" s="28"/>
      <c r="K79" s="28"/>
      <c r="L79" s="28"/>
      <c r="M79" s="29"/>
      <c r="N79" s="28"/>
      <c r="O79" s="28"/>
    </row>
    <row r="80" customFormat="false" ht="30" hidden="false" customHeight="true" outlineLevel="0" collapsed="false">
      <c r="A80" s="15" t="n">
        <v>43354</v>
      </c>
      <c r="B80" s="3" t="n">
        <v>69</v>
      </c>
      <c r="C80" s="3" t="n">
        <v>200</v>
      </c>
      <c r="D80" s="26" t="n">
        <v>63</v>
      </c>
      <c r="E80" s="26" t="n">
        <v>55.4054054054054</v>
      </c>
      <c r="J80" s="28"/>
      <c r="K80" s="28"/>
      <c r="L80" s="28"/>
      <c r="M80" s="29"/>
      <c r="N80" s="28"/>
      <c r="O80" s="28"/>
    </row>
    <row r="81" customFormat="false" ht="30" hidden="false" customHeight="true" outlineLevel="0" collapsed="false">
      <c r="A81" s="30" t="n">
        <v>43361</v>
      </c>
      <c r="B81" s="31" t="n">
        <v>70</v>
      </c>
      <c r="C81" s="31" t="n">
        <v>200</v>
      </c>
      <c r="D81" s="32" t="n">
        <v>63</v>
      </c>
      <c r="E81" s="32" t="n">
        <v>59.4594594594595</v>
      </c>
      <c r="J81" s="28"/>
      <c r="K81" s="28"/>
      <c r="L81" s="28"/>
      <c r="M81" s="29"/>
      <c r="N81" s="28"/>
      <c r="O81" s="28"/>
    </row>
    <row r="82" customFormat="false" ht="30" hidden="false" customHeight="true" outlineLevel="0" collapsed="false">
      <c r="A82" s="15" t="n">
        <v>43369</v>
      </c>
      <c r="B82" s="3" t="n">
        <v>71</v>
      </c>
      <c r="C82" s="3" t="n">
        <v>100</v>
      </c>
      <c r="D82" s="26" t="n">
        <v>72</v>
      </c>
      <c r="E82" s="26" t="n">
        <v>82.1428571428571</v>
      </c>
      <c r="J82" s="28"/>
      <c r="K82" s="28"/>
      <c r="L82" s="28"/>
      <c r="M82" s="29"/>
      <c r="N82" s="28"/>
      <c r="O82" s="28"/>
    </row>
    <row r="83" customFormat="false" ht="30" hidden="false" customHeight="true" outlineLevel="0" collapsed="false">
      <c r="A83" s="30" t="n">
        <v>43389</v>
      </c>
      <c r="B83" s="31" t="n">
        <v>72</v>
      </c>
      <c r="C83" s="31" t="n">
        <v>100</v>
      </c>
      <c r="D83" s="32" t="n">
        <v>69</v>
      </c>
      <c r="E83" s="32" t="n">
        <v>48.3870967741936</v>
      </c>
      <c r="J83" s="28"/>
      <c r="K83" s="28"/>
      <c r="L83" s="28"/>
      <c r="M83" s="29"/>
      <c r="N83" s="28"/>
      <c r="O83" s="28"/>
    </row>
    <row r="84" customFormat="false" ht="30" hidden="false" customHeight="true" outlineLevel="0" collapsed="false">
      <c r="A84" s="15" t="n">
        <v>43396</v>
      </c>
      <c r="B84" s="3" t="n">
        <v>73</v>
      </c>
      <c r="C84" s="3" t="n">
        <v>100</v>
      </c>
      <c r="D84" s="26" t="n">
        <v>72</v>
      </c>
      <c r="E84" s="26" t="n">
        <v>75</v>
      </c>
      <c r="J84" s="28"/>
      <c r="K84" s="28"/>
      <c r="L84" s="28"/>
      <c r="M84" s="29"/>
      <c r="N84" s="28"/>
      <c r="O84" s="28"/>
    </row>
    <row r="85" customFormat="false" ht="30" hidden="false" customHeight="true" outlineLevel="0" collapsed="false">
      <c r="A85" s="30" t="n">
        <v>43403</v>
      </c>
      <c r="B85" s="31" t="n">
        <v>74</v>
      </c>
      <c r="C85" s="31" t="n">
        <v>100</v>
      </c>
      <c r="D85" s="32" t="n">
        <v>65</v>
      </c>
      <c r="E85" s="32" t="n">
        <v>77.1428571428571</v>
      </c>
      <c r="J85" s="28"/>
      <c r="K85" s="28"/>
      <c r="L85" s="28"/>
      <c r="M85" s="29"/>
      <c r="N85" s="28"/>
      <c r="O85" s="28"/>
    </row>
    <row r="86" customFormat="false" ht="30" hidden="false" customHeight="true" outlineLevel="0" collapsed="false">
      <c r="A86" s="15" t="n">
        <v>43410</v>
      </c>
      <c r="B86" s="3" t="n">
        <v>75</v>
      </c>
      <c r="C86" s="3" t="n">
        <v>100</v>
      </c>
      <c r="D86" s="26" t="n">
        <v>77</v>
      </c>
      <c r="E86" s="26" t="n">
        <v>60.8695652173913</v>
      </c>
      <c r="J86" s="28"/>
      <c r="K86" s="28"/>
      <c r="L86" s="28"/>
      <c r="M86" s="29"/>
      <c r="N86" s="28"/>
      <c r="O86" s="28"/>
    </row>
    <row r="87" customFormat="false" ht="30" hidden="false" customHeight="true" outlineLevel="0" collapsed="false">
      <c r="A87" s="30" t="n">
        <v>43417</v>
      </c>
      <c r="B87" s="31" t="n">
        <v>76</v>
      </c>
      <c r="C87" s="31" t="n">
        <v>100</v>
      </c>
      <c r="D87" s="32" t="n">
        <v>59</v>
      </c>
      <c r="E87" s="32" t="n">
        <v>70.7317073170732</v>
      </c>
      <c r="J87" s="28"/>
      <c r="K87" s="28"/>
      <c r="L87" s="28"/>
      <c r="M87" s="29"/>
      <c r="N87" s="28"/>
      <c r="O87" s="28"/>
    </row>
    <row r="88" customFormat="false" ht="30" hidden="false" customHeight="true" outlineLevel="0" collapsed="false">
      <c r="A88" s="15" t="n">
        <v>43439</v>
      </c>
      <c r="B88" s="3" t="n">
        <v>77</v>
      </c>
      <c r="C88" s="3" t="n">
        <v>100</v>
      </c>
      <c r="D88" s="26" t="n">
        <v>61</v>
      </c>
      <c r="E88" s="26" t="n">
        <v>71.7948717948718</v>
      </c>
      <c r="J88" s="28"/>
      <c r="K88" s="28"/>
      <c r="L88" s="28"/>
      <c r="M88" s="29"/>
      <c r="N88" s="28"/>
      <c r="O88" s="28"/>
    </row>
    <row r="89" customFormat="false" ht="30" hidden="false" customHeight="true" outlineLevel="0" collapsed="false">
      <c r="A89" s="30" t="n">
        <v>43445</v>
      </c>
      <c r="B89" s="31" t="n">
        <v>78</v>
      </c>
      <c r="C89" s="31" t="n">
        <v>100</v>
      </c>
      <c r="D89" s="32" t="n">
        <v>60</v>
      </c>
      <c r="E89" s="32" t="n">
        <v>73.6842105263158</v>
      </c>
      <c r="J89" s="28"/>
      <c r="K89" s="28"/>
      <c r="L89" s="28"/>
      <c r="M89" s="29"/>
      <c r="N89" s="28"/>
      <c r="O89" s="28"/>
    </row>
    <row r="90" customFormat="false" ht="30" hidden="false" customHeight="true" outlineLevel="0" collapsed="false">
      <c r="A90" s="15" t="n">
        <v>43452</v>
      </c>
      <c r="B90" s="3" t="n">
        <v>79</v>
      </c>
      <c r="C90" s="3" t="n">
        <v>100</v>
      </c>
      <c r="D90" s="26" t="n">
        <v>62</v>
      </c>
      <c r="E90" s="26" t="n">
        <v>84.2105263157895</v>
      </c>
      <c r="J90" s="28"/>
      <c r="K90" s="28"/>
      <c r="L90" s="28"/>
      <c r="M90" s="29"/>
      <c r="N90" s="28"/>
      <c r="O90" s="28"/>
    </row>
    <row r="91" customFormat="false" ht="30" hidden="false" customHeight="true" outlineLevel="0" collapsed="false">
      <c r="A91" s="30" t="n">
        <v>43467</v>
      </c>
      <c r="B91" s="31" t="n">
        <v>80</v>
      </c>
      <c r="C91" s="31" t="n">
        <v>100</v>
      </c>
      <c r="D91" s="32" t="n">
        <v>56</v>
      </c>
      <c r="E91" s="32" t="n">
        <v>70.4545454545455</v>
      </c>
      <c r="J91" s="28"/>
      <c r="K91" s="28"/>
      <c r="L91" s="28"/>
      <c r="M91" s="29"/>
      <c r="N91" s="28"/>
      <c r="O91" s="28"/>
    </row>
    <row r="92" customFormat="false" ht="30" hidden="false" customHeight="true" outlineLevel="0" collapsed="false">
      <c r="A92" s="15" t="n">
        <v>43473</v>
      </c>
      <c r="B92" s="3" t="n">
        <v>81</v>
      </c>
      <c r="C92" s="3" t="n">
        <v>100</v>
      </c>
      <c r="D92" s="26" t="n">
        <v>57</v>
      </c>
      <c r="E92" s="26" t="n">
        <v>65.1162790697674</v>
      </c>
      <c r="J92" s="28"/>
      <c r="K92" s="28"/>
      <c r="L92" s="28"/>
      <c r="M92" s="29"/>
      <c r="N92" s="28"/>
      <c r="O92" s="28"/>
    </row>
    <row r="93" customFormat="false" ht="30" hidden="false" customHeight="true" outlineLevel="0" collapsed="false">
      <c r="A93" s="30" t="n">
        <v>43487</v>
      </c>
      <c r="B93" s="31" t="n">
        <v>82</v>
      </c>
      <c r="C93" s="31" t="n">
        <v>100</v>
      </c>
      <c r="D93" s="32" t="n">
        <v>65</v>
      </c>
      <c r="E93" s="32" t="n">
        <v>71.4285714285714</v>
      </c>
      <c r="J93" s="28"/>
      <c r="K93" s="28"/>
      <c r="L93" s="28"/>
      <c r="M93" s="29"/>
      <c r="N93" s="28"/>
      <c r="O93" s="28"/>
    </row>
    <row r="94" customFormat="false" ht="30" hidden="false" customHeight="true" outlineLevel="0" collapsed="false">
      <c r="A94" s="15" t="n">
        <v>43673</v>
      </c>
      <c r="B94" s="3" t="n">
        <v>83</v>
      </c>
      <c r="C94" s="3" t="n">
        <v>100</v>
      </c>
      <c r="D94" s="26" t="n">
        <v>47</v>
      </c>
      <c r="E94" s="26" t="n">
        <v>79.2452830188679</v>
      </c>
      <c r="J94" s="28"/>
      <c r="K94" s="28"/>
      <c r="L94" s="28"/>
      <c r="M94" s="29"/>
      <c r="N94" s="28"/>
      <c r="O94" s="28"/>
    </row>
    <row r="95" customFormat="false" ht="30" hidden="false" customHeight="true" outlineLevel="0" collapsed="false">
      <c r="A95" s="30" t="n">
        <v>43710</v>
      </c>
      <c r="B95" s="31" t="n">
        <v>84</v>
      </c>
      <c r="C95" s="31" t="n">
        <v>100</v>
      </c>
      <c r="D95" s="32" t="n">
        <v>54</v>
      </c>
      <c r="E95" s="32" t="n">
        <v>78.2608695652174</v>
      </c>
      <c r="J95" s="28"/>
      <c r="K95" s="28"/>
      <c r="L95" s="28"/>
      <c r="M95" s="29"/>
      <c r="N95" s="28"/>
      <c r="O95" s="28"/>
    </row>
    <row r="96" customFormat="false" ht="30" hidden="false" customHeight="true" outlineLevel="0" collapsed="false">
      <c r="A96" s="15" t="n">
        <v>43756</v>
      </c>
      <c r="B96" s="3" t="n">
        <v>85</v>
      </c>
      <c r="C96" s="3" t="n">
        <v>100</v>
      </c>
      <c r="D96" s="26" t="n">
        <v>56</v>
      </c>
      <c r="E96" s="26" t="n">
        <v>61.3636363636364</v>
      </c>
      <c r="J96" s="28"/>
      <c r="K96" s="28"/>
      <c r="L96" s="28"/>
      <c r="M96" s="29"/>
      <c r="N96" s="28"/>
      <c r="O96" s="28"/>
    </row>
    <row r="97" customFormat="false" ht="30" hidden="false" customHeight="true" outlineLevel="0" collapsed="false">
      <c r="A97" s="30" t="n">
        <v>43871</v>
      </c>
      <c r="B97" s="31" t="n">
        <v>86</v>
      </c>
      <c r="C97" s="31" t="n">
        <v>100</v>
      </c>
      <c r="D97" s="32" t="n">
        <v>55</v>
      </c>
      <c r="E97" s="32" t="n">
        <v>55.5555555555556</v>
      </c>
      <c r="J97" s="28"/>
      <c r="K97" s="28"/>
      <c r="L97" s="28"/>
      <c r="M97" s="29"/>
      <c r="N97" s="28"/>
      <c r="O97" s="28"/>
    </row>
    <row r="98" customFormat="false" ht="30" hidden="false" customHeight="true" outlineLevel="0" collapsed="false">
      <c r="A98" s="15" t="n">
        <v>43887</v>
      </c>
      <c r="B98" s="3" t="n">
        <v>87</v>
      </c>
      <c r="C98" s="3" t="n">
        <v>100</v>
      </c>
      <c r="D98" s="26" t="n">
        <v>59</v>
      </c>
      <c r="E98" s="26" t="n">
        <v>63.4146341463415</v>
      </c>
      <c r="J98" s="28"/>
      <c r="K98" s="28"/>
      <c r="L98" s="28"/>
      <c r="M98" s="29"/>
      <c r="N98" s="28"/>
      <c r="O98" s="28"/>
    </row>
    <row r="99" customFormat="false" ht="30" hidden="false" customHeight="true" outlineLevel="0" collapsed="false">
      <c r="A99" s="30" t="n">
        <v>43900</v>
      </c>
      <c r="B99" s="31" t="n">
        <v>88</v>
      </c>
      <c r="C99" s="31" t="n">
        <v>100</v>
      </c>
      <c r="D99" s="32" t="n">
        <v>52</v>
      </c>
      <c r="E99" s="32" t="n">
        <v>56.25</v>
      </c>
      <c r="J99" s="28"/>
      <c r="K99" s="28"/>
      <c r="L99" s="28"/>
      <c r="M99" s="29"/>
      <c r="N99" s="28"/>
      <c r="O99" s="28"/>
    </row>
    <row r="100" customFormat="false" ht="30" hidden="false" customHeight="true" outlineLevel="0" collapsed="false">
      <c r="A100" s="30" t="n">
        <v>43985</v>
      </c>
      <c r="B100" s="31" t="n">
        <v>90</v>
      </c>
      <c r="C100" s="31" t="n">
        <v>100</v>
      </c>
      <c r="D100" s="32" t="n">
        <v>50</v>
      </c>
      <c r="E100" s="32" t="n">
        <v>50</v>
      </c>
      <c r="J100" s="28"/>
      <c r="K100" s="28"/>
      <c r="L100" s="28"/>
      <c r="M100" s="29"/>
      <c r="N100" s="28"/>
      <c r="O100" s="28"/>
    </row>
    <row r="101" customFormat="false" ht="30" hidden="false" customHeight="true" outlineLevel="0" collapsed="false">
      <c r="A101" s="15" t="n">
        <v>44007</v>
      </c>
      <c r="B101" s="3" t="n">
        <v>91</v>
      </c>
      <c r="C101" s="3" t="n">
        <v>100</v>
      </c>
      <c r="D101" s="26" t="n">
        <v>50</v>
      </c>
      <c r="E101" s="26" t="n">
        <v>56</v>
      </c>
      <c r="J101" s="28"/>
      <c r="K101" s="28"/>
      <c r="L101" s="28"/>
      <c r="M101" s="29"/>
      <c r="N101" s="28"/>
      <c r="O101" s="28"/>
    </row>
    <row r="102" customFormat="false" ht="30" hidden="false" customHeight="true" outlineLevel="0" collapsed="false">
      <c r="A102" s="30" t="n">
        <v>44026</v>
      </c>
      <c r="B102" s="31" t="n">
        <v>92</v>
      </c>
      <c r="C102" s="31" t="n">
        <v>100</v>
      </c>
      <c r="D102" s="32" t="n">
        <v>60</v>
      </c>
      <c r="E102" s="32" t="n">
        <v>77.5</v>
      </c>
      <c r="J102" s="28"/>
      <c r="K102" s="28"/>
      <c r="L102" s="28"/>
      <c r="M102" s="29"/>
      <c r="N102" s="28"/>
      <c r="O102" s="28"/>
    </row>
    <row r="103" customFormat="false" ht="30" hidden="false" customHeight="true" outlineLevel="0" collapsed="false">
      <c r="A103" s="15" t="n">
        <v>44034</v>
      </c>
      <c r="B103" s="3" t="n">
        <v>93</v>
      </c>
      <c r="C103" s="3" t="n">
        <v>100</v>
      </c>
      <c r="D103" s="26" t="n">
        <v>50</v>
      </c>
      <c r="E103" s="26" t="n">
        <v>48</v>
      </c>
      <c r="J103" s="28"/>
      <c r="K103" s="28"/>
      <c r="L103" s="28"/>
      <c r="M103" s="29"/>
      <c r="N103" s="28"/>
      <c r="O103" s="28"/>
    </row>
    <row r="104" customFormat="false" ht="30" hidden="false" customHeight="true" outlineLevel="0" collapsed="false">
      <c r="A104" s="30" t="n">
        <v>44047</v>
      </c>
      <c r="B104" s="31" t="n">
        <v>94</v>
      </c>
      <c r="C104" s="31" t="n">
        <v>100</v>
      </c>
      <c r="D104" s="32" t="n">
        <v>52</v>
      </c>
      <c r="E104" s="32" t="n">
        <v>64.5833333333333</v>
      </c>
      <c r="J104" s="28"/>
      <c r="K104" s="28"/>
      <c r="L104" s="28"/>
      <c r="M104" s="29"/>
      <c r="N104" s="28"/>
      <c r="O104" s="28"/>
    </row>
    <row r="105" customFormat="false" ht="30" hidden="false" customHeight="true" outlineLevel="0" collapsed="false">
      <c r="A105" s="15" t="n">
        <v>44187</v>
      </c>
      <c r="B105" s="3" t="n">
        <v>95</v>
      </c>
      <c r="C105" s="3" t="n">
        <v>100</v>
      </c>
      <c r="D105" s="26" t="n">
        <v>56</v>
      </c>
      <c r="E105" s="26" t="n">
        <v>63.6363636363636</v>
      </c>
      <c r="J105" s="28"/>
      <c r="K105" s="28"/>
      <c r="L105" s="28"/>
      <c r="M105" s="29"/>
      <c r="N105" s="28"/>
      <c r="O105" s="28"/>
    </row>
    <row r="106" customFormat="false" ht="30" hidden="false" customHeight="true" outlineLevel="0" collapsed="false">
      <c r="A106" s="30" t="n">
        <v>44194</v>
      </c>
      <c r="B106" s="31" t="n">
        <v>96</v>
      </c>
      <c r="C106" s="31" t="n">
        <v>100</v>
      </c>
      <c r="D106" s="32" t="n">
        <v>55</v>
      </c>
      <c r="E106" s="32" t="n">
        <v>71.1111111111111</v>
      </c>
      <c r="J106" s="28"/>
      <c r="K106" s="28"/>
      <c r="L106" s="28"/>
      <c r="M106" s="29"/>
      <c r="N106" s="28"/>
      <c r="O106" s="28"/>
    </row>
    <row r="107" customFormat="false" ht="30" hidden="false" customHeight="true" outlineLevel="0" collapsed="false">
      <c r="A107" s="15" t="n">
        <v>44229</v>
      </c>
      <c r="B107" s="3" t="n">
        <v>97</v>
      </c>
      <c r="C107" s="3" t="n">
        <v>100</v>
      </c>
      <c r="D107" s="3" t="n">
        <v>62</v>
      </c>
      <c r="E107" s="26" t="n">
        <v>50</v>
      </c>
      <c r="J107" s="28"/>
      <c r="K107" s="28"/>
      <c r="L107" s="28"/>
      <c r="M107" s="29"/>
      <c r="N107" s="28"/>
      <c r="O107" s="28"/>
    </row>
    <row r="108" customFormat="false" ht="30" hidden="false" customHeight="true" outlineLevel="0" collapsed="false">
      <c r="A108" s="30" t="n">
        <v>44236</v>
      </c>
      <c r="B108" s="31" t="n">
        <v>98</v>
      </c>
      <c r="C108" s="31" t="n">
        <v>100</v>
      </c>
      <c r="D108" s="32" t="n">
        <v>55</v>
      </c>
      <c r="E108" s="32"/>
      <c r="J108" s="28"/>
      <c r="K108" s="28"/>
      <c r="L108" s="28"/>
      <c r="M108" s="29"/>
      <c r="N108" s="28"/>
      <c r="O108" s="28"/>
    </row>
    <row r="109" customFormat="false" ht="30" hidden="false" customHeight="true" outlineLevel="0" collapsed="false">
      <c r="A109" s="15" t="n">
        <v>44250</v>
      </c>
      <c r="B109" s="3" t="n">
        <v>99</v>
      </c>
      <c r="C109" s="3"/>
      <c r="D109" s="3" t="n">
        <v>52</v>
      </c>
      <c r="E109" s="26" t="n">
        <v>63</v>
      </c>
      <c r="J109" s="28"/>
      <c r="K109" s="28"/>
      <c r="L109" s="28"/>
      <c r="M109" s="29"/>
      <c r="N109" s="28"/>
      <c r="O109" s="28"/>
    </row>
    <row r="110" customFormat="false" ht="30" hidden="false" customHeight="true" outlineLevel="0" collapsed="false">
      <c r="A110" s="30" t="n">
        <v>44461</v>
      </c>
      <c r="B110" s="31" t="n">
        <v>100</v>
      </c>
      <c r="C110" s="31"/>
      <c r="D110" s="32" t="n">
        <v>45</v>
      </c>
      <c r="E110" s="32" t="n">
        <v>47.2727272727273</v>
      </c>
      <c r="F110" s="34"/>
      <c r="G110" s="35"/>
      <c r="H110" s="35"/>
      <c r="I110" s="35"/>
      <c r="J110" s="28"/>
      <c r="K110" s="28"/>
      <c r="L110" s="28"/>
      <c r="M110" s="29"/>
      <c r="N110" s="28"/>
      <c r="O110" s="28"/>
    </row>
    <row r="111" customFormat="false" ht="30" hidden="false" customHeight="true" outlineLevel="0" collapsed="false">
      <c r="A111" s="15" t="n">
        <v>44462</v>
      </c>
      <c r="B111" s="3" t="n">
        <v>101</v>
      </c>
      <c r="C111" s="3"/>
      <c r="D111" s="3" t="n">
        <v>51</v>
      </c>
      <c r="E111" s="26" t="n">
        <v>50</v>
      </c>
      <c r="J111" s="28"/>
      <c r="K111" s="28"/>
      <c r="L111" s="28"/>
      <c r="M111" s="29"/>
      <c r="N111" s="28"/>
      <c r="O111" s="28"/>
    </row>
    <row r="112" customFormat="false" ht="30" hidden="false" customHeight="true" outlineLevel="0" collapsed="false">
      <c r="A112" s="30" t="n">
        <v>44463</v>
      </c>
      <c r="B112" s="31" t="n">
        <v>102</v>
      </c>
      <c r="C112" s="31"/>
      <c r="D112" s="32" t="n">
        <v>53</v>
      </c>
      <c r="E112" s="32" t="n">
        <v>57.4468085106383</v>
      </c>
      <c r="J112" s="28"/>
      <c r="K112" s="28"/>
      <c r="L112" s="28"/>
      <c r="M112" s="29"/>
      <c r="N112" s="28"/>
      <c r="O112" s="28"/>
    </row>
    <row r="113" customFormat="false" ht="30" hidden="false" customHeight="true" outlineLevel="0" collapsed="false">
      <c r="A113" s="15" t="n">
        <v>44463</v>
      </c>
      <c r="B113" s="3" t="n">
        <v>103</v>
      </c>
      <c r="C113" s="3"/>
      <c r="D113" s="3" t="n">
        <v>80</v>
      </c>
      <c r="E113" s="26" t="n">
        <v>40</v>
      </c>
      <c r="J113" s="28"/>
      <c r="K113" s="28"/>
      <c r="L113" s="28"/>
      <c r="M113" s="29"/>
      <c r="N113" s="28"/>
      <c r="O113" s="28"/>
    </row>
    <row r="114" customFormat="false" ht="30" hidden="false" customHeight="true" outlineLevel="0" collapsed="false">
      <c r="A114" s="30" t="n">
        <v>44463</v>
      </c>
      <c r="B114" s="31" t="n">
        <v>104</v>
      </c>
      <c r="C114" s="31"/>
      <c r="D114" s="32" t="n">
        <v>43</v>
      </c>
      <c r="E114" s="32" t="n">
        <v>38.5964912280702</v>
      </c>
      <c r="J114" s="28"/>
      <c r="K114" s="28"/>
      <c r="L114" s="28"/>
      <c r="M114" s="29"/>
      <c r="N114" s="28"/>
      <c r="O114" s="28"/>
    </row>
    <row r="115" customFormat="false" ht="30" hidden="false" customHeight="true" outlineLevel="0" collapsed="false">
      <c r="A115" s="15" t="n">
        <v>44464</v>
      </c>
      <c r="B115" s="3" t="n">
        <v>105</v>
      </c>
      <c r="C115" s="3"/>
      <c r="D115" s="3" t="n">
        <v>60</v>
      </c>
      <c r="E115" s="26" t="n">
        <v>67.5</v>
      </c>
      <c r="J115" s="28"/>
      <c r="K115" s="28"/>
      <c r="L115" s="28"/>
      <c r="M115" s="29"/>
      <c r="N115" s="28"/>
      <c r="O115" s="28"/>
    </row>
    <row r="116" customFormat="false" ht="30" hidden="false" customHeight="true" outlineLevel="0" collapsed="false">
      <c r="A116" s="30" t="n">
        <v>44465</v>
      </c>
      <c r="B116" s="31" t="n">
        <v>106</v>
      </c>
      <c r="C116" s="31"/>
      <c r="D116" s="32" t="n">
        <v>61</v>
      </c>
      <c r="E116" s="32" t="n">
        <v>51.2820512820513</v>
      </c>
      <c r="J116" s="28"/>
      <c r="K116" s="28"/>
      <c r="L116" s="28"/>
      <c r="M116" s="29"/>
      <c r="N116" s="28"/>
      <c r="O116" s="28"/>
    </row>
    <row r="117" customFormat="false" ht="30" hidden="false" customHeight="true" outlineLevel="0" collapsed="false">
      <c r="A117" s="15" t="n">
        <v>44466</v>
      </c>
      <c r="B117" s="3" t="n">
        <v>107</v>
      </c>
      <c r="C117" s="3"/>
      <c r="D117" s="3" t="n">
        <v>55</v>
      </c>
      <c r="E117" s="26" t="n">
        <v>47.7272727272727</v>
      </c>
      <c r="J117" s="28"/>
      <c r="K117" s="28"/>
      <c r="L117" s="28"/>
      <c r="M117" s="29"/>
      <c r="N117" s="28"/>
      <c r="O117" s="28"/>
    </row>
    <row r="118" customFormat="false" ht="30" hidden="false" customHeight="true" outlineLevel="0" collapsed="false">
      <c r="A118" s="30" t="n">
        <v>44466</v>
      </c>
      <c r="B118" s="31" t="n">
        <v>108</v>
      </c>
      <c r="C118" s="31"/>
      <c r="D118" s="32" t="n">
        <v>47</v>
      </c>
      <c r="E118" s="32" t="n">
        <v>40</v>
      </c>
      <c r="J118" s="28"/>
      <c r="K118" s="28"/>
      <c r="L118" s="28"/>
      <c r="M118" s="29"/>
      <c r="N118" s="28"/>
      <c r="O118" s="28"/>
    </row>
    <row r="119" customFormat="false" ht="30" hidden="false" customHeight="true" outlineLevel="0" collapsed="false">
      <c r="A119" s="15" t="n">
        <v>44467</v>
      </c>
      <c r="B119" s="3" t="n">
        <v>109</v>
      </c>
      <c r="C119" s="3"/>
      <c r="D119" s="3" t="n">
        <v>53</v>
      </c>
      <c r="E119" s="26" t="n">
        <v>44.6808510638298</v>
      </c>
      <c r="J119" s="28"/>
      <c r="K119" s="28"/>
      <c r="L119" s="28"/>
      <c r="M119" s="29"/>
      <c r="N119" s="28"/>
      <c r="O119" s="28"/>
    </row>
    <row r="120" customFormat="false" ht="30" hidden="false" customHeight="true" outlineLevel="0" collapsed="false">
      <c r="A120" s="30" t="n">
        <v>44468</v>
      </c>
      <c r="B120" s="31" t="n">
        <v>110</v>
      </c>
      <c r="C120" s="31"/>
      <c r="D120" s="32" t="n">
        <v>43</v>
      </c>
      <c r="E120" s="32" t="n">
        <v>50</v>
      </c>
      <c r="J120" s="28"/>
      <c r="K120" s="28"/>
      <c r="L120" s="28"/>
      <c r="M120" s="29"/>
      <c r="N120" s="28"/>
      <c r="O120" s="28"/>
    </row>
    <row r="121" customFormat="false" ht="30" hidden="false" customHeight="true" outlineLevel="0" collapsed="false">
      <c r="A121" s="15" t="n">
        <v>44469</v>
      </c>
      <c r="B121" s="3" t="n">
        <v>111</v>
      </c>
      <c r="C121" s="3"/>
      <c r="D121" s="3" t="n">
        <v>48</v>
      </c>
      <c r="E121" s="26" t="n">
        <v>51.9230769230769</v>
      </c>
      <c r="J121" s="28"/>
      <c r="K121" s="28"/>
      <c r="L121" s="28"/>
      <c r="M121" s="29"/>
      <c r="N121" s="28"/>
      <c r="O121" s="28"/>
    </row>
    <row r="122" customFormat="false" ht="30" hidden="false" customHeight="true" outlineLevel="0" collapsed="false">
      <c r="A122" s="30" t="n">
        <v>44469</v>
      </c>
      <c r="B122" s="31" t="n">
        <v>112</v>
      </c>
      <c r="C122" s="31"/>
      <c r="D122" s="32" t="n">
        <v>47</v>
      </c>
      <c r="E122" s="32" t="n">
        <v>31.3725490196078</v>
      </c>
      <c r="J122" s="28"/>
      <c r="K122" s="28"/>
      <c r="L122" s="28"/>
      <c r="M122" s="29"/>
      <c r="N122" s="28"/>
      <c r="O122" s="28"/>
    </row>
    <row r="123" customFormat="false" ht="30" hidden="false" customHeight="true" outlineLevel="0" collapsed="false">
      <c r="A123" s="15" t="n">
        <v>44470</v>
      </c>
      <c r="B123" s="3" t="n">
        <v>113</v>
      </c>
      <c r="C123" s="3"/>
      <c r="D123" s="3" t="n">
        <v>55</v>
      </c>
      <c r="E123" s="26" t="n">
        <v>60</v>
      </c>
      <c r="J123" s="28"/>
      <c r="K123" s="28"/>
      <c r="L123" s="28"/>
      <c r="M123" s="29"/>
      <c r="N123" s="28"/>
      <c r="O123" s="28"/>
    </row>
    <row r="124" customFormat="false" ht="30" hidden="false" customHeight="true" outlineLevel="0" collapsed="false">
      <c r="A124" s="30" t="n">
        <v>44471</v>
      </c>
      <c r="B124" s="31" t="n">
        <v>114</v>
      </c>
      <c r="C124" s="31"/>
      <c r="D124" s="32" t="n">
        <v>48</v>
      </c>
      <c r="E124" s="32" t="n">
        <v>61.5384615384615</v>
      </c>
      <c r="J124" s="28"/>
      <c r="K124" s="28"/>
      <c r="L124" s="28"/>
      <c r="M124" s="29"/>
      <c r="N124" s="28"/>
      <c r="O124" s="28"/>
    </row>
    <row r="125" customFormat="false" ht="30" hidden="false" customHeight="true" outlineLevel="0" collapsed="false">
      <c r="A125" s="15" t="n">
        <v>44472</v>
      </c>
      <c r="B125" s="3" t="n">
        <v>115</v>
      </c>
      <c r="C125" s="3"/>
      <c r="D125" s="3" t="n">
        <v>58</v>
      </c>
      <c r="E125" s="26" t="n">
        <v>65</v>
      </c>
      <c r="J125" s="28"/>
      <c r="K125" s="28"/>
      <c r="L125" s="28"/>
      <c r="M125" s="29"/>
      <c r="N125" s="28"/>
      <c r="O125" s="28"/>
    </row>
    <row r="126" customFormat="false" ht="30" hidden="false" customHeight="true" outlineLevel="0" collapsed="false">
      <c r="A126" s="30" t="n">
        <v>44473</v>
      </c>
      <c r="B126" s="31" t="n">
        <v>116</v>
      </c>
      <c r="C126" s="31"/>
      <c r="D126" s="32" t="n">
        <v>52</v>
      </c>
      <c r="E126" s="32" t="n">
        <v>55.3191489361702</v>
      </c>
    </row>
    <row r="127" customFormat="false" ht="30" hidden="false" customHeight="true" outlineLevel="0" collapsed="false">
      <c r="A127" s="15" t="n">
        <v>44474</v>
      </c>
      <c r="B127" s="3" t="n">
        <v>117</v>
      </c>
      <c r="C127" s="3"/>
      <c r="D127" s="3" t="n">
        <v>51</v>
      </c>
      <c r="E127" s="26" t="n">
        <v>47.0588235294118</v>
      </c>
    </row>
    <row r="128" customFormat="false" ht="30" hidden="false" customHeight="true" outlineLevel="0" collapsed="false">
      <c r="A128" s="30" t="n">
        <v>44475</v>
      </c>
      <c r="B128" s="31" t="n">
        <v>118</v>
      </c>
      <c r="C128" s="31"/>
      <c r="D128" s="32" t="n">
        <v>60</v>
      </c>
      <c r="E128" s="32" t="n">
        <v>55</v>
      </c>
    </row>
    <row r="129" customFormat="false" ht="30" hidden="false" customHeight="true" outlineLevel="0" collapsed="false">
      <c r="A129" s="15" t="n">
        <v>44477</v>
      </c>
      <c r="B129" s="3" t="n">
        <v>119</v>
      </c>
      <c r="C129" s="3"/>
      <c r="D129" s="3" t="n">
        <v>47</v>
      </c>
      <c r="E129" s="26" t="n">
        <v>35.8490566037736</v>
      </c>
    </row>
    <row r="130" customFormat="false" ht="30" hidden="false" customHeight="true" outlineLevel="0" collapsed="false">
      <c r="A130" s="30" t="n">
        <v>44478</v>
      </c>
      <c r="B130" s="31" t="n">
        <v>120</v>
      </c>
      <c r="C130" s="31"/>
      <c r="D130" s="32" t="n">
        <v>51</v>
      </c>
      <c r="E130" s="32" t="n">
        <v>58</v>
      </c>
    </row>
    <row r="131" customFormat="false" ht="30" hidden="false" customHeight="true" outlineLevel="0" collapsed="false">
      <c r="A131" s="15" t="n">
        <v>44479</v>
      </c>
      <c r="B131" s="3" t="n">
        <v>121</v>
      </c>
      <c r="C131" s="3"/>
      <c r="D131" s="3" t="n">
        <v>56</v>
      </c>
      <c r="E131" s="26" t="n">
        <v>61.3636363636364</v>
      </c>
    </row>
    <row r="132" customFormat="false" ht="30" hidden="false" customHeight="true" outlineLevel="0" collapsed="false">
      <c r="A132" s="30" t="n">
        <v>44480</v>
      </c>
      <c r="B132" s="31" t="n">
        <v>122</v>
      </c>
      <c r="C132" s="31"/>
      <c r="D132" s="32" t="n">
        <v>48</v>
      </c>
      <c r="E132" s="32" t="n">
        <v>42.3076923076923</v>
      </c>
    </row>
    <row r="133" customFormat="false" ht="30" hidden="false" customHeight="true" outlineLevel="0" collapsed="false">
      <c r="A133" s="15" t="n">
        <v>44481</v>
      </c>
      <c r="B133" s="3" t="n">
        <v>123</v>
      </c>
      <c r="C133" s="3"/>
      <c r="D133" s="3" t="n">
        <v>51</v>
      </c>
      <c r="E133" s="26" t="n">
        <v>58</v>
      </c>
    </row>
    <row r="134" customFormat="false" ht="30" hidden="false" customHeight="true" outlineLevel="0" collapsed="false">
      <c r="A134" s="30" t="n">
        <v>44482</v>
      </c>
      <c r="B134" s="31" t="n">
        <v>124</v>
      </c>
      <c r="C134" s="31"/>
      <c r="D134" s="32" t="n">
        <v>58</v>
      </c>
      <c r="E134" s="32" t="n">
        <v>54.7619047619048</v>
      </c>
    </row>
    <row r="135" customFormat="false" ht="30" hidden="false" customHeight="true" outlineLevel="0" collapsed="false">
      <c r="A135" s="15" t="n">
        <v>44485</v>
      </c>
      <c r="B135" s="3" t="n">
        <v>125</v>
      </c>
      <c r="C135" s="3"/>
      <c r="D135" s="3" t="n">
        <v>61</v>
      </c>
      <c r="E135" s="26" t="n">
        <v>43.5897435897436</v>
      </c>
    </row>
    <row r="136" customFormat="false" ht="30" hidden="false" customHeight="true" outlineLevel="0" collapsed="false">
      <c r="A136" s="30" t="n">
        <v>44486</v>
      </c>
      <c r="B136" s="31" t="n">
        <v>126</v>
      </c>
      <c r="C136" s="31"/>
      <c r="D136" s="32" t="n">
        <v>52</v>
      </c>
      <c r="E136" s="32" t="n">
        <v>70.8333333333333</v>
      </c>
    </row>
    <row r="137" customFormat="false" ht="30" hidden="false" customHeight="true" outlineLevel="0" collapsed="false">
      <c r="A137" s="15" t="n">
        <v>44488</v>
      </c>
      <c r="B137" s="3" t="n">
        <v>127</v>
      </c>
      <c r="C137" s="3"/>
      <c r="D137" s="3" t="n">
        <v>55</v>
      </c>
      <c r="E137" s="26" t="n">
        <v>53.3333333333333</v>
      </c>
    </row>
    <row r="138" customFormat="false" ht="30" hidden="false" customHeight="true" outlineLevel="0" collapsed="false">
      <c r="A138" s="30" t="n">
        <v>44489</v>
      </c>
      <c r="B138" s="31" t="n">
        <v>128</v>
      </c>
      <c r="C138" s="31"/>
      <c r="D138" s="32" t="n">
        <v>54</v>
      </c>
      <c r="E138" s="32" t="n">
        <v>52.1739130434783</v>
      </c>
    </row>
    <row r="139" customFormat="false" ht="30" hidden="false" customHeight="true" outlineLevel="0" collapsed="false">
      <c r="A139" s="15" t="n">
        <v>44490</v>
      </c>
      <c r="B139" s="3" t="n">
        <v>129</v>
      </c>
      <c r="C139" s="3"/>
      <c r="D139" s="3" t="n">
        <v>59</v>
      </c>
      <c r="E139" s="26" t="n">
        <v>70.7317073170732</v>
      </c>
    </row>
    <row r="140" customFormat="false" ht="30" hidden="false" customHeight="true" outlineLevel="0" collapsed="false">
      <c r="A140" s="30" t="n">
        <v>44492</v>
      </c>
      <c r="B140" s="31" t="n">
        <v>130</v>
      </c>
      <c r="C140" s="31"/>
      <c r="D140" s="32" t="n">
        <v>65</v>
      </c>
      <c r="E140" s="32" t="n">
        <v>56</v>
      </c>
    </row>
    <row r="141" customFormat="false" ht="30" hidden="false" customHeight="true" outlineLevel="0" collapsed="false">
      <c r="A141" s="15" t="n">
        <v>44493</v>
      </c>
      <c r="B141" s="3" t="n">
        <v>131</v>
      </c>
      <c r="C141" s="3"/>
      <c r="D141" s="3" t="n">
        <v>66</v>
      </c>
      <c r="E141" s="26" t="n">
        <v>67.6470588235294</v>
      </c>
    </row>
    <row r="142" customFormat="false" ht="30" hidden="false" customHeight="true" outlineLevel="0" collapsed="false">
      <c r="A142" s="30" t="n">
        <v>44494</v>
      </c>
      <c r="B142" s="31" t="n">
        <v>132</v>
      </c>
      <c r="C142" s="31"/>
      <c r="D142" s="32" t="n">
        <v>51</v>
      </c>
      <c r="E142" s="32" t="n">
        <v>57.1428571428571</v>
      </c>
    </row>
    <row r="143" customFormat="false" ht="30" hidden="false" customHeight="true" outlineLevel="0" collapsed="false">
      <c r="A143" s="15" t="n">
        <v>44496</v>
      </c>
      <c r="B143" s="3" t="n">
        <v>133</v>
      </c>
      <c r="C143" s="3"/>
      <c r="D143" s="3" t="n">
        <v>56</v>
      </c>
      <c r="E143" s="26" t="n">
        <v>60.4651162790698</v>
      </c>
    </row>
    <row r="144" customFormat="false" ht="30" hidden="false" customHeight="true" outlineLevel="0" collapsed="false">
      <c r="A144" s="30" t="n">
        <v>44497</v>
      </c>
      <c r="B144" s="31" t="n">
        <v>134</v>
      </c>
      <c r="C144" s="31"/>
      <c r="D144" s="32" t="n">
        <v>67</v>
      </c>
      <c r="E144" s="32" t="n">
        <v>62.5</v>
      </c>
    </row>
    <row r="145" customFormat="false" ht="30" hidden="false" customHeight="true" outlineLevel="0" collapsed="false">
      <c r="A145" s="15" t="n">
        <v>44498</v>
      </c>
      <c r="B145" s="3" t="n">
        <v>135</v>
      </c>
      <c r="C145" s="3"/>
      <c r="D145" s="3" t="n">
        <v>61</v>
      </c>
      <c r="E145" s="26" t="n">
        <v>69.2307692307692</v>
      </c>
    </row>
    <row r="146" customFormat="false" ht="30" hidden="false" customHeight="true" outlineLevel="0" collapsed="false">
      <c r="A146" s="30" t="n">
        <v>44499</v>
      </c>
      <c r="B146" s="31" t="n">
        <v>136</v>
      </c>
      <c r="C146" s="31"/>
      <c r="D146" s="32" t="n">
        <v>66</v>
      </c>
      <c r="E146" s="32" t="n">
        <v>54.5454545454546</v>
      </c>
    </row>
    <row r="147" customFormat="false" ht="30" hidden="false" customHeight="true" outlineLevel="0" collapsed="false">
      <c r="A147" s="15" t="n">
        <v>44500</v>
      </c>
      <c r="B147" s="3" t="n">
        <v>137</v>
      </c>
      <c r="C147" s="3"/>
      <c r="D147" s="3" t="n">
        <v>57</v>
      </c>
      <c r="E147" s="26" t="n">
        <v>51.1627906976744</v>
      </c>
    </row>
    <row r="148" customFormat="false" ht="30" hidden="false" customHeight="true" outlineLevel="0" collapsed="false">
      <c r="A148" s="30" t="n">
        <v>44501</v>
      </c>
      <c r="B148" s="31" t="n">
        <v>138</v>
      </c>
      <c r="C148" s="31"/>
      <c r="D148" s="32" t="n">
        <v>69</v>
      </c>
      <c r="E148" s="32" t="n">
        <v>61.2903225806452</v>
      </c>
    </row>
    <row r="149" customFormat="false" ht="30" hidden="false" customHeight="true" outlineLevel="0" collapsed="false">
      <c r="A149" s="15" t="n">
        <v>44502</v>
      </c>
      <c r="B149" s="3" t="n">
        <v>139</v>
      </c>
      <c r="C149" s="3"/>
      <c r="D149" s="3" t="n">
        <v>68</v>
      </c>
      <c r="E149" s="26" t="n">
        <v>67.741935483871</v>
      </c>
    </row>
    <row r="150" customFormat="false" ht="30" hidden="false" customHeight="true" outlineLevel="0" collapsed="false">
      <c r="A150" s="30" t="n">
        <v>44503</v>
      </c>
      <c r="B150" s="31" t="n">
        <v>140</v>
      </c>
      <c r="C150" s="31"/>
      <c r="D150" s="32" t="n">
        <v>64</v>
      </c>
      <c r="E150" s="32" t="n">
        <v>55</v>
      </c>
    </row>
    <row r="151" customFormat="false" ht="30" hidden="false" customHeight="true" outlineLevel="0" collapsed="false">
      <c r="A151" s="15" t="n">
        <v>44504</v>
      </c>
      <c r="B151" s="3" t="n">
        <v>141</v>
      </c>
      <c r="C151" s="3"/>
      <c r="D151" s="3" t="n">
        <v>64</v>
      </c>
      <c r="E151" s="26" t="n">
        <v>52.7777777777778</v>
      </c>
    </row>
    <row r="152" customFormat="false" ht="30" hidden="false" customHeight="true" outlineLevel="0" collapsed="false">
      <c r="A152" s="30" t="n">
        <v>44505</v>
      </c>
      <c r="B152" s="31" t="n">
        <v>142</v>
      </c>
      <c r="C152" s="31"/>
      <c r="D152" s="32" t="n">
        <v>61</v>
      </c>
      <c r="E152" s="32" t="n">
        <v>56.4102564102564</v>
      </c>
    </row>
    <row r="153" customFormat="false" ht="30" hidden="false" customHeight="true" outlineLevel="0" collapsed="false">
      <c r="A153" s="15" t="n">
        <v>44506</v>
      </c>
      <c r="B153" s="3" t="n">
        <v>143</v>
      </c>
      <c r="C153" s="3"/>
      <c r="D153" s="3" t="n">
        <v>55</v>
      </c>
      <c r="E153" s="26" t="n">
        <v>61</v>
      </c>
    </row>
    <row r="154" customFormat="false" ht="30" hidden="false" customHeight="true" outlineLevel="0" collapsed="false">
      <c r="A154" s="30" t="n">
        <v>44507</v>
      </c>
      <c r="B154" s="31" t="n">
        <v>144</v>
      </c>
      <c r="C154" s="31"/>
      <c r="D154" s="32" t="n">
        <v>73</v>
      </c>
      <c r="E154" s="32" t="n">
        <v>59.2592592592593</v>
      </c>
    </row>
    <row r="155" customFormat="false" ht="30" hidden="false" customHeight="true" outlineLevel="0" collapsed="false">
      <c r="A155" s="15" t="n">
        <v>44508</v>
      </c>
      <c r="B155" s="3" t="n">
        <v>145</v>
      </c>
      <c r="C155" s="3"/>
      <c r="D155" s="3" t="n">
        <v>62</v>
      </c>
      <c r="E155" s="26" t="n">
        <v>65.7894736842105</v>
      </c>
    </row>
    <row r="156" customFormat="false" ht="30" hidden="false" customHeight="true" outlineLevel="0" collapsed="false">
      <c r="A156" s="30" t="n">
        <v>44509</v>
      </c>
      <c r="B156" s="31" t="n">
        <v>146</v>
      </c>
      <c r="C156" s="31"/>
      <c r="D156" s="32" t="n">
        <v>56</v>
      </c>
      <c r="E156" s="32" t="n">
        <v>40.9090909090909</v>
      </c>
    </row>
    <row r="157" customFormat="false" ht="30" hidden="false" customHeight="true" outlineLevel="0" collapsed="false">
      <c r="A157" s="15" t="n">
        <v>44510</v>
      </c>
      <c r="B157" s="3" t="n">
        <v>147</v>
      </c>
      <c r="C157" s="3"/>
      <c r="D157" s="3" t="n">
        <v>64</v>
      </c>
      <c r="E157" s="26" t="n">
        <v>55.5555555555556</v>
      </c>
    </row>
    <row r="158" customFormat="false" ht="30" hidden="false" customHeight="true" outlineLevel="0" collapsed="false">
      <c r="A158" s="30" t="n">
        <v>44512</v>
      </c>
      <c r="B158" s="31" t="n">
        <v>148</v>
      </c>
      <c r="C158" s="31"/>
      <c r="D158" s="32" t="n">
        <v>55</v>
      </c>
      <c r="E158" s="32" t="n">
        <v>66.6666666666667</v>
      </c>
    </row>
    <row r="159" customFormat="false" ht="30" hidden="false" customHeight="true" outlineLevel="0" collapsed="false">
      <c r="A159" s="15" t="n">
        <v>44516</v>
      </c>
      <c r="B159" s="3" t="n">
        <v>149</v>
      </c>
      <c r="C159" s="3"/>
      <c r="D159" s="3" t="n">
        <v>62</v>
      </c>
      <c r="E159" s="26" t="n">
        <v>63.1578947368421</v>
      </c>
    </row>
    <row r="160" customFormat="false" ht="30" hidden="false" customHeight="true" outlineLevel="0" collapsed="false">
      <c r="A160" s="30" t="n">
        <v>44517</v>
      </c>
      <c r="B160" s="31" t="n">
        <v>150</v>
      </c>
      <c r="C160" s="31"/>
      <c r="D160" s="32" t="n">
        <v>64</v>
      </c>
      <c r="E160" s="32" t="n">
        <v>77.7777777777778</v>
      </c>
    </row>
    <row r="161" customFormat="false" ht="30" hidden="false" customHeight="true" outlineLevel="0" collapsed="false">
      <c r="A161" s="15" t="n">
        <v>44518</v>
      </c>
      <c r="B161" s="3" t="n">
        <v>151</v>
      </c>
      <c r="C161" s="3"/>
      <c r="D161" s="3" t="n">
        <v>65</v>
      </c>
      <c r="E161" s="26" t="n">
        <v>65.7142857142857</v>
      </c>
    </row>
    <row r="162" customFormat="false" ht="30" hidden="false" customHeight="true" outlineLevel="0" collapsed="false">
      <c r="A162" s="30" t="n">
        <v>44519</v>
      </c>
      <c r="B162" s="31" t="n">
        <v>152</v>
      </c>
      <c r="C162" s="31"/>
      <c r="D162" s="32" t="n">
        <v>63</v>
      </c>
      <c r="E162" s="32" t="n">
        <v>81.0810810810811</v>
      </c>
    </row>
    <row r="163" customFormat="false" ht="30" hidden="false" customHeight="true" outlineLevel="0" collapsed="false">
      <c r="A163" s="15" t="n">
        <v>44521</v>
      </c>
      <c r="B163" s="3" t="n">
        <v>153</v>
      </c>
      <c r="C163" s="3"/>
      <c r="D163" s="3" t="n">
        <v>67</v>
      </c>
      <c r="E163" s="26" t="n">
        <v>71.875</v>
      </c>
    </row>
    <row r="164" customFormat="false" ht="30" hidden="false" customHeight="true" outlineLevel="0" collapsed="false">
      <c r="A164" s="30" t="n">
        <v>44522</v>
      </c>
      <c r="B164" s="31" t="n">
        <v>154</v>
      </c>
      <c r="C164" s="31"/>
      <c r="D164" s="32" t="n">
        <v>64</v>
      </c>
      <c r="E164" s="32" t="n">
        <v>83.3333333333333</v>
      </c>
    </row>
    <row r="165" customFormat="false" ht="30" hidden="false" customHeight="true" outlineLevel="0" collapsed="false">
      <c r="A165" s="15" t="n">
        <v>44523</v>
      </c>
      <c r="B165" s="3" t="n">
        <v>155</v>
      </c>
      <c r="C165" s="3"/>
      <c r="D165" s="3" t="n">
        <v>69</v>
      </c>
      <c r="E165" s="26" t="n">
        <v>74.1935483870968</v>
      </c>
    </row>
    <row r="166" customFormat="false" ht="30" hidden="false" customHeight="true" outlineLevel="0" collapsed="false">
      <c r="A166" s="30" t="n">
        <v>44524</v>
      </c>
      <c r="B166" s="31" t="n">
        <v>156</v>
      </c>
      <c r="C166" s="31"/>
      <c r="D166" s="32" t="n">
        <v>63</v>
      </c>
      <c r="E166" s="32" t="n">
        <v>75</v>
      </c>
    </row>
    <row r="167" customFormat="false" ht="30" hidden="false" customHeight="true" outlineLevel="0" collapsed="false">
      <c r="A167" s="15" t="n">
        <v>44525</v>
      </c>
      <c r="B167" s="3" t="n">
        <v>157</v>
      </c>
      <c r="C167" s="3"/>
      <c r="D167" s="3" t="n">
        <v>64</v>
      </c>
      <c r="E167" s="26" t="n">
        <v>66.6666666666667</v>
      </c>
    </row>
    <row r="168" customFormat="false" ht="30" hidden="false" customHeight="true" outlineLevel="0" collapsed="false">
      <c r="A168" s="30" t="n">
        <v>44526</v>
      </c>
      <c r="B168" s="31" t="n">
        <v>158</v>
      </c>
      <c r="C168" s="31"/>
      <c r="D168" s="32" t="n">
        <v>59</v>
      </c>
      <c r="E168" s="32" t="n">
        <v>69.2307692307692</v>
      </c>
    </row>
    <row r="169" customFormat="false" ht="30" hidden="false" customHeight="true" outlineLevel="0" collapsed="false">
      <c r="A169" s="15" t="n">
        <v>44527</v>
      </c>
      <c r="B169" s="3" t="n">
        <v>159</v>
      </c>
      <c r="C169" s="3"/>
      <c r="D169" s="3" t="n">
        <v>65</v>
      </c>
      <c r="E169" s="26" t="n">
        <v>54.2857142857143</v>
      </c>
    </row>
    <row r="170" customFormat="false" ht="30" hidden="false" customHeight="true" outlineLevel="0" collapsed="false">
      <c r="A170" s="30" t="n">
        <v>44528</v>
      </c>
      <c r="B170" s="31" t="n">
        <v>160</v>
      </c>
      <c r="C170" s="31"/>
      <c r="D170" s="32" t="n">
        <v>67</v>
      </c>
      <c r="E170" s="32" t="n">
        <v>36.3636363636364</v>
      </c>
    </row>
    <row r="171" customFormat="false" ht="30" hidden="false" customHeight="true" outlineLevel="0" collapsed="false">
      <c r="A171" s="15" t="n">
        <v>44529</v>
      </c>
      <c r="B171" s="3" t="n">
        <v>161</v>
      </c>
      <c r="C171" s="3"/>
      <c r="D171" s="3" t="n">
        <v>54</v>
      </c>
      <c r="E171" s="26" t="n">
        <v>56</v>
      </c>
    </row>
    <row r="172" customFormat="false" ht="30" hidden="false" customHeight="true" outlineLevel="0" collapsed="false">
      <c r="A172" s="30" t="n">
        <v>44530</v>
      </c>
      <c r="B172" s="31" t="n">
        <v>162</v>
      </c>
      <c r="C172" s="31"/>
      <c r="D172" s="32" t="n">
        <v>59</v>
      </c>
      <c r="E172" s="32" t="n">
        <v>74.3589743589744</v>
      </c>
    </row>
    <row r="173" customFormat="false" ht="30" hidden="false" customHeight="true" outlineLevel="0" collapsed="false">
      <c r="A173" s="15" t="n">
        <v>44531</v>
      </c>
      <c r="B173" s="3" t="n">
        <v>163</v>
      </c>
      <c r="C173" s="3"/>
      <c r="D173" s="3" t="n">
        <v>66</v>
      </c>
      <c r="E173" s="26" t="n">
        <v>63</v>
      </c>
    </row>
    <row r="174" customFormat="false" ht="30" hidden="false" customHeight="true" outlineLevel="0" collapsed="false">
      <c r="A174" s="30" t="n">
        <v>44532</v>
      </c>
      <c r="B174" s="31" t="n">
        <v>164</v>
      </c>
      <c r="C174" s="31"/>
      <c r="D174" s="32" t="n">
        <v>63</v>
      </c>
      <c r="E174" s="32" t="n">
        <v>62.1621621621622</v>
      </c>
    </row>
    <row r="175" customFormat="false" ht="30" hidden="false" customHeight="true" outlineLevel="0" collapsed="false">
      <c r="A175" s="15" t="n">
        <v>44533</v>
      </c>
      <c r="B175" s="3" t="n">
        <v>165</v>
      </c>
      <c r="C175" s="3"/>
      <c r="D175" s="3" t="n">
        <v>64</v>
      </c>
      <c r="E175" s="26" t="n">
        <v>69.4444444444444</v>
      </c>
    </row>
    <row r="176" customFormat="false" ht="30" hidden="false" customHeight="true" outlineLevel="0" collapsed="false">
      <c r="A176" s="30" t="n">
        <v>44534</v>
      </c>
      <c r="B176" s="31" t="n">
        <v>166</v>
      </c>
      <c r="C176" s="31"/>
      <c r="D176" s="32" t="n">
        <v>69</v>
      </c>
      <c r="E176" s="32" t="n">
        <v>74.1935483870968</v>
      </c>
    </row>
    <row r="177" customFormat="false" ht="30" hidden="false" customHeight="true" outlineLevel="0" collapsed="false">
      <c r="A177" s="15" t="n">
        <v>44535</v>
      </c>
      <c r="B177" s="3" t="n">
        <v>167</v>
      </c>
      <c r="C177" s="3"/>
      <c r="D177" s="3" t="n">
        <v>69</v>
      </c>
      <c r="E177" s="26" t="n">
        <v>67.741935483871</v>
      </c>
    </row>
    <row r="178" customFormat="false" ht="30" hidden="false" customHeight="true" outlineLevel="0" collapsed="false">
      <c r="A178" s="30" t="n">
        <v>44536</v>
      </c>
      <c r="B178" s="31" t="n">
        <v>168</v>
      </c>
      <c r="C178" s="31"/>
      <c r="D178" s="32" t="n">
        <v>76</v>
      </c>
      <c r="E178" s="32" t="n">
        <v>79.1666666666667</v>
      </c>
    </row>
    <row r="179" customFormat="false" ht="30" hidden="false" customHeight="true" outlineLevel="0" collapsed="false">
      <c r="A179" s="15" t="n">
        <v>44537</v>
      </c>
      <c r="B179" s="3" t="n">
        <v>169</v>
      </c>
      <c r="C179" s="3"/>
      <c r="D179" s="3" t="n">
        <v>66</v>
      </c>
      <c r="E179" s="26" t="n">
        <v>76</v>
      </c>
    </row>
    <row r="180" customFormat="false" ht="30" hidden="false" customHeight="true" outlineLevel="0" collapsed="false">
      <c r="A180" s="30" t="n">
        <v>44538</v>
      </c>
      <c r="B180" s="31" t="n">
        <v>170</v>
      </c>
      <c r="C180" s="31"/>
      <c r="D180" s="32" t="n">
        <v>64</v>
      </c>
      <c r="E180" s="32" t="n">
        <v>71.4285714285714</v>
      </c>
    </row>
    <row r="181" customFormat="false" ht="30" hidden="false" customHeight="true" outlineLevel="0" collapsed="false">
      <c r="A181" s="15" t="n">
        <v>44539</v>
      </c>
      <c r="B181" s="3" t="n">
        <v>171</v>
      </c>
      <c r="C181" s="3"/>
      <c r="D181" s="3" t="n">
        <v>60</v>
      </c>
      <c r="E181" s="26" t="n">
        <v>67.5</v>
      </c>
    </row>
    <row r="182" customFormat="false" ht="30" hidden="false" customHeight="true" outlineLevel="0" collapsed="false">
      <c r="A182" s="30" t="n">
        <v>44540</v>
      </c>
      <c r="B182" s="31" t="n">
        <v>172</v>
      </c>
      <c r="C182" s="31"/>
      <c r="D182" s="32" t="n">
        <v>64</v>
      </c>
      <c r="E182" s="32" t="n">
        <v>85.7142857142857</v>
      </c>
    </row>
    <row r="183" customFormat="false" ht="30" hidden="false" customHeight="true" outlineLevel="0" collapsed="false">
      <c r="A183" s="15" t="n">
        <v>44541</v>
      </c>
      <c r="B183" s="3" t="n">
        <v>173</v>
      </c>
      <c r="C183" s="3"/>
      <c r="D183" s="3" t="n">
        <v>65</v>
      </c>
      <c r="E183" s="26" t="n">
        <v>76.4705882352941</v>
      </c>
    </row>
    <row r="184" customFormat="false" ht="30" hidden="false" customHeight="true" outlineLevel="0" collapsed="false">
      <c r="A184" s="30" t="n">
        <v>44543</v>
      </c>
      <c r="B184" s="31" t="n">
        <v>174</v>
      </c>
      <c r="C184" s="31"/>
      <c r="D184" s="32" t="n">
        <v>68</v>
      </c>
      <c r="E184" s="32" t="n">
        <v>80.6451612903226</v>
      </c>
    </row>
    <row r="185" customFormat="false" ht="30" hidden="false" customHeight="true" outlineLevel="0" collapsed="false">
      <c r="A185" s="15" t="n">
        <v>44544</v>
      </c>
      <c r="B185" s="3" t="n">
        <v>175</v>
      </c>
      <c r="C185" s="3"/>
      <c r="D185" s="3" t="n">
        <v>69</v>
      </c>
      <c r="E185" s="26" t="n">
        <v>74.1935483870968</v>
      </c>
    </row>
    <row r="186" customFormat="false" ht="30" hidden="false" customHeight="true" outlineLevel="0" collapsed="false">
      <c r="A186" s="30" t="n">
        <v>44545</v>
      </c>
      <c r="B186" s="31" t="n">
        <v>176</v>
      </c>
      <c r="C186" s="31"/>
      <c r="D186" s="32" t="n">
        <v>69</v>
      </c>
      <c r="E186" s="32" t="n">
        <v>67.741935483871</v>
      </c>
    </row>
    <row r="187" customFormat="false" ht="30" hidden="false" customHeight="true" outlineLevel="0" collapsed="false">
      <c r="A187" s="15" t="n">
        <v>44546</v>
      </c>
      <c r="B187" s="3" t="n">
        <v>177</v>
      </c>
      <c r="C187" s="3"/>
      <c r="D187" s="3" t="n">
        <v>66</v>
      </c>
      <c r="E187" s="26" t="n">
        <v>67</v>
      </c>
    </row>
    <row r="188" customFormat="false" ht="30" hidden="false" customHeight="true" outlineLevel="0" collapsed="false">
      <c r="A188" s="30" t="n">
        <v>44547</v>
      </c>
      <c r="B188" s="31" t="n">
        <v>178</v>
      </c>
      <c r="C188" s="31"/>
      <c r="D188" s="32" t="n">
        <v>67</v>
      </c>
      <c r="E188" s="32" t="n">
        <v>75.7575757575758</v>
      </c>
    </row>
    <row r="189" customFormat="false" ht="30" hidden="false" customHeight="true" outlineLevel="0" collapsed="false">
      <c r="A189" s="15" t="n">
        <v>44548</v>
      </c>
      <c r="B189" s="3" t="n">
        <v>179</v>
      </c>
      <c r="C189" s="3"/>
      <c r="D189" s="3" t="n">
        <v>69</v>
      </c>
      <c r="E189" s="26" t="n">
        <v>83.8709677419355</v>
      </c>
    </row>
    <row r="190" customFormat="false" ht="30" hidden="false" customHeight="true" outlineLevel="0" collapsed="false">
      <c r="A190" s="30" t="n">
        <v>44549</v>
      </c>
      <c r="B190" s="31" t="n">
        <v>180</v>
      </c>
      <c r="C190" s="31"/>
      <c r="D190" s="32" t="n">
        <v>75</v>
      </c>
      <c r="E190" s="32" t="n">
        <v>60</v>
      </c>
    </row>
    <row r="191" customFormat="false" ht="30" hidden="false" customHeight="true" outlineLevel="0" collapsed="false">
      <c r="A191" s="15" t="n">
        <v>44550</v>
      </c>
      <c r="B191" s="3" t="n">
        <v>181</v>
      </c>
      <c r="C191" s="3"/>
      <c r="D191" s="3" t="n">
        <v>65</v>
      </c>
      <c r="E191" s="26" t="n">
        <v>85.7142857142857</v>
      </c>
    </row>
    <row r="192" customFormat="false" ht="30" hidden="false" customHeight="true" outlineLevel="0" collapsed="false">
      <c r="A192" s="30" t="n">
        <v>44551</v>
      </c>
      <c r="B192" s="31" t="n">
        <v>182</v>
      </c>
      <c r="C192" s="31"/>
      <c r="D192" s="32" t="n">
        <v>66</v>
      </c>
      <c r="E192" s="32" t="n">
        <v>78.7878787878788</v>
      </c>
    </row>
    <row r="193" customFormat="false" ht="30" hidden="false" customHeight="true" outlineLevel="0" collapsed="false">
      <c r="A193" s="15" t="n">
        <v>44552</v>
      </c>
      <c r="B193" s="3" t="n">
        <v>183</v>
      </c>
      <c r="C193" s="3"/>
      <c r="D193" s="3" t="n">
        <v>61</v>
      </c>
      <c r="E193" s="26" t="n">
        <v>58.974358974359</v>
      </c>
    </row>
    <row r="194" customFormat="false" ht="30" hidden="false" customHeight="true" outlineLevel="0" collapsed="false">
      <c r="A194" s="30" t="n">
        <v>44553</v>
      </c>
      <c r="B194" s="31" t="n">
        <v>184</v>
      </c>
      <c r="C194" s="31"/>
      <c r="D194" s="32" t="n">
        <v>62</v>
      </c>
      <c r="E194" s="32" t="n">
        <v>62.1621621621622</v>
      </c>
    </row>
    <row r="195" customFormat="false" ht="30" hidden="false" customHeight="true" outlineLevel="0" collapsed="false">
      <c r="A195" s="15" t="n">
        <v>44554</v>
      </c>
      <c r="B195" s="3" t="n">
        <v>185</v>
      </c>
      <c r="C195" s="3"/>
      <c r="D195" s="3" t="n">
        <v>65</v>
      </c>
      <c r="E195" s="26" t="n">
        <v>47.0588235294118</v>
      </c>
    </row>
    <row r="196" customFormat="false" ht="30" hidden="false" customHeight="true" outlineLevel="0" collapsed="false">
      <c r="A196" s="30" t="n">
        <v>44555</v>
      </c>
      <c r="B196" s="31" t="n">
        <v>186</v>
      </c>
      <c r="C196" s="31"/>
      <c r="D196" s="32" t="n">
        <v>67</v>
      </c>
      <c r="E196" s="32" t="n">
        <v>68.75</v>
      </c>
    </row>
    <row r="197" customFormat="false" ht="30" hidden="false" customHeight="true" outlineLevel="0" collapsed="false">
      <c r="A197" s="15" t="n">
        <v>44556</v>
      </c>
      <c r="B197" s="3" t="n">
        <v>187</v>
      </c>
      <c r="C197" s="3"/>
      <c r="D197" s="3" t="n">
        <v>67</v>
      </c>
      <c r="E197" s="26" t="n">
        <v>56.25</v>
      </c>
    </row>
    <row r="198" customFormat="false" ht="30" hidden="false" customHeight="true" outlineLevel="0" collapsed="false">
      <c r="A198" s="30" t="n">
        <v>44558</v>
      </c>
      <c r="B198" s="31" t="n">
        <v>188</v>
      </c>
      <c r="C198" s="31"/>
      <c r="D198" s="32" t="n">
        <v>73</v>
      </c>
      <c r="E198" s="32" t="n">
        <v>76.9230769230769</v>
      </c>
    </row>
    <row r="199" customFormat="false" ht="30" hidden="false" customHeight="true" outlineLevel="0" collapsed="false">
      <c r="A199" s="15" t="n">
        <v>44559</v>
      </c>
      <c r="B199" s="3" t="n">
        <v>189</v>
      </c>
      <c r="C199" s="3"/>
      <c r="D199" s="3" t="n">
        <v>69</v>
      </c>
      <c r="E199" s="26" t="n">
        <v>82.7586206896552</v>
      </c>
    </row>
    <row r="200" customFormat="false" ht="30" hidden="false" customHeight="true" outlineLevel="0" collapsed="false">
      <c r="A200" s="30" t="n">
        <v>44560</v>
      </c>
      <c r="B200" s="31" t="n">
        <v>190</v>
      </c>
      <c r="C200" s="31"/>
      <c r="D200" s="32" t="n">
        <v>70</v>
      </c>
      <c r="E200" s="32" t="n">
        <v>73.3333333333333</v>
      </c>
    </row>
    <row r="201" customFormat="false" ht="30" hidden="false" customHeight="true" outlineLevel="0" collapsed="false">
      <c r="A201" s="15" t="n">
        <v>44561</v>
      </c>
      <c r="B201" s="3" t="n">
        <v>191</v>
      </c>
      <c r="C201" s="3"/>
      <c r="D201" s="3" t="n">
        <v>68</v>
      </c>
      <c r="E201" s="26" t="n">
        <v>78.125</v>
      </c>
    </row>
    <row r="202" customFormat="false" ht="30" hidden="false" customHeight="true" outlineLevel="0" collapsed="false">
      <c r="A202" s="30" t="n">
        <v>44562</v>
      </c>
      <c r="B202" s="31" t="n">
        <v>192</v>
      </c>
      <c r="C202" s="31"/>
      <c r="D202" s="32" t="n">
        <v>68</v>
      </c>
      <c r="E202" s="32" t="n">
        <v>83.8709677419355</v>
      </c>
    </row>
    <row r="203" customFormat="false" ht="30" hidden="false" customHeight="true" outlineLevel="0" collapsed="false">
      <c r="A203" s="15" t="n">
        <v>44563</v>
      </c>
      <c r="B203" s="3" t="n">
        <v>193</v>
      </c>
      <c r="C203" s="3"/>
      <c r="D203" s="3" t="n">
        <v>78</v>
      </c>
      <c r="E203" s="26" t="n">
        <v>81.8181818181818</v>
      </c>
    </row>
    <row r="204" customFormat="false" ht="30" hidden="false" customHeight="true" outlineLevel="0" collapsed="false">
      <c r="A204" s="30" t="n">
        <v>44564</v>
      </c>
      <c r="B204" s="31" t="n">
        <v>194</v>
      </c>
      <c r="C204" s="31"/>
      <c r="D204" s="32" t="n">
        <v>64</v>
      </c>
      <c r="E204" s="32" t="n">
        <v>68</v>
      </c>
    </row>
    <row r="205" customFormat="false" ht="30" hidden="false" customHeight="true" outlineLevel="0" collapsed="false">
      <c r="A205" s="15" t="n">
        <v>44565</v>
      </c>
      <c r="B205" s="3" t="n">
        <v>195</v>
      </c>
      <c r="C205" s="3"/>
      <c r="D205" s="3" t="n">
        <v>65</v>
      </c>
      <c r="E205" s="26" t="n">
        <v>51.6129032258065</v>
      </c>
    </row>
    <row r="206" customFormat="false" ht="30" hidden="false" customHeight="true" outlineLevel="0" collapsed="false">
      <c r="A206" s="30" t="n">
        <v>44566</v>
      </c>
      <c r="B206" s="31" t="n">
        <v>196</v>
      </c>
      <c r="C206" s="31"/>
      <c r="D206" s="32" t="n">
        <v>73</v>
      </c>
      <c r="E206" s="32" t="n">
        <v>62.962962962963</v>
      </c>
    </row>
    <row r="207" customFormat="false" ht="30" hidden="false" customHeight="true" outlineLevel="0" collapsed="false">
      <c r="A207" s="15" t="n">
        <v>44569</v>
      </c>
      <c r="B207" s="3" t="n">
        <v>197</v>
      </c>
      <c r="C207" s="3"/>
      <c r="D207" s="3" t="n">
        <v>73</v>
      </c>
      <c r="E207" s="26" t="n">
        <v>59.2592592592593</v>
      </c>
    </row>
    <row r="208" customFormat="false" ht="30" hidden="false" customHeight="true" outlineLevel="0" collapsed="false">
      <c r="A208" s="30" t="n">
        <v>44570</v>
      </c>
      <c r="B208" s="31" t="n">
        <v>198</v>
      </c>
      <c r="C208" s="31"/>
      <c r="D208" s="32" t="n">
        <v>61</v>
      </c>
      <c r="E208" s="32" t="n">
        <v>43.5897435897436</v>
      </c>
    </row>
    <row r="209" customFormat="false" ht="30" hidden="false" customHeight="true" outlineLevel="0" collapsed="false">
      <c r="A209" s="15" t="n">
        <v>44571</v>
      </c>
      <c r="B209" s="3" t="n">
        <v>199</v>
      </c>
      <c r="C209" s="3"/>
      <c r="D209" s="3" t="n">
        <v>67</v>
      </c>
      <c r="E209" s="26" t="n">
        <v>62.5</v>
      </c>
    </row>
    <row r="210" customFormat="false" ht="30" hidden="false" customHeight="true" outlineLevel="0" collapsed="false">
      <c r="A210" s="30" t="n">
        <v>44573</v>
      </c>
      <c r="B210" s="31" t="n">
        <v>200</v>
      </c>
      <c r="C210" s="31"/>
      <c r="D210" s="32" t="n">
        <v>70</v>
      </c>
      <c r="E210" s="32" t="n">
        <v>63.3333333333333</v>
      </c>
    </row>
    <row r="211" customFormat="false" ht="30" hidden="false" customHeight="true" outlineLevel="0" collapsed="false">
      <c r="A211" s="15" t="n">
        <v>44575</v>
      </c>
      <c r="B211" s="3" t="n">
        <v>201</v>
      </c>
      <c r="C211" s="3"/>
      <c r="D211" s="3" t="n">
        <v>64</v>
      </c>
      <c r="E211" s="26" t="n">
        <v>74</v>
      </c>
    </row>
    <row r="212" customFormat="false" ht="30" hidden="false" customHeight="true" outlineLevel="0" collapsed="false">
      <c r="A212" s="30" t="n">
        <v>44577</v>
      </c>
      <c r="B212" s="31" t="n">
        <v>202</v>
      </c>
      <c r="C212" s="31"/>
      <c r="D212" s="32" t="n">
        <v>69</v>
      </c>
      <c r="E212" s="32" t="n">
        <v>80.6451612903226</v>
      </c>
    </row>
    <row r="213" customFormat="false" ht="30" hidden="false" customHeight="true" outlineLevel="0" collapsed="false">
      <c r="A213" s="15" t="n">
        <v>44579</v>
      </c>
      <c r="B213" s="3" t="n">
        <v>203</v>
      </c>
      <c r="C213" s="3"/>
      <c r="D213" s="3" t="n">
        <v>76</v>
      </c>
      <c r="E213" s="26" t="n">
        <v>85</v>
      </c>
    </row>
    <row r="214" customFormat="false" ht="30" hidden="false" customHeight="true" outlineLevel="0" collapsed="false">
      <c r="A214" s="30" t="n">
        <v>44580</v>
      </c>
      <c r="B214" s="31" t="n">
        <v>204</v>
      </c>
      <c r="C214" s="31"/>
      <c r="D214" s="32" t="n">
        <v>83</v>
      </c>
      <c r="E214" s="32" t="n">
        <v>81.25</v>
      </c>
    </row>
    <row r="215" customFormat="false" ht="30" hidden="false" customHeight="true" outlineLevel="0" collapsed="false">
      <c r="A215" s="15" t="n">
        <v>44581</v>
      </c>
      <c r="B215" s="3" t="n">
        <v>205</v>
      </c>
      <c r="C215" s="3"/>
      <c r="D215" s="3" t="n">
        <v>71</v>
      </c>
      <c r="E215" s="26" t="n">
        <v>76.9230769230769</v>
      </c>
    </row>
    <row r="216" customFormat="false" ht="30" hidden="false" customHeight="true" outlineLevel="0" collapsed="false">
      <c r="A216" s="30" t="n">
        <v>44583</v>
      </c>
      <c r="B216" s="31" t="n">
        <v>206</v>
      </c>
      <c r="C216" s="31"/>
      <c r="D216" s="32" t="n">
        <v>69</v>
      </c>
      <c r="E216" s="32" t="n">
        <v>93.1034482758621</v>
      </c>
    </row>
    <row r="217" customFormat="false" ht="30" hidden="false" customHeight="true" outlineLevel="0" collapsed="false">
      <c r="A217" s="15" t="n">
        <v>44585</v>
      </c>
      <c r="B217" s="3" t="n">
        <v>207</v>
      </c>
      <c r="C217" s="3"/>
      <c r="D217" s="3" t="n">
        <v>68</v>
      </c>
      <c r="E217" s="26" t="n">
        <v>65.625</v>
      </c>
    </row>
    <row r="218" customFormat="false" ht="30" hidden="false" customHeight="true" outlineLevel="0" collapsed="false">
      <c r="A218" s="30" t="n">
        <v>44586</v>
      </c>
      <c r="B218" s="31" t="n">
        <v>208</v>
      </c>
      <c r="C218" s="31"/>
      <c r="D218" s="32" t="n">
        <v>70</v>
      </c>
      <c r="E218" s="32" t="n">
        <v>82.7586206896552</v>
      </c>
    </row>
    <row r="219" customFormat="false" ht="30" hidden="false" customHeight="true" outlineLevel="0" collapsed="false">
      <c r="A219" s="15" t="n">
        <v>44587</v>
      </c>
      <c r="B219" s="3" t="n">
        <v>209</v>
      </c>
      <c r="C219" s="3"/>
      <c r="D219" s="3" t="n">
        <v>67</v>
      </c>
      <c r="E219" s="26" t="n">
        <v>72.7272727272727</v>
      </c>
    </row>
    <row r="220" customFormat="false" ht="30" hidden="false" customHeight="true" outlineLevel="0" collapsed="false">
      <c r="A220" s="30" t="n">
        <v>44588</v>
      </c>
      <c r="B220" s="31" t="n">
        <v>210</v>
      </c>
      <c r="C220" s="31"/>
      <c r="D220" s="32" t="n">
        <v>67</v>
      </c>
      <c r="E220" s="32" t="n">
        <v>66.6666666666667</v>
      </c>
    </row>
    <row r="221" customFormat="false" ht="30" hidden="false" customHeight="true" outlineLevel="0" collapsed="false">
      <c r="A221" s="15" t="n">
        <v>44589</v>
      </c>
      <c r="B221" s="3" t="n">
        <v>211</v>
      </c>
      <c r="C221" s="3"/>
      <c r="D221" s="3" t="n">
        <v>75</v>
      </c>
      <c r="E221" s="26" t="n">
        <v>73.9130434782609</v>
      </c>
    </row>
    <row r="222" customFormat="false" ht="30" hidden="false" customHeight="true" outlineLevel="0" collapsed="false">
      <c r="A222" s="30" t="n">
        <v>44590</v>
      </c>
      <c r="B222" s="31" t="n">
        <v>212</v>
      </c>
      <c r="C222" s="31"/>
      <c r="D222" s="32" t="n">
        <v>81</v>
      </c>
      <c r="E222" s="32" t="n">
        <v>73.6842105263158</v>
      </c>
    </row>
    <row r="223" customFormat="false" ht="30" hidden="false" customHeight="true" outlineLevel="0" collapsed="false">
      <c r="A223" s="15" t="n">
        <v>44591</v>
      </c>
      <c r="B223" s="3" t="n">
        <v>213</v>
      </c>
      <c r="C223" s="3"/>
      <c r="D223" s="3" t="n">
        <v>71</v>
      </c>
      <c r="E223" s="26" t="n">
        <v>73</v>
      </c>
    </row>
    <row r="224" customFormat="false" ht="30" hidden="false" customHeight="true" outlineLevel="0" collapsed="false">
      <c r="A224" s="30" t="n">
        <v>44592</v>
      </c>
      <c r="B224" s="31" t="n">
        <v>214</v>
      </c>
      <c r="C224" s="31"/>
      <c r="D224" s="32" t="n">
        <v>73</v>
      </c>
      <c r="E224" s="32" t="n">
        <v>70.3703703703704</v>
      </c>
    </row>
    <row r="225" customFormat="false" ht="30" hidden="false" customHeight="true" outlineLevel="0" collapsed="false">
      <c r="A225" s="15" t="n">
        <v>44593</v>
      </c>
      <c r="B225" s="3" t="n">
        <v>215</v>
      </c>
      <c r="C225" s="3"/>
      <c r="D225" s="3" t="n">
        <v>66</v>
      </c>
      <c r="E225" s="26" t="n">
        <v>72.7272727272727</v>
      </c>
    </row>
    <row r="226" customFormat="false" ht="30" hidden="false" customHeight="true" outlineLevel="0" collapsed="false">
      <c r="A226" s="30" t="n">
        <v>44594</v>
      </c>
      <c r="B226" s="31" t="n">
        <v>216</v>
      </c>
      <c r="C226" s="31"/>
      <c r="D226" s="32" t="n">
        <v>80</v>
      </c>
      <c r="E226" s="32" t="n">
        <v>70</v>
      </c>
    </row>
    <row r="227" customFormat="false" ht="30" hidden="false" customHeight="true" outlineLevel="0" collapsed="false">
      <c r="A227" s="15" t="n">
        <v>44595</v>
      </c>
      <c r="B227" s="3" t="n">
        <v>217</v>
      </c>
      <c r="C227" s="3"/>
      <c r="D227" s="3" t="n">
        <v>80</v>
      </c>
      <c r="E227" s="26" t="n">
        <v>61.1111111111111</v>
      </c>
    </row>
    <row r="228" customFormat="false" ht="30" hidden="false" customHeight="true" outlineLevel="0" collapsed="false">
      <c r="A228" s="30" t="n">
        <v>44596</v>
      </c>
      <c r="B228" s="31" t="n">
        <v>218</v>
      </c>
      <c r="C228" s="31"/>
      <c r="D228" s="32" t="n">
        <v>69</v>
      </c>
      <c r="E228" s="32" t="n">
        <v>80</v>
      </c>
    </row>
    <row r="229" customFormat="false" ht="30" hidden="false" customHeight="true" outlineLevel="0" collapsed="false">
      <c r="A229" s="15" t="n">
        <v>44597</v>
      </c>
      <c r="B229" s="3" t="n">
        <v>219</v>
      </c>
      <c r="C229" s="3"/>
      <c r="D229" s="3" t="n">
        <v>76</v>
      </c>
      <c r="E229" s="26" t="n">
        <v>75</v>
      </c>
    </row>
    <row r="230" customFormat="false" ht="30" hidden="false" customHeight="true" outlineLevel="0" collapsed="false">
      <c r="A230" s="30" t="n">
        <v>44598</v>
      </c>
      <c r="B230" s="31" t="n">
        <v>220</v>
      </c>
      <c r="C230" s="31"/>
      <c r="D230" s="32" t="n">
        <v>77</v>
      </c>
      <c r="E230" s="32" t="n">
        <v>73.9130434782609</v>
      </c>
    </row>
    <row r="231" customFormat="false" ht="30" hidden="false" customHeight="true" outlineLevel="0" collapsed="false">
      <c r="A231" s="15" t="n">
        <v>44599</v>
      </c>
      <c r="B231" s="3" t="n">
        <v>221</v>
      </c>
      <c r="C231" s="3"/>
      <c r="D231" s="3" t="n">
        <v>77</v>
      </c>
      <c r="E231" s="26" t="n">
        <v>85.7142857142857</v>
      </c>
    </row>
    <row r="232" customFormat="false" ht="30" hidden="false" customHeight="true" outlineLevel="0" collapsed="false">
      <c r="A232" s="30" t="n">
        <v>44600</v>
      </c>
      <c r="B232" s="31" t="n">
        <v>222</v>
      </c>
      <c r="C232" s="31"/>
      <c r="D232" s="32" t="n">
        <v>79</v>
      </c>
      <c r="E232" s="32" t="n">
        <v>63.1578947368421</v>
      </c>
    </row>
    <row r="233" customFormat="false" ht="30" hidden="false" customHeight="true" outlineLevel="0" collapsed="false">
      <c r="A233" s="15" t="n">
        <v>44601</v>
      </c>
      <c r="B233" s="3" t="n">
        <v>223</v>
      </c>
      <c r="C233" s="3"/>
      <c r="D233" s="3" t="n">
        <v>74</v>
      </c>
      <c r="E233" s="26" t="n">
        <v>70.8333333333333</v>
      </c>
    </row>
    <row r="234" customFormat="false" ht="30" hidden="false" customHeight="true" outlineLevel="0" collapsed="false">
      <c r="A234" s="30" t="n">
        <v>44602</v>
      </c>
      <c r="B234" s="31" t="n">
        <v>224</v>
      </c>
      <c r="C234" s="31"/>
      <c r="D234" s="32" t="n">
        <v>67</v>
      </c>
      <c r="E234" s="32" t="n">
        <v>70.9677419354839</v>
      </c>
    </row>
    <row r="235" customFormat="false" ht="30" hidden="false" customHeight="true" outlineLevel="0" collapsed="false">
      <c r="A235" s="15" t="n">
        <v>44603</v>
      </c>
      <c r="B235" s="3" t="n">
        <v>225</v>
      </c>
      <c r="C235" s="3"/>
      <c r="D235" s="3" t="n">
        <v>72</v>
      </c>
      <c r="E235" s="26" t="n">
        <v>77.7777777777778</v>
      </c>
    </row>
    <row r="236" customFormat="false" ht="30" hidden="false" customHeight="true" outlineLevel="0" collapsed="false">
      <c r="A236" s="30" t="n">
        <v>44604</v>
      </c>
      <c r="B236" s="31" t="n">
        <v>226</v>
      </c>
      <c r="C236" s="31"/>
      <c r="D236" s="32" t="n">
        <v>73</v>
      </c>
      <c r="E236" s="32" t="n">
        <v>75</v>
      </c>
    </row>
    <row r="237" customFormat="false" ht="30" hidden="false" customHeight="true" outlineLevel="0" collapsed="false">
      <c r="A237" s="15" t="n">
        <v>44605</v>
      </c>
      <c r="B237" s="3" t="n">
        <v>227</v>
      </c>
      <c r="C237" s="3"/>
      <c r="D237" s="3" t="n">
        <v>73</v>
      </c>
      <c r="E237" s="26" t="n">
        <v>57.6923076923077</v>
      </c>
    </row>
    <row r="238" customFormat="false" ht="30" hidden="false" customHeight="true" outlineLevel="0" collapsed="false">
      <c r="A238" s="30" t="n">
        <v>44606</v>
      </c>
      <c r="B238" s="31" t="n">
        <v>228</v>
      </c>
      <c r="C238" s="31"/>
      <c r="D238" s="32" t="n">
        <v>75</v>
      </c>
      <c r="E238" s="32" t="n">
        <v>58.3333333333333</v>
      </c>
    </row>
    <row r="239" customFormat="false" ht="30" hidden="false" customHeight="true" outlineLevel="0" collapsed="false">
      <c r="A239" s="15" t="n">
        <v>44607</v>
      </c>
      <c r="B239" s="3" t="n">
        <v>229</v>
      </c>
      <c r="C239" s="3"/>
      <c r="D239" s="3" t="n">
        <v>67</v>
      </c>
      <c r="E239" s="26" t="n">
        <v>68.75</v>
      </c>
    </row>
    <row r="240" customFormat="false" ht="30" hidden="false" customHeight="true" outlineLevel="0" collapsed="false">
      <c r="A240" s="30" t="n">
        <v>44608</v>
      </c>
      <c r="B240" s="31" t="n">
        <v>230</v>
      </c>
      <c r="C240" s="31"/>
      <c r="D240" s="32" t="n">
        <v>70</v>
      </c>
      <c r="E240" s="32" t="n">
        <v>66.6666666666667</v>
      </c>
    </row>
    <row r="241" customFormat="false" ht="30" hidden="false" customHeight="true" outlineLevel="0" collapsed="false">
      <c r="A241" s="15" t="n">
        <v>44613</v>
      </c>
      <c r="B241" s="3" t="n">
        <v>231</v>
      </c>
      <c r="C241" s="3"/>
      <c r="D241" s="3" t="n">
        <v>67</v>
      </c>
      <c r="E241" s="26" t="n">
        <v>56.25</v>
      </c>
    </row>
    <row r="242" customFormat="false" ht="30" hidden="false" customHeight="true" outlineLevel="0" collapsed="false">
      <c r="A242" s="30" t="n">
        <v>44614</v>
      </c>
      <c r="B242" s="31" t="n">
        <v>232</v>
      </c>
      <c r="C242" s="31"/>
      <c r="D242" s="32" t="n">
        <v>82</v>
      </c>
      <c r="E242" s="32" t="n">
        <v>83.3333333333333</v>
      </c>
    </row>
    <row r="243" customFormat="false" ht="30" hidden="false" customHeight="true" outlineLevel="0" collapsed="false">
      <c r="A243" s="15" t="n">
        <v>44615</v>
      </c>
      <c r="B243" s="3" t="n">
        <v>233</v>
      </c>
      <c r="C243" s="3"/>
      <c r="D243" s="3" t="n">
        <v>67</v>
      </c>
      <c r="E243" s="26" t="n">
        <v>67.741935483871</v>
      </c>
    </row>
    <row r="244" customFormat="false" ht="30" hidden="false" customHeight="true" outlineLevel="0" collapsed="false">
      <c r="A244" s="30" t="n">
        <v>44616</v>
      </c>
      <c r="B244" s="31" t="n">
        <v>234</v>
      </c>
      <c r="C244" s="31"/>
      <c r="D244" s="32" t="n">
        <v>60</v>
      </c>
      <c r="E244" s="32" t="n">
        <v>55</v>
      </c>
    </row>
    <row r="245" customFormat="false" ht="30" hidden="false" customHeight="true" outlineLevel="0" collapsed="false">
      <c r="A245" s="15" t="n">
        <v>44620</v>
      </c>
      <c r="B245" s="3" t="n">
        <v>235</v>
      </c>
      <c r="C245" s="3"/>
      <c r="D245" s="3" t="n">
        <v>69</v>
      </c>
      <c r="E245" s="26" t="n">
        <v>72.4137931034483</v>
      </c>
    </row>
    <row r="246" customFormat="false" ht="30" hidden="false" customHeight="true" outlineLevel="0" collapsed="false">
      <c r="A246" s="30" t="n">
        <v>44621</v>
      </c>
      <c r="B246" s="31" t="n">
        <v>236</v>
      </c>
      <c r="C246" s="31"/>
      <c r="D246" s="32" t="n">
        <v>71</v>
      </c>
      <c r="E246" s="32" t="n">
        <v>77.7777777777778</v>
      </c>
    </row>
    <row r="247" customFormat="false" ht="30" hidden="false" customHeight="true" outlineLevel="0" collapsed="false">
      <c r="A247" s="15" t="n">
        <v>44622</v>
      </c>
      <c r="B247" s="3" t="n">
        <v>237</v>
      </c>
      <c r="C247" s="3"/>
      <c r="D247" s="3" t="n">
        <v>71</v>
      </c>
      <c r="E247" s="26" t="n">
        <v>80.7692307692308</v>
      </c>
    </row>
    <row r="248" customFormat="false" ht="30" hidden="false" customHeight="true" outlineLevel="0" collapsed="false">
      <c r="A248" s="30" t="n">
        <v>44623</v>
      </c>
      <c r="B248" s="31" t="n">
        <v>238</v>
      </c>
      <c r="C248" s="31"/>
      <c r="D248" s="32" t="n">
        <v>75</v>
      </c>
      <c r="E248" s="32" t="n">
        <v>60</v>
      </c>
    </row>
    <row r="249" customFormat="false" ht="30" hidden="false" customHeight="true" outlineLevel="0" collapsed="false">
      <c r="A249" s="15" t="n">
        <v>44624</v>
      </c>
      <c r="B249" s="3" t="n">
        <v>239</v>
      </c>
      <c r="C249" s="3"/>
      <c r="D249" s="3" t="n">
        <v>66</v>
      </c>
      <c r="E249" s="26" t="n">
        <v>70.5882352941177</v>
      </c>
    </row>
    <row r="250" customFormat="false" ht="30" hidden="false" customHeight="true" outlineLevel="0" collapsed="false">
      <c r="A250" s="30" t="n">
        <v>44625</v>
      </c>
      <c r="B250" s="31" t="n">
        <v>240</v>
      </c>
      <c r="C250" s="31"/>
      <c r="D250" s="32" t="n">
        <v>72</v>
      </c>
      <c r="E250" s="32" t="n">
        <v>76.9230769230769</v>
      </c>
    </row>
    <row r="251" customFormat="false" ht="30" hidden="false" customHeight="true" outlineLevel="0" collapsed="false">
      <c r="A251" s="15" t="n">
        <v>44626</v>
      </c>
      <c r="B251" s="3" t="n">
        <v>241</v>
      </c>
      <c r="C251" s="3"/>
      <c r="D251" s="3" t="n">
        <v>68</v>
      </c>
      <c r="E251" s="26" t="n">
        <v>76.6666666666667</v>
      </c>
    </row>
    <row r="252" customFormat="false" ht="30" hidden="false" customHeight="true" outlineLevel="0" collapsed="false">
      <c r="A252" s="30" t="n">
        <v>44627</v>
      </c>
      <c r="B252" s="31" t="n">
        <v>242</v>
      </c>
      <c r="C252" s="31"/>
      <c r="D252" s="32" t="n">
        <v>75</v>
      </c>
      <c r="E252" s="32" t="n">
        <v>72.7272727272727</v>
      </c>
    </row>
    <row r="253" customFormat="false" ht="30" hidden="false" customHeight="true" outlineLevel="0" collapsed="false">
      <c r="A253" s="15" t="n">
        <v>44628</v>
      </c>
      <c r="B253" s="3" t="n">
        <v>243</v>
      </c>
      <c r="C253" s="3"/>
      <c r="D253" s="3" t="n">
        <v>75</v>
      </c>
      <c r="E253" s="26" t="n">
        <v>79.1666666666667</v>
      </c>
    </row>
    <row r="254" customFormat="false" ht="30" hidden="false" customHeight="true" outlineLevel="0" collapsed="false">
      <c r="A254" s="30" t="n">
        <v>44629</v>
      </c>
      <c r="B254" s="31" t="n">
        <v>244</v>
      </c>
      <c r="C254" s="31"/>
      <c r="D254" s="32" t="n">
        <v>73</v>
      </c>
      <c r="E254" s="32" t="n">
        <v>84.6153846153846</v>
      </c>
    </row>
    <row r="255" customFormat="false" ht="30" hidden="false" customHeight="true" outlineLevel="0" collapsed="false">
      <c r="A255" s="15" t="n">
        <v>44630</v>
      </c>
      <c r="B255" s="3" t="n">
        <v>245</v>
      </c>
      <c r="C255" s="3"/>
      <c r="D255" s="3" t="n">
        <v>73</v>
      </c>
      <c r="E255" s="26" t="n">
        <v>82</v>
      </c>
    </row>
    <row r="256" customFormat="false" ht="30" hidden="false" customHeight="true" outlineLevel="0" collapsed="false">
      <c r="A256" s="30" t="n">
        <v>44631</v>
      </c>
      <c r="B256" s="31" t="n">
        <v>246</v>
      </c>
      <c r="C256" s="31"/>
      <c r="D256" s="32" t="n">
        <v>75</v>
      </c>
      <c r="E256" s="32" t="n">
        <v>60</v>
      </c>
    </row>
    <row r="257" customFormat="false" ht="30" hidden="false" customHeight="true" outlineLevel="0" collapsed="false">
      <c r="A257" s="15" t="n">
        <v>44632</v>
      </c>
      <c r="B257" s="3" t="n">
        <v>247</v>
      </c>
      <c r="C257" s="3"/>
      <c r="D257" s="3" t="n">
        <v>76</v>
      </c>
      <c r="E257" s="26" t="n">
        <v>87.5</v>
      </c>
    </row>
    <row r="258" customFormat="false" ht="30" hidden="false" customHeight="true" outlineLevel="0" collapsed="false">
      <c r="A258" s="30" t="n">
        <v>44633</v>
      </c>
      <c r="B258" s="31" t="n">
        <v>248</v>
      </c>
      <c r="C258" s="31"/>
      <c r="D258" s="32" t="n">
        <v>80</v>
      </c>
      <c r="E258" s="32" t="n">
        <v>75</v>
      </c>
    </row>
    <row r="259" customFormat="false" ht="30" hidden="false" customHeight="true" outlineLevel="0" collapsed="false">
      <c r="A259" s="15" t="n">
        <v>44634</v>
      </c>
      <c r="B259" s="3" t="n">
        <v>249</v>
      </c>
      <c r="C259" s="3"/>
      <c r="D259" s="3" t="n">
        <v>71</v>
      </c>
      <c r="E259" s="26" t="n">
        <v>73.0769230769231</v>
      </c>
    </row>
    <row r="260" customFormat="false" ht="30" hidden="false" customHeight="true" outlineLevel="0" collapsed="false">
      <c r="A260" s="30" t="n">
        <v>44635</v>
      </c>
      <c r="B260" s="31" t="n">
        <v>250</v>
      </c>
      <c r="C260" s="31"/>
      <c r="D260" s="32" t="n">
        <v>73</v>
      </c>
      <c r="E260" s="32" t="n">
        <v>81.4814814814815</v>
      </c>
    </row>
    <row r="261" customFormat="false" ht="30" hidden="false" customHeight="true" outlineLevel="0" collapsed="false">
      <c r="A261" s="15" t="n">
        <v>44636</v>
      </c>
      <c r="B261" s="3" t="n">
        <v>251</v>
      </c>
      <c r="C261" s="3"/>
      <c r="D261" s="3" t="n">
        <v>72</v>
      </c>
      <c r="E261" s="26" t="n">
        <v>74.0740740740741</v>
      </c>
    </row>
    <row r="262" customFormat="false" ht="30" hidden="false" customHeight="true" outlineLevel="0" collapsed="false">
      <c r="A262" s="30" t="n">
        <v>44637</v>
      </c>
      <c r="B262" s="31" t="n">
        <v>252</v>
      </c>
      <c r="C262" s="31"/>
      <c r="D262" s="32" t="n">
        <v>75</v>
      </c>
      <c r="E262" s="32" t="n">
        <v>95.8333333333333</v>
      </c>
    </row>
    <row r="263" customFormat="false" ht="30" hidden="false" customHeight="true" outlineLevel="0" collapsed="false">
      <c r="A263" s="15" t="n">
        <v>44638</v>
      </c>
      <c r="B263" s="3" t="n">
        <v>253</v>
      </c>
      <c r="C263" s="3"/>
      <c r="D263" s="3" t="n">
        <v>82</v>
      </c>
      <c r="E263" s="26" t="n">
        <v>77.7777777777778</v>
      </c>
    </row>
    <row r="264" customFormat="false" ht="30" hidden="false" customHeight="true" outlineLevel="0" collapsed="false">
      <c r="A264" s="30" t="n">
        <v>44639</v>
      </c>
      <c r="B264" s="31" t="n">
        <v>254</v>
      </c>
      <c r="C264" s="31"/>
      <c r="D264" s="32" t="n">
        <v>84</v>
      </c>
      <c r="E264" s="32" t="n">
        <v>100</v>
      </c>
    </row>
    <row r="265" customFormat="false" ht="30" hidden="false" customHeight="true" outlineLevel="0" collapsed="false">
      <c r="A265" s="15" t="n">
        <v>44640</v>
      </c>
      <c r="B265" s="3" t="n">
        <v>255</v>
      </c>
      <c r="C265" s="3"/>
      <c r="D265" s="3" t="n">
        <v>76</v>
      </c>
      <c r="E265" s="26" t="n">
        <v>65.2173913043478</v>
      </c>
    </row>
    <row r="266" customFormat="false" ht="30" hidden="false" customHeight="true" outlineLevel="0" collapsed="false">
      <c r="A266" s="30" t="n">
        <v>44641</v>
      </c>
      <c r="B266" s="31" t="n">
        <v>256</v>
      </c>
      <c r="C266" s="31"/>
      <c r="D266" s="32" t="n">
        <v>74</v>
      </c>
      <c r="E266" s="32" t="n">
        <v>73.9130434782609</v>
      </c>
    </row>
    <row r="267" customFormat="false" ht="30" hidden="false" customHeight="true" outlineLevel="0" collapsed="false">
      <c r="A267" s="15" t="n">
        <v>44642</v>
      </c>
      <c r="B267" s="3" t="n">
        <v>257</v>
      </c>
      <c r="C267" s="3"/>
      <c r="D267" s="3" t="n">
        <v>79</v>
      </c>
      <c r="E267" s="26" t="n">
        <v>85.7142857142857</v>
      </c>
    </row>
    <row r="268" customFormat="false" ht="30" hidden="false" customHeight="true" outlineLevel="0" collapsed="false">
      <c r="A268" s="30" t="n">
        <v>44643</v>
      </c>
      <c r="B268" s="31" t="n">
        <v>258</v>
      </c>
      <c r="C268" s="31"/>
      <c r="D268" s="32" t="n">
        <v>73</v>
      </c>
      <c r="E268" s="32" t="n">
        <v>73.0769230769231</v>
      </c>
    </row>
    <row r="269" customFormat="false" ht="30" hidden="false" customHeight="true" outlineLevel="0" collapsed="false">
      <c r="A269" s="15" t="n">
        <v>44644</v>
      </c>
      <c r="B269" s="3" t="n">
        <v>259</v>
      </c>
      <c r="C269" s="3"/>
      <c r="D269" s="3" t="n">
        <v>74</v>
      </c>
      <c r="E269" s="26" t="n">
        <v>58.3333333333333</v>
      </c>
    </row>
    <row r="270" customFormat="false" ht="30" hidden="false" customHeight="true" outlineLevel="0" collapsed="false">
      <c r="A270" s="30" t="n">
        <v>44645</v>
      </c>
      <c r="B270" s="31" t="n">
        <v>260</v>
      </c>
      <c r="C270" s="31"/>
      <c r="D270" s="32" t="n">
        <v>76</v>
      </c>
      <c r="E270" s="32" t="n">
        <v>79.1666666666667</v>
      </c>
    </row>
    <row r="271" customFormat="false" ht="30" hidden="false" customHeight="true" outlineLevel="0" collapsed="false">
      <c r="A271" s="15" t="n">
        <v>44646</v>
      </c>
      <c r="B271" s="3" t="n">
        <v>261</v>
      </c>
      <c r="C271" s="3"/>
      <c r="D271" s="3" t="n">
        <v>70</v>
      </c>
      <c r="E271" s="26" t="n">
        <v>67.8571428571429</v>
      </c>
    </row>
    <row r="272" customFormat="false" ht="30" hidden="false" customHeight="true" outlineLevel="0" collapsed="false">
      <c r="A272" s="30" t="n">
        <v>44647</v>
      </c>
      <c r="B272" s="31" t="n">
        <v>262</v>
      </c>
      <c r="C272" s="31"/>
      <c r="D272" s="32" t="n">
        <v>73</v>
      </c>
      <c r="E272" s="32" t="n">
        <v>53</v>
      </c>
    </row>
    <row r="273" customFormat="false" ht="30" hidden="false" customHeight="true" outlineLevel="0" collapsed="false">
      <c r="A273" s="15" t="n">
        <v>44648</v>
      </c>
      <c r="B273" s="3" t="n">
        <v>263</v>
      </c>
      <c r="C273" s="3"/>
      <c r="D273" s="3" t="n">
        <v>75</v>
      </c>
      <c r="E273" s="26" t="n">
        <v>72</v>
      </c>
    </row>
    <row r="274" customFormat="false" ht="30" hidden="false" customHeight="true" outlineLevel="0" collapsed="false">
      <c r="A274" s="30" t="n">
        <v>44649</v>
      </c>
      <c r="B274" s="31" t="n">
        <v>264</v>
      </c>
      <c r="C274" s="31"/>
      <c r="D274" s="32" t="n">
        <v>69</v>
      </c>
      <c r="E274" s="32" t="n">
        <v>85</v>
      </c>
    </row>
    <row r="275" customFormat="false" ht="30" hidden="false" customHeight="true" outlineLevel="0" collapsed="false">
      <c r="A275" s="15" t="n">
        <v>44650</v>
      </c>
      <c r="B275" s="3" t="n">
        <v>265</v>
      </c>
      <c r="C275" s="3"/>
      <c r="D275" s="3" t="n">
        <v>72</v>
      </c>
      <c r="E275" s="26" t="n">
        <v>71.4285714285714</v>
      </c>
    </row>
    <row r="276" customFormat="false" ht="30" hidden="false" customHeight="true" outlineLevel="0" collapsed="false">
      <c r="A276" s="30" t="n">
        <v>44651</v>
      </c>
      <c r="B276" s="31" t="n">
        <v>266</v>
      </c>
      <c r="C276" s="31"/>
      <c r="D276" s="32" t="n">
        <v>81</v>
      </c>
      <c r="E276" s="32" t="n">
        <v>61.1111111111111</v>
      </c>
    </row>
    <row r="277" customFormat="false" ht="30" hidden="false" customHeight="true" outlineLevel="0" collapsed="false">
      <c r="A277" s="15" t="n">
        <v>44652</v>
      </c>
      <c r="B277" s="3" t="n">
        <v>267</v>
      </c>
      <c r="C277" s="3"/>
      <c r="D277" s="3" t="n">
        <v>77</v>
      </c>
      <c r="E277" s="26" t="n">
        <v>86.9565217391304</v>
      </c>
    </row>
    <row r="278" customFormat="false" ht="30" hidden="false" customHeight="true" outlineLevel="0" collapsed="false">
      <c r="A278" s="30" t="n">
        <v>44653</v>
      </c>
      <c r="B278" s="31" t="n">
        <v>268</v>
      </c>
      <c r="C278" s="31"/>
      <c r="D278" s="32" t="n">
        <v>76</v>
      </c>
      <c r="E278" s="32" t="n">
        <v>78.2608695652174</v>
      </c>
    </row>
    <row r="279" customFormat="false" ht="30" hidden="false" customHeight="true" outlineLevel="0" collapsed="false">
      <c r="A279" s="15" t="n">
        <v>44654</v>
      </c>
      <c r="B279" s="3" t="n">
        <v>269</v>
      </c>
      <c r="C279" s="3"/>
      <c r="D279" s="3" t="n">
        <v>75</v>
      </c>
      <c r="E279" s="26" t="n">
        <v>70.8333333333333</v>
      </c>
    </row>
    <row r="280" customFormat="false" ht="30" hidden="false" customHeight="true" outlineLevel="0" collapsed="false">
      <c r="A280" s="30" t="n">
        <v>44655</v>
      </c>
      <c r="B280" s="31" t="n">
        <v>270</v>
      </c>
      <c r="C280" s="31"/>
      <c r="D280" s="32" t="n">
        <v>75</v>
      </c>
      <c r="E280" s="32" t="n">
        <v>57.1428571428571</v>
      </c>
    </row>
    <row r="281" customFormat="false" ht="30" hidden="false" customHeight="true" outlineLevel="0" collapsed="false">
      <c r="A281" s="15" t="n">
        <v>44656</v>
      </c>
      <c r="B281" s="3" t="n">
        <v>271</v>
      </c>
      <c r="C281" s="3"/>
      <c r="D281" s="3" t="n">
        <v>75</v>
      </c>
      <c r="E281" s="26" t="n">
        <v>81.8181818181818</v>
      </c>
    </row>
    <row r="282" customFormat="false" ht="30" hidden="false" customHeight="true" outlineLevel="0" collapsed="false">
      <c r="A282" s="30" t="n">
        <v>44657</v>
      </c>
      <c r="B282" s="31" t="n">
        <v>272</v>
      </c>
      <c r="C282" s="31"/>
      <c r="D282" s="32" t="n">
        <v>73</v>
      </c>
      <c r="E282" s="32" t="n">
        <v>72</v>
      </c>
    </row>
    <row r="283" customFormat="false" ht="30" hidden="false" customHeight="true" outlineLevel="0" collapsed="false">
      <c r="A283" s="15" t="n">
        <v>44658</v>
      </c>
      <c r="B283" s="3" t="n">
        <v>273</v>
      </c>
      <c r="C283" s="3"/>
      <c r="D283" s="3" t="n">
        <v>85</v>
      </c>
      <c r="E283" s="26" t="n">
        <v>91.6666666666667</v>
      </c>
    </row>
    <row r="284" customFormat="false" ht="30" hidden="false" customHeight="true" outlineLevel="0" collapsed="false">
      <c r="A284" s="30" t="n">
        <v>44659</v>
      </c>
      <c r="B284" s="31" t="n">
        <v>274</v>
      </c>
      <c r="C284" s="31"/>
      <c r="D284" s="32" t="n">
        <v>72</v>
      </c>
      <c r="E284" s="32" t="n">
        <v>68</v>
      </c>
    </row>
    <row r="285" customFormat="false" ht="30" hidden="false" customHeight="true" outlineLevel="0" collapsed="false">
      <c r="A285" s="15" t="n">
        <v>44660</v>
      </c>
      <c r="B285" s="3" t="n">
        <v>275</v>
      </c>
      <c r="C285" s="3"/>
      <c r="D285" s="3" t="n">
        <v>70</v>
      </c>
      <c r="E285" s="26" t="n">
        <v>68.9655172413793</v>
      </c>
    </row>
    <row r="286" customFormat="false" ht="30" hidden="false" customHeight="true" outlineLevel="0" collapsed="false">
      <c r="A286" s="30" t="n">
        <v>44661</v>
      </c>
      <c r="B286" s="31" t="n">
        <v>276</v>
      </c>
      <c r="C286" s="31"/>
      <c r="D286" s="32" t="n">
        <v>78</v>
      </c>
      <c r="E286" s="32" t="n">
        <v>61.9047619047619</v>
      </c>
    </row>
    <row r="287" customFormat="false" ht="30" hidden="false" customHeight="true" outlineLevel="0" collapsed="false">
      <c r="A287" s="15" t="n">
        <v>44662</v>
      </c>
      <c r="B287" s="3" t="n">
        <v>277</v>
      </c>
      <c r="C287" s="3"/>
      <c r="D287" s="3" t="n">
        <v>76</v>
      </c>
      <c r="E287" s="26" t="n">
        <v>78.2608695652174</v>
      </c>
    </row>
    <row r="288" customFormat="false" ht="30" hidden="false" customHeight="true" outlineLevel="0" collapsed="false">
      <c r="A288" s="30" t="n">
        <v>44663</v>
      </c>
      <c r="B288" s="31" t="n">
        <v>278</v>
      </c>
      <c r="C288" s="31"/>
      <c r="D288" s="32" t="n">
        <v>74</v>
      </c>
      <c r="E288" s="32" t="n">
        <v>77</v>
      </c>
    </row>
    <row r="289" customFormat="false" ht="30" hidden="false" customHeight="true" outlineLevel="0" collapsed="false">
      <c r="A289" s="15" t="n">
        <v>44664</v>
      </c>
      <c r="B289" s="3" t="n">
        <v>279</v>
      </c>
      <c r="C289" s="3"/>
      <c r="D289" s="3" t="n">
        <v>83</v>
      </c>
      <c r="E289" s="26" t="n">
        <v>62.5</v>
      </c>
    </row>
    <row r="290" customFormat="false" ht="30" hidden="false" customHeight="true" outlineLevel="0" collapsed="false">
      <c r="A290" s="30" t="n">
        <v>44665</v>
      </c>
      <c r="B290" s="31" t="n">
        <v>280</v>
      </c>
      <c r="C290" s="31"/>
      <c r="D290" s="32" t="n">
        <v>77</v>
      </c>
      <c r="E290" s="32" t="n">
        <v>72.7272727272727</v>
      </c>
    </row>
    <row r="291" customFormat="false" ht="30" hidden="false" customHeight="true" outlineLevel="0" collapsed="false">
      <c r="A291" s="15" t="n">
        <v>44666</v>
      </c>
      <c r="B291" s="3" t="n">
        <v>281</v>
      </c>
      <c r="C291" s="3"/>
      <c r="D291" s="3" t="n">
        <v>74</v>
      </c>
      <c r="E291" s="26" t="n">
        <v>73.0769230769231</v>
      </c>
    </row>
    <row r="292" customFormat="false" ht="30" hidden="false" customHeight="true" outlineLevel="0" collapsed="false">
      <c r="A292" s="30" t="n">
        <v>44667</v>
      </c>
      <c r="B292" s="31" t="n">
        <v>282</v>
      </c>
      <c r="C292" s="31"/>
      <c r="D292" s="32" t="n">
        <v>72</v>
      </c>
      <c r="E292" s="32" t="n">
        <v>64.2857142857143</v>
      </c>
    </row>
    <row r="293" customFormat="false" ht="30" hidden="false" customHeight="true" outlineLevel="0" collapsed="false">
      <c r="A293" s="15" t="n">
        <v>44669</v>
      </c>
      <c r="B293" s="3" t="n">
        <v>283</v>
      </c>
      <c r="C293" s="3"/>
      <c r="D293" s="3" t="n">
        <v>69</v>
      </c>
      <c r="E293" s="26" t="n">
        <v>68.9655172413793</v>
      </c>
    </row>
    <row r="294" customFormat="false" ht="30" hidden="false" customHeight="true" outlineLevel="0" collapsed="false">
      <c r="A294" s="30" t="n">
        <v>44670</v>
      </c>
      <c r="B294" s="31" t="n">
        <v>284</v>
      </c>
      <c r="C294" s="31"/>
      <c r="D294" s="32" t="n">
        <v>68</v>
      </c>
      <c r="E294" s="32" t="n">
        <v>70.9677419354839</v>
      </c>
    </row>
    <row r="295" customFormat="false" ht="30" hidden="false" customHeight="true" outlineLevel="0" collapsed="false">
      <c r="A295" s="15" t="n">
        <v>44671</v>
      </c>
      <c r="B295" s="3" t="n">
        <v>285</v>
      </c>
      <c r="C295" s="3"/>
      <c r="D295" s="3" t="n">
        <v>73</v>
      </c>
      <c r="E295" s="26" t="n">
        <v>53.8461538461539</v>
      </c>
    </row>
    <row r="296" customFormat="false" ht="30" hidden="false" customHeight="true" outlineLevel="0" collapsed="false">
      <c r="A296" s="30" t="n">
        <v>44672</v>
      </c>
      <c r="B296" s="31" t="n">
        <v>286</v>
      </c>
      <c r="C296" s="31"/>
      <c r="D296" s="32" t="n">
        <v>82</v>
      </c>
      <c r="E296" s="32" t="n">
        <v>88.2352941176471</v>
      </c>
    </row>
    <row r="297" customFormat="false" ht="30" hidden="false" customHeight="true" outlineLevel="0" collapsed="false">
      <c r="A297" s="15" t="n">
        <v>44673</v>
      </c>
      <c r="B297" s="3" t="n">
        <v>287</v>
      </c>
      <c r="C297" s="3"/>
      <c r="D297" s="3" t="n">
        <v>69</v>
      </c>
      <c r="E297" s="26" t="n">
        <v>70</v>
      </c>
    </row>
    <row r="298" customFormat="false" ht="30" hidden="false" customHeight="true" outlineLevel="0" collapsed="false">
      <c r="A298" s="30" t="n">
        <v>44674</v>
      </c>
      <c r="B298" s="31" t="n">
        <v>288</v>
      </c>
      <c r="C298" s="31"/>
      <c r="D298" s="32" t="n">
        <v>80</v>
      </c>
      <c r="E298" s="32" t="n">
        <v>60</v>
      </c>
    </row>
    <row r="299" customFormat="false" ht="30" hidden="false" customHeight="true" outlineLevel="0" collapsed="false">
      <c r="A299" s="15" t="n">
        <v>44675</v>
      </c>
      <c r="B299" s="3" t="n">
        <v>289</v>
      </c>
      <c r="C299" s="3"/>
      <c r="D299" s="3" t="n">
        <v>75</v>
      </c>
      <c r="E299" s="26" t="n">
        <v>68</v>
      </c>
    </row>
    <row r="300" customFormat="false" ht="30" hidden="false" customHeight="true" outlineLevel="0" collapsed="false">
      <c r="A300" s="30" t="n">
        <v>44676</v>
      </c>
      <c r="B300" s="31" t="n">
        <v>290</v>
      </c>
      <c r="C300" s="31"/>
      <c r="D300" s="32" t="n">
        <v>73</v>
      </c>
      <c r="E300" s="32" t="n">
        <v>73.9130434782609</v>
      </c>
    </row>
    <row r="301" customFormat="false" ht="30" hidden="false" customHeight="true" outlineLevel="0" collapsed="false">
      <c r="A301" s="15" t="n">
        <v>44677</v>
      </c>
      <c r="B301" s="3" t="n">
        <v>291</v>
      </c>
      <c r="C301" s="3"/>
      <c r="D301" s="3" t="n">
        <v>81</v>
      </c>
      <c r="E301" s="26" t="n">
        <v>77.7777777777778</v>
      </c>
    </row>
    <row r="302" customFormat="false" ht="30" hidden="false" customHeight="true" outlineLevel="0" collapsed="false">
      <c r="A302" s="30" t="n">
        <v>44678</v>
      </c>
      <c r="B302" s="31" t="n">
        <v>292</v>
      </c>
      <c r="C302" s="31"/>
      <c r="D302" s="32" t="n">
        <v>78</v>
      </c>
      <c r="E302" s="32" t="n">
        <v>80</v>
      </c>
    </row>
    <row r="303" customFormat="false" ht="30" hidden="false" customHeight="true" outlineLevel="0" collapsed="false">
      <c r="A303" s="15" t="n">
        <v>44679</v>
      </c>
      <c r="B303" s="3" t="n">
        <v>293</v>
      </c>
      <c r="C303" s="3"/>
      <c r="D303" s="3" t="n">
        <v>76</v>
      </c>
      <c r="E303" s="26" t="n">
        <v>78.2608695652174</v>
      </c>
    </row>
    <row r="304" customFormat="false" ht="30" hidden="false" customHeight="true" outlineLevel="0" collapsed="false">
      <c r="A304" s="30" t="n">
        <v>44681</v>
      </c>
      <c r="B304" s="31" t="n">
        <v>294</v>
      </c>
      <c r="C304" s="31"/>
      <c r="D304" s="32" t="n">
        <v>81</v>
      </c>
      <c r="E304" s="32" t="n">
        <v>66.6666666666667</v>
      </c>
    </row>
    <row r="305" customFormat="false" ht="30" hidden="false" customHeight="true" outlineLevel="0" collapsed="false">
      <c r="A305" s="15" t="n">
        <v>44682</v>
      </c>
      <c r="B305" s="3" t="n">
        <v>295</v>
      </c>
      <c r="C305" s="3"/>
      <c r="D305" s="3" t="n">
        <v>80</v>
      </c>
      <c r="E305" s="26" t="n">
        <v>55</v>
      </c>
    </row>
    <row r="306" customFormat="false" ht="30" hidden="false" customHeight="true" outlineLevel="0" collapsed="false">
      <c r="A306" s="30" t="n">
        <v>44683</v>
      </c>
      <c r="B306" s="31" t="n">
        <v>296</v>
      </c>
      <c r="C306" s="31"/>
      <c r="D306" s="32" t="n">
        <v>78</v>
      </c>
      <c r="E306" s="32" t="n">
        <v>80</v>
      </c>
    </row>
    <row r="307" customFormat="false" ht="30" hidden="false" customHeight="true" outlineLevel="0" collapsed="false">
      <c r="A307" s="15" t="n">
        <v>44684</v>
      </c>
      <c r="B307" s="3" t="n">
        <v>297</v>
      </c>
      <c r="C307" s="3"/>
      <c r="D307" s="3" t="n">
        <v>76</v>
      </c>
      <c r="E307" s="26" t="n">
        <v>69.5652173913043</v>
      </c>
    </row>
    <row r="308" customFormat="false" ht="30" hidden="false" customHeight="true" outlineLevel="0" collapsed="false">
      <c r="A308" s="30" t="n">
        <v>44685</v>
      </c>
      <c r="B308" s="31" t="n">
        <v>298</v>
      </c>
      <c r="C308" s="31"/>
      <c r="D308" s="32" t="n">
        <v>84</v>
      </c>
      <c r="E308" s="32" t="n">
        <v>81.25</v>
      </c>
    </row>
    <row r="309" customFormat="false" ht="30" hidden="false" customHeight="true" outlineLevel="0" collapsed="false">
      <c r="A309" s="15" t="n">
        <v>44686</v>
      </c>
      <c r="B309" s="3" t="n">
        <v>299</v>
      </c>
      <c r="C309" s="3"/>
      <c r="D309" s="3" t="n">
        <v>78</v>
      </c>
      <c r="E309" s="26" t="n">
        <v>81.8181818181818</v>
      </c>
    </row>
    <row r="310" customFormat="false" ht="30" hidden="false" customHeight="true" outlineLevel="0" collapsed="false">
      <c r="A310" s="30" t="n">
        <v>44687</v>
      </c>
      <c r="B310" s="31" t="n">
        <v>300</v>
      </c>
      <c r="C310" s="31"/>
      <c r="D310" s="32" t="n">
        <v>74</v>
      </c>
      <c r="E310" s="32" t="n">
        <v>65.2173913043478</v>
      </c>
    </row>
    <row r="311" customFormat="false" ht="30" hidden="false" customHeight="true" outlineLevel="0" collapsed="false">
      <c r="A311" s="15" t="n">
        <v>44688</v>
      </c>
      <c r="B311" s="3" t="n">
        <v>301</v>
      </c>
      <c r="C311" s="3"/>
      <c r="D311" s="3" t="n">
        <v>72</v>
      </c>
      <c r="E311" s="26" t="n">
        <v>77</v>
      </c>
    </row>
    <row r="312" customFormat="false" ht="30" hidden="false" customHeight="true" outlineLevel="0" collapsed="false">
      <c r="A312" s="30" t="n">
        <v>44689</v>
      </c>
      <c r="B312" s="31" t="n">
        <v>302</v>
      </c>
      <c r="C312" s="31"/>
      <c r="D312" s="32" t="n">
        <v>70</v>
      </c>
      <c r="E312" s="32" t="n">
        <v>65.5172413793104</v>
      </c>
    </row>
    <row r="313" customFormat="false" ht="30" hidden="false" customHeight="true" outlineLevel="0" collapsed="false">
      <c r="A313" s="15" t="n">
        <v>44690</v>
      </c>
      <c r="B313" s="3" t="n">
        <v>303</v>
      </c>
      <c r="C313" s="3"/>
      <c r="D313" s="3" t="n">
        <v>79</v>
      </c>
      <c r="E313" s="26" t="n">
        <v>89.4736842105263</v>
      </c>
    </row>
    <row r="314" customFormat="false" ht="30" hidden="false" customHeight="true" outlineLevel="0" collapsed="false">
      <c r="A314" s="30" t="n">
        <v>44691</v>
      </c>
      <c r="B314" s="31" t="n">
        <v>304</v>
      </c>
      <c r="C314" s="31"/>
      <c r="D314" s="32" t="n">
        <v>76</v>
      </c>
      <c r="E314" s="32" t="n">
        <v>68.1818181818182</v>
      </c>
    </row>
    <row r="315" customFormat="false" ht="30" hidden="false" customHeight="true" outlineLevel="0" collapsed="false">
      <c r="A315" s="15" t="n">
        <v>44692</v>
      </c>
      <c r="B315" s="3" t="n">
        <v>305</v>
      </c>
      <c r="C315" s="3"/>
      <c r="D315" s="3" t="n">
        <v>79</v>
      </c>
      <c r="E315" s="26" t="n">
        <v>80</v>
      </c>
    </row>
    <row r="316" customFormat="false" ht="30" hidden="false" customHeight="true" outlineLevel="0" collapsed="false">
      <c r="A316" s="30" t="n">
        <v>44693</v>
      </c>
      <c r="B316" s="31" t="n">
        <v>306</v>
      </c>
      <c r="C316" s="31"/>
      <c r="D316" s="32" t="n">
        <v>76</v>
      </c>
      <c r="E316" s="32" t="n">
        <v>68.1818181818182</v>
      </c>
    </row>
    <row r="317" customFormat="false" ht="30" hidden="false" customHeight="true" outlineLevel="0" collapsed="false">
      <c r="A317" s="15" t="n">
        <v>44694</v>
      </c>
      <c r="B317" s="3" t="n">
        <v>307</v>
      </c>
      <c r="C317" s="3"/>
      <c r="D317" s="3" t="n">
        <v>73</v>
      </c>
      <c r="E317" s="26" t="n">
        <v>70.3703703703704</v>
      </c>
    </row>
    <row r="318" customFormat="false" ht="30" hidden="false" customHeight="true" outlineLevel="0" collapsed="false">
      <c r="A318" s="30" t="n">
        <v>44695</v>
      </c>
      <c r="B318" s="31" t="n">
        <v>308</v>
      </c>
      <c r="C318" s="31"/>
      <c r="D318" s="32" t="n">
        <v>84</v>
      </c>
      <c r="E318" s="32" t="n">
        <v>87.5</v>
      </c>
    </row>
    <row r="319" customFormat="false" ht="30" hidden="false" customHeight="true" outlineLevel="0" collapsed="false">
      <c r="A319" s="15" t="n">
        <v>44696</v>
      </c>
      <c r="B319" s="3" t="n">
        <v>309</v>
      </c>
      <c r="C319" s="3"/>
      <c r="D319" s="3" t="n">
        <v>78</v>
      </c>
      <c r="E319" s="26" t="n">
        <v>73.6842105263158</v>
      </c>
    </row>
    <row r="320" customFormat="false" ht="30" hidden="false" customHeight="true" outlineLevel="0" collapsed="false">
      <c r="A320" s="30" t="n">
        <v>44697</v>
      </c>
      <c r="B320" s="31" t="n">
        <v>310</v>
      </c>
      <c r="C320" s="31"/>
      <c r="D320" s="32" t="n">
        <v>79</v>
      </c>
      <c r="E320" s="32" t="n">
        <v>88.2352941176471</v>
      </c>
    </row>
    <row r="321" customFormat="false" ht="30" hidden="false" customHeight="true" outlineLevel="0" collapsed="false">
      <c r="A321" s="15" t="n">
        <v>44698</v>
      </c>
      <c r="B321" s="3" t="n">
        <v>311</v>
      </c>
      <c r="C321" s="3"/>
      <c r="D321" s="3" t="n">
        <v>76</v>
      </c>
      <c r="E321" s="26" t="n">
        <v>86</v>
      </c>
    </row>
    <row r="322" customFormat="false" ht="30" hidden="false" customHeight="true" outlineLevel="0" collapsed="false">
      <c r="A322" s="30" t="n">
        <v>44699</v>
      </c>
      <c r="B322" s="31" t="n">
        <v>312</v>
      </c>
      <c r="C322" s="31"/>
      <c r="D322" s="32" t="n">
        <v>73</v>
      </c>
      <c r="E322" s="32" t="n">
        <v>79.1666666666667</v>
      </c>
    </row>
    <row r="323" customFormat="false" ht="30" hidden="false" customHeight="true" outlineLevel="0" collapsed="false">
      <c r="A323" s="15" t="n">
        <v>44700</v>
      </c>
      <c r="B323" s="3" t="n">
        <v>313</v>
      </c>
      <c r="C323" s="3"/>
      <c r="D323" s="3" t="n">
        <v>78</v>
      </c>
      <c r="E323" s="26" t="n">
        <v>81</v>
      </c>
    </row>
    <row r="324" customFormat="false" ht="30" hidden="false" customHeight="true" outlineLevel="0" collapsed="false">
      <c r="A324" s="30" t="n">
        <v>44701</v>
      </c>
      <c r="B324" s="31" t="n">
        <v>314</v>
      </c>
      <c r="C324" s="31"/>
      <c r="D324" s="32" t="n">
        <v>70</v>
      </c>
      <c r="E324" s="32" t="n">
        <v>68.9655172413793</v>
      </c>
    </row>
    <row r="325" customFormat="false" ht="30" hidden="false" customHeight="true" outlineLevel="0" collapsed="false">
      <c r="A325" s="15" t="n">
        <v>44702</v>
      </c>
      <c r="B325" s="3" t="n">
        <v>315</v>
      </c>
      <c r="C325" s="3"/>
      <c r="D325" s="3" t="n">
        <v>75</v>
      </c>
      <c r="E325" s="26" t="n">
        <v>91.6666666666667</v>
      </c>
    </row>
    <row r="326" customFormat="false" ht="30" hidden="false" customHeight="true" outlineLevel="0" collapsed="false">
      <c r="A326" s="30" t="n">
        <v>44703</v>
      </c>
      <c r="B326" s="31" t="n">
        <v>316</v>
      </c>
      <c r="C326" s="31"/>
      <c r="D326" s="32" t="n">
        <v>80</v>
      </c>
      <c r="E326" s="32" t="n">
        <v>63.1578947368421</v>
      </c>
    </row>
    <row r="327" customFormat="false" ht="30" hidden="false" customHeight="true" outlineLevel="0" collapsed="false">
      <c r="A327" s="15" t="n">
        <v>44704</v>
      </c>
      <c r="B327" s="3" t="n">
        <v>317</v>
      </c>
      <c r="C327" s="3"/>
      <c r="D327" s="3" t="n">
        <v>78</v>
      </c>
      <c r="E327" s="26" t="n">
        <v>80</v>
      </c>
    </row>
    <row r="328" customFormat="false" ht="30" hidden="false" customHeight="true" outlineLevel="0" collapsed="false">
      <c r="A328" s="30" t="n">
        <v>44707</v>
      </c>
      <c r="B328" s="31" t="n">
        <v>318</v>
      </c>
      <c r="C328" s="31"/>
      <c r="D328" s="32" t="n">
        <v>76</v>
      </c>
      <c r="E328" s="32" t="n">
        <v>77.2727272727273</v>
      </c>
    </row>
    <row r="329" customFormat="false" ht="30" hidden="false" customHeight="true" outlineLevel="0" collapsed="false">
      <c r="A329" s="15" t="n">
        <v>44708</v>
      </c>
      <c r="B329" s="3" t="n">
        <v>319</v>
      </c>
      <c r="C329" s="3"/>
      <c r="D329" s="3" t="n">
        <v>74</v>
      </c>
      <c r="E329" s="26" t="n">
        <v>62.5</v>
      </c>
    </row>
    <row r="330" customFormat="false" ht="30" hidden="false" customHeight="true" outlineLevel="0" collapsed="false">
      <c r="A330" s="30" t="n">
        <v>44709</v>
      </c>
      <c r="B330" s="31" t="n">
        <v>320</v>
      </c>
      <c r="C330" s="31"/>
      <c r="D330" s="32" t="n">
        <v>75</v>
      </c>
      <c r="E330" s="32" t="n">
        <v>80</v>
      </c>
    </row>
    <row r="331" customFormat="false" ht="30" hidden="false" customHeight="true" outlineLevel="0" collapsed="false">
      <c r="A331" s="15" t="n">
        <v>44711</v>
      </c>
      <c r="B331" s="3" t="n">
        <v>321</v>
      </c>
      <c r="C331" s="3"/>
      <c r="D331" s="3" t="n">
        <v>73</v>
      </c>
      <c r="E331" s="26" t="n">
        <v>48</v>
      </c>
    </row>
    <row r="332" customFormat="false" ht="30" hidden="false" customHeight="true" outlineLevel="0" collapsed="false">
      <c r="A332" s="30" t="n">
        <v>44712</v>
      </c>
      <c r="B332" s="31" t="n">
        <v>322</v>
      </c>
      <c r="C332" s="31"/>
      <c r="D332" s="32" t="n">
        <v>73</v>
      </c>
      <c r="E332" s="32" t="n">
        <v>87.5</v>
      </c>
    </row>
    <row r="333" customFormat="false" ht="30" hidden="false" customHeight="true" outlineLevel="0" collapsed="false">
      <c r="A333" s="15" t="n">
        <v>44713</v>
      </c>
      <c r="B333" s="3" t="n">
        <v>323</v>
      </c>
      <c r="C333" s="3"/>
      <c r="D333" s="3" t="n">
        <v>71</v>
      </c>
      <c r="E333" s="26" t="n">
        <v>74</v>
      </c>
    </row>
    <row r="334" customFormat="false" ht="30" hidden="false" customHeight="true" outlineLevel="0" collapsed="false">
      <c r="A334" s="30" t="n">
        <v>44714</v>
      </c>
      <c r="B334" s="31" t="n">
        <v>324</v>
      </c>
      <c r="C334" s="31"/>
      <c r="D334" s="32" t="n">
        <v>70</v>
      </c>
      <c r="E334" s="32" t="n">
        <v>66</v>
      </c>
    </row>
    <row r="335" customFormat="false" ht="30" hidden="false" customHeight="true" outlineLevel="0" collapsed="false">
      <c r="A335" s="15" t="n">
        <v>44715</v>
      </c>
      <c r="B335" s="3" t="n">
        <v>325</v>
      </c>
      <c r="C335" s="3"/>
      <c r="D335" s="3" t="n">
        <v>78</v>
      </c>
      <c r="E335" s="26" t="n">
        <v>71.4285714285714</v>
      </c>
    </row>
    <row r="336" customFormat="false" ht="30" hidden="false" customHeight="true" outlineLevel="0" collapsed="false">
      <c r="A336" s="30" t="n">
        <v>44716</v>
      </c>
      <c r="B336" s="31" t="n">
        <v>326</v>
      </c>
      <c r="C336" s="31"/>
      <c r="D336" s="32" t="n">
        <v>74</v>
      </c>
      <c r="E336" s="32" t="n">
        <v>84</v>
      </c>
    </row>
    <row r="337" customFormat="false" ht="30" hidden="false" customHeight="true" outlineLevel="0" collapsed="false">
      <c r="A337" s="15" t="n">
        <v>44717</v>
      </c>
      <c r="B337" s="3" t="n">
        <v>327</v>
      </c>
      <c r="C337" s="3"/>
      <c r="D337" s="3" t="n">
        <v>74</v>
      </c>
      <c r="E337" s="26" t="n">
        <v>65.2173913043478</v>
      </c>
    </row>
    <row r="338" customFormat="false" ht="30" hidden="false" customHeight="true" outlineLevel="0" collapsed="false">
      <c r="A338" s="30" t="n">
        <v>44718</v>
      </c>
      <c r="B338" s="31" t="n">
        <v>328</v>
      </c>
      <c r="C338" s="31"/>
      <c r="D338" s="32" t="n">
        <v>83</v>
      </c>
      <c r="E338" s="32" t="n">
        <v>66.6666666666667</v>
      </c>
    </row>
    <row r="339" customFormat="false" ht="30" hidden="false" customHeight="true" outlineLevel="0" collapsed="false">
      <c r="A339" s="15" t="n">
        <v>44719</v>
      </c>
      <c r="B339" s="3" t="n">
        <v>329</v>
      </c>
      <c r="C339" s="3"/>
      <c r="D339" s="3" t="n">
        <v>73</v>
      </c>
      <c r="E339" s="26" t="n">
        <v>76.9230769230769</v>
      </c>
    </row>
    <row r="340" customFormat="false" ht="30" hidden="false" customHeight="true" outlineLevel="0" collapsed="false">
      <c r="A340" s="30" t="n">
        <v>44720</v>
      </c>
      <c r="B340" s="31" t="n">
        <v>330</v>
      </c>
      <c r="C340" s="31"/>
      <c r="D340" s="32" t="n">
        <v>72</v>
      </c>
      <c r="E340" s="32" t="n">
        <v>76.9230769230769</v>
      </c>
    </row>
    <row r="341" customFormat="false" ht="30" hidden="false" customHeight="true" outlineLevel="0" collapsed="false">
      <c r="A341" s="15" t="n">
        <v>44721</v>
      </c>
      <c r="B341" s="3" t="n">
        <v>331</v>
      </c>
      <c r="C341" s="3"/>
      <c r="D341" s="3" t="n">
        <v>72</v>
      </c>
      <c r="E341" s="26" t="n">
        <v>77.7777777777778</v>
      </c>
    </row>
    <row r="342" customFormat="false" ht="30" hidden="false" customHeight="true" outlineLevel="0" collapsed="false">
      <c r="A342" s="30" t="n">
        <v>44722</v>
      </c>
      <c r="B342" s="31" t="n">
        <v>332</v>
      </c>
      <c r="C342" s="31"/>
      <c r="D342" s="32" t="n">
        <v>77</v>
      </c>
      <c r="E342" s="32" t="n">
        <v>78.9473684210526</v>
      </c>
    </row>
    <row r="343" customFormat="false" ht="30" hidden="false" customHeight="true" outlineLevel="0" collapsed="false">
      <c r="A343" s="15" t="n">
        <v>44723</v>
      </c>
      <c r="B343" s="3" t="n">
        <v>333</v>
      </c>
      <c r="C343" s="3"/>
      <c r="D343" s="3" t="n">
        <v>77</v>
      </c>
      <c r="E343" s="26" t="n">
        <v>72.7272727272727</v>
      </c>
    </row>
    <row r="344" customFormat="false" ht="30" hidden="false" customHeight="true" outlineLevel="0" collapsed="false">
      <c r="A344" s="30" t="n">
        <v>44724</v>
      </c>
      <c r="B344" s="31" t="n">
        <v>334</v>
      </c>
      <c r="C344" s="31"/>
      <c r="D344" s="32" t="n">
        <v>73</v>
      </c>
      <c r="E344" s="32" t="n">
        <v>75</v>
      </c>
    </row>
    <row r="345" customFormat="false" ht="30" hidden="false" customHeight="true" outlineLevel="0" collapsed="false">
      <c r="A345" s="15" t="n">
        <v>44725</v>
      </c>
      <c r="B345" s="3" t="n">
        <v>335</v>
      </c>
      <c r="C345" s="3"/>
      <c r="D345" s="3" t="n">
        <v>75</v>
      </c>
      <c r="E345" s="26" t="n">
        <v>79.1666666666667</v>
      </c>
    </row>
    <row r="346" customFormat="false" ht="30" hidden="false" customHeight="true" outlineLevel="0" collapsed="false">
      <c r="A346" s="30" t="n">
        <v>44726</v>
      </c>
      <c r="B346" s="31" t="n">
        <v>336</v>
      </c>
      <c r="C346" s="31"/>
      <c r="D346" s="32" t="n">
        <v>81</v>
      </c>
      <c r="E346" s="32" t="n">
        <v>88.8888888888889</v>
      </c>
    </row>
    <row r="347" customFormat="false" ht="30" hidden="false" customHeight="true" outlineLevel="0" collapsed="false">
      <c r="A347" s="15" t="n">
        <v>44727</v>
      </c>
      <c r="B347" s="3" t="n">
        <v>337</v>
      </c>
      <c r="C347" s="3"/>
      <c r="D347" s="3" t="n">
        <v>78</v>
      </c>
      <c r="E347" s="26" t="n">
        <v>78.2608695652174</v>
      </c>
    </row>
    <row r="348" customFormat="false" ht="30" hidden="false" customHeight="true" outlineLevel="0" collapsed="false">
      <c r="A348" s="30" t="n">
        <v>44730</v>
      </c>
      <c r="B348" s="31" t="n">
        <v>338</v>
      </c>
      <c r="C348" s="31"/>
      <c r="D348" s="32" t="n">
        <v>72</v>
      </c>
      <c r="E348" s="32" t="n">
        <v>80</v>
      </c>
    </row>
    <row r="349" customFormat="false" ht="30" hidden="false" customHeight="true" outlineLevel="0" collapsed="false">
      <c r="A349" s="15" t="n">
        <v>44731</v>
      </c>
      <c r="B349" s="3" t="n">
        <v>339</v>
      </c>
      <c r="C349" s="3"/>
      <c r="D349" s="3" t="n">
        <v>81</v>
      </c>
      <c r="E349" s="26" t="n">
        <v>72.2222222222222</v>
      </c>
    </row>
    <row r="350" customFormat="false" ht="30" hidden="false" customHeight="true" outlineLevel="0" collapsed="false">
      <c r="A350" s="30" t="n">
        <v>44732</v>
      </c>
      <c r="B350" s="31" t="n">
        <v>340</v>
      </c>
      <c r="C350" s="31"/>
      <c r="D350" s="32" t="n">
        <v>75</v>
      </c>
      <c r="E350" s="32" t="n">
        <v>83.3333333333333</v>
      </c>
    </row>
    <row r="351" customFormat="false" ht="30" hidden="false" customHeight="true" outlineLevel="0" collapsed="false">
      <c r="A351" s="15" t="n">
        <v>44733</v>
      </c>
      <c r="B351" s="3" t="n">
        <v>341</v>
      </c>
      <c r="C351" s="3"/>
      <c r="D351" s="3" t="n">
        <v>68</v>
      </c>
      <c r="E351" s="26" t="n">
        <v>61.2903225806452</v>
      </c>
    </row>
    <row r="352" customFormat="false" ht="30" hidden="false" customHeight="true" outlineLevel="0" collapsed="false">
      <c r="A352" s="30" t="n">
        <v>44734</v>
      </c>
      <c r="B352" s="31" t="n">
        <v>342</v>
      </c>
      <c r="C352" s="31"/>
      <c r="D352" s="32" t="n">
        <v>79</v>
      </c>
      <c r="E352" s="32" t="n">
        <v>100</v>
      </c>
    </row>
    <row r="353" customFormat="false" ht="30" hidden="false" customHeight="true" outlineLevel="0" collapsed="false">
      <c r="A353" s="15" t="n">
        <v>44735</v>
      </c>
      <c r="B353" s="3" t="n">
        <v>343</v>
      </c>
      <c r="C353" s="3"/>
      <c r="D353" s="3" t="n">
        <v>81</v>
      </c>
      <c r="E353" s="26" t="n">
        <v>70.5882352941177</v>
      </c>
    </row>
    <row r="354" customFormat="false" ht="30" hidden="false" customHeight="true" outlineLevel="0" collapsed="false">
      <c r="A354" s="30" t="n">
        <v>44736</v>
      </c>
      <c r="B354" s="31" t="n">
        <v>344</v>
      </c>
      <c r="C354" s="31"/>
      <c r="D354" s="32" t="n">
        <v>90</v>
      </c>
      <c r="E354" s="32" t="n">
        <v>75</v>
      </c>
    </row>
    <row r="355" customFormat="false" ht="30" hidden="false" customHeight="true" outlineLevel="0" collapsed="false">
      <c r="A355" s="15" t="n">
        <v>44737</v>
      </c>
      <c r="B355" s="3" t="n">
        <v>345</v>
      </c>
      <c r="C355" s="3"/>
      <c r="D355" s="3" t="n">
        <v>82</v>
      </c>
      <c r="E355" s="26" t="n">
        <v>80</v>
      </c>
    </row>
    <row r="356" customFormat="false" ht="30" hidden="false" customHeight="true" outlineLevel="0" collapsed="false">
      <c r="A356" s="30" t="n">
        <v>44744</v>
      </c>
      <c r="B356" s="31" t="n">
        <v>346</v>
      </c>
      <c r="C356" s="31"/>
      <c r="D356" s="32" t="n">
        <v>70</v>
      </c>
      <c r="E356" s="32" t="n">
        <v>88.8888888888889</v>
      </c>
    </row>
    <row r="357" customFormat="false" ht="30" hidden="false" customHeight="true" outlineLevel="0" collapsed="false">
      <c r="A357" s="15" t="n">
        <v>44828</v>
      </c>
      <c r="B357" s="3" t="n">
        <v>347</v>
      </c>
      <c r="C357" s="3"/>
      <c r="D357" s="3" t="n">
        <v>66</v>
      </c>
      <c r="E357" s="26" t="n">
        <v>71</v>
      </c>
    </row>
    <row r="358" customFormat="false" ht="30" hidden="false" customHeight="true" outlineLevel="0" collapsed="false">
      <c r="A358" s="30" t="n">
        <v>44829</v>
      </c>
      <c r="B358" s="31" t="n">
        <v>348</v>
      </c>
      <c r="C358" s="31"/>
      <c r="D358" s="32" t="n">
        <v>74</v>
      </c>
      <c r="E358" s="32" t="n">
        <v>84</v>
      </c>
    </row>
    <row r="359" customFormat="false" ht="30" hidden="false" customHeight="true" outlineLevel="0" collapsed="false">
      <c r="A359" s="15" t="n">
        <v>44830</v>
      </c>
      <c r="B359" s="3" t="n">
        <v>349</v>
      </c>
      <c r="C359" s="3"/>
      <c r="D359" s="3" t="n">
        <v>61</v>
      </c>
      <c r="E359" s="26" t="n">
        <v>62.8571428571429</v>
      </c>
    </row>
    <row r="360" customFormat="false" ht="30" hidden="false" customHeight="true" outlineLevel="0" collapsed="false">
      <c r="A360" s="30" t="n">
        <v>44835</v>
      </c>
      <c r="B360" s="31" t="n">
        <v>350</v>
      </c>
      <c r="C360" s="31"/>
      <c r="D360" s="32" t="n">
        <v>69</v>
      </c>
      <c r="E360" s="32" t="n">
        <v>60</v>
      </c>
    </row>
    <row r="361" customFormat="false" ht="30" hidden="false" customHeight="true" outlineLevel="0" collapsed="false">
      <c r="A361" s="15" t="n">
        <v>44983</v>
      </c>
      <c r="B361" s="3" t="n">
        <v>351</v>
      </c>
      <c r="C361" s="3"/>
      <c r="D361" s="3" t="n">
        <v>69</v>
      </c>
      <c r="E361" s="26" t="n">
        <v>63.3333333333333</v>
      </c>
    </row>
    <row r="362" customFormat="false" ht="30" hidden="false" customHeight="true" outlineLevel="0" collapsed="false">
      <c r="A362" s="30" t="n">
        <v>44984</v>
      </c>
      <c r="B362" s="31" t="n">
        <v>352</v>
      </c>
      <c r="C362" s="31"/>
      <c r="D362" s="32" t="n">
        <v>55</v>
      </c>
      <c r="E362" s="32" t="n">
        <v>58.1395348837209</v>
      </c>
    </row>
    <row r="363" customFormat="false" ht="30" hidden="false" customHeight="true" outlineLevel="0" collapsed="false">
      <c r="A363" s="15"/>
      <c r="B363" s="3"/>
      <c r="C363" s="3"/>
      <c r="D363" s="3"/>
      <c r="E363" s="26"/>
    </row>
    <row r="364" customFormat="false" ht="30" hidden="false" customHeight="true" outlineLevel="0" collapsed="false">
      <c r="A364" s="30"/>
      <c r="B364" s="31"/>
      <c r="C364" s="31"/>
      <c r="D364" s="32"/>
      <c r="E364" s="32"/>
    </row>
    <row r="365" customFormat="false" ht="30" hidden="false" customHeight="true" outlineLevel="0" collapsed="false">
      <c r="A365" s="15"/>
      <c r="B365" s="3"/>
      <c r="C365" s="3"/>
      <c r="D365" s="3"/>
      <c r="E365" s="26"/>
    </row>
    <row r="366" customFormat="false" ht="30" hidden="false" customHeight="true" outlineLevel="0" collapsed="false">
      <c r="A366" s="30"/>
      <c r="B366" s="31"/>
      <c r="C366" s="31"/>
      <c r="D366" s="32"/>
      <c r="E366" s="32"/>
    </row>
  </sheetData>
  <printOptions headings="tru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ain.vocabulaire">
                <anchor moveWithCells="true" sizeWithCells="false">
                  <from>
                    <xdr:col>1</xdr:col>
                    <xdr:colOff>152280</xdr:colOff>
                    <xdr:row>3</xdr:row>
                    <xdr:rowOff>23040</xdr:rowOff>
                  </from>
                  <to>
                    <xdr:col>3</xdr:col>
                    <xdr:colOff>182880</xdr:colOff>
                    <xdr:row>4</xdr:row>
                    <xdr:rowOff>99360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8:B27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8" topLeftCell="A256" activePane="bottomLeft" state="frozen"/>
      <selection pane="topLeft" activeCell="A1" activeCellId="0" sqref="A1"/>
      <selection pane="bottomLeft" activeCell="A272" activeCellId="0" sqref="A272"/>
    </sheetView>
  </sheetViews>
  <sheetFormatPr defaultColWidth="15.66796875" defaultRowHeight="19.5" zeroHeight="false" outlineLevelRow="0" outlineLevelCol="0"/>
  <cols>
    <col collapsed="false" customWidth="false" hidden="false" outlineLevel="0" max="16384" min="1" style="11" width="15.66"/>
  </cols>
  <sheetData>
    <row r="18" customFormat="false" ht="19.5" hidden="false" customHeight="true" outlineLevel="0" collapsed="false">
      <c r="A18" s="11" t="s">
        <v>4493</v>
      </c>
      <c r="B18" s="11" t="s">
        <v>4494</v>
      </c>
    </row>
    <row r="19" customFormat="false" ht="19.5" hidden="false" customHeight="true" outlineLevel="0" collapsed="false">
      <c r="A19" s="11" t="n">
        <v>41</v>
      </c>
      <c r="B19" s="11" t="n">
        <v>41</v>
      </c>
    </row>
    <row r="20" customFormat="false" ht="19.5" hidden="false" customHeight="true" outlineLevel="0" collapsed="false">
      <c r="A20" s="11" t="n">
        <v>41</v>
      </c>
      <c r="B20" s="11" t="n">
        <f aca="false">Tableau3[[#This Row],[Corrections]]+B19</f>
        <v>82</v>
      </c>
    </row>
    <row r="21" customFormat="false" ht="19.5" hidden="false" customHeight="true" outlineLevel="0" collapsed="false">
      <c r="A21" s="11" t="n">
        <v>32</v>
      </c>
      <c r="B21" s="11" t="n">
        <f aca="false">Tableau3[[#This Row],[Corrections]]+B20</f>
        <v>114</v>
      </c>
    </row>
    <row r="22" customFormat="false" ht="19.5" hidden="false" customHeight="true" outlineLevel="0" collapsed="false">
      <c r="A22" s="11" t="n">
        <v>51</v>
      </c>
      <c r="B22" s="11" t="n">
        <f aca="false">Tableau3[[#This Row],[Corrections]]+B21</f>
        <v>165</v>
      </c>
    </row>
    <row r="23" customFormat="false" ht="19.5" hidden="false" customHeight="true" outlineLevel="0" collapsed="false">
      <c r="A23" s="11" t="n">
        <v>38</v>
      </c>
      <c r="B23" s="11" t="n">
        <f aca="false">Tableau3[[#This Row],[Corrections]]+B22</f>
        <v>203</v>
      </c>
    </row>
    <row r="24" customFormat="false" ht="19.5" hidden="false" customHeight="true" outlineLevel="0" collapsed="false">
      <c r="A24" s="11" t="n">
        <v>37</v>
      </c>
      <c r="B24" s="11" t="n">
        <f aca="false">Tableau3[[#This Row],[Corrections]]+B23</f>
        <v>240</v>
      </c>
    </row>
    <row r="25" customFormat="false" ht="19.5" hidden="false" customHeight="true" outlineLevel="0" collapsed="false">
      <c r="A25" s="11" t="n">
        <v>3</v>
      </c>
      <c r="B25" s="11" t="n">
        <f aca="false">Tableau3[[#This Row],[Corrections]]+B24</f>
        <v>243</v>
      </c>
    </row>
    <row r="26" customFormat="false" ht="19.5" hidden="false" customHeight="true" outlineLevel="0" collapsed="false">
      <c r="A26" s="11" t="n">
        <v>36</v>
      </c>
      <c r="B26" s="11" t="n">
        <f aca="false">Tableau3[[#This Row],[Corrections]]+B25</f>
        <v>279</v>
      </c>
    </row>
    <row r="27" customFormat="false" ht="19.5" hidden="false" customHeight="true" outlineLevel="0" collapsed="false">
      <c r="A27" s="11" t="n">
        <v>20</v>
      </c>
      <c r="B27" s="11" t="n">
        <f aca="false">Tableau3[[#This Row],[Corrections]]+B26</f>
        <v>299</v>
      </c>
    </row>
    <row r="28" customFormat="false" ht="19.5" hidden="false" customHeight="true" outlineLevel="0" collapsed="false">
      <c r="A28" s="11" t="n">
        <v>41</v>
      </c>
      <c r="B28" s="11" t="n">
        <f aca="false">Tableau3[[#This Row],[Corrections]]+B27</f>
        <v>340</v>
      </c>
    </row>
    <row r="29" customFormat="false" ht="19.5" hidden="false" customHeight="true" outlineLevel="0" collapsed="false">
      <c r="A29" s="11" t="n">
        <v>30</v>
      </c>
      <c r="B29" s="11" t="n">
        <f aca="false">Tableau3[[#This Row],[Corrections]]+B28</f>
        <v>370</v>
      </c>
    </row>
    <row r="30" customFormat="false" ht="19.5" hidden="false" customHeight="true" outlineLevel="0" collapsed="false">
      <c r="A30" s="11" t="n">
        <v>31</v>
      </c>
      <c r="B30" s="11" t="n">
        <f aca="false">Tableau3[[#This Row],[Corrections]]+B29</f>
        <v>401</v>
      </c>
    </row>
    <row r="31" customFormat="false" ht="19.5" hidden="false" customHeight="true" outlineLevel="0" collapsed="false">
      <c r="A31" s="11" t="n">
        <v>27</v>
      </c>
      <c r="B31" s="11" t="n">
        <f aca="false">Tableau3[[#This Row],[Corrections]]+B30</f>
        <v>428</v>
      </c>
    </row>
    <row r="32" customFormat="false" ht="19.5" hidden="false" customHeight="true" outlineLevel="0" collapsed="false">
      <c r="A32" s="11" t="n">
        <v>35</v>
      </c>
      <c r="B32" s="11" t="n">
        <f aca="false">Tableau3[[#This Row],[Corrections]]+B31</f>
        <v>463</v>
      </c>
    </row>
    <row r="33" customFormat="false" ht="19.5" hidden="false" customHeight="true" outlineLevel="0" collapsed="false">
      <c r="A33" s="11" t="n">
        <v>23</v>
      </c>
      <c r="B33" s="11" t="n">
        <f aca="false">Tableau3[[#This Row],[Corrections]]+B32</f>
        <v>486</v>
      </c>
    </row>
    <row r="34" customFormat="false" ht="19.5" hidden="false" customHeight="true" outlineLevel="0" collapsed="false">
      <c r="A34" s="11" t="n">
        <v>30</v>
      </c>
      <c r="B34" s="11" t="n">
        <f aca="false">Tableau3[[#This Row],[Corrections]]+B33</f>
        <v>516</v>
      </c>
    </row>
    <row r="35" customFormat="false" ht="19.5" hidden="false" customHeight="true" outlineLevel="0" collapsed="false">
      <c r="A35" s="11" t="n">
        <v>17</v>
      </c>
      <c r="B35" s="11" t="n">
        <f aca="false">Tableau3[[#This Row],[Corrections]]+B34</f>
        <v>533</v>
      </c>
    </row>
    <row r="36" customFormat="false" ht="19.5" hidden="false" customHeight="true" outlineLevel="0" collapsed="false">
      <c r="A36" s="11" t="n">
        <v>17</v>
      </c>
      <c r="B36" s="11" t="n">
        <f aca="false">Tableau3[[#This Row],[Corrections]]+B35</f>
        <v>550</v>
      </c>
    </row>
    <row r="37" customFormat="false" ht="19.5" hidden="false" customHeight="true" outlineLevel="0" collapsed="false">
      <c r="A37" s="11" t="n">
        <v>26</v>
      </c>
      <c r="B37" s="11" t="n">
        <f aca="false">Tableau3[[#This Row],[Corrections]]+B36</f>
        <v>576</v>
      </c>
    </row>
    <row r="38" customFormat="false" ht="19.5" hidden="false" customHeight="true" outlineLevel="0" collapsed="false">
      <c r="A38" s="11" t="n">
        <v>18</v>
      </c>
      <c r="B38" s="11" t="n">
        <f aca="false">Tableau3[[#This Row],[Corrections]]+B37</f>
        <v>594</v>
      </c>
    </row>
    <row r="39" customFormat="false" ht="19.5" hidden="false" customHeight="true" outlineLevel="0" collapsed="false">
      <c r="A39" s="11" t="n">
        <v>23</v>
      </c>
      <c r="B39" s="11" t="n">
        <f aca="false">Tableau3[[#This Row],[Corrections]]+B38</f>
        <v>617</v>
      </c>
    </row>
    <row r="40" customFormat="false" ht="19.5" hidden="false" customHeight="true" outlineLevel="0" collapsed="false">
      <c r="A40" s="11" t="n">
        <v>19</v>
      </c>
      <c r="B40" s="11" t="n">
        <f aca="false">Tableau3[[#This Row],[Corrections]]+B39</f>
        <v>636</v>
      </c>
    </row>
    <row r="41" customFormat="false" ht="19.5" hidden="false" customHeight="true" outlineLevel="0" collapsed="false">
      <c r="A41" s="11" t="n">
        <v>28</v>
      </c>
      <c r="B41" s="11" t="n">
        <f aca="false">Tableau3[[#This Row],[Corrections]]+B40</f>
        <v>664</v>
      </c>
    </row>
    <row r="42" customFormat="false" ht="19.5" hidden="false" customHeight="true" outlineLevel="0" collapsed="false">
      <c r="A42" s="11" t="n">
        <v>16</v>
      </c>
      <c r="B42" s="11" t="n">
        <f aca="false">Tableau3[[#This Row],[Corrections]]+B41</f>
        <v>680</v>
      </c>
    </row>
    <row r="43" customFormat="false" ht="19.5" hidden="false" customHeight="true" outlineLevel="0" collapsed="false">
      <c r="A43" s="11" t="n">
        <v>15</v>
      </c>
      <c r="B43" s="11" t="n">
        <f aca="false">Tableau3[[#This Row],[Corrections]]+B42</f>
        <v>695</v>
      </c>
    </row>
    <row r="44" customFormat="false" ht="19.5" hidden="false" customHeight="true" outlineLevel="0" collapsed="false">
      <c r="A44" s="11" t="n">
        <v>16</v>
      </c>
      <c r="B44" s="11" t="n">
        <f aca="false">Tableau3[[#This Row],[Corrections]]+B43</f>
        <v>711</v>
      </c>
    </row>
    <row r="45" customFormat="false" ht="19.5" hidden="false" customHeight="true" outlineLevel="0" collapsed="false">
      <c r="A45" s="11" t="n">
        <v>13</v>
      </c>
      <c r="B45" s="11" t="n">
        <f aca="false">Tableau3[[#This Row],[Corrections]]+B44</f>
        <v>724</v>
      </c>
    </row>
    <row r="46" customFormat="false" ht="19.5" hidden="false" customHeight="true" outlineLevel="0" collapsed="false">
      <c r="A46" s="11" t="n">
        <v>14</v>
      </c>
      <c r="B46" s="11" t="n">
        <f aca="false">Tableau3[[#This Row],[Corrections]]+B45</f>
        <v>738</v>
      </c>
    </row>
    <row r="47" customFormat="false" ht="19.5" hidden="false" customHeight="true" outlineLevel="0" collapsed="false">
      <c r="A47" s="11" t="n">
        <v>12</v>
      </c>
      <c r="B47" s="11" t="n">
        <f aca="false">Tableau3[[#This Row],[Corrections]]+B46</f>
        <v>750</v>
      </c>
    </row>
    <row r="48" customFormat="false" ht="19.5" hidden="false" customHeight="true" outlineLevel="0" collapsed="false">
      <c r="A48" s="11" t="n">
        <v>15</v>
      </c>
      <c r="B48" s="11" t="n">
        <f aca="false">Tableau3[[#This Row],[Corrections]]+B47</f>
        <v>765</v>
      </c>
    </row>
    <row r="49" customFormat="false" ht="19.5" hidden="false" customHeight="true" outlineLevel="0" collapsed="false">
      <c r="A49" s="11" t="n">
        <v>11</v>
      </c>
      <c r="B49" s="11" t="n">
        <f aca="false">Tableau3[[#This Row],[Corrections]]+B48</f>
        <v>776</v>
      </c>
    </row>
    <row r="50" customFormat="false" ht="19.5" hidden="false" customHeight="true" outlineLevel="0" collapsed="false">
      <c r="A50" s="11" t="n">
        <v>22</v>
      </c>
      <c r="B50" s="11" t="n">
        <f aca="false">Tableau3[[#This Row],[Corrections]]+B49</f>
        <v>798</v>
      </c>
    </row>
    <row r="51" customFormat="false" ht="19.5" hidden="false" customHeight="true" outlineLevel="0" collapsed="false">
      <c r="A51" s="11" t="n">
        <v>12</v>
      </c>
      <c r="B51" s="11" t="n">
        <f aca="false">Tableau3[[#This Row],[Corrections]]+B50</f>
        <v>810</v>
      </c>
    </row>
    <row r="52" customFormat="false" ht="19.5" hidden="false" customHeight="true" outlineLevel="0" collapsed="false">
      <c r="A52" s="11" t="n">
        <v>16</v>
      </c>
      <c r="B52" s="11" t="n">
        <f aca="false">Tableau3[[#This Row],[Corrections]]+B51</f>
        <v>826</v>
      </c>
    </row>
    <row r="53" customFormat="false" ht="19.5" hidden="false" customHeight="true" outlineLevel="0" collapsed="false">
      <c r="A53" s="11" t="n">
        <v>16</v>
      </c>
      <c r="B53" s="11" t="n">
        <f aca="false">Tableau3[[#This Row],[Corrections]]+B52</f>
        <v>842</v>
      </c>
    </row>
    <row r="54" customFormat="false" ht="19.5" hidden="false" customHeight="true" outlineLevel="0" collapsed="false">
      <c r="A54" s="11" t="n">
        <v>11</v>
      </c>
      <c r="B54" s="11" t="n">
        <f aca="false">Tableau3[[#This Row],[Corrections]]+B53</f>
        <v>853</v>
      </c>
    </row>
    <row r="55" customFormat="false" ht="19.5" hidden="false" customHeight="true" outlineLevel="0" collapsed="false">
      <c r="A55" s="11" t="n">
        <v>14</v>
      </c>
      <c r="B55" s="11" t="n">
        <f aca="false">Tableau3[[#This Row],[Corrections]]+B54</f>
        <v>867</v>
      </c>
    </row>
    <row r="56" customFormat="false" ht="19.5" hidden="false" customHeight="true" outlineLevel="0" collapsed="false">
      <c r="A56" s="11" t="n">
        <v>9</v>
      </c>
      <c r="B56" s="11" t="n">
        <f aca="false">Tableau3[[#This Row],[Corrections]]+B55</f>
        <v>876</v>
      </c>
    </row>
    <row r="57" customFormat="false" ht="19.5" hidden="false" customHeight="true" outlineLevel="0" collapsed="false">
      <c r="A57" s="11" t="n">
        <v>12</v>
      </c>
      <c r="B57" s="11" t="n">
        <f aca="false">Tableau3[[#This Row],[Corrections]]+B56</f>
        <v>888</v>
      </c>
    </row>
    <row r="58" customFormat="false" ht="19.5" hidden="false" customHeight="true" outlineLevel="0" collapsed="false">
      <c r="A58" s="11" t="n">
        <v>4</v>
      </c>
      <c r="B58" s="11" t="n">
        <f aca="false">Tableau3[[#This Row],[Corrections]]+B57</f>
        <v>892</v>
      </c>
    </row>
    <row r="59" customFormat="false" ht="19.5" hidden="false" customHeight="true" outlineLevel="0" collapsed="false">
      <c r="A59" s="11" t="n">
        <v>13</v>
      </c>
      <c r="B59" s="11" t="n">
        <f aca="false">Tableau3[[#This Row],[Corrections]]+B58</f>
        <v>905</v>
      </c>
    </row>
    <row r="60" customFormat="false" ht="19.5" hidden="false" customHeight="true" outlineLevel="0" collapsed="false">
      <c r="A60" s="11" t="n">
        <v>17</v>
      </c>
      <c r="B60" s="11" t="n">
        <f aca="false">Tableau3[[#This Row],[Corrections]]+B59</f>
        <v>922</v>
      </c>
    </row>
    <row r="61" customFormat="false" ht="19.5" hidden="false" customHeight="true" outlineLevel="0" collapsed="false">
      <c r="A61" s="11" t="n">
        <v>12</v>
      </c>
      <c r="B61" s="11" t="n">
        <f aca="false">Tableau3[[#This Row],[Corrections]]+B60</f>
        <v>934</v>
      </c>
    </row>
    <row r="62" customFormat="false" ht="19.5" hidden="false" customHeight="true" outlineLevel="0" collapsed="false">
      <c r="A62" s="11" t="n">
        <v>15</v>
      </c>
      <c r="B62" s="11" t="n">
        <f aca="false">Tableau3[[#This Row],[Corrections]]+B61</f>
        <v>949</v>
      </c>
    </row>
    <row r="63" customFormat="false" ht="19.5" hidden="false" customHeight="true" outlineLevel="0" collapsed="false">
      <c r="A63" s="11" t="n">
        <v>15</v>
      </c>
      <c r="B63" s="11" t="n">
        <f aca="false">Tableau3[[#This Row],[Corrections]]+B62</f>
        <v>964</v>
      </c>
    </row>
    <row r="64" customFormat="false" ht="19.5" hidden="false" customHeight="true" outlineLevel="0" collapsed="false">
      <c r="A64" s="11" t="n">
        <v>10</v>
      </c>
      <c r="B64" s="11" t="n">
        <f aca="false">Tableau3[[#This Row],[Corrections]]+B63</f>
        <v>974</v>
      </c>
    </row>
    <row r="65" customFormat="false" ht="19.5" hidden="false" customHeight="true" outlineLevel="0" collapsed="false">
      <c r="A65" s="11" t="n">
        <v>6</v>
      </c>
      <c r="B65" s="11" t="n">
        <f aca="false">Tableau3[[#This Row],[Corrections]]+B64</f>
        <v>980</v>
      </c>
    </row>
    <row r="66" customFormat="false" ht="19.5" hidden="false" customHeight="true" outlineLevel="0" collapsed="false">
      <c r="A66" s="11" t="n">
        <v>10</v>
      </c>
      <c r="B66" s="11" t="n">
        <f aca="false">Tableau3[[#This Row],[Corrections]]+B65</f>
        <v>990</v>
      </c>
    </row>
    <row r="67" customFormat="false" ht="19.5" hidden="false" customHeight="true" outlineLevel="0" collapsed="false">
      <c r="A67" s="11" t="n">
        <v>9</v>
      </c>
      <c r="B67" s="11" t="n">
        <f aca="false">Tableau3[[#This Row],[Corrections]]+B66</f>
        <v>999</v>
      </c>
    </row>
    <row r="68" customFormat="false" ht="19.5" hidden="false" customHeight="true" outlineLevel="0" collapsed="false">
      <c r="A68" s="11" t="n">
        <v>5</v>
      </c>
      <c r="B68" s="11" t="n">
        <f aca="false">Tableau3[[#This Row],[Corrections]]+B67</f>
        <v>1004</v>
      </c>
    </row>
    <row r="69" customFormat="false" ht="19.5" hidden="false" customHeight="true" outlineLevel="0" collapsed="false">
      <c r="A69" s="11" t="n">
        <v>17</v>
      </c>
      <c r="B69" s="11" t="n">
        <f aca="false">Tableau3[[#This Row],[Corrections]]+B68</f>
        <v>1021</v>
      </c>
    </row>
    <row r="70" customFormat="false" ht="19.5" hidden="false" customHeight="true" outlineLevel="0" collapsed="false">
      <c r="A70" s="11" t="n">
        <v>8</v>
      </c>
      <c r="B70" s="11" t="n">
        <f aca="false">Tableau3[[#This Row],[Corrections]]+B69</f>
        <v>1029</v>
      </c>
    </row>
    <row r="71" customFormat="false" ht="19.5" hidden="false" customHeight="true" outlineLevel="0" collapsed="false">
      <c r="A71" s="11" t="n">
        <v>11</v>
      </c>
      <c r="B71" s="11" t="n">
        <f aca="false">Tableau3[[#This Row],[Corrections]]+B70</f>
        <v>1040</v>
      </c>
    </row>
    <row r="72" customFormat="false" ht="19.5" hidden="false" customHeight="true" outlineLevel="0" collapsed="false">
      <c r="A72" s="11" t="n">
        <v>8</v>
      </c>
      <c r="B72" s="11" t="n">
        <f aca="false">Tableau3[[#This Row],[Corrections]]+B71</f>
        <v>1048</v>
      </c>
    </row>
    <row r="73" customFormat="false" ht="19.5" hidden="false" customHeight="true" outlineLevel="0" collapsed="false">
      <c r="A73" s="11" t="n">
        <v>3</v>
      </c>
      <c r="B73" s="11" t="n">
        <f aca="false">Tableau3[[#This Row],[Corrections]]+B72</f>
        <v>1051</v>
      </c>
    </row>
    <row r="74" customFormat="false" ht="19.5" hidden="false" customHeight="true" outlineLevel="0" collapsed="false">
      <c r="A74" s="11" t="n">
        <v>9</v>
      </c>
      <c r="B74" s="11" t="n">
        <f aca="false">Tableau3[[#This Row],[Corrections]]+B73</f>
        <v>1060</v>
      </c>
    </row>
    <row r="75" customFormat="false" ht="19.5" hidden="false" customHeight="true" outlineLevel="0" collapsed="false">
      <c r="A75" s="11" t="n">
        <v>7</v>
      </c>
      <c r="B75" s="11" t="n">
        <f aca="false">Tableau3[[#This Row],[Corrections]]+B74</f>
        <v>1067</v>
      </c>
    </row>
    <row r="76" customFormat="false" ht="19.5" hidden="false" customHeight="true" outlineLevel="0" collapsed="false">
      <c r="A76" s="11" t="n">
        <v>9</v>
      </c>
      <c r="B76" s="11" t="n">
        <f aca="false">Tableau3[[#This Row],[Corrections]]+B75</f>
        <v>1076</v>
      </c>
    </row>
    <row r="77" customFormat="false" ht="19.5" hidden="false" customHeight="true" outlineLevel="0" collapsed="false">
      <c r="A77" s="11" t="n">
        <v>10</v>
      </c>
      <c r="B77" s="11" t="n">
        <f aca="false">Tableau3[[#This Row],[Corrections]]+B76</f>
        <v>1086</v>
      </c>
    </row>
    <row r="78" customFormat="false" ht="19.5" hidden="false" customHeight="true" outlineLevel="0" collapsed="false">
      <c r="A78" s="11" t="n">
        <v>2</v>
      </c>
      <c r="B78" s="11" t="n">
        <f aca="false">Tableau3[[#This Row],[Corrections]]+B77</f>
        <v>1088</v>
      </c>
    </row>
    <row r="79" customFormat="false" ht="19.5" hidden="false" customHeight="true" outlineLevel="0" collapsed="false">
      <c r="A79" s="11" t="n">
        <v>6</v>
      </c>
      <c r="B79" s="11" t="n">
        <f aca="false">Tableau3[[#This Row],[Corrections]]+B78</f>
        <v>1094</v>
      </c>
    </row>
    <row r="80" customFormat="false" ht="19.5" hidden="false" customHeight="true" outlineLevel="0" collapsed="false">
      <c r="A80" s="11" t="n">
        <v>6</v>
      </c>
      <c r="B80" s="11" t="n">
        <f aca="false">Tableau3[[#This Row],[Corrections]]+B79</f>
        <v>1100</v>
      </c>
    </row>
    <row r="81" customFormat="false" ht="19.5" hidden="false" customHeight="true" outlineLevel="0" collapsed="false">
      <c r="A81" s="11" t="n">
        <v>8</v>
      </c>
      <c r="B81" s="11" t="n">
        <f aca="false">Tableau3[[#This Row],[Corrections]]+B80</f>
        <v>1108</v>
      </c>
    </row>
    <row r="82" customFormat="false" ht="19.5" hidden="false" customHeight="true" outlineLevel="0" collapsed="false">
      <c r="A82" s="11" t="n">
        <v>2</v>
      </c>
      <c r="B82" s="11" t="n">
        <f aca="false">Tableau3[[#This Row],[Corrections]]+B81</f>
        <v>1110</v>
      </c>
    </row>
    <row r="83" customFormat="false" ht="19.5" hidden="false" customHeight="true" outlineLevel="0" collapsed="false">
      <c r="A83" s="11" t="n">
        <v>3</v>
      </c>
      <c r="B83" s="11" t="n">
        <f aca="false">Tableau3[[#This Row],[Corrections]]+B82</f>
        <v>1113</v>
      </c>
    </row>
    <row r="84" customFormat="false" ht="19.5" hidden="false" customHeight="true" outlineLevel="0" collapsed="false">
      <c r="A84" s="11" t="n">
        <v>4</v>
      </c>
      <c r="B84" s="11" t="n">
        <f aca="false">Tableau3[[#This Row],[Corrections]]+B83</f>
        <v>1117</v>
      </c>
    </row>
    <row r="85" customFormat="false" ht="19.5" hidden="false" customHeight="true" outlineLevel="0" collapsed="false">
      <c r="A85" s="11" t="n">
        <v>5</v>
      </c>
      <c r="B85" s="11" t="n">
        <f aca="false">Tableau3[[#This Row],[Corrections]]+B84</f>
        <v>1122</v>
      </c>
    </row>
    <row r="86" customFormat="false" ht="19.5" hidden="false" customHeight="true" outlineLevel="0" collapsed="false">
      <c r="A86" s="11" t="n">
        <v>3</v>
      </c>
      <c r="B86" s="11" t="n">
        <f aca="false">Tableau3[[#This Row],[Corrections]]+B85</f>
        <v>1125</v>
      </c>
    </row>
    <row r="87" customFormat="false" ht="19.5" hidden="false" customHeight="true" outlineLevel="0" collapsed="false">
      <c r="A87" s="11" t="n">
        <v>3</v>
      </c>
      <c r="B87" s="11" t="n">
        <f aca="false">Tableau3[[#This Row],[Corrections]]+B86</f>
        <v>1128</v>
      </c>
    </row>
    <row r="88" customFormat="false" ht="19.5" hidden="false" customHeight="true" outlineLevel="0" collapsed="false">
      <c r="A88" s="11" t="n">
        <v>2</v>
      </c>
      <c r="B88" s="11" t="n">
        <f aca="false">Tableau3[[#This Row],[Corrections]]+B87</f>
        <v>1130</v>
      </c>
    </row>
    <row r="89" customFormat="false" ht="19.5" hidden="false" customHeight="true" outlineLevel="0" collapsed="false">
      <c r="A89" s="11" t="n">
        <v>3</v>
      </c>
      <c r="B89" s="11" t="n">
        <f aca="false">Tableau3[[#This Row],[Corrections]]+B88</f>
        <v>1133</v>
      </c>
    </row>
    <row r="90" customFormat="false" ht="19.5" hidden="false" customHeight="true" outlineLevel="0" collapsed="false">
      <c r="A90" s="11" t="n">
        <v>1</v>
      </c>
      <c r="B90" s="11" t="n">
        <f aca="false">Tableau3[[#This Row],[Corrections]]+B89</f>
        <v>1134</v>
      </c>
    </row>
    <row r="91" customFormat="false" ht="19.5" hidden="false" customHeight="true" outlineLevel="0" collapsed="false">
      <c r="A91" s="11" t="n">
        <v>4</v>
      </c>
      <c r="B91" s="11" t="n">
        <f aca="false">Tableau3[[#This Row],[Corrections]]+B90</f>
        <v>1138</v>
      </c>
    </row>
    <row r="92" customFormat="false" ht="19.5" hidden="false" customHeight="true" outlineLevel="0" collapsed="false">
      <c r="A92" s="11" t="n">
        <v>6</v>
      </c>
      <c r="B92" s="11" t="n">
        <f aca="false">Tableau3[[#This Row],[Corrections]]+B91</f>
        <v>1144</v>
      </c>
    </row>
    <row r="93" customFormat="false" ht="19.5" hidden="false" customHeight="true" outlineLevel="0" collapsed="false">
      <c r="A93" s="11" t="n">
        <v>4</v>
      </c>
      <c r="B93" s="11" t="n">
        <f aca="false">Tableau3[[#This Row],[Corrections]]+B92</f>
        <v>1148</v>
      </c>
    </row>
    <row r="94" customFormat="false" ht="19.5" hidden="false" customHeight="true" outlineLevel="0" collapsed="false">
      <c r="A94" s="11" t="n">
        <v>1</v>
      </c>
      <c r="B94" s="11" t="n">
        <f aca="false">Tableau3[[#This Row],[Corrections]]+B93</f>
        <v>1149</v>
      </c>
    </row>
    <row r="95" customFormat="false" ht="19.5" hidden="false" customHeight="true" outlineLevel="0" collapsed="false">
      <c r="A95" s="11" t="n">
        <v>2</v>
      </c>
      <c r="B95" s="11" t="n">
        <f aca="false">Tableau3[[#This Row],[Corrections]]+B94</f>
        <v>1151</v>
      </c>
    </row>
    <row r="96" customFormat="false" ht="19.5" hidden="false" customHeight="true" outlineLevel="0" collapsed="false">
      <c r="A96" s="11" t="n">
        <v>0</v>
      </c>
      <c r="B96" s="11" t="n">
        <f aca="false">Tableau3[[#This Row],[Corrections]]+B95</f>
        <v>1151</v>
      </c>
    </row>
    <row r="97" customFormat="false" ht="19.5" hidden="false" customHeight="true" outlineLevel="0" collapsed="false">
      <c r="A97" s="11" t="n">
        <v>2</v>
      </c>
      <c r="B97" s="11" t="n">
        <f aca="false">Tableau3[[#This Row],[Corrections]]+B96</f>
        <v>1153</v>
      </c>
    </row>
    <row r="98" customFormat="false" ht="19.5" hidden="false" customHeight="true" outlineLevel="0" collapsed="false">
      <c r="A98" s="11" t="n">
        <v>2</v>
      </c>
      <c r="B98" s="11" t="n">
        <f aca="false">Tableau3[[#This Row],[Corrections]]+B97</f>
        <v>1155</v>
      </c>
    </row>
    <row r="99" customFormat="false" ht="19.5" hidden="false" customHeight="true" outlineLevel="0" collapsed="false">
      <c r="A99" s="11" t="n">
        <v>0</v>
      </c>
      <c r="B99" s="11" t="n">
        <f aca="false">Tableau3[[#This Row],[Corrections]]+B98</f>
        <v>1155</v>
      </c>
    </row>
    <row r="100" customFormat="false" ht="19.5" hidden="false" customHeight="true" outlineLevel="0" collapsed="false">
      <c r="A100" s="11" t="n">
        <v>1</v>
      </c>
      <c r="B100" s="11" t="n">
        <f aca="false">Tableau3[[#This Row],[Corrections]]+B99</f>
        <v>1156</v>
      </c>
    </row>
    <row r="101" customFormat="false" ht="19.5" hidden="false" customHeight="true" outlineLevel="0" collapsed="false">
      <c r="A101" s="11" t="n">
        <v>0</v>
      </c>
      <c r="B101" s="11" t="n">
        <f aca="false">Tableau3[[#This Row],[Corrections]]+B100</f>
        <v>1156</v>
      </c>
    </row>
    <row r="102" customFormat="false" ht="19.5" hidden="false" customHeight="true" outlineLevel="0" collapsed="false">
      <c r="A102" s="11" t="n">
        <v>0</v>
      </c>
      <c r="B102" s="11" t="n">
        <f aca="false">Tableau3[[#This Row],[Corrections]]+B101</f>
        <v>1156</v>
      </c>
    </row>
    <row r="103" customFormat="false" ht="19.5" hidden="false" customHeight="true" outlineLevel="0" collapsed="false">
      <c r="A103" s="11" t="n">
        <v>1</v>
      </c>
      <c r="B103" s="11" t="n">
        <f aca="false">Tableau3[[#This Row],[Corrections]]+B102</f>
        <v>1157</v>
      </c>
    </row>
    <row r="104" customFormat="false" ht="19.5" hidden="false" customHeight="true" outlineLevel="0" collapsed="false">
      <c r="A104" s="11" t="n">
        <v>1</v>
      </c>
      <c r="B104" s="11" t="n">
        <f aca="false">Tableau3[[#This Row],[Corrections]]+B103</f>
        <v>1158</v>
      </c>
    </row>
    <row r="105" customFormat="false" ht="19.5" hidden="false" customHeight="true" outlineLevel="0" collapsed="false">
      <c r="A105" s="11" t="n">
        <v>3</v>
      </c>
      <c r="B105" s="11" t="n">
        <f aca="false">Tableau3[[#This Row],[Corrections]]+B104</f>
        <v>1161</v>
      </c>
    </row>
    <row r="106" customFormat="false" ht="19.5" hidden="false" customHeight="true" outlineLevel="0" collapsed="false">
      <c r="A106" s="11" t="n">
        <v>1</v>
      </c>
      <c r="B106" s="11" t="n">
        <f aca="false">Tableau3[[#This Row],[Corrections]]+B105</f>
        <v>1162</v>
      </c>
    </row>
    <row r="107" customFormat="false" ht="19.5" hidden="false" customHeight="true" outlineLevel="0" collapsed="false">
      <c r="A107" s="11" t="n">
        <v>1</v>
      </c>
      <c r="B107" s="11" t="n">
        <f aca="false">Tableau3[[#This Row],[Corrections]]+B106</f>
        <v>1163</v>
      </c>
    </row>
    <row r="108" customFormat="false" ht="19.5" hidden="false" customHeight="true" outlineLevel="0" collapsed="false">
      <c r="A108" s="11" t="n">
        <v>2</v>
      </c>
      <c r="B108" s="11" t="n">
        <f aca="false">Tableau3[[#This Row],[Corrections]]+B107</f>
        <v>1165</v>
      </c>
    </row>
    <row r="109" customFormat="false" ht="19.5" hidden="false" customHeight="true" outlineLevel="0" collapsed="false">
      <c r="A109" s="11" t="n">
        <v>3</v>
      </c>
      <c r="B109" s="11" t="n">
        <f aca="false">Tableau3[[#This Row],[Corrections]]+B108</f>
        <v>1168</v>
      </c>
    </row>
    <row r="110" customFormat="false" ht="19.5" hidden="false" customHeight="true" outlineLevel="0" collapsed="false">
      <c r="A110" s="11" t="n">
        <v>2</v>
      </c>
      <c r="B110" s="11" t="n">
        <f aca="false">Tableau3[[#This Row],[Corrections]]+B109</f>
        <v>1170</v>
      </c>
    </row>
    <row r="111" customFormat="false" ht="19.5" hidden="false" customHeight="true" outlineLevel="0" collapsed="false">
      <c r="A111" s="11" t="n">
        <v>1</v>
      </c>
      <c r="B111" s="11" t="n">
        <f aca="false">Tableau3[[#This Row],[Corrections]]+B110</f>
        <v>1171</v>
      </c>
    </row>
    <row r="112" customFormat="false" ht="19.5" hidden="false" customHeight="true" outlineLevel="0" collapsed="false">
      <c r="A112" s="11" t="n">
        <v>1</v>
      </c>
      <c r="B112" s="11" t="n">
        <f aca="false">Tableau3[[#This Row],[Corrections]]+B111</f>
        <v>1172</v>
      </c>
    </row>
    <row r="113" customFormat="false" ht="19.5" hidden="false" customHeight="true" outlineLevel="0" collapsed="false">
      <c r="A113" s="11" t="n">
        <v>1</v>
      </c>
      <c r="B113" s="11" t="n">
        <f aca="false">Tableau3[[#This Row],[Corrections]]+B112</f>
        <v>1173</v>
      </c>
    </row>
    <row r="114" customFormat="false" ht="19.5" hidden="false" customHeight="true" outlineLevel="0" collapsed="false">
      <c r="A114" s="11" t="n">
        <v>1</v>
      </c>
      <c r="B114" s="11" t="n">
        <f aca="false">Tableau3[[#This Row],[Corrections]]+B113</f>
        <v>1174</v>
      </c>
    </row>
    <row r="115" customFormat="false" ht="19.5" hidden="false" customHeight="true" outlineLevel="0" collapsed="false">
      <c r="A115" s="11" t="n">
        <v>1</v>
      </c>
      <c r="B115" s="11" t="n">
        <f aca="false">Tableau3[[#This Row],[Corrections]]+B114</f>
        <v>1175</v>
      </c>
    </row>
    <row r="116" customFormat="false" ht="19.5" hidden="false" customHeight="true" outlineLevel="0" collapsed="false">
      <c r="A116" s="11" t="n">
        <v>1</v>
      </c>
      <c r="B116" s="11" t="n">
        <f aca="false">Tableau3[[#This Row],[Corrections]]+B115</f>
        <v>1176</v>
      </c>
    </row>
    <row r="117" customFormat="false" ht="19.5" hidden="false" customHeight="true" outlineLevel="0" collapsed="false">
      <c r="A117" s="11" t="n">
        <v>3</v>
      </c>
      <c r="B117" s="11" t="n">
        <f aca="false">Tableau3[[#This Row],[Corrections]]+B116</f>
        <v>1179</v>
      </c>
    </row>
    <row r="118" customFormat="false" ht="19.5" hidden="false" customHeight="true" outlineLevel="0" collapsed="false">
      <c r="A118" s="11" t="n">
        <v>2</v>
      </c>
      <c r="B118" s="11" t="n">
        <f aca="false">Tableau3[[#This Row],[Corrections]]+B117</f>
        <v>1181</v>
      </c>
    </row>
    <row r="119" customFormat="false" ht="19.5" hidden="false" customHeight="true" outlineLevel="0" collapsed="false">
      <c r="A119" s="11" t="n">
        <v>2</v>
      </c>
      <c r="B119" s="11" t="n">
        <f aca="false">Tableau3[[#This Row],[Corrections]]+B118</f>
        <v>1183</v>
      </c>
    </row>
    <row r="120" customFormat="false" ht="19.5" hidden="false" customHeight="true" outlineLevel="0" collapsed="false">
      <c r="A120" s="11" t="n">
        <v>2</v>
      </c>
      <c r="B120" s="11" t="n">
        <f aca="false">Tableau3[[#This Row],[Corrections]]+B119</f>
        <v>1185</v>
      </c>
    </row>
    <row r="121" customFormat="false" ht="19.5" hidden="false" customHeight="true" outlineLevel="0" collapsed="false">
      <c r="A121" s="11" t="n">
        <v>2</v>
      </c>
      <c r="B121" s="11" t="n">
        <f aca="false">Tableau3[[#This Row],[Corrections]]+B120</f>
        <v>1187</v>
      </c>
    </row>
    <row r="122" customFormat="false" ht="19.5" hidden="false" customHeight="true" outlineLevel="0" collapsed="false">
      <c r="A122" s="11" t="n">
        <v>1</v>
      </c>
      <c r="B122" s="11" t="n">
        <f aca="false">Tableau3[[#This Row],[Corrections]]+B121</f>
        <v>1188</v>
      </c>
    </row>
    <row r="123" customFormat="false" ht="19.5" hidden="false" customHeight="true" outlineLevel="0" collapsed="false">
      <c r="A123" s="11" t="n">
        <v>0</v>
      </c>
      <c r="B123" s="11" t="n">
        <f aca="false">Tableau3[[#This Row],[Corrections]]+B122</f>
        <v>1188</v>
      </c>
    </row>
    <row r="124" customFormat="false" ht="19.5" hidden="false" customHeight="true" outlineLevel="0" collapsed="false">
      <c r="A124" s="11" t="n">
        <v>1</v>
      </c>
      <c r="B124" s="11" t="n">
        <f aca="false">Tableau3[[#This Row],[Corrections]]+B123</f>
        <v>1189</v>
      </c>
    </row>
    <row r="125" customFormat="false" ht="19.5" hidden="false" customHeight="true" outlineLevel="0" collapsed="false">
      <c r="A125" s="11" t="n">
        <v>0</v>
      </c>
      <c r="B125" s="11" t="n">
        <f aca="false">Tableau3[[#This Row],[Corrections]]+B124</f>
        <v>1189</v>
      </c>
    </row>
    <row r="126" customFormat="false" ht="19.5" hidden="false" customHeight="true" outlineLevel="0" collapsed="false">
      <c r="A126" s="11" t="n">
        <v>0</v>
      </c>
      <c r="B126" s="11" t="n">
        <f aca="false">Tableau3[[#This Row],[Corrections]]+B125</f>
        <v>1189</v>
      </c>
    </row>
    <row r="127" customFormat="false" ht="19.5" hidden="false" customHeight="true" outlineLevel="0" collapsed="false">
      <c r="A127" s="11" t="n">
        <v>1</v>
      </c>
      <c r="B127" s="11" t="n">
        <f aca="false">Tableau3[[#This Row],[Corrections]]+B126</f>
        <v>1190</v>
      </c>
    </row>
    <row r="128" customFormat="false" ht="19.5" hidden="false" customHeight="true" outlineLevel="0" collapsed="false">
      <c r="A128" s="11" t="n">
        <v>5</v>
      </c>
      <c r="B128" s="11" t="n">
        <f aca="false">Tableau3[[#This Row],[Corrections]]+B127</f>
        <v>1195</v>
      </c>
    </row>
    <row r="129" customFormat="false" ht="19.5" hidden="false" customHeight="true" outlineLevel="0" collapsed="false">
      <c r="A129" s="11" t="n">
        <v>0</v>
      </c>
      <c r="B129" s="11" t="n">
        <f aca="false">Tableau3[[#This Row],[Corrections]]+B128</f>
        <v>1195</v>
      </c>
    </row>
    <row r="130" customFormat="false" ht="19.5" hidden="false" customHeight="true" outlineLevel="0" collapsed="false">
      <c r="A130" s="11" t="n">
        <v>7</v>
      </c>
      <c r="B130" s="11" t="n">
        <f aca="false">Tableau3[[#This Row],[Corrections]]+B129</f>
        <v>1202</v>
      </c>
    </row>
    <row r="131" customFormat="false" ht="19.5" hidden="false" customHeight="true" outlineLevel="0" collapsed="false">
      <c r="A131" s="11" t="n">
        <v>1</v>
      </c>
      <c r="B131" s="11" t="n">
        <f aca="false">Tableau3[[#This Row],[Corrections]]+B130</f>
        <v>1203</v>
      </c>
    </row>
    <row r="132" customFormat="false" ht="19.5" hidden="false" customHeight="true" outlineLevel="0" collapsed="false">
      <c r="A132" s="11" t="n">
        <v>0</v>
      </c>
      <c r="B132" s="11" t="n">
        <f aca="false">Tableau3[[#This Row],[Corrections]]+B131</f>
        <v>1203</v>
      </c>
    </row>
    <row r="133" customFormat="false" ht="19.5" hidden="false" customHeight="true" outlineLevel="0" collapsed="false">
      <c r="A133" s="11" t="n">
        <v>1</v>
      </c>
      <c r="B133" s="11" t="n">
        <f aca="false">Tableau3[[#This Row],[Corrections]]+B132</f>
        <v>1204</v>
      </c>
    </row>
    <row r="134" customFormat="false" ht="19.5" hidden="false" customHeight="true" outlineLevel="0" collapsed="false">
      <c r="A134" s="11" t="n">
        <v>0</v>
      </c>
      <c r="B134" s="11" t="n">
        <f aca="false">Tableau3[[#This Row],[Corrections]]+B133</f>
        <v>1204</v>
      </c>
    </row>
    <row r="135" customFormat="false" ht="19.5" hidden="false" customHeight="true" outlineLevel="0" collapsed="false">
      <c r="A135" s="11" t="n">
        <v>0</v>
      </c>
      <c r="B135" s="11" t="n">
        <f aca="false">Tableau3[[#This Row],[Corrections]]+B134</f>
        <v>1204</v>
      </c>
    </row>
    <row r="136" customFormat="false" ht="19.5" hidden="false" customHeight="true" outlineLevel="0" collapsed="false">
      <c r="A136" s="11" t="n">
        <v>3</v>
      </c>
      <c r="B136" s="11" t="n">
        <f aca="false">Tableau3[[#This Row],[Corrections]]+B135</f>
        <v>1207</v>
      </c>
    </row>
    <row r="137" customFormat="false" ht="19.5" hidden="false" customHeight="true" outlineLevel="0" collapsed="false">
      <c r="A137" s="11" t="n">
        <v>1</v>
      </c>
      <c r="B137" s="11" t="n">
        <f aca="false">Tableau3[[#This Row],[Corrections]]+B136</f>
        <v>1208</v>
      </c>
    </row>
    <row r="138" customFormat="false" ht="19.5" hidden="false" customHeight="true" outlineLevel="0" collapsed="false">
      <c r="A138" s="11" t="n">
        <v>1</v>
      </c>
      <c r="B138" s="11" t="n">
        <f aca="false">Tableau3[[#This Row],[Corrections]]+B137</f>
        <v>1209</v>
      </c>
    </row>
    <row r="139" customFormat="false" ht="19.5" hidden="false" customHeight="true" outlineLevel="0" collapsed="false">
      <c r="A139" s="11" t="n">
        <v>0</v>
      </c>
      <c r="B139" s="11" t="n">
        <f aca="false">Tableau3[[#This Row],[Corrections]]+B138</f>
        <v>1209</v>
      </c>
    </row>
    <row r="140" customFormat="false" ht="19.5" hidden="false" customHeight="true" outlineLevel="0" collapsed="false">
      <c r="A140" s="11" t="n">
        <v>0</v>
      </c>
      <c r="B140" s="11" t="n">
        <f aca="false">Tableau3[[#This Row],[Corrections]]+B139</f>
        <v>1209</v>
      </c>
    </row>
    <row r="141" customFormat="false" ht="19.5" hidden="false" customHeight="true" outlineLevel="0" collapsed="false">
      <c r="A141" s="11" t="n">
        <v>1</v>
      </c>
      <c r="B141" s="11" t="n">
        <f aca="false">Tableau3[[#This Row],[Corrections]]+B140</f>
        <v>1210</v>
      </c>
    </row>
    <row r="142" customFormat="false" ht="19.5" hidden="false" customHeight="true" outlineLevel="0" collapsed="false">
      <c r="A142" s="11" t="n">
        <v>0</v>
      </c>
      <c r="B142" s="11" t="n">
        <f aca="false">Tableau3[[#This Row],[Corrections]]+B141</f>
        <v>1210</v>
      </c>
    </row>
    <row r="143" customFormat="false" ht="19.5" hidden="false" customHeight="true" outlineLevel="0" collapsed="false">
      <c r="A143" s="11" t="n">
        <v>2</v>
      </c>
      <c r="B143" s="11" t="n">
        <f aca="false">Tableau3[[#This Row],[Corrections]]+B142</f>
        <v>1212</v>
      </c>
    </row>
    <row r="144" customFormat="false" ht="19.5" hidden="false" customHeight="true" outlineLevel="0" collapsed="false">
      <c r="A144" s="11" t="n">
        <v>1</v>
      </c>
      <c r="B144" s="11" t="n">
        <f aca="false">Tableau3[[#This Row],[Corrections]]+B143</f>
        <v>1213</v>
      </c>
    </row>
    <row r="145" customFormat="false" ht="19.5" hidden="false" customHeight="true" outlineLevel="0" collapsed="false">
      <c r="A145" s="11" t="n">
        <v>2</v>
      </c>
      <c r="B145" s="11" t="n">
        <f aca="false">Tableau3[[#This Row],[Corrections]]+B144</f>
        <v>1215</v>
      </c>
    </row>
    <row r="146" customFormat="false" ht="19.5" hidden="false" customHeight="true" outlineLevel="0" collapsed="false">
      <c r="A146" s="11" t="n">
        <v>0</v>
      </c>
      <c r="B146" s="11" t="n">
        <f aca="false">Tableau3[[#This Row],[Corrections]]+B145</f>
        <v>1215</v>
      </c>
    </row>
    <row r="147" customFormat="false" ht="19.5" hidden="false" customHeight="true" outlineLevel="0" collapsed="false">
      <c r="A147" s="11" t="n">
        <v>1</v>
      </c>
      <c r="B147" s="11" t="n">
        <f aca="false">Tableau3[[#This Row],[Corrections]]+B146</f>
        <v>1216</v>
      </c>
    </row>
    <row r="148" customFormat="false" ht="19.5" hidden="false" customHeight="true" outlineLevel="0" collapsed="false">
      <c r="A148" s="11" t="n">
        <v>0</v>
      </c>
      <c r="B148" s="11" t="n">
        <f aca="false">Tableau3[[#This Row],[Corrections]]+B147</f>
        <v>1216</v>
      </c>
    </row>
    <row r="149" customFormat="false" ht="19.5" hidden="false" customHeight="true" outlineLevel="0" collapsed="false">
      <c r="A149" s="11" t="n">
        <v>2</v>
      </c>
      <c r="B149" s="11" t="n">
        <f aca="false">Tableau3[[#This Row],[Corrections]]+B148</f>
        <v>1218</v>
      </c>
    </row>
    <row r="150" customFormat="false" ht="19.5" hidden="false" customHeight="true" outlineLevel="0" collapsed="false">
      <c r="A150" s="11" t="n">
        <v>2</v>
      </c>
      <c r="B150" s="11" t="n">
        <f aca="false">Tableau3[[#This Row],[Corrections]]+B149</f>
        <v>1220</v>
      </c>
    </row>
    <row r="151" customFormat="false" ht="19.5" hidden="false" customHeight="true" outlineLevel="0" collapsed="false">
      <c r="A151" s="11" t="n">
        <v>3</v>
      </c>
      <c r="B151" s="11" t="n">
        <f aca="false">Tableau3[[#This Row],[Corrections]]+B150</f>
        <v>1223</v>
      </c>
    </row>
    <row r="152" customFormat="false" ht="19.5" hidden="false" customHeight="true" outlineLevel="0" collapsed="false">
      <c r="A152" s="11" t="n">
        <v>4</v>
      </c>
      <c r="B152" s="11" t="n">
        <f aca="false">Tableau3[[#This Row],[Corrections]]+B151</f>
        <v>1227</v>
      </c>
    </row>
    <row r="153" customFormat="false" ht="19.5" hidden="false" customHeight="true" outlineLevel="0" collapsed="false">
      <c r="A153" s="11" t="n">
        <v>2</v>
      </c>
      <c r="B153" s="11" t="n">
        <f aca="false">Tableau3[[#This Row],[Corrections]]+B152</f>
        <v>1229</v>
      </c>
    </row>
    <row r="154" customFormat="false" ht="19.5" hidden="false" customHeight="true" outlineLevel="0" collapsed="false">
      <c r="A154" s="11" t="n">
        <v>5</v>
      </c>
      <c r="B154" s="11" t="n">
        <f aca="false">Tableau3[[#This Row],[Corrections]]+B153</f>
        <v>1234</v>
      </c>
    </row>
    <row r="155" customFormat="false" ht="19.5" hidden="false" customHeight="true" outlineLevel="0" collapsed="false">
      <c r="A155" s="11" t="n">
        <v>11</v>
      </c>
      <c r="B155" s="11" t="n">
        <f aca="false">Tableau3[[#This Row],[Corrections]]+B154</f>
        <v>1245</v>
      </c>
    </row>
    <row r="156" customFormat="false" ht="19.5" hidden="false" customHeight="true" outlineLevel="0" collapsed="false">
      <c r="A156" s="11" t="n">
        <v>6</v>
      </c>
      <c r="B156" s="11" t="n">
        <f aca="false">Tableau3[[#This Row],[Corrections]]+B155</f>
        <v>1251</v>
      </c>
    </row>
    <row r="157" customFormat="false" ht="19.5" hidden="false" customHeight="true" outlineLevel="0" collapsed="false">
      <c r="A157" s="11" t="n">
        <v>1</v>
      </c>
      <c r="B157" s="11" t="n">
        <f aca="false">Tableau3[[#This Row],[Corrections]]+B156</f>
        <v>1252</v>
      </c>
    </row>
    <row r="158" customFormat="false" ht="19.5" hidden="false" customHeight="true" outlineLevel="0" collapsed="false">
      <c r="A158" s="11" t="n">
        <v>1</v>
      </c>
      <c r="B158" s="11" t="n">
        <f aca="false">Tableau3[[#This Row],[Corrections]]+B157</f>
        <v>1253</v>
      </c>
    </row>
    <row r="159" customFormat="false" ht="19.5" hidden="false" customHeight="true" outlineLevel="0" collapsed="false">
      <c r="A159" s="11" t="n">
        <v>2</v>
      </c>
      <c r="B159" s="11" t="n">
        <f aca="false">Tableau3[[#This Row],[Corrections]]+B158</f>
        <v>1255</v>
      </c>
    </row>
    <row r="160" customFormat="false" ht="19.5" hidden="false" customHeight="true" outlineLevel="0" collapsed="false">
      <c r="A160" s="11" t="n">
        <v>4</v>
      </c>
      <c r="B160" s="11" t="n">
        <f aca="false">Tableau3[[#This Row],[Corrections]]+B159</f>
        <v>1259</v>
      </c>
    </row>
    <row r="161" customFormat="false" ht="19.5" hidden="false" customHeight="true" outlineLevel="0" collapsed="false">
      <c r="A161" s="11" t="n">
        <v>2</v>
      </c>
      <c r="B161" s="11" t="n">
        <f aca="false">Tableau3[[#This Row],[Corrections]]+B160</f>
        <v>1261</v>
      </c>
    </row>
    <row r="162" customFormat="false" ht="19.5" hidden="false" customHeight="true" outlineLevel="0" collapsed="false">
      <c r="A162" s="11" t="n">
        <v>2</v>
      </c>
      <c r="B162" s="11" t="n">
        <f aca="false">Tableau3[[#This Row],[Corrections]]+B161</f>
        <v>1263</v>
      </c>
    </row>
    <row r="163" customFormat="false" ht="19.5" hidden="false" customHeight="true" outlineLevel="0" collapsed="false">
      <c r="A163" s="11" t="n">
        <v>5</v>
      </c>
      <c r="B163" s="11" t="n">
        <f aca="false">Tableau3[[#This Row],[Corrections]]+B162</f>
        <v>1268</v>
      </c>
    </row>
    <row r="164" customFormat="false" ht="19.5" hidden="false" customHeight="true" outlineLevel="0" collapsed="false">
      <c r="A164" s="11" t="n">
        <v>3</v>
      </c>
      <c r="B164" s="11" t="n">
        <f aca="false">Tableau3[[#This Row],[Corrections]]+B163</f>
        <v>1271</v>
      </c>
    </row>
    <row r="165" customFormat="false" ht="19.5" hidden="false" customHeight="true" outlineLevel="0" collapsed="false">
      <c r="A165" s="11" t="n">
        <v>4</v>
      </c>
      <c r="B165" s="11" t="n">
        <f aca="false">Tableau3[[#This Row],[Corrections]]+B164</f>
        <v>1275</v>
      </c>
    </row>
    <row r="166" customFormat="false" ht="19.5" hidden="false" customHeight="true" outlineLevel="0" collapsed="false">
      <c r="A166" s="11" t="n">
        <v>2</v>
      </c>
      <c r="B166" s="11" t="n">
        <f aca="false">Tableau3[[#This Row],[Corrections]]+B165</f>
        <v>1277</v>
      </c>
    </row>
    <row r="167" customFormat="false" ht="19.5" hidden="false" customHeight="true" outlineLevel="0" collapsed="false">
      <c r="A167" s="11" t="n">
        <v>4</v>
      </c>
      <c r="B167" s="11" t="n">
        <f aca="false">Tableau3[[#This Row],[Corrections]]+B166</f>
        <v>1281</v>
      </c>
    </row>
    <row r="168" customFormat="false" ht="19.5" hidden="false" customHeight="true" outlineLevel="0" collapsed="false">
      <c r="A168" s="11" t="n">
        <v>2</v>
      </c>
      <c r="B168" s="11" t="n">
        <f aca="false">Tableau3[[#This Row],[Corrections]]+B167</f>
        <v>1283</v>
      </c>
    </row>
    <row r="169" customFormat="false" ht="19.5" hidden="false" customHeight="true" outlineLevel="0" collapsed="false">
      <c r="A169" s="11" t="n">
        <v>1</v>
      </c>
      <c r="B169" s="11" t="n">
        <f aca="false">Tableau3[[#This Row],[Corrections]]+B168</f>
        <v>1284</v>
      </c>
    </row>
    <row r="170" customFormat="false" ht="19.5" hidden="false" customHeight="true" outlineLevel="0" collapsed="false">
      <c r="A170" s="11" t="n">
        <v>0</v>
      </c>
      <c r="B170" s="11" t="n">
        <f aca="false">Tableau3[[#This Row],[Corrections]]+B169</f>
        <v>1284</v>
      </c>
    </row>
    <row r="171" customFormat="false" ht="19.5" hidden="false" customHeight="true" outlineLevel="0" collapsed="false">
      <c r="A171" s="11" t="n">
        <v>4</v>
      </c>
      <c r="B171" s="11" t="n">
        <f aca="false">Tableau3[[#This Row],[Corrections]]+B170</f>
        <v>1288</v>
      </c>
    </row>
    <row r="172" customFormat="false" ht="19.5" hidden="false" customHeight="true" outlineLevel="0" collapsed="false">
      <c r="A172" s="11" t="n">
        <v>4</v>
      </c>
      <c r="B172" s="11" t="n">
        <f aca="false">Tableau3[[#This Row],[Corrections]]+B171</f>
        <v>1292</v>
      </c>
    </row>
    <row r="173" customFormat="false" ht="19.5" hidden="false" customHeight="true" outlineLevel="0" collapsed="false">
      <c r="A173" s="11" t="n">
        <v>2</v>
      </c>
      <c r="B173" s="11" t="n">
        <f aca="false">Tableau3[[#This Row],[Corrections]]+B172</f>
        <v>1294</v>
      </c>
    </row>
    <row r="174" customFormat="false" ht="19.5" hidden="false" customHeight="true" outlineLevel="0" collapsed="false">
      <c r="A174" s="11" t="n">
        <v>3</v>
      </c>
      <c r="B174" s="11" t="n">
        <f aca="false">Tableau3[[#This Row],[Corrections]]+B173</f>
        <v>1297</v>
      </c>
    </row>
    <row r="175" customFormat="false" ht="19.5" hidden="false" customHeight="true" outlineLevel="0" collapsed="false">
      <c r="A175" s="11" t="n">
        <v>0</v>
      </c>
      <c r="B175" s="11" t="n">
        <f aca="false">Tableau3[[#This Row],[Corrections]]+B174</f>
        <v>1297</v>
      </c>
    </row>
    <row r="176" customFormat="false" ht="19.5" hidden="false" customHeight="true" outlineLevel="0" collapsed="false">
      <c r="A176" s="11" t="n">
        <v>2</v>
      </c>
      <c r="B176" s="11" t="n">
        <f aca="false">Tableau3[[#This Row],[Corrections]]+B175</f>
        <v>1299</v>
      </c>
    </row>
    <row r="177" customFormat="false" ht="19.5" hidden="false" customHeight="true" outlineLevel="0" collapsed="false">
      <c r="A177" s="11" t="n">
        <v>1</v>
      </c>
      <c r="B177" s="11" t="n">
        <f aca="false">Tableau3[[#This Row],[Corrections]]+B176</f>
        <v>1300</v>
      </c>
    </row>
    <row r="178" customFormat="false" ht="19.5" hidden="false" customHeight="true" outlineLevel="0" collapsed="false">
      <c r="A178" s="11" t="n">
        <v>3</v>
      </c>
      <c r="B178" s="11" t="n">
        <f aca="false">Tableau3[[#This Row],[Corrections]]+B177</f>
        <v>1303</v>
      </c>
    </row>
    <row r="179" customFormat="false" ht="19.5" hidden="false" customHeight="true" outlineLevel="0" collapsed="false">
      <c r="A179" s="11" t="n">
        <v>18</v>
      </c>
      <c r="B179" s="11" t="n">
        <f aca="false">Tableau3[[#This Row],[Corrections]]+B178</f>
        <v>1321</v>
      </c>
    </row>
    <row r="180" customFormat="false" ht="19.5" hidden="false" customHeight="true" outlineLevel="0" collapsed="false">
      <c r="A180" s="11" t="n">
        <v>0</v>
      </c>
      <c r="B180" s="11" t="n">
        <f aca="false">Tableau3[[#This Row],[Corrections]]+B179</f>
        <v>1321</v>
      </c>
    </row>
    <row r="181" customFormat="false" ht="19.5" hidden="false" customHeight="true" outlineLevel="0" collapsed="false">
      <c r="A181" s="11" t="n">
        <v>2</v>
      </c>
      <c r="B181" s="11" t="n">
        <f aca="false">Tableau3[[#This Row],[Corrections]]+B180</f>
        <v>1323</v>
      </c>
    </row>
    <row r="182" customFormat="false" ht="19.5" hidden="false" customHeight="true" outlineLevel="0" collapsed="false">
      <c r="A182" s="11" t="n">
        <v>0</v>
      </c>
      <c r="B182" s="11" t="n">
        <f aca="false">Tableau3[[#This Row],[Corrections]]+B181</f>
        <v>1323</v>
      </c>
    </row>
    <row r="183" customFormat="false" ht="19.5" hidden="false" customHeight="true" outlineLevel="0" collapsed="false">
      <c r="A183" s="11" t="n">
        <v>1</v>
      </c>
      <c r="B183" s="11" t="n">
        <f aca="false">Tableau3[[#This Row],[Corrections]]+B182</f>
        <v>1324</v>
      </c>
    </row>
    <row r="184" customFormat="false" ht="19.5" hidden="false" customHeight="true" outlineLevel="0" collapsed="false">
      <c r="A184" s="11" t="n">
        <v>0</v>
      </c>
      <c r="B184" s="11" t="n">
        <f aca="false">Tableau3[[#This Row],[Corrections]]+B183</f>
        <v>1324</v>
      </c>
    </row>
    <row r="185" customFormat="false" ht="19.5" hidden="false" customHeight="true" outlineLevel="0" collapsed="false">
      <c r="A185" s="11" t="n">
        <v>1</v>
      </c>
      <c r="B185" s="11" t="n">
        <f aca="false">Tableau3[[#This Row],[Corrections]]+B184</f>
        <v>1325</v>
      </c>
    </row>
    <row r="186" customFormat="false" ht="19.5" hidden="false" customHeight="true" outlineLevel="0" collapsed="false">
      <c r="A186" s="11" t="n">
        <v>1</v>
      </c>
      <c r="B186" s="11" t="n">
        <f aca="false">Tableau3[[#This Row],[Corrections]]+B185</f>
        <v>1326</v>
      </c>
    </row>
    <row r="187" customFormat="false" ht="19.5" hidden="false" customHeight="true" outlineLevel="0" collapsed="false">
      <c r="A187" s="11" t="n">
        <v>1</v>
      </c>
      <c r="B187" s="11" t="n">
        <f aca="false">Tableau3[[#This Row],[Corrections]]+B186</f>
        <v>1327</v>
      </c>
    </row>
    <row r="188" customFormat="false" ht="19.5" hidden="false" customHeight="true" outlineLevel="0" collapsed="false">
      <c r="A188" s="11" t="n">
        <v>2</v>
      </c>
      <c r="B188" s="11" t="n">
        <f aca="false">Tableau3[[#This Row],[Corrections]]+B187</f>
        <v>1329</v>
      </c>
    </row>
    <row r="189" customFormat="false" ht="19.5" hidden="false" customHeight="true" outlineLevel="0" collapsed="false">
      <c r="A189" s="11" t="n">
        <v>0</v>
      </c>
      <c r="B189" s="11" t="n">
        <f aca="false">Tableau3[[#This Row],[Corrections]]+B188</f>
        <v>1329</v>
      </c>
    </row>
    <row r="190" customFormat="false" ht="19.5" hidden="false" customHeight="true" outlineLevel="0" collapsed="false">
      <c r="A190" s="11" t="n">
        <v>1</v>
      </c>
      <c r="B190" s="11" t="n">
        <f aca="false">Tableau3[[#This Row],[Corrections]]+B189</f>
        <v>1330</v>
      </c>
    </row>
    <row r="191" customFormat="false" ht="19.5" hidden="false" customHeight="true" outlineLevel="0" collapsed="false">
      <c r="A191" s="11" t="n">
        <v>1</v>
      </c>
      <c r="B191" s="11" t="n">
        <f aca="false">Tableau3[[#This Row],[Corrections]]+B190</f>
        <v>1331</v>
      </c>
    </row>
    <row r="192" customFormat="false" ht="19.5" hidden="false" customHeight="true" outlineLevel="0" collapsed="false">
      <c r="A192" s="11" t="n">
        <v>0</v>
      </c>
      <c r="B192" s="11" t="n">
        <f aca="false">Tableau3[[#This Row],[Corrections]]+B191</f>
        <v>1331</v>
      </c>
    </row>
    <row r="193" customFormat="false" ht="19.5" hidden="false" customHeight="true" outlineLevel="0" collapsed="false">
      <c r="A193" s="11" t="n">
        <v>3</v>
      </c>
      <c r="B193" s="11" t="n">
        <f aca="false">Tableau3[[#This Row],[Corrections]]+B192</f>
        <v>1334</v>
      </c>
    </row>
    <row r="194" customFormat="false" ht="19.5" hidden="false" customHeight="true" outlineLevel="0" collapsed="false">
      <c r="A194" s="11" t="n">
        <v>1</v>
      </c>
      <c r="B194" s="11" t="n">
        <f aca="false">Tableau3[[#This Row],[Corrections]]+B193</f>
        <v>1335</v>
      </c>
    </row>
    <row r="195" customFormat="false" ht="19.5" hidden="false" customHeight="true" outlineLevel="0" collapsed="false">
      <c r="A195" s="11" t="n">
        <v>2</v>
      </c>
      <c r="B195" s="11" t="n">
        <f aca="false">Tableau3[[#This Row],[Corrections]]+B194</f>
        <v>1337</v>
      </c>
    </row>
    <row r="196" customFormat="false" ht="19.5" hidden="false" customHeight="true" outlineLevel="0" collapsed="false">
      <c r="A196" s="11" t="n">
        <v>2</v>
      </c>
      <c r="B196" s="11" t="n">
        <f aca="false">Tableau3[[#This Row],[Corrections]]+B195</f>
        <v>1339</v>
      </c>
    </row>
    <row r="197" customFormat="false" ht="19.5" hidden="false" customHeight="true" outlineLevel="0" collapsed="false">
      <c r="A197" s="11" t="n">
        <v>1</v>
      </c>
      <c r="B197" s="11" t="n">
        <f aca="false">Tableau3[[#This Row],[Corrections]]+B196</f>
        <v>1340</v>
      </c>
    </row>
    <row r="198" customFormat="false" ht="19.5" hidden="false" customHeight="true" outlineLevel="0" collapsed="false">
      <c r="A198" s="11" t="n">
        <v>0</v>
      </c>
      <c r="B198" s="11" t="n">
        <f aca="false">Tableau3[[#This Row],[Corrections]]+B197</f>
        <v>1340</v>
      </c>
    </row>
    <row r="199" customFormat="false" ht="19.5" hidden="false" customHeight="true" outlineLevel="0" collapsed="false">
      <c r="A199" s="11" t="n">
        <v>0</v>
      </c>
      <c r="B199" s="11" t="n">
        <f aca="false">Tableau3[[#This Row],[Corrections]]+B198</f>
        <v>1340</v>
      </c>
    </row>
    <row r="200" customFormat="false" ht="19.5" hidden="false" customHeight="true" outlineLevel="0" collapsed="false">
      <c r="A200" s="11" t="n">
        <v>2</v>
      </c>
      <c r="B200" s="11" t="n">
        <f aca="false">Tableau3[[#This Row],[Corrections]]+B199</f>
        <v>1342</v>
      </c>
    </row>
    <row r="201" customFormat="false" ht="19.5" hidden="false" customHeight="true" outlineLevel="0" collapsed="false">
      <c r="A201" s="11" t="n">
        <v>0</v>
      </c>
      <c r="B201" s="11" t="n">
        <f aca="false">Tableau3[[#This Row],[Corrections]]+B200</f>
        <v>1342</v>
      </c>
    </row>
    <row r="202" customFormat="false" ht="19.5" hidden="false" customHeight="true" outlineLevel="0" collapsed="false">
      <c r="A202" s="11" t="n">
        <v>2</v>
      </c>
      <c r="B202" s="11" t="n">
        <f aca="false">Tableau3[[#This Row],[Corrections]]+B201</f>
        <v>1344</v>
      </c>
    </row>
    <row r="203" customFormat="false" ht="19.5" hidden="false" customHeight="true" outlineLevel="0" collapsed="false">
      <c r="A203" s="11" t="n">
        <v>1</v>
      </c>
      <c r="B203" s="11" t="n">
        <f aca="false">Tableau3[[#This Row],[Corrections]]+B202</f>
        <v>1345</v>
      </c>
    </row>
    <row r="204" customFormat="false" ht="19.5" hidden="false" customHeight="true" outlineLevel="0" collapsed="false">
      <c r="A204" s="11" t="n">
        <v>2</v>
      </c>
      <c r="B204" s="11" t="n">
        <f aca="false">Tableau3[[#This Row],[Corrections]]+B203</f>
        <v>1347</v>
      </c>
    </row>
    <row r="205" customFormat="false" ht="19.5" hidden="false" customHeight="true" outlineLevel="0" collapsed="false">
      <c r="A205" s="11" t="n">
        <v>1</v>
      </c>
      <c r="B205" s="11" t="n">
        <f aca="false">Tableau3[[#This Row],[Corrections]]+B204</f>
        <v>1348</v>
      </c>
    </row>
    <row r="206" customFormat="false" ht="19.5" hidden="false" customHeight="true" outlineLevel="0" collapsed="false">
      <c r="A206" s="11" t="n">
        <v>1</v>
      </c>
      <c r="B206" s="11" t="n">
        <f aca="false">Tableau3[[#This Row],[Corrections]]+B205</f>
        <v>1349</v>
      </c>
    </row>
    <row r="207" customFormat="false" ht="19.5" hidden="false" customHeight="true" outlineLevel="0" collapsed="false">
      <c r="A207" s="11" t="n">
        <v>0</v>
      </c>
      <c r="B207" s="11" t="n">
        <f aca="false">Tableau3[[#This Row],[Corrections]]+B206</f>
        <v>1349</v>
      </c>
    </row>
    <row r="208" customFormat="false" ht="19.5" hidden="false" customHeight="true" outlineLevel="0" collapsed="false">
      <c r="A208" s="11" t="n">
        <v>0</v>
      </c>
      <c r="B208" s="11" t="n">
        <f aca="false">Tableau3[[#This Row],[Corrections]]+B207</f>
        <v>1349</v>
      </c>
    </row>
    <row r="209" customFormat="false" ht="19.5" hidden="false" customHeight="true" outlineLevel="0" collapsed="false">
      <c r="A209" s="11" t="n">
        <v>0</v>
      </c>
      <c r="B209" s="11" t="n">
        <f aca="false">Tableau3[[#This Row],[Corrections]]+B208</f>
        <v>1349</v>
      </c>
    </row>
    <row r="210" customFormat="false" ht="19.5" hidden="false" customHeight="true" outlineLevel="0" collapsed="false">
      <c r="A210" s="11" t="n">
        <v>0</v>
      </c>
      <c r="B210" s="11" t="n">
        <f aca="false">Tableau3[[#This Row],[Corrections]]+B209</f>
        <v>1349</v>
      </c>
    </row>
    <row r="211" customFormat="false" ht="19.5" hidden="false" customHeight="true" outlineLevel="0" collapsed="false">
      <c r="A211" s="11" t="n">
        <v>0</v>
      </c>
      <c r="B211" s="11" t="n">
        <f aca="false">Tableau3[[#This Row],[Corrections]]+B210</f>
        <v>1349</v>
      </c>
    </row>
    <row r="212" customFormat="false" ht="19.5" hidden="false" customHeight="true" outlineLevel="0" collapsed="false">
      <c r="A212" s="11" t="n">
        <v>0</v>
      </c>
      <c r="B212" s="11" t="n">
        <f aca="false">Tableau3[[#This Row],[Corrections]]+B211</f>
        <v>1349</v>
      </c>
    </row>
    <row r="213" customFormat="false" ht="19.5" hidden="false" customHeight="true" outlineLevel="0" collapsed="false">
      <c r="A213" s="11" t="n">
        <v>1</v>
      </c>
      <c r="B213" s="11" t="n">
        <f aca="false">Tableau3[[#This Row],[Corrections]]+B212</f>
        <v>1350</v>
      </c>
    </row>
    <row r="214" customFormat="false" ht="19.5" hidden="false" customHeight="true" outlineLevel="0" collapsed="false">
      <c r="A214" s="11" t="n">
        <v>1</v>
      </c>
      <c r="B214" s="11" t="n">
        <f aca="false">Tableau3[[#This Row],[Corrections]]+B213</f>
        <v>1351</v>
      </c>
    </row>
    <row r="215" customFormat="false" ht="19.5" hidden="false" customHeight="true" outlineLevel="0" collapsed="false">
      <c r="A215" s="11" t="n">
        <v>1</v>
      </c>
      <c r="B215" s="11" t="n">
        <f aca="false">Tableau3[[#This Row],[Corrections]]+B214</f>
        <v>1352</v>
      </c>
    </row>
    <row r="216" customFormat="false" ht="19.5" hidden="false" customHeight="true" outlineLevel="0" collapsed="false">
      <c r="A216" s="11" t="n">
        <v>0</v>
      </c>
      <c r="B216" s="11" t="n">
        <f aca="false">Tableau3[[#This Row],[Corrections]]+B215</f>
        <v>1352</v>
      </c>
    </row>
    <row r="217" customFormat="false" ht="19.5" hidden="false" customHeight="true" outlineLevel="0" collapsed="false">
      <c r="A217" s="11" t="n">
        <v>2</v>
      </c>
      <c r="B217" s="11" t="n">
        <f aca="false">Tableau3[[#This Row],[Corrections]]+B216</f>
        <v>1354</v>
      </c>
    </row>
    <row r="218" customFormat="false" ht="19.5" hidden="false" customHeight="true" outlineLevel="0" collapsed="false">
      <c r="A218" s="11" t="n">
        <v>4</v>
      </c>
      <c r="B218" s="11" t="n">
        <f aca="false">Tableau3[[#This Row],[Corrections]]+B217</f>
        <v>1358</v>
      </c>
    </row>
    <row r="219" customFormat="false" ht="19.5" hidden="false" customHeight="true" outlineLevel="0" collapsed="false">
      <c r="A219" s="11" t="n">
        <v>1</v>
      </c>
      <c r="B219" s="11" t="n">
        <f aca="false">Tableau3[[#This Row],[Corrections]]+B218</f>
        <v>1359</v>
      </c>
    </row>
    <row r="220" customFormat="false" ht="19.5" hidden="false" customHeight="true" outlineLevel="0" collapsed="false">
      <c r="A220" s="11" t="n">
        <v>0</v>
      </c>
      <c r="B220" s="11" t="n">
        <f aca="false">Tableau3[[#This Row],[Corrections]]+B219</f>
        <v>1359</v>
      </c>
    </row>
    <row r="221" customFormat="false" ht="19.5" hidden="false" customHeight="true" outlineLevel="0" collapsed="false">
      <c r="A221" s="11" t="n">
        <v>1</v>
      </c>
      <c r="B221" s="11" t="n">
        <f aca="false">Tableau3[[#This Row],[Corrections]]+B220</f>
        <v>1360</v>
      </c>
    </row>
    <row r="222" customFormat="false" ht="19.5" hidden="false" customHeight="true" outlineLevel="0" collapsed="false">
      <c r="A222" s="11" t="n">
        <v>1</v>
      </c>
      <c r="B222" s="11" t="n">
        <f aca="false">Tableau3[[#This Row],[Corrections]]+B221</f>
        <v>1361</v>
      </c>
    </row>
    <row r="223" customFormat="false" ht="19.5" hidden="false" customHeight="true" outlineLevel="0" collapsed="false">
      <c r="A223" s="11" t="n">
        <v>0</v>
      </c>
      <c r="B223" s="11" t="n">
        <f aca="false">Tableau3[[#This Row],[Corrections]]+B222</f>
        <v>1361</v>
      </c>
    </row>
    <row r="224" customFormat="false" ht="19.5" hidden="false" customHeight="true" outlineLevel="0" collapsed="false">
      <c r="A224" s="11" t="n">
        <v>1</v>
      </c>
      <c r="B224" s="11" t="n">
        <f aca="false">Tableau3[[#This Row],[Corrections]]+B223</f>
        <v>1362</v>
      </c>
    </row>
    <row r="225" customFormat="false" ht="19.5" hidden="false" customHeight="true" outlineLevel="0" collapsed="false">
      <c r="A225" s="11" t="n">
        <v>2</v>
      </c>
      <c r="B225" s="11" t="n">
        <f aca="false">Tableau3[[#This Row],[Corrections]]+B224</f>
        <v>1364</v>
      </c>
    </row>
    <row r="226" customFormat="false" ht="19.5" hidden="false" customHeight="true" outlineLevel="0" collapsed="false">
      <c r="A226" s="11" t="n">
        <v>1</v>
      </c>
      <c r="B226" s="11" t="n">
        <f aca="false">Tableau3[[#This Row],[Corrections]]+B225</f>
        <v>1365</v>
      </c>
    </row>
    <row r="227" customFormat="false" ht="19.5" hidden="false" customHeight="true" outlineLevel="0" collapsed="false">
      <c r="A227" s="11" t="n">
        <v>0</v>
      </c>
      <c r="B227" s="11" t="n">
        <f aca="false">Tableau3[[#This Row],[Corrections]]+B226</f>
        <v>1365</v>
      </c>
    </row>
    <row r="228" customFormat="false" ht="19.5" hidden="false" customHeight="true" outlineLevel="0" collapsed="false">
      <c r="A228" s="11" t="n">
        <v>2</v>
      </c>
      <c r="B228" s="11" t="n">
        <f aca="false">Tableau3[[#This Row],[Corrections]]+B227</f>
        <v>1367</v>
      </c>
    </row>
    <row r="229" customFormat="false" ht="19.5" hidden="false" customHeight="true" outlineLevel="0" collapsed="false">
      <c r="A229" s="11" t="n">
        <v>2</v>
      </c>
      <c r="B229" s="11" t="n">
        <f aca="false">Tableau3[[#This Row],[Corrections]]+B228</f>
        <v>1369</v>
      </c>
    </row>
    <row r="230" customFormat="false" ht="19.5" hidden="false" customHeight="true" outlineLevel="0" collapsed="false">
      <c r="A230" s="11" t="n">
        <v>0</v>
      </c>
      <c r="B230" s="11" t="n">
        <f aca="false">Tableau3[[#This Row],[Corrections]]+B229</f>
        <v>1369</v>
      </c>
    </row>
    <row r="231" customFormat="false" ht="19.5" hidden="false" customHeight="true" outlineLevel="0" collapsed="false">
      <c r="A231" s="11" t="n">
        <v>0</v>
      </c>
      <c r="B231" s="11" t="n">
        <f aca="false">Tableau3[[#This Row],[Corrections]]+B230</f>
        <v>1369</v>
      </c>
    </row>
    <row r="232" customFormat="false" ht="19.5" hidden="false" customHeight="true" outlineLevel="0" collapsed="false">
      <c r="A232" s="11" t="n">
        <v>3</v>
      </c>
      <c r="B232" s="11" t="n">
        <f aca="false">Tableau3[[#This Row],[Corrections]]+B231</f>
        <v>1372</v>
      </c>
    </row>
    <row r="233" customFormat="false" ht="19.5" hidden="false" customHeight="true" outlineLevel="0" collapsed="false">
      <c r="A233" s="11" t="n">
        <v>0</v>
      </c>
      <c r="B233" s="11" t="n">
        <f aca="false">Tableau3[[#This Row],[Corrections]]+B232</f>
        <v>1372</v>
      </c>
    </row>
    <row r="234" customFormat="false" ht="19.5" hidden="false" customHeight="true" outlineLevel="0" collapsed="false">
      <c r="A234" s="11" t="n">
        <v>2</v>
      </c>
      <c r="B234" s="11" t="n">
        <f aca="false">Tableau3[[#This Row],[Corrections]]+B233</f>
        <v>1374</v>
      </c>
    </row>
    <row r="235" customFormat="false" ht="19.5" hidden="false" customHeight="true" outlineLevel="0" collapsed="false">
      <c r="A235" s="11" t="n">
        <v>2</v>
      </c>
      <c r="B235" s="11" t="n">
        <f aca="false">Tableau3[[#This Row],[Corrections]]+B234</f>
        <v>1376</v>
      </c>
    </row>
    <row r="236" customFormat="false" ht="19.5" hidden="false" customHeight="true" outlineLevel="0" collapsed="false">
      <c r="A236" s="11" t="n">
        <v>0</v>
      </c>
      <c r="B236" s="11" t="n">
        <f aca="false">Tableau3[[#This Row],[Corrections]]+B235</f>
        <v>1376</v>
      </c>
    </row>
    <row r="237" customFormat="false" ht="19.5" hidden="false" customHeight="true" outlineLevel="0" collapsed="false">
      <c r="A237" s="11" t="n">
        <v>2</v>
      </c>
      <c r="B237" s="11" t="n">
        <f aca="false">Tableau3[[#This Row],[Corrections]]+B236</f>
        <v>1378</v>
      </c>
    </row>
    <row r="238" customFormat="false" ht="19.5" hidden="false" customHeight="true" outlineLevel="0" collapsed="false">
      <c r="A238" s="11" t="n">
        <v>0</v>
      </c>
      <c r="B238" s="11" t="n">
        <f aca="false">Tableau3[[#This Row],[Corrections]]+B237</f>
        <v>1378</v>
      </c>
    </row>
    <row r="239" customFormat="false" ht="19.5" hidden="false" customHeight="true" outlineLevel="0" collapsed="false">
      <c r="A239" s="11" t="n">
        <v>1</v>
      </c>
      <c r="B239" s="11" t="n">
        <f aca="false">Tableau3[[#This Row],[Corrections]]+B238</f>
        <v>1379</v>
      </c>
    </row>
    <row r="240" customFormat="false" ht="19.5" hidden="false" customHeight="true" outlineLevel="0" collapsed="false">
      <c r="A240" s="11" t="n">
        <v>0</v>
      </c>
      <c r="B240" s="11" t="n">
        <f aca="false">Tableau3[[#This Row],[Corrections]]+B239</f>
        <v>1379</v>
      </c>
    </row>
    <row r="241" customFormat="false" ht="19.5" hidden="false" customHeight="true" outlineLevel="0" collapsed="false">
      <c r="A241" s="11" t="n">
        <v>2</v>
      </c>
      <c r="B241" s="11" t="n">
        <f aca="false">Tableau3[[#This Row],[Corrections]]+B240</f>
        <v>1381</v>
      </c>
    </row>
    <row r="242" customFormat="false" ht="19.5" hidden="false" customHeight="true" outlineLevel="0" collapsed="false">
      <c r="A242" s="11" t="n">
        <v>2</v>
      </c>
      <c r="B242" s="11" t="n">
        <f aca="false">Tableau3[[#This Row],[Corrections]]+B241</f>
        <v>1383</v>
      </c>
    </row>
    <row r="243" customFormat="false" ht="19.5" hidden="false" customHeight="true" outlineLevel="0" collapsed="false">
      <c r="A243" s="11" t="n">
        <v>0</v>
      </c>
      <c r="B243" s="11" t="n">
        <f aca="false">Tableau3[[#This Row],[Corrections]]+B242</f>
        <v>1383</v>
      </c>
    </row>
    <row r="244" customFormat="false" ht="19.5" hidden="false" customHeight="true" outlineLevel="0" collapsed="false">
      <c r="A244" s="11" t="n">
        <v>0</v>
      </c>
      <c r="B244" s="11" t="n">
        <f aca="false">Tableau3[[#This Row],[Corrections]]+B243</f>
        <v>1383</v>
      </c>
    </row>
    <row r="245" customFormat="false" ht="19.5" hidden="false" customHeight="true" outlineLevel="0" collapsed="false">
      <c r="A245" s="11" t="n">
        <v>3</v>
      </c>
      <c r="B245" s="11" t="n">
        <f aca="false">Tableau3[[#This Row],[Corrections]]+B244</f>
        <v>1386</v>
      </c>
    </row>
    <row r="246" customFormat="false" ht="19.5" hidden="false" customHeight="true" outlineLevel="0" collapsed="false">
      <c r="A246" s="11" t="n">
        <v>0</v>
      </c>
      <c r="B246" s="11" t="n">
        <f aca="false">Tableau3[[#This Row],[Corrections]]+B245</f>
        <v>1386</v>
      </c>
    </row>
    <row r="247" customFormat="false" ht="19.5" hidden="false" customHeight="true" outlineLevel="0" collapsed="false">
      <c r="A247" s="11" t="n">
        <v>1</v>
      </c>
      <c r="B247" s="11" t="n">
        <f aca="false">Tableau3[[#This Row],[Corrections]]+B246</f>
        <v>1387</v>
      </c>
    </row>
    <row r="248" customFormat="false" ht="19.5" hidden="false" customHeight="true" outlineLevel="0" collapsed="false">
      <c r="A248" s="11" t="n">
        <v>0</v>
      </c>
      <c r="B248" s="11" t="n">
        <f aca="false">Tableau3[[#This Row],[Corrections]]+B247</f>
        <v>1387</v>
      </c>
    </row>
    <row r="249" customFormat="false" ht="19.5" hidden="false" customHeight="true" outlineLevel="0" collapsed="false">
      <c r="A249" s="11" t="n">
        <v>2</v>
      </c>
      <c r="B249" s="11" t="n">
        <f aca="false">Tableau3[[#This Row],[Corrections]]+B248</f>
        <v>1389</v>
      </c>
    </row>
    <row r="250" customFormat="false" ht="19.5" hidden="false" customHeight="true" outlineLevel="0" collapsed="false">
      <c r="A250" s="11" t="n">
        <v>2</v>
      </c>
      <c r="B250" s="11" t="n">
        <f aca="false">Tableau3[[#This Row],[Corrections]]+B249</f>
        <v>1391</v>
      </c>
    </row>
    <row r="251" customFormat="false" ht="19.5" hidden="false" customHeight="true" outlineLevel="0" collapsed="false">
      <c r="A251" s="11" t="n">
        <v>0</v>
      </c>
      <c r="B251" s="11" t="n">
        <f aca="false">Tableau3[[#This Row],[Corrections]]+B250</f>
        <v>1391</v>
      </c>
    </row>
    <row r="252" customFormat="false" ht="19.5" hidden="false" customHeight="true" outlineLevel="0" collapsed="false">
      <c r="A252" s="11" t="n">
        <v>0</v>
      </c>
      <c r="B252" s="11" t="n">
        <f aca="false">Tableau3[[#This Row],[Corrections]]+B251</f>
        <v>1391</v>
      </c>
    </row>
    <row r="253" customFormat="false" ht="19.5" hidden="false" customHeight="true" outlineLevel="0" collapsed="false">
      <c r="A253" s="11" t="n">
        <v>1</v>
      </c>
      <c r="B253" s="11" t="n">
        <f aca="false">Tableau3[[#This Row],[Corrections]]+B252</f>
        <v>1392</v>
      </c>
    </row>
    <row r="254" customFormat="false" ht="19.5" hidden="false" customHeight="true" outlineLevel="0" collapsed="false">
      <c r="A254" s="11" t="n">
        <v>3</v>
      </c>
      <c r="B254" s="11" t="n">
        <f aca="false">Tableau3[[#This Row],[Corrections]]+B253</f>
        <v>1395</v>
      </c>
    </row>
    <row r="255" customFormat="false" ht="19.5" hidden="false" customHeight="true" outlineLevel="0" collapsed="false">
      <c r="A255" s="11" t="n">
        <v>1</v>
      </c>
      <c r="B255" s="11" t="n">
        <f aca="false">Tableau3[[#This Row],[Corrections]]+B254</f>
        <v>1396</v>
      </c>
    </row>
    <row r="256" customFormat="false" ht="19.5" hidden="false" customHeight="true" outlineLevel="0" collapsed="false">
      <c r="A256" s="11" t="n">
        <v>1</v>
      </c>
      <c r="B256" s="11" t="n">
        <f aca="false">Tableau3[[#This Row],[Corrections]]+B255</f>
        <v>1397</v>
      </c>
    </row>
    <row r="257" customFormat="false" ht="19.5" hidden="false" customHeight="true" outlineLevel="0" collapsed="false">
      <c r="A257" s="11" t="n">
        <v>0</v>
      </c>
      <c r="B257" s="11" t="n">
        <f aca="false">Tableau3[[#This Row],[Corrections]]+B256</f>
        <v>1397</v>
      </c>
    </row>
    <row r="258" customFormat="false" ht="19.5" hidden="false" customHeight="true" outlineLevel="0" collapsed="false">
      <c r="A258" s="11" t="n">
        <v>0</v>
      </c>
      <c r="B258" s="11" t="n">
        <f aca="false">Tableau3[[#This Row],[Corrections]]+B257</f>
        <v>1397</v>
      </c>
    </row>
    <row r="259" customFormat="false" ht="19.5" hidden="false" customHeight="true" outlineLevel="0" collapsed="false">
      <c r="A259" s="11" t="n">
        <v>1</v>
      </c>
      <c r="B259" s="11" t="n">
        <f aca="false">Tableau3[[#This Row],[Corrections]]+B258</f>
        <v>1398</v>
      </c>
    </row>
    <row r="260" customFormat="false" ht="19.5" hidden="false" customHeight="true" outlineLevel="0" collapsed="false">
      <c r="A260" s="11" t="n">
        <v>0</v>
      </c>
      <c r="B260" s="11" t="n">
        <f aca="false">Tableau3[[#This Row],[Corrections]]+B259</f>
        <v>1398</v>
      </c>
    </row>
    <row r="261" customFormat="false" ht="19.5" hidden="false" customHeight="true" outlineLevel="0" collapsed="false">
      <c r="A261" s="11" t="n">
        <v>0</v>
      </c>
      <c r="B261" s="11" t="n">
        <f aca="false">Tableau3[[#This Row],[Corrections]]+B260</f>
        <v>1398</v>
      </c>
    </row>
    <row r="262" customFormat="false" ht="19.5" hidden="false" customHeight="true" outlineLevel="0" collapsed="false">
      <c r="A262" s="11" t="n">
        <v>0</v>
      </c>
      <c r="B262" s="11" t="n">
        <f aca="false">Tableau3[[#This Row],[Corrections]]+B261</f>
        <v>1398</v>
      </c>
    </row>
    <row r="263" customFormat="false" ht="19.5" hidden="false" customHeight="true" outlineLevel="0" collapsed="false">
      <c r="A263" s="11" t="n">
        <v>0</v>
      </c>
      <c r="B263" s="11" t="n">
        <f aca="false">Tableau3[[#This Row],[Corrections]]+B262</f>
        <v>1398</v>
      </c>
    </row>
    <row r="264" customFormat="false" ht="19.5" hidden="false" customHeight="true" outlineLevel="0" collapsed="false">
      <c r="A264" s="11" t="n">
        <v>1</v>
      </c>
      <c r="B264" s="11" t="n">
        <f aca="false">Tableau3[[#This Row],[Corrections]]+B263</f>
        <v>1399</v>
      </c>
    </row>
    <row r="265" customFormat="false" ht="19.5" hidden="false" customHeight="true" outlineLevel="0" collapsed="false">
      <c r="A265" s="11" t="n">
        <v>0</v>
      </c>
      <c r="B265" s="11" t="n">
        <f aca="false">Tableau3[[#This Row],[Corrections]]+B264</f>
        <v>1399</v>
      </c>
    </row>
    <row r="266" customFormat="false" ht="19.5" hidden="false" customHeight="true" outlineLevel="0" collapsed="false">
      <c r="A266" s="11" t="n">
        <v>1</v>
      </c>
      <c r="B266" s="11" t="n">
        <f aca="false">Tableau3[[#This Row],[Corrections]]+B265</f>
        <v>1400</v>
      </c>
    </row>
    <row r="267" customFormat="false" ht="19.5" hidden="false" customHeight="true" outlineLevel="0" collapsed="false">
      <c r="A267" s="11" t="n">
        <v>1</v>
      </c>
      <c r="B267" s="11" t="n">
        <f aca="false">Tableau3[[#This Row],[Corrections]]+B266</f>
        <v>1401</v>
      </c>
    </row>
    <row r="268" customFormat="false" ht="19.5" hidden="false" customHeight="true" outlineLevel="0" collapsed="false">
      <c r="A268" s="11" t="n">
        <v>0</v>
      </c>
      <c r="B268" s="11" t="n">
        <f aca="false">Tableau3[[#This Row],[Corrections]]+B267</f>
        <v>1401</v>
      </c>
    </row>
    <row r="269" customFormat="false" ht="19.5" hidden="false" customHeight="true" outlineLevel="0" collapsed="false">
      <c r="A269" s="11" t="n">
        <v>0</v>
      </c>
      <c r="B269" s="11" t="n">
        <f aca="false">Tableau3[[#This Row],[Corrections]]+B268</f>
        <v>1401</v>
      </c>
    </row>
    <row r="270" customFormat="false" ht="19.5" hidden="false" customHeight="true" outlineLevel="0" collapsed="false">
      <c r="A270" s="11" t="n">
        <v>0</v>
      </c>
      <c r="B270" s="11" t="n">
        <f aca="false">Tableau3[[#This Row],[Corrections]]+B269</f>
        <v>1401</v>
      </c>
    </row>
    <row r="271" customFormat="false" ht="19.5" hidden="false" customHeight="true" outlineLevel="0" collapsed="false">
      <c r="A271" s="11" t="n">
        <v>2</v>
      </c>
      <c r="B271" s="11" t="n">
        <f aca="false">Tableau3[[#This Row],[Corrections]]+B270</f>
        <v>1403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false" showRowColHeaders="true" showZeros="true" rightToLeft="false" tabSelected="false" showOutlineSymbols="true" defaultGridColor="true" view="normal" topLeftCell="A1" colorId="64" zoomScale="190" zoomScaleNormal="190" zoomScalePageLayoutView="100" workbookViewId="0">
      <selection pane="topLeft" activeCell="A1" activeCellId="0" sqref="A1"/>
    </sheetView>
  </sheetViews>
  <sheetFormatPr defaultColWidth="5.66796875" defaultRowHeight="19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6:B2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6" topLeftCell="A17" activePane="bottomLeft" state="frozen"/>
      <selection pane="topLeft" activeCell="A1" activeCellId="0" sqref="A1"/>
      <selection pane="bottomLeft" activeCell="A21" activeCellId="0" sqref="A21"/>
    </sheetView>
  </sheetViews>
  <sheetFormatPr defaultColWidth="11.5625" defaultRowHeight="19.5" zeroHeight="false" outlineLevelRow="0" outlineLevelCol="0"/>
  <cols>
    <col collapsed="false" customWidth="true" hidden="false" outlineLevel="0" max="1" min="1" style="11" width="12.11"/>
    <col collapsed="false" customWidth="true" hidden="false" outlineLevel="0" max="2" min="2" style="11" width="20.33"/>
    <col collapsed="false" customWidth="false" hidden="false" outlineLevel="0" max="16384" min="3" style="11" width="11.56"/>
  </cols>
  <sheetData>
    <row r="16" customFormat="false" ht="19.5" hidden="false" customHeight="true" outlineLevel="0" collapsed="false">
      <c r="A16" s="11" t="s">
        <v>2</v>
      </c>
      <c r="B16" s="11" t="s">
        <v>4495</v>
      </c>
    </row>
    <row r="17" customFormat="false" ht="19.5" hidden="false" customHeight="true" outlineLevel="0" collapsed="false">
      <c r="A17" s="36" t="n">
        <v>44976</v>
      </c>
      <c r="B17" s="11" t="n">
        <v>2319</v>
      </c>
    </row>
    <row r="18" customFormat="false" ht="19.5" hidden="false" customHeight="true" outlineLevel="0" collapsed="false">
      <c r="A18" s="36" t="n">
        <v>44983</v>
      </c>
      <c r="B18" s="11" t="n">
        <v>2188</v>
      </c>
    </row>
    <row r="19" customFormat="false" ht="19.5" hidden="false" customHeight="true" outlineLevel="0" collapsed="false">
      <c r="A19" s="36" t="n">
        <v>45009</v>
      </c>
      <c r="B19" s="11" t="n">
        <v>2251</v>
      </c>
    </row>
    <row r="20" customFormat="false" ht="19.5" hidden="false" customHeight="true" outlineLevel="0" collapsed="false">
      <c r="A20" s="36" t="n">
        <v>45213</v>
      </c>
      <c r="B20" s="11" t="n">
        <v>2258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0.5429687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35"/>
  <sheetViews>
    <sheetView showFormulas="false" showGridLines="false" showRowColHeaders="true" showZeros="true" rightToLeft="false" tabSelected="false" showOutlineSymbols="true" defaultGridColor="true" view="normal" topLeftCell="A114" colorId="64" zoomScale="100" zoomScaleNormal="100" zoomScalePageLayoutView="100" workbookViewId="0">
      <selection pane="topLeft" activeCell="A136" activeCellId="0" sqref="A136"/>
    </sheetView>
  </sheetViews>
  <sheetFormatPr defaultColWidth="11.5625" defaultRowHeight="30" zeroHeight="false" outlineLevelRow="0" outlineLevelCol="0"/>
  <cols>
    <col collapsed="false" customWidth="true" hidden="false" outlineLevel="0" max="1" min="1" style="1" width="60.67"/>
    <col collapsed="false" customWidth="true" hidden="false" outlineLevel="0" max="2" min="2" style="2" width="60.67"/>
    <col collapsed="false" customWidth="true" hidden="false" outlineLevel="0" max="3" min="3" style="1" width="12.67"/>
    <col collapsed="false" customWidth="true" hidden="false" outlineLevel="0" max="6" min="4" style="3" width="12.67"/>
    <col collapsed="false" customWidth="false" hidden="false" outlineLevel="0" max="16384" min="7" style="1" width="11.56"/>
  </cols>
  <sheetData>
    <row r="1" customFormat="false" ht="19.5" hidden="false" customHeight="true" outlineLevel="0" collapsed="false">
      <c r="A1" s="1" t="s">
        <v>4496</v>
      </c>
      <c r="B1" s="2" t="s">
        <v>4497</v>
      </c>
      <c r="C1" s="1" t="s">
        <v>2</v>
      </c>
      <c r="D1" s="3" t="s">
        <v>3</v>
      </c>
      <c r="E1" s="3" t="s">
        <v>4</v>
      </c>
      <c r="F1" s="3" t="s">
        <v>5</v>
      </c>
    </row>
    <row r="2" customFormat="false" ht="30" hidden="false" customHeight="true" outlineLevel="0" collapsed="false">
      <c r="A2" s="8" t="s">
        <v>4498</v>
      </c>
      <c r="B2" s="9" t="s">
        <v>4499</v>
      </c>
      <c r="C2" s="6" t="n">
        <v>44047</v>
      </c>
      <c r="D2" s="3" t="n">
        <v>0</v>
      </c>
      <c r="E2" s="3" t="n">
        <v>0</v>
      </c>
      <c r="F2" s="3" t="n">
        <f aca="false">IFERROR(Tableau5[[#This Row],[Score]]/Tableau5[[#This Row],[Nb]],0)</f>
        <v>0</v>
      </c>
    </row>
    <row r="3" customFormat="false" ht="30" hidden="false" customHeight="true" outlineLevel="0" collapsed="false">
      <c r="A3" s="8" t="s">
        <v>4500</v>
      </c>
      <c r="B3" s="9" t="s">
        <v>4501</v>
      </c>
      <c r="C3" s="6" t="n">
        <v>44491</v>
      </c>
      <c r="D3" s="3" t="n">
        <v>0</v>
      </c>
      <c r="E3" s="3" t="n">
        <v>0</v>
      </c>
      <c r="F3" s="3" t="n">
        <f aca="false">IFERROR(Tableau5[[#This Row],[Score]]/Tableau5[[#This Row],[Nb]],0)</f>
        <v>0</v>
      </c>
    </row>
    <row r="4" customFormat="false" ht="30" hidden="false" customHeight="true" outlineLevel="0" collapsed="false">
      <c r="A4" s="8" t="s">
        <v>4502</v>
      </c>
      <c r="B4" s="9" t="s">
        <v>4503</v>
      </c>
      <c r="C4" s="6" t="n">
        <v>44464</v>
      </c>
      <c r="D4" s="3" t="n">
        <v>0</v>
      </c>
      <c r="E4" s="3" t="n">
        <v>0</v>
      </c>
      <c r="F4" s="3" t="n">
        <f aca="false">IFERROR(Tableau5[[#This Row],[Score]]/Tableau5[[#This Row],[Nb]],0)</f>
        <v>0</v>
      </c>
    </row>
    <row r="5" customFormat="false" ht="30" hidden="false" customHeight="true" outlineLevel="0" collapsed="false">
      <c r="A5" s="8" t="s">
        <v>4504</v>
      </c>
      <c r="B5" s="9" t="s">
        <v>4505</v>
      </c>
      <c r="C5" s="6" t="n">
        <v>44464</v>
      </c>
      <c r="D5" s="3" t="n">
        <v>0</v>
      </c>
      <c r="E5" s="3" t="n">
        <v>0</v>
      </c>
      <c r="F5" s="3" t="n">
        <f aca="false">IFERROR(Tableau5[[#This Row],[Score]]/Tableau5[[#This Row],[Nb]],0)</f>
        <v>0</v>
      </c>
    </row>
    <row r="6" customFormat="false" ht="30" hidden="false" customHeight="true" outlineLevel="0" collapsed="false">
      <c r="A6" s="8" t="s">
        <v>4506</v>
      </c>
      <c r="B6" s="9" t="s">
        <v>4507</v>
      </c>
      <c r="C6" s="6" t="n">
        <v>43858</v>
      </c>
      <c r="D6" s="3" t="n">
        <v>0</v>
      </c>
      <c r="E6" s="3" t="n">
        <v>0</v>
      </c>
      <c r="F6" s="3" t="n">
        <f aca="false">IFERROR(Tableau5[[#This Row],[Score]]/Tableau5[[#This Row],[Nb]],0)</f>
        <v>0</v>
      </c>
    </row>
    <row r="7" customFormat="false" ht="30" hidden="false" customHeight="true" outlineLevel="0" collapsed="false">
      <c r="A7" s="8" t="s">
        <v>4508</v>
      </c>
      <c r="B7" s="9" t="s">
        <v>4509</v>
      </c>
      <c r="C7" s="6" t="n">
        <v>43858</v>
      </c>
      <c r="D7" s="3" t="n">
        <v>0</v>
      </c>
      <c r="E7" s="3" t="n">
        <v>0</v>
      </c>
      <c r="F7" s="3" t="n">
        <f aca="false">IFERROR(Tableau5[[#This Row],[Score]]/Tableau5[[#This Row],[Nb]],0)</f>
        <v>0</v>
      </c>
    </row>
    <row r="8" customFormat="false" ht="30" hidden="false" customHeight="true" outlineLevel="0" collapsed="false">
      <c r="A8" s="8" t="s">
        <v>4510</v>
      </c>
      <c r="B8" s="9" t="s">
        <v>4511</v>
      </c>
      <c r="C8" s="6" t="n">
        <v>43858</v>
      </c>
      <c r="D8" s="3" t="n">
        <v>0</v>
      </c>
      <c r="E8" s="3" t="n">
        <v>0</v>
      </c>
      <c r="F8" s="3" t="n">
        <f aca="false">IFERROR(Tableau5[[#This Row],[Score]]/Tableau5[[#This Row],[Nb]],0)</f>
        <v>0</v>
      </c>
    </row>
    <row r="9" customFormat="false" ht="30" hidden="false" customHeight="true" outlineLevel="0" collapsed="false">
      <c r="A9" s="8" t="s">
        <v>4512</v>
      </c>
      <c r="B9" s="9" t="s">
        <v>4513</v>
      </c>
      <c r="C9" s="6" t="n">
        <v>43858</v>
      </c>
      <c r="D9" s="3" t="n">
        <v>0</v>
      </c>
      <c r="E9" s="3" t="n">
        <v>0</v>
      </c>
      <c r="F9" s="3" t="n">
        <f aca="false">IFERROR(Tableau5[[#This Row],[Score]]/Tableau5[[#This Row],[Nb]],0)</f>
        <v>0</v>
      </c>
    </row>
    <row r="10" customFormat="false" ht="30" hidden="false" customHeight="true" outlineLevel="0" collapsed="false">
      <c r="A10" s="8" t="s">
        <v>4514</v>
      </c>
      <c r="B10" s="9" t="s">
        <v>4515</v>
      </c>
      <c r="C10" s="6" t="n">
        <v>43826</v>
      </c>
      <c r="D10" s="3" t="n">
        <v>0</v>
      </c>
      <c r="E10" s="3" t="n">
        <v>0</v>
      </c>
      <c r="F10" s="3" t="n">
        <f aca="false">IFERROR(Tableau5[[#This Row],[Score]]/Tableau5[[#This Row],[Nb]],0)</f>
        <v>0</v>
      </c>
    </row>
    <row r="11" customFormat="false" ht="30" hidden="false" customHeight="true" outlineLevel="0" collapsed="false">
      <c r="A11" s="8" t="s">
        <v>4516</v>
      </c>
      <c r="B11" s="9" t="s">
        <v>4517</v>
      </c>
      <c r="C11" s="6" t="n">
        <v>43620</v>
      </c>
      <c r="D11" s="3" t="n">
        <v>0</v>
      </c>
      <c r="E11" s="3" t="n">
        <v>0</v>
      </c>
      <c r="F11" s="3" t="n">
        <f aca="false">IFERROR(Tableau5[[#This Row],[Score]]/Tableau5[[#This Row],[Nb]],0)</f>
        <v>0</v>
      </c>
    </row>
    <row r="12" customFormat="false" ht="30" hidden="false" customHeight="true" outlineLevel="0" collapsed="false">
      <c r="A12" s="8" t="s">
        <v>4518</v>
      </c>
      <c r="B12" s="9" t="s">
        <v>4519</v>
      </c>
      <c r="C12" s="6" t="n">
        <v>43610</v>
      </c>
      <c r="D12" s="3" t="n">
        <v>0</v>
      </c>
      <c r="E12" s="3" t="n">
        <v>0</v>
      </c>
      <c r="F12" s="3" t="n">
        <f aca="false">IFERROR(Tableau5[[#This Row],[Score]]/Tableau5[[#This Row],[Nb]],0)</f>
        <v>0</v>
      </c>
    </row>
    <row r="13" customFormat="false" ht="30" hidden="false" customHeight="true" outlineLevel="0" collapsed="false">
      <c r="A13" s="8" t="s">
        <v>4520</v>
      </c>
      <c r="B13" s="9" t="s">
        <v>4521</v>
      </c>
      <c r="C13" s="6" t="n">
        <v>43548</v>
      </c>
      <c r="D13" s="3" t="n">
        <v>0</v>
      </c>
      <c r="E13" s="3" t="n">
        <v>0</v>
      </c>
      <c r="F13" s="3" t="n">
        <f aca="false">IFERROR(Tableau5[[#This Row],[Score]]/Tableau5[[#This Row],[Nb]],0)</f>
        <v>0</v>
      </c>
    </row>
    <row r="14" customFormat="false" ht="30" hidden="false" customHeight="true" outlineLevel="0" collapsed="false">
      <c r="A14" s="8" t="s">
        <v>4522</v>
      </c>
      <c r="B14" s="9" t="s">
        <v>4523</v>
      </c>
      <c r="C14" s="6" t="n">
        <v>43548</v>
      </c>
      <c r="D14" s="3" t="n">
        <v>0</v>
      </c>
      <c r="E14" s="3" t="n">
        <v>0</v>
      </c>
      <c r="F14" s="3" t="n">
        <f aca="false">IFERROR(Tableau5[[#This Row],[Score]]/Tableau5[[#This Row],[Nb]],0)</f>
        <v>0</v>
      </c>
    </row>
    <row r="15" customFormat="false" ht="30" hidden="false" customHeight="true" outlineLevel="0" collapsed="false">
      <c r="A15" s="8" t="s">
        <v>4524</v>
      </c>
      <c r="B15" s="9" t="s">
        <v>4525</v>
      </c>
      <c r="C15" s="6" t="n">
        <v>43548</v>
      </c>
      <c r="D15" s="3" t="n">
        <v>0</v>
      </c>
      <c r="E15" s="3" t="n">
        <v>0</v>
      </c>
      <c r="F15" s="3" t="n">
        <f aca="false">IFERROR(Tableau5[[#This Row],[Score]]/Tableau5[[#This Row],[Nb]],0)</f>
        <v>0</v>
      </c>
    </row>
    <row r="16" customFormat="false" ht="30" hidden="false" customHeight="true" outlineLevel="0" collapsed="false">
      <c r="A16" s="8" t="s">
        <v>4526</v>
      </c>
      <c r="B16" s="9" t="s">
        <v>4527</v>
      </c>
      <c r="C16" s="6" t="n">
        <v>41442</v>
      </c>
      <c r="D16" s="3" t="n">
        <v>0</v>
      </c>
      <c r="E16" s="3" t="n">
        <v>0</v>
      </c>
      <c r="F16" s="3" t="n">
        <f aca="false">IFERROR(Tableau5[[#This Row],[Score]]/Tableau5[[#This Row],[Nb]],0)</f>
        <v>0</v>
      </c>
    </row>
    <row r="17" customFormat="false" ht="30" hidden="false" customHeight="true" outlineLevel="0" collapsed="false">
      <c r="A17" s="8" t="s">
        <v>4528</v>
      </c>
      <c r="B17" s="9" t="s">
        <v>4529</v>
      </c>
      <c r="C17" s="6" t="n">
        <v>43213</v>
      </c>
      <c r="D17" s="3" t="n">
        <v>0</v>
      </c>
      <c r="E17" s="3" t="n">
        <v>0</v>
      </c>
      <c r="F17" s="3" t="n">
        <f aca="false">IFERROR(Tableau5[[#This Row],[Score]]/Tableau5[[#This Row],[Nb]],0)</f>
        <v>0</v>
      </c>
    </row>
    <row r="18" customFormat="false" ht="30" hidden="false" customHeight="true" outlineLevel="0" collapsed="false">
      <c r="A18" s="8" t="s">
        <v>4530</v>
      </c>
      <c r="B18" s="9" t="s">
        <v>4531</v>
      </c>
      <c r="C18" s="6" t="n">
        <v>43217</v>
      </c>
      <c r="D18" s="3" t="n">
        <v>0</v>
      </c>
      <c r="E18" s="3" t="n">
        <v>0</v>
      </c>
      <c r="F18" s="3" t="n">
        <f aca="false">IFERROR(Tableau5[[#This Row],[Score]]/Tableau5[[#This Row],[Nb]],0)</f>
        <v>0</v>
      </c>
    </row>
    <row r="19" customFormat="false" ht="30" hidden="false" customHeight="true" outlineLevel="0" collapsed="false">
      <c r="A19" s="8" t="s">
        <v>4532</v>
      </c>
      <c r="B19" s="9" t="s">
        <v>4533</v>
      </c>
      <c r="C19" s="6" t="n">
        <v>43129</v>
      </c>
      <c r="D19" s="3" t="n">
        <v>0</v>
      </c>
      <c r="E19" s="3" t="n">
        <v>0</v>
      </c>
      <c r="F19" s="3" t="n">
        <f aca="false">IFERROR(Tableau5[[#This Row],[Score]]/Tableau5[[#This Row],[Nb]],0)</f>
        <v>0</v>
      </c>
    </row>
    <row r="20" customFormat="false" ht="30" hidden="false" customHeight="true" outlineLevel="0" collapsed="false">
      <c r="A20" s="8" t="s">
        <v>4534</v>
      </c>
      <c r="B20" s="9" t="s">
        <v>4535</v>
      </c>
      <c r="C20" s="6" t="n">
        <v>41538</v>
      </c>
      <c r="D20" s="3" t="n">
        <v>0</v>
      </c>
      <c r="E20" s="3" t="n">
        <v>0</v>
      </c>
      <c r="F20" s="3" t="n">
        <f aca="false">IFERROR(Tableau5[[#This Row],[Score]]/Tableau5[[#This Row],[Nb]],0)</f>
        <v>0</v>
      </c>
    </row>
    <row r="21" customFormat="false" ht="30" hidden="false" customHeight="true" outlineLevel="0" collapsed="false">
      <c r="A21" s="8" t="s">
        <v>4536</v>
      </c>
      <c r="B21" s="9" t="s">
        <v>4537</v>
      </c>
      <c r="C21" s="6" t="n">
        <v>41422</v>
      </c>
      <c r="D21" s="3" t="n">
        <v>0</v>
      </c>
      <c r="E21" s="3" t="n">
        <v>0</v>
      </c>
      <c r="F21" s="3" t="n">
        <f aca="false">IFERROR(Tableau5[[#This Row],[Score]]/Tableau5[[#This Row],[Nb]],0)</f>
        <v>0</v>
      </c>
    </row>
    <row r="22" customFormat="false" ht="30" hidden="false" customHeight="true" outlineLevel="0" collapsed="false">
      <c r="A22" s="8" t="s">
        <v>4538</v>
      </c>
      <c r="B22" s="9" t="s">
        <v>4539</v>
      </c>
      <c r="C22" s="6" t="n">
        <v>41420</v>
      </c>
      <c r="D22" s="3" t="n">
        <v>0</v>
      </c>
      <c r="E22" s="3" t="n">
        <v>0</v>
      </c>
      <c r="F22" s="3" t="n">
        <f aca="false">IFERROR(Tableau5[[#This Row],[Score]]/Tableau5[[#This Row],[Nb]],0)</f>
        <v>0</v>
      </c>
    </row>
    <row r="23" customFormat="false" ht="30" hidden="false" customHeight="true" outlineLevel="0" collapsed="false">
      <c r="A23" s="8" t="s">
        <v>4540</v>
      </c>
      <c r="B23" s="9" t="s">
        <v>4541</v>
      </c>
      <c r="C23" s="6" t="n">
        <v>41419</v>
      </c>
      <c r="D23" s="3" t="n">
        <v>0</v>
      </c>
      <c r="E23" s="3" t="n">
        <v>0</v>
      </c>
      <c r="F23" s="3" t="n">
        <f aca="false">IFERROR(Tableau5[[#This Row],[Score]]/Tableau5[[#This Row],[Nb]],0)</f>
        <v>0</v>
      </c>
    </row>
    <row r="24" customFormat="false" ht="30" hidden="false" customHeight="true" outlineLevel="0" collapsed="false">
      <c r="A24" s="8" t="s">
        <v>4542</v>
      </c>
      <c r="B24" s="9" t="s">
        <v>4543</v>
      </c>
      <c r="C24" s="6" t="n">
        <v>41325</v>
      </c>
      <c r="D24" s="3" t="n">
        <v>0</v>
      </c>
      <c r="E24" s="3" t="n">
        <v>0</v>
      </c>
      <c r="F24" s="3" t="n">
        <f aca="false">IFERROR(Tableau5[[#This Row],[Score]]/Tableau5[[#This Row],[Nb]],0)</f>
        <v>0</v>
      </c>
    </row>
    <row r="25" customFormat="false" ht="30" hidden="false" customHeight="true" outlineLevel="0" collapsed="false">
      <c r="A25" s="8" t="s">
        <v>4544</v>
      </c>
      <c r="B25" s="9" t="s">
        <v>4545</v>
      </c>
      <c r="C25" s="6" t="n">
        <v>43230</v>
      </c>
      <c r="D25" s="3" t="n">
        <v>0</v>
      </c>
      <c r="E25" s="3" t="n">
        <v>0</v>
      </c>
      <c r="F25" s="3" t="n">
        <f aca="false">IFERROR(Tableau5[[#This Row],[Score]]/Tableau5[[#This Row],[Nb]],0)</f>
        <v>0</v>
      </c>
    </row>
    <row r="26" customFormat="false" ht="30" hidden="false" customHeight="true" outlineLevel="0" collapsed="false">
      <c r="A26" s="8" t="s">
        <v>4546</v>
      </c>
      <c r="B26" s="9" t="s">
        <v>4547</v>
      </c>
      <c r="C26" s="6" t="n">
        <v>43228</v>
      </c>
      <c r="D26" s="3" t="n">
        <v>0</v>
      </c>
      <c r="E26" s="3" t="n">
        <v>0</v>
      </c>
      <c r="F26" s="3" t="n">
        <f aca="false">IFERROR(Tableau5[[#This Row],[Score]]/Tableau5[[#This Row],[Nb]],0)</f>
        <v>0</v>
      </c>
    </row>
    <row r="27" customFormat="false" ht="30" hidden="false" customHeight="true" outlineLevel="0" collapsed="false">
      <c r="A27" s="8" t="s">
        <v>4548</v>
      </c>
      <c r="B27" s="9" t="s">
        <v>4549</v>
      </c>
      <c r="C27" s="6" t="n">
        <v>43228</v>
      </c>
      <c r="D27" s="3" t="n">
        <v>0</v>
      </c>
      <c r="E27" s="3" t="n">
        <v>0</v>
      </c>
      <c r="F27" s="3" t="n">
        <f aca="false">IFERROR(Tableau5[[#This Row],[Score]]/Tableau5[[#This Row],[Nb]],0)</f>
        <v>0</v>
      </c>
    </row>
    <row r="28" customFormat="false" ht="30" hidden="false" customHeight="true" outlineLevel="0" collapsed="false">
      <c r="A28" s="8" t="s">
        <v>4550</v>
      </c>
      <c r="B28" s="9" t="s">
        <v>4551</v>
      </c>
      <c r="C28" s="6" t="n">
        <v>43219</v>
      </c>
      <c r="D28" s="3" t="n">
        <v>0</v>
      </c>
      <c r="E28" s="3" t="n">
        <v>0</v>
      </c>
      <c r="F28" s="3" t="n">
        <f aca="false">IFERROR(Tableau5[[#This Row],[Score]]/Tableau5[[#This Row],[Nb]],0)</f>
        <v>0</v>
      </c>
    </row>
    <row r="29" customFormat="false" ht="30" hidden="false" customHeight="true" outlineLevel="0" collapsed="false">
      <c r="A29" s="8" t="s">
        <v>4552</v>
      </c>
      <c r="B29" s="9" t="s">
        <v>4553</v>
      </c>
      <c r="C29" s="6" t="n">
        <v>43215</v>
      </c>
      <c r="D29" s="3" t="n">
        <v>0</v>
      </c>
      <c r="E29" s="3" t="n">
        <v>0</v>
      </c>
      <c r="F29" s="3" t="n">
        <f aca="false">IFERROR(Tableau5[[#This Row],[Score]]/Tableau5[[#This Row],[Nb]],0)</f>
        <v>0</v>
      </c>
    </row>
    <row r="30" customFormat="false" ht="30" hidden="false" customHeight="true" outlineLevel="0" collapsed="false">
      <c r="A30" s="8" t="s">
        <v>4554</v>
      </c>
      <c r="B30" s="9" t="s">
        <v>4555</v>
      </c>
      <c r="C30" s="6" t="n">
        <v>43210</v>
      </c>
      <c r="D30" s="3" t="n">
        <v>0</v>
      </c>
      <c r="E30" s="3" t="n">
        <v>0</v>
      </c>
      <c r="F30" s="3" t="n">
        <f aca="false">IFERROR(Tableau5[[#This Row],[Score]]/Tableau5[[#This Row],[Nb]],0)</f>
        <v>0</v>
      </c>
    </row>
    <row r="31" customFormat="false" ht="30" hidden="false" customHeight="true" outlineLevel="0" collapsed="false">
      <c r="A31" s="8" t="s">
        <v>4556</v>
      </c>
      <c r="B31" s="9" t="s">
        <v>4557</v>
      </c>
      <c r="C31" s="6" t="n">
        <v>43137</v>
      </c>
      <c r="D31" s="3" t="n">
        <v>0</v>
      </c>
      <c r="E31" s="3" t="n">
        <v>0</v>
      </c>
      <c r="F31" s="3" t="n">
        <f aca="false">IFERROR(Tableau5[[#This Row],[Score]]/Tableau5[[#This Row],[Nb]],0)</f>
        <v>0</v>
      </c>
    </row>
    <row r="32" customFormat="false" ht="30" hidden="false" customHeight="true" outlineLevel="0" collapsed="false">
      <c r="A32" s="8" t="s">
        <v>4558</v>
      </c>
      <c r="B32" s="9" t="s">
        <v>4559</v>
      </c>
      <c r="C32" s="6" t="n">
        <v>43129</v>
      </c>
      <c r="D32" s="3" t="n">
        <v>0</v>
      </c>
      <c r="E32" s="3" t="n">
        <v>0</v>
      </c>
      <c r="F32" s="3" t="n">
        <f aca="false">IFERROR(Tableau5[[#This Row],[Score]]/Tableau5[[#This Row],[Nb]],0)</f>
        <v>0</v>
      </c>
    </row>
    <row r="33" customFormat="false" ht="30" hidden="false" customHeight="true" outlineLevel="0" collapsed="false">
      <c r="A33" s="8" t="s">
        <v>4560</v>
      </c>
      <c r="B33" s="9" t="s">
        <v>4561</v>
      </c>
      <c r="C33" s="6" t="n">
        <v>43129</v>
      </c>
      <c r="D33" s="3" t="n">
        <v>0</v>
      </c>
      <c r="E33" s="3" t="n">
        <v>0</v>
      </c>
      <c r="F33" s="3" t="n">
        <f aca="false">IFERROR(Tableau5[[#This Row],[Score]]/Tableau5[[#This Row],[Nb]],0)</f>
        <v>0</v>
      </c>
    </row>
    <row r="34" customFormat="false" ht="30" hidden="false" customHeight="true" outlineLevel="0" collapsed="false">
      <c r="A34" s="8" t="s">
        <v>4562</v>
      </c>
      <c r="B34" s="9" t="s">
        <v>4563</v>
      </c>
      <c r="C34" s="6" t="n">
        <v>41551</v>
      </c>
      <c r="D34" s="3" t="n">
        <v>0</v>
      </c>
      <c r="E34" s="3" t="n">
        <v>0</v>
      </c>
      <c r="F34" s="3" t="n">
        <f aca="false">IFERROR(Tableau5[[#This Row],[Score]]/Tableau5[[#This Row],[Nb]],0)</f>
        <v>0</v>
      </c>
    </row>
    <row r="35" customFormat="false" ht="30" hidden="false" customHeight="true" outlineLevel="0" collapsed="false">
      <c r="A35" s="8" t="s">
        <v>4564</v>
      </c>
      <c r="B35" s="9" t="s">
        <v>4565</v>
      </c>
      <c r="C35" s="6" t="n">
        <v>41538</v>
      </c>
      <c r="D35" s="3" t="n">
        <v>0</v>
      </c>
      <c r="E35" s="3" t="n">
        <v>0</v>
      </c>
      <c r="F35" s="3" t="n">
        <f aca="false">IFERROR(Tableau5[[#This Row],[Score]]/Tableau5[[#This Row],[Nb]],0)</f>
        <v>0</v>
      </c>
    </row>
    <row r="36" customFormat="false" ht="30" hidden="false" customHeight="true" outlineLevel="0" collapsed="false">
      <c r="A36" s="8" t="s">
        <v>4566</v>
      </c>
      <c r="B36" s="9" t="s">
        <v>4567</v>
      </c>
      <c r="C36" s="6" t="n">
        <v>43274</v>
      </c>
      <c r="D36" s="3" t="n">
        <v>0</v>
      </c>
      <c r="E36" s="3" t="n">
        <v>0</v>
      </c>
      <c r="F36" s="3" t="n">
        <f aca="false">IFERROR(Tableau5[[#This Row],[Score]]/Tableau5[[#This Row],[Nb]],0)</f>
        <v>0</v>
      </c>
    </row>
    <row r="37" customFormat="false" ht="30" hidden="false" customHeight="true" outlineLevel="0" collapsed="false">
      <c r="A37" s="8" t="s">
        <v>4568</v>
      </c>
      <c r="B37" s="9" t="s">
        <v>4569</v>
      </c>
      <c r="C37" s="6" t="n">
        <v>43270</v>
      </c>
      <c r="D37" s="3" t="n">
        <v>0</v>
      </c>
      <c r="E37" s="3" t="n">
        <v>0</v>
      </c>
      <c r="F37" s="3" t="n">
        <f aca="false">IFERROR(Tableau5[[#This Row],[Score]]/Tableau5[[#This Row],[Nb]],0)</f>
        <v>0</v>
      </c>
    </row>
    <row r="38" customFormat="false" ht="30" hidden="false" customHeight="true" outlineLevel="0" collapsed="false">
      <c r="A38" s="8" t="s">
        <v>4570</v>
      </c>
      <c r="B38" s="9" t="s">
        <v>4571</v>
      </c>
      <c r="C38" s="6" t="n">
        <v>43256</v>
      </c>
      <c r="D38" s="3" t="n">
        <v>0</v>
      </c>
      <c r="E38" s="3" t="n">
        <v>0</v>
      </c>
      <c r="F38" s="3" t="n">
        <f aca="false">IFERROR(Tableau5[[#This Row],[Score]]/Tableau5[[#This Row],[Nb]],0)</f>
        <v>0</v>
      </c>
    </row>
    <row r="39" customFormat="false" ht="30" hidden="false" customHeight="true" outlineLevel="0" collapsed="false">
      <c r="A39" s="8" t="s">
        <v>4572</v>
      </c>
      <c r="B39" s="9" t="s">
        <v>4573</v>
      </c>
      <c r="C39" s="6" t="n">
        <v>43255</v>
      </c>
      <c r="D39" s="3" t="n">
        <v>0</v>
      </c>
      <c r="E39" s="3" t="n">
        <v>0</v>
      </c>
      <c r="F39" s="3" t="n">
        <f aca="false">IFERROR(Tableau5[[#This Row],[Score]]/Tableau5[[#This Row],[Nb]],0)</f>
        <v>0</v>
      </c>
    </row>
    <row r="40" customFormat="false" ht="30" hidden="false" customHeight="true" outlineLevel="0" collapsed="false">
      <c r="A40" s="8" t="s">
        <v>4574</v>
      </c>
      <c r="B40" s="9" t="s">
        <v>4575</v>
      </c>
      <c r="C40" s="6" t="n">
        <v>43244</v>
      </c>
      <c r="D40" s="3" t="n">
        <v>0</v>
      </c>
      <c r="E40" s="3" t="n">
        <v>0</v>
      </c>
      <c r="F40" s="3" t="n">
        <f aca="false">IFERROR(Tableau5[[#This Row],[Score]]/Tableau5[[#This Row],[Nb]],0)</f>
        <v>0</v>
      </c>
    </row>
    <row r="41" customFormat="false" ht="30" hidden="false" customHeight="true" outlineLevel="0" collapsed="false">
      <c r="A41" s="8" t="s">
        <v>4576</v>
      </c>
      <c r="B41" s="9" t="s">
        <v>4577</v>
      </c>
      <c r="C41" s="6" t="n">
        <v>43219</v>
      </c>
      <c r="D41" s="3" t="n">
        <v>0</v>
      </c>
      <c r="E41" s="3" t="n">
        <v>0</v>
      </c>
      <c r="F41" s="3" t="n">
        <f aca="false">IFERROR(Tableau5[[#This Row],[Score]]/Tableau5[[#This Row],[Nb]],0)</f>
        <v>0</v>
      </c>
    </row>
    <row r="42" customFormat="false" ht="30" hidden="false" customHeight="true" outlineLevel="0" collapsed="false">
      <c r="A42" s="8" t="s">
        <v>4578</v>
      </c>
      <c r="B42" s="9" t="s">
        <v>4579</v>
      </c>
      <c r="C42" s="6" t="n">
        <v>43219</v>
      </c>
      <c r="D42" s="3" t="n">
        <v>0</v>
      </c>
      <c r="E42" s="3" t="n">
        <v>0</v>
      </c>
      <c r="F42" s="3" t="n">
        <f aca="false">IFERROR(Tableau5[[#This Row],[Score]]/Tableau5[[#This Row],[Nb]],0)</f>
        <v>0</v>
      </c>
    </row>
    <row r="43" customFormat="false" ht="30" hidden="false" customHeight="true" outlineLevel="0" collapsed="false">
      <c r="A43" s="8" t="s">
        <v>4580</v>
      </c>
      <c r="B43" s="9" t="s">
        <v>4581</v>
      </c>
      <c r="C43" s="6" t="n">
        <v>43206</v>
      </c>
      <c r="D43" s="3" t="n">
        <v>0</v>
      </c>
      <c r="E43" s="3" t="n">
        <v>0</v>
      </c>
      <c r="F43" s="3" t="n">
        <f aca="false">IFERROR(Tableau5[[#This Row],[Score]]/Tableau5[[#This Row],[Nb]],0)</f>
        <v>0</v>
      </c>
    </row>
    <row r="44" customFormat="false" ht="30" hidden="false" customHeight="true" outlineLevel="0" collapsed="false">
      <c r="A44" s="8" t="s">
        <v>4582</v>
      </c>
      <c r="B44" s="9" t="s">
        <v>4583</v>
      </c>
      <c r="C44" s="6" t="n">
        <v>43190</v>
      </c>
      <c r="D44" s="3" t="n">
        <v>0</v>
      </c>
      <c r="E44" s="3" t="n">
        <v>0</v>
      </c>
      <c r="F44" s="3" t="n">
        <f aca="false">IFERROR(Tableau5[[#This Row],[Score]]/Tableau5[[#This Row],[Nb]],0)</f>
        <v>0</v>
      </c>
    </row>
    <row r="45" customFormat="false" ht="30" hidden="false" customHeight="true" outlineLevel="0" collapsed="false">
      <c r="A45" s="8" t="s">
        <v>4584</v>
      </c>
      <c r="B45" s="9" t="s">
        <v>4585</v>
      </c>
      <c r="C45" s="6" t="n">
        <v>41538</v>
      </c>
      <c r="D45" s="3" t="n">
        <v>0</v>
      </c>
      <c r="E45" s="3" t="n">
        <v>0</v>
      </c>
      <c r="F45" s="3" t="n">
        <f aca="false">IFERROR(Tableau5[[#This Row],[Score]]/Tableau5[[#This Row],[Nb]],0)</f>
        <v>0</v>
      </c>
    </row>
    <row r="46" customFormat="false" ht="30" hidden="false" customHeight="true" outlineLevel="0" collapsed="false">
      <c r="A46" s="8" t="s">
        <v>4586</v>
      </c>
      <c r="B46" s="9" t="s">
        <v>4587</v>
      </c>
      <c r="C46" s="6" t="n">
        <v>41538</v>
      </c>
      <c r="D46" s="3" t="n">
        <v>0</v>
      </c>
      <c r="E46" s="3" t="n">
        <v>0</v>
      </c>
      <c r="F46" s="3" t="n">
        <f aca="false">IFERROR(Tableau5[[#This Row],[Score]]/Tableau5[[#This Row],[Nb]],0)</f>
        <v>0</v>
      </c>
    </row>
    <row r="47" customFormat="false" ht="30" hidden="false" customHeight="true" outlineLevel="0" collapsed="false">
      <c r="A47" s="8" t="s">
        <v>4588</v>
      </c>
      <c r="B47" s="9" t="s">
        <v>4589</v>
      </c>
      <c r="C47" s="6" t="n">
        <v>41538</v>
      </c>
      <c r="D47" s="3" t="n">
        <v>0</v>
      </c>
      <c r="E47" s="3" t="n">
        <v>0</v>
      </c>
      <c r="F47" s="3" t="n">
        <f aca="false">IFERROR(Tableau5[[#This Row],[Score]]/Tableau5[[#This Row],[Nb]],0)</f>
        <v>0</v>
      </c>
    </row>
    <row r="48" customFormat="false" ht="30" hidden="false" customHeight="true" outlineLevel="0" collapsed="false">
      <c r="A48" s="8" t="s">
        <v>4590</v>
      </c>
      <c r="B48" s="9" t="s">
        <v>4591</v>
      </c>
      <c r="C48" s="6" t="n">
        <v>41538</v>
      </c>
      <c r="D48" s="3" t="n">
        <v>0</v>
      </c>
      <c r="E48" s="3" t="n">
        <v>0</v>
      </c>
      <c r="F48" s="3" t="n">
        <f aca="false">IFERROR(Tableau5[[#This Row],[Score]]/Tableau5[[#This Row],[Nb]],0)</f>
        <v>0</v>
      </c>
    </row>
    <row r="49" customFormat="false" ht="30" hidden="false" customHeight="true" outlineLevel="0" collapsed="false">
      <c r="A49" s="8" t="s">
        <v>4592</v>
      </c>
      <c r="B49" s="9" t="s">
        <v>4593</v>
      </c>
      <c r="C49" s="6" t="n">
        <v>41495</v>
      </c>
      <c r="D49" s="3" t="n">
        <v>0</v>
      </c>
      <c r="E49" s="3" t="n">
        <v>0</v>
      </c>
      <c r="F49" s="3" t="n">
        <f aca="false">IFERROR(Tableau5[[#This Row],[Score]]/Tableau5[[#This Row],[Nb]],0)</f>
        <v>0</v>
      </c>
    </row>
    <row r="50" customFormat="false" ht="30" hidden="false" customHeight="true" outlineLevel="0" collapsed="false">
      <c r="A50" s="8" t="s">
        <v>4594</v>
      </c>
      <c r="B50" s="9" t="s">
        <v>4595</v>
      </c>
      <c r="C50" s="6" t="n">
        <v>41495</v>
      </c>
      <c r="D50" s="3" t="n">
        <v>0</v>
      </c>
      <c r="E50" s="3" t="n">
        <v>0</v>
      </c>
      <c r="F50" s="3" t="n">
        <f aca="false">IFERROR(Tableau5[[#This Row],[Score]]/Tableau5[[#This Row],[Nb]],0)</f>
        <v>0</v>
      </c>
    </row>
    <row r="51" customFormat="false" ht="30" hidden="false" customHeight="true" outlineLevel="0" collapsed="false">
      <c r="A51" s="8" t="s">
        <v>4596</v>
      </c>
      <c r="B51" s="9" t="s">
        <v>4597</v>
      </c>
      <c r="C51" s="6" t="n">
        <v>41459</v>
      </c>
      <c r="D51" s="3" t="n">
        <v>0</v>
      </c>
      <c r="E51" s="3" t="n">
        <v>0</v>
      </c>
      <c r="F51" s="3" t="n">
        <f aca="false">IFERROR(Tableau5[[#This Row],[Score]]/Tableau5[[#This Row],[Nb]],0)</f>
        <v>0</v>
      </c>
    </row>
    <row r="52" customFormat="false" ht="30" hidden="false" customHeight="true" outlineLevel="0" collapsed="false">
      <c r="A52" s="8" t="s">
        <v>4598</v>
      </c>
      <c r="B52" s="9" t="s">
        <v>4599</v>
      </c>
      <c r="C52" s="6" t="n">
        <v>41442</v>
      </c>
      <c r="D52" s="3" t="n">
        <v>0</v>
      </c>
      <c r="E52" s="3" t="n">
        <v>0</v>
      </c>
      <c r="F52" s="3" t="n">
        <f aca="false">IFERROR(Tableau5[[#This Row],[Score]]/Tableau5[[#This Row],[Nb]],0)</f>
        <v>0</v>
      </c>
    </row>
    <row r="53" customFormat="false" ht="30" hidden="false" customHeight="true" outlineLevel="0" collapsed="false">
      <c r="A53" s="8" t="s">
        <v>4600</v>
      </c>
      <c r="B53" s="9" t="s">
        <v>4601</v>
      </c>
      <c r="C53" s="6" t="n">
        <v>41442</v>
      </c>
      <c r="D53" s="3" t="n">
        <v>0</v>
      </c>
      <c r="E53" s="3" t="n">
        <v>0</v>
      </c>
      <c r="F53" s="3" t="n">
        <f aca="false">IFERROR(Tableau5[[#This Row],[Score]]/Tableau5[[#This Row],[Nb]],0)</f>
        <v>0</v>
      </c>
    </row>
    <row r="54" customFormat="false" ht="30" hidden="false" customHeight="true" outlineLevel="0" collapsed="false">
      <c r="A54" s="8" t="s">
        <v>4602</v>
      </c>
      <c r="B54" s="9" t="s">
        <v>4603</v>
      </c>
      <c r="C54" s="6" t="n">
        <v>41434</v>
      </c>
      <c r="D54" s="3" t="n">
        <v>0</v>
      </c>
      <c r="E54" s="3" t="n">
        <v>0</v>
      </c>
      <c r="F54" s="3" t="n">
        <f aca="false">IFERROR(Tableau5[[#This Row],[Score]]/Tableau5[[#This Row],[Nb]],0)</f>
        <v>0</v>
      </c>
    </row>
    <row r="55" customFormat="false" ht="30" hidden="false" customHeight="true" outlineLevel="0" collapsed="false">
      <c r="A55" s="8" t="s">
        <v>4604</v>
      </c>
      <c r="B55" s="9" t="s">
        <v>4605</v>
      </c>
      <c r="C55" s="6" t="n">
        <v>41433</v>
      </c>
      <c r="D55" s="3" t="n">
        <v>0</v>
      </c>
      <c r="E55" s="3" t="n">
        <v>0</v>
      </c>
      <c r="F55" s="3" t="n">
        <f aca="false">IFERROR(Tableau5[[#This Row],[Score]]/Tableau5[[#This Row],[Nb]],0)</f>
        <v>0</v>
      </c>
    </row>
    <row r="56" customFormat="false" ht="30" hidden="false" customHeight="true" outlineLevel="0" collapsed="false">
      <c r="A56" s="8" t="s">
        <v>4606</v>
      </c>
      <c r="B56" s="9" t="s">
        <v>4607</v>
      </c>
      <c r="C56" s="6" t="n">
        <v>41426</v>
      </c>
      <c r="D56" s="3" t="n">
        <v>0</v>
      </c>
      <c r="E56" s="3" t="n">
        <v>0</v>
      </c>
      <c r="F56" s="3" t="n">
        <f aca="false">IFERROR(Tableau5[[#This Row],[Score]]/Tableau5[[#This Row],[Nb]],0)</f>
        <v>0</v>
      </c>
    </row>
    <row r="57" customFormat="false" ht="30" hidden="false" customHeight="true" outlineLevel="0" collapsed="false">
      <c r="A57" s="8" t="s">
        <v>4608</v>
      </c>
      <c r="B57" s="9" t="s">
        <v>4609</v>
      </c>
      <c r="C57" s="6" t="n">
        <v>41422</v>
      </c>
      <c r="D57" s="3" t="n">
        <v>0</v>
      </c>
      <c r="E57" s="3" t="n">
        <v>0</v>
      </c>
      <c r="F57" s="3" t="n">
        <f aca="false">IFERROR(Tableau5[[#This Row],[Score]]/Tableau5[[#This Row],[Nb]],0)</f>
        <v>0</v>
      </c>
    </row>
    <row r="58" customFormat="false" ht="30" hidden="false" customHeight="true" outlineLevel="0" collapsed="false">
      <c r="A58" s="8" t="s">
        <v>4610</v>
      </c>
      <c r="B58" s="9" t="s">
        <v>4611</v>
      </c>
      <c r="C58" s="6" t="n">
        <v>41420</v>
      </c>
      <c r="D58" s="3" t="n">
        <v>0</v>
      </c>
      <c r="E58" s="3" t="n">
        <v>0</v>
      </c>
      <c r="F58" s="3" t="n">
        <f aca="false">IFERROR(Tableau5[[#This Row],[Score]]/Tableau5[[#This Row],[Nb]],0)</f>
        <v>0</v>
      </c>
    </row>
    <row r="59" customFormat="false" ht="30" hidden="false" customHeight="true" outlineLevel="0" collapsed="false">
      <c r="A59" s="8" t="s">
        <v>4612</v>
      </c>
      <c r="B59" s="9" t="s">
        <v>4613</v>
      </c>
      <c r="C59" s="6" t="n">
        <v>43622</v>
      </c>
      <c r="D59" s="3" t="n">
        <v>0</v>
      </c>
      <c r="E59" s="3" t="n">
        <v>0</v>
      </c>
      <c r="F59" s="3" t="n">
        <f aca="false">IFERROR(Tableau5[[#This Row],[Score]]/Tableau5[[#This Row],[Nb]],0)</f>
        <v>0</v>
      </c>
    </row>
    <row r="60" customFormat="false" ht="30" hidden="false" customHeight="true" outlineLevel="0" collapsed="false">
      <c r="A60" s="8" t="s">
        <v>4614</v>
      </c>
      <c r="B60" s="9" t="s">
        <v>4615</v>
      </c>
      <c r="C60" s="6" t="n">
        <v>43473</v>
      </c>
      <c r="D60" s="3" t="n">
        <v>0</v>
      </c>
      <c r="E60" s="3" t="n">
        <v>0</v>
      </c>
      <c r="F60" s="3" t="n">
        <f aca="false">IFERROR(Tableau5[[#This Row],[Score]]/Tableau5[[#This Row],[Nb]],0)</f>
        <v>0</v>
      </c>
    </row>
    <row r="61" customFormat="false" ht="30" hidden="false" customHeight="true" outlineLevel="0" collapsed="false">
      <c r="A61" s="8" t="s">
        <v>4616</v>
      </c>
      <c r="B61" s="9" t="s">
        <v>4617</v>
      </c>
      <c r="C61" s="6" t="n">
        <v>43445</v>
      </c>
      <c r="D61" s="3" t="n">
        <v>0</v>
      </c>
      <c r="E61" s="3" t="n">
        <v>0</v>
      </c>
      <c r="F61" s="3" t="n">
        <f aca="false">IFERROR(Tableau5[[#This Row],[Score]]/Tableau5[[#This Row],[Nb]],0)</f>
        <v>0</v>
      </c>
    </row>
    <row r="62" customFormat="false" ht="30" hidden="false" customHeight="true" outlineLevel="0" collapsed="false">
      <c r="A62" s="8" t="s">
        <v>4618</v>
      </c>
      <c r="B62" s="9" t="s">
        <v>4619</v>
      </c>
      <c r="C62" s="6" t="n">
        <v>43261</v>
      </c>
      <c r="D62" s="3" t="n">
        <v>0</v>
      </c>
      <c r="E62" s="3" t="n">
        <v>0</v>
      </c>
      <c r="F62" s="3" t="n">
        <f aca="false">IFERROR(Tableau5[[#This Row],[Score]]/Tableau5[[#This Row],[Nb]],0)</f>
        <v>0</v>
      </c>
    </row>
    <row r="63" customFormat="false" ht="30" hidden="false" customHeight="true" outlineLevel="0" collapsed="false">
      <c r="A63" s="8" t="s">
        <v>4620</v>
      </c>
      <c r="B63" s="9" t="s">
        <v>4621</v>
      </c>
      <c r="C63" s="6" t="n">
        <v>43261</v>
      </c>
      <c r="D63" s="3" t="n">
        <v>0</v>
      </c>
      <c r="E63" s="3" t="n">
        <v>0</v>
      </c>
      <c r="F63" s="3" t="n">
        <f aca="false">IFERROR(Tableau5[[#This Row],[Score]]/Tableau5[[#This Row],[Nb]],0)</f>
        <v>0</v>
      </c>
    </row>
    <row r="64" customFormat="false" ht="30" hidden="false" customHeight="true" outlineLevel="0" collapsed="false">
      <c r="A64" s="8" t="s">
        <v>4622</v>
      </c>
      <c r="B64" s="9" t="s">
        <v>4623</v>
      </c>
      <c r="C64" s="6" t="n">
        <v>43256</v>
      </c>
      <c r="D64" s="3" t="n">
        <v>0</v>
      </c>
      <c r="E64" s="3" t="n">
        <v>0</v>
      </c>
      <c r="F64" s="3" t="n">
        <f aca="false">IFERROR(Tableau5[[#This Row],[Score]]/Tableau5[[#This Row],[Nb]],0)</f>
        <v>0</v>
      </c>
    </row>
    <row r="65" customFormat="false" ht="30" hidden="false" customHeight="true" outlineLevel="0" collapsed="false">
      <c r="A65" s="8" t="s">
        <v>4624</v>
      </c>
      <c r="B65" s="9"/>
      <c r="C65" s="6" t="n">
        <v>43251</v>
      </c>
      <c r="D65" s="3" t="n">
        <v>0</v>
      </c>
      <c r="E65" s="3" t="n">
        <v>0</v>
      </c>
      <c r="F65" s="3" t="n">
        <f aca="false">IFERROR(Tableau5[[#This Row],[Score]]/Tableau5[[#This Row],[Nb]],0)</f>
        <v>0</v>
      </c>
    </row>
    <row r="66" customFormat="false" ht="30" hidden="false" customHeight="true" outlineLevel="0" collapsed="false">
      <c r="A66" s="8" t="s">
        <v>4625</v>
      </c>
      <c r="B66" s="9" t="s">
        <v>4626</v>
      </c>
      <c r="C66" s="6" t="n">
        <v>43246</v>
      </c>
      <c r="D66" s="3" t="n">
        <v>0</v>
      </c>
      <c r="E66" s="3" t="n">
        <v>0</v>
      </c>
      <c r="F66" s="3" t="n">
        <f aca="false">IFERROR(Tableau5[[#This Row],[Score]]/Tableau5[[#This Row],[Nb]],0)</f>
        <v>0</v>
      </c>
    </row>
    <row r="67" customFormat="false" ht="30" hidden="false" customHeight="true" outlineLevel="0" collapsed="false">
      <c r="A67" s="8" t="s">
        <v>4627</v>
      </c>
      <c r="B67" s="9" t="s">
        <v>4628</v>
      </c>
      <c r="C67" s="6" t="n">
        <v>43246</v>
      </c>
      <c r="D67" s="3" t="n">
        <v>0</v>
      </c>
      <c r="E67" s="3" t="n">
        <v>0</v>
      </c>
      <c r="F67" s="3" t="n">
        <f aca="false">IFERROR(Tableau5[[#This Row],[Score]]/Tableau5[[#This Row],[Nb]],0)</f>
        <v>0</v>
      </c>
    </row>
    <row r="68" customFormat="false" ht="30" hidden="false" customHeight="true" outlineLevel="0" collapsed="false">
      <c r="A68" s="8" t="s">
        <v>4629</v>
      </c>
      <c r="B68" s="9" t="s">
        <v>4630</v>
      </c>
      <c r="C68" s="6" t="n">
        <v>43245</v>
      </c>
      <c r="D68" s="3" t="n">
        <v>0</v>
      </c>
      <c r="E68" s="3" t="n">
        <v>0</v>
      </c>
      <c r="F68" s="3" t="n">
        <f aca="false">IFERROR(Tableau5[[#This Row],[Score]]/Tableau5[[#This Row],[Nb]],0)</f>
        <v>0</v>
      </c>
    </row>
    <row r="69" customFormat="false" ht="30" hidden="false" customHeight="true" outlineLevel="0" collapsed="false">
      <c r="A69" s="8" t="s">
        <v>4631</v>
      </c>
      <c r="B69" s="9" t="s">
        <v>4632</v>
      </c>
      <c r="C69" s="6" t="n">
        <v>43243</v>
      </c>
      <c r="D69" s="3" t="n">
        <v>0</v>
      </c>
      <c r="E69" s="3" t="n">
        <v>0</v>
      </c>
      <c r="F69" s="3" t="n">
        <f aca="false">IFERROR(Tableau5[[#This Row],[Score]]/Tableau5[[#This Row],[Nb]],0)</f>
        <v>0</v>
      </c>
    </row>
    <row r="70" customFormat="false" ht="30" hidden="false" customHeight="true" outlineLevel="0" collapsed="false">
      <c r="A70" s="8" t="s">
        <v>4633</v>
      </c>
      <c r="B70" s="9" t="s">
        <v>4634</v>
      </c>
      <c r="C70" s="6" t="n">
        <v>43230</v>
      </c>
      <c r="D70" s="3" t="n">
        <v>0</v>
      </c>
      <c r="E70" s="3" t="n">
        <v>0</v>
      </c>
      <c r="F70" s="3" t="n">
        <f aca="false">IFERROR(Tableau5[[#This Row],[Score]]/Tableau5[[#This Row],[Nb]],0)</f>
        <v>0</v>
      </c>
    </row>
    <row r="71" customFormat="false" ht="30" hidden="false" customHeight="true" outlineLevel="0" collapsed="false">
      <c r="A71" s="8" t="s">
        <v>4635</v>
      </c>
      <c r="B71" s="9" t="s">
        <v>4636</v>
      </c>
      <c r="C71" s="6" t="n">
        <v>43230</v>
      </c>
      <c r="D71" s="3" t="n">
        <v>0</v>
      </c>
      <c r="E71" s="3" t="n">
        <v>0</v>
      </c>
      <c r="F71" s="3" t="n">
        <f aca="false">IFERROR(Tableau5[[#This Row],[Score]]/Tableau5[[#This Row],[Nb]],0)</f>
        <v>0</v>
      </c>
    </row>
    <row r="72" customFormat="false" ht="30" hidden="false" customHeight="true" outlineLevel="0" collapsed="false">
      <c r="A72" s="8" t="s">
        <v>4637</v>
      </c>
      <c r="B72" s="9" t="s">
        <v>4638</v>
      </c>
      <c r="C72" s="6" t="n">
        <v>43230</v>
      </c>
      <c r="D72" s="3" t="n">
        <v>0</v>
      </c>
      <c r="E72" s="3" t="n">
        <v>0</v>
      </c>
      <c r="F72" s="3" t="n">
        <f aca="false">IFERROR(Tableau5[[#This Row],[Score]]/Tableau5[[#This Row],[Nb]],0)</f>
        <v>0</v>
      </c>
    </row>
    <row r="73" customFormat="false" ht="30" hidden="false" customHeight="true" outlineLevel="0" collapsed="false">
      <c r="A73" s="8" t="s">
        <v>4639</v>
      </c>
      <c r="B73" s="9" t="s">
        <v>4640</v>
      </c>
      <c r="C73" s="6" t="n">
        <v>43229</v>
      </c>
      <c r="D73" s="3" t="n">
        <v>0</v>
      </c>
      <c r="E73" s="3" t="n">
        <v>0</v>
      </c>
      <c r="F73" s="3" t="n">
        <f aca="false">IFERROR(Tableau5[[#This Row],[Score]]/Tableau5[[#This Row],[Nb]],0)</f>
        <v>0</v>
      </c>
    </row>
    <row r="74" customFormat="false" ht="30" hidden="false" customHeight="true" outlineLevel="0" collapsed="false">
      <c r="A74" s="8" t="s">
        <v>4641</v>
      </c>
      <c r="B74" s="9" t="s">
        <v>4642</v>
      </c>
      <c r="C74" s="6" t="n">
        <v>43228</v>
      </c>
      <c r="D74" s="3" t="n">
        <v>0</v>
      </c>
      <c r="E74" s="3" t="n">
        <v>0</v>
      </c>
      <c r="F74" s="3" t="n">
        <f aca="false">IFERROR(Tableau5[[#This Row],[Score]]/Tableau5[[#This Row],[Nb]],0)</f>
        <v>0</v>
      </c>
    </row>
    <row r="75" customFormat="false" ht="30" hidden="false" customHeight="true" outlineLevel="0" collapsed="false">
      <c r="A75" s="8" t="s">
        <v>4643</v>
      </c>
      <c r="B75" s="9" t="s">
        <v>4644</v>
      </c>
      <c r="C75" s="6" t="n">
        <v>43228</v>
      </c>
      <c r="D75" s="3" t="n">
        <v>0</v>
      </c>
      <c r="E75" s="3" t="n">
        <v>0</v>
      </c>
      <c r="F75" s="3" t="n">
        <f aca="false">IFERROR(Tableau5[[#This Row],[Score]]/Tableau5[[#This Row],[Nb]],0)</f>
        <v>0</v>
      </c>
    </row>
    <row r="76" customFormat="false" ht="30" hidden="false" customHeight="true" outlineLevel="0" collapsed="false">
      <c r="A76" s="8" t="s">
        <v>4645</v>
      </c>
      <c r="B76" s="9" t="s">
        <v>4646</v>
      </c>
      <c r="C76" s="6" t="n">
        <v>43219</v>
      </c>
      <c r="D76" s="3" t="n">
        <v>0</v>
      </c>
      <c r="E76" s="3" t="n">
        <v>0</v>
      </c>
      <c r="F76" s="3" t="n">
        <f aca="false">IFERROR(Tableau5[[#This Row],[Score]]/Tableau5[[#This Row],[Nb]],0)</f>
        <v>0</v>
      </c>
    </row>
    <row r="77" customFormat="false" ht="30" hidden="false" customHeight="true" outlineLevel="0" collapsed="false">
      <c r="A77" s="8" t="s">
        <v>4647</v>
      </c>
      <c r="B77" s="9" t="s">
        <v>4648</v>
      </c>
      <c r="C77" s="6" t="n">
        <v>43219</v>
      </c>
      <c r="D77" s="3" t="n">
        <v>0</v>
      </c>
      <c r="E77" s="3" t="n">
        <v>0</v>
      </c>
      <c r="F77" s="3" t="n">
        <f aca="false">IFERROR(Tableau5[[#This Row],[Score]]/Tableau5[[#This Row],[Nb]],0)</f>
        <v>0</v>
      </c>
    </row>
    <row r="78" customFormat="false" ht="30" hidden="false" customHeight="true" outlineLevel="0" collapsed="false">
      <c r="A78" s="8" t="s">
        <v>4649</v>
      </c>
      <c r="B78" s="9" t="s">
        <v>4650</v>
      </c>
      <c r="C78" s="6" t="n">
        <v>43219</v>
      </c>
      <c r="D78" s="3" t="n">
        <v>0</v>
      </c>
      <c r="E78" s="3" t="n">
        <v>0</v>
      </c>
      <c r="F78" s="3" t="n">
        <f aca="false">IFERROR(Tableau5[[#This Row],[Score]]/Tableau5[[#This Row],[Nb]],0)</f>
        <v>0</v>
      </c>
    </row>
    <row r="79" customFormat="false" ht="30" hidden="false" customHeight="true" outlineLevel="0" collapsed="false">
      <c r="A79" s="8" t="s">
        <v>4651</v>
      </c>
      <c r="B79" s="9" t="s">
        <v>4652</v>
      </c>
      <c r="C79" s="6" t="n">
        <v>43219</v>
      </c>
      <c r="D79" s="3" t="n">
        <v>0</v>
      </c>
      <c r="E79" s="3" t="n">
        <v>0</v>
      </c>
      <c r="F79" s="3" t="n">
        <f aca="false">IFERROR(Tableau5[[#This Row],[Score]]/Tableau5[[#This Row],[Nb]],0)</f>
        <v>0</v>
      </c>
    </row>
    <row r="80" customFormat="false" ht="30" hidden="false" customHeight="true" outlineLevel="0" collapsed="false">
      <c r="A80" s="8" t="s">
        <v>4653</v>
      </c>
      <c r="B80" s="9"/>
      <c r="C80" s="6" t="n">
        <v>43217</v>
      </c>
      <c r="D80" s="3" t="n">
        <v>0</v>
      </c>
      <c r="E80" s="3" t="n">
        <v>0</v>
      </c>
      <c r="F80" s="3" t="n">
        <f aca="false">IFERROR(Tableau5[[#This Row],[Score]]/Tableau5[[#This Row],[Nb]],0)</f>
        <v>0</v>
      </c>
    </row>
    <row r="81" customFormat="false" ht="30" hidden="false" customHeight="true" outlineLevel="0" collapsed="false">
      <c r="A81" s="8" t="s">
        <v>4654</v>
      </c>
      <c r="B81" s="9" t="s">
        <v>4655</v>
      </c>
      <c r="C81" s="6" t="n">
        <v>43217</v>
      </c>
      <c r="D81" s="3" t="n">
        <v>0</v>
      </c>
      <c r="E81" s="3" t="n">
        <v>0</v>
      </c>
      <c r="F81" s="3" t="n">
        <f aca="false">IFERROR(Tableau5[[#This Row],[Score]]/Tableau5[[#This Row],[Nb]],0)</f>
        <v>0</v>
      </c>
    </row>
    <row r="82" customFormat="false" ht="30" hidden="false" customHeight="true" outlineLevel="0" collapsed="false">
      <c r="A82" s="8" t="s">
        <v>4656</v>
      </c>
      <c r="B82" s="9" t="s">
        <v>4657</v>
      </c>
      <c r="C82" s="6" t="n">
        <v>43216</v>
      </c>
      <c r="D82" s="3" t="n">
        <v>0</v>
      </c>
      <c r="E82" s="3" t="n">
        <v>0</v>
      </c>
      <c r="F82" s="3" t="n">
        <f aca="false">IFERROR(Tableau5[[#This Row],[Score]]/Tableau5[[#This Row],[Nb]],0)</f>
        <v>0</v>
      </c>
    </row>
    <row r="83" customFormat="false" ht="30" hidden="false" customHeight="true" outlineLevel="0" collapsed="false">
      <c r="A83" s="8" t="s">
        <v>4658</v>
      </c>
      <c r="B83" s="9" t="s">
        <v>4659</v>
      </c>
      <c r="C83" s="6" t="n">
        <v>43203</v>
      </c>
      <c r="D83" s="3" t="n">
        <v>0</v>
      </c>
      <c r="E83" s="3" t="n">
        <v>0</v>
      </c>
      <c r="F83" s="3" t="n">
        <f aca="false">IFERROR(Tableau5[[#This Row],[Score]]/Tableau5[[#This Row],[Nb]],0)</f>
        <v>0</v>
      </c>
    </row>
    <row r="84" customFormat="false" ht="30" hidden="false" customHeight="true" outlineLevel="0" collapsed="false">
      <c r="A84" s="8" t="s">
        <v>4660</v>
      </c>
      <c r="B84" s="9" t="s">
        <v>4661</v>
      </c>
      <c r="C84" s="6" t="n">
        <v>43199</v>
      </c>
      <c r="D84" s="3" t="n">
        <v>0</v>
      </c>
      <c r="E84" s="3" t="n">
        <v>0</v>
      </c>
      <c r="F84" s="3" t="n">
        <f aca="false">IFERROR(Tableau5[[#This Row],[Score]]/Tableau5[[#This Row],[Nb]],0)</f>
        <v>0</v>
      </c>
    </row>
    <row r="85" customFormat="false" ht="30" hidden="false" customHeight="true" outlineLevel="0" collapsed="false">
      <c r="A85" s="8" t="s">
        <v>4662</v>
      </c>
      <c r="B85" s="9" t="s">
        <v>4663</v>
      </c>
      <c r="C85" s="6" t="n">
        <v>43151</v>
      </c>
      <c r="D85" s="3" t="n">
        <v>0</v>
      </c>
      <c r="E85" s="3" t="n">
        <v>0</v>
      </c>
      <c r="F85" s="3" t="n">
        <f aca="false">IFERROR(Tableau5[[#This Row],[Score]]/Tableau5[[#This Row],[Nb]],0)</f>
        <v>0</v>
      </c>
    </row>
    <row r="86" customFormat="false" ht="30" hidden="false" customHeight="true" outlineLevel="0" collapsed="false">
      <c r="A86" s="8" t="s">
        <v>4664</v>
      </c>
      <c r="B86" s="9" t="s">
        <v>4665</v>
      </c>
      <c r="C86" s="6" t="n">
        <v>43129</v>
      </c>
      <c r="D86" s="3" t="n">
        <v>0</v>
      </c>
      <c r="E86" s="3" t="n">
        <v>0</v>
      </c>
      <c r="F86" s="3" t="n">
        <f aca="false">IFERROR(Tableau5[[#This Row],[Score]]/Tableau5[[#This Row],[Nb]],0)</f>
        <v>0</v>
      </c>
    </row>
    <row r="87" customFormat="false" ht="30" hidden="false" customHeight="true" outlineLevel="0" collapsed="false">
      <c r="A87" s="8" t="s">
        <v>4666</v>
      </c>
      <c r="B87" s="9" t="s">
        <v>4667</v>
      </c>
      <c r="C87" s="6" t="n">
        <v>43129</v>
      </c>
      <c r="D87" s="3" t="n">
        <v>0</v>
      </c>
      <c r="E87" s="3" t="n">
        <v>0</v>
      </c>
      <c r="F87" s="3" t="n">
        <f aca="false">IFERROR(Tableau5[[#This Row],[Score]]/Tableau5[[#This Row],[Nb]],0)</f>
        <v>0</v>
      </c>
    </row>
    <row r="88" customFormat="false" ht="30" hidden="false" customHeight="true" outlineLevel="0" collapsed="false">
      <c r="A88" s="8" t="s">
        <v>4668</v>
      </c>
      <c r="B88" s="9" t="s">
        <v>4669</v>
      </c>
      <c r="C88" s="6" t="n">
        <v>43129</v>
      </c>
      <c r="D88" s="3" t="n">
        <v>0</v>
      </c>
      <c r="E88" s="3" t="n">
        <v>0</v>
      </c>
      <c r="F88" s="3" t="n">
        <f aca="false">IFERROR(Tableau5[[#This Row],[Score]]/Tableau5[[#This Row],[Nb]],0)</f>
        <v>0</v>
      </c>
    </row>
    <row r="89" customFormat="false" ht="30" hidden="false" customHeight="true" outlineLevel="0" collapsed="false">
      <c r="A89" s="8" t="s">
        <v>4670</v>
      </c>
      <c r="B89" s="9" t="s">
        <v>4671</v>
      </c>
      <c r="C89" s="6" t="n">
        <v>43129</v>
      </c>
      <c r="D89" s="3" t="n">
        <v>0</v>
      </c>
      <c r="E89" s="3" t="n">
        <v>0</v>
      </c>
      <c r="F89" s="3" t="n">
        <f aca="false">IFERROR(Tableau5[[#This Row],[Score]]/Tableau5[[#This Row],[Nb]],0)</f>
        <v>0</v>
      </c>
    </row>
    <row r="90" customFormat="false" ht="30" hidden="false" customHeight="true" outlineLevel="0" collapsed="false">
      <c r="A90" s="8" t="s">
        <v>4672</v>
      </c>
      <c r="B90" s="9" t="s">
        <v>4673</v>
      </c>
      <c r="C90" s="6" t="n">
        <v>41829</v>
      </c>
      <c r="D90" s="3" t="n">
        <v>0</v>
      </c>
      <c r="E90" s="3" t="n">
        <v>0</v>
      </c>
      <c r="F90" s="3" t="n">
        <f aca="false">IFERROR(Tableau5[[#This Row],[Score]]/Tableau5[[#This Row],[Nb]],0)</f>
        <v>0</v>
      </c>
    </row>
    <row r="91" customFormat="false" ht="30" hidden="false" customHeight="true" outlineLevel="0" collapsed="false">
      <c r="A91" s="8" t="s">
        <v>4674</v>
      </c>
      <c r="B91" s="9" t="s">
        <v>4675</v>
      </c>
      <c r="C91" s="6" t="n">
        <v>41829</v>
      </c>
      <c r="D91" s="3" t="n">
        <v>0</v>
      </c>
      <c r="E91" s="3" t="n">
        <v>0</v>
      </c>
      <c r="F91" s="3" t="n">
        <f aca="false">IFERROR(Tableau5[[#This Row],[Score]]/Tableau5[[#This Row],[Nb]],0)</f>
        <v>0</v>
      </c>
    </row>
    <row r="92" customFormat="false" ht="30" hidden="false" customHeight="true" outlineLevel="0" collapsed="false">
      <c r="A92" s="8" t="s">
        <v>4676</v>
      </c>
      <c r="B92" s="9" t="s">
        <v>4677</v>
      </c>
      <c r="C92" s="6" t="n">
        <v>41829</v>
      </c>
      <c r="D92" s="3" t="n">
        <v>0</v>
      </c>
      <c r="E92" s="3" t="n">
        <v>0</v>
      </c>
      <c r="F92" s="3" t="n">
        <f aca="false">IFERROR(Tableau5[[#This Row],[Score]]/Tableau5[[#This Row],[Nb]],0)</f>
        <v>0</v>
      </c>
    </row>
    <row r="93" customFormat="false" ht="30" hidden="false" customHeight="true" outlineLevel="0" collapsed="false">
      <c r="A93" s="8" t="s">
        <v>4678</v>
      </c>
      <c r="B93" s="9" t="s">
        <v>4679</v>
      </c>
      <c r="C93" s="6" t="n">
        <v>41551</v>
      </c>
      <c r="D93" s="3" t="n">
        <v>0</v>
      </c>
      <c r="E93" s="3" t="n">
        <v>0</v>
      </c>
      <c r="F93" s="3" t="n">
        <f aca="false">IFERROR(Tableau5[[#This Row],[Score]]/Tableau5[[#This Row],[Nb]],0)</f>
        <v>0</v>
      </c>
    </row>
    <row r="94" customFormat="false" ht="30" hidden="false" customHeight="true" outlineLevel="0" collapsed="false">
      <c r="A94" s="8" t="s">
        <v>4680</v>
      </c>
      <c r="B94" s="9" t="s">
        <v>4681</v>
      </c>
      <c r="C94" s="6" t="n">
        <v>41551</v>
      </c>
      <c r="D94" s="3" t="n">
        <v>0</v>
      </c>
      <c r="E94" s="3" t="n">
        <v>0</v>
      </c>
      <c r="F94" s="3" t="n">
        <f aca="false">IFERROR(Tableau5[[#This Row],[Score]]/Tableau5[[#This Row],[Nb]],0)</f>
        <v>0</v>
      </c>
    </row>
    <row r="95" customFormat="false" ht="30" hidden="false" customHeight="true" outlineLevel="0" collapsed="false">
      <c r="A95" s="8" t="s">
        <v>4682</v>
      </c>
      <c r="B95" s="9" t="s">
        <v>4683</v>
      </c>
      <c r="C95" s="6" t="n">
        <v>41551</v>
      </c>
      <c r="D95" s="3" t="n">
        <v>0</v>
      </c>
      <c r="E95" s="3" t="n">
        <v>0</v>
      </c>
      <c r="F95" s="3" t="n">
        <f aca="false">IFERROR(Tableau5[[#This Row],[Score]]/Tableau5[[#This Row],[Nb]],0)</f>
        <v>0</v>
      </c>
    </row>
    <row r="96" customFormat="false" ht="30" hidden="false" customHeight="true" outlineLevel="0" collapsed="false">
      <c r="A96" s="8" t="s">
        <v>4684</v>
      </c>
      <c r="B96" s="9" t="s">
        <v>4685</v>
      </c>
      <c r="C96" s="6" t="n">
        <v>41551</v>
      </c>
      <c r="D96" s="3" t="n">
        <v>0</v>
      </c>
      <c r="E96" s="3" t="n">
        <v>0</v>
      </c>
      <c r="F96" s="3" t="n">
        <f aca="false">IFERROR(Tableau5[[#This Row],[Score]]/Tableau5[[#This Row],[Nb]],0)</f>
        <v>0</v>
      </c>
    </row>
    <row r="97" customFormat="false" ht="30" hidden="false" customHeight="true" outlineLevel="0" collapsed="false">
      <c r="A97" s="8" t="s">
        <v>4686</v>
      </c>
      <c r="B97" s="9" t="s">
        <v>4687</v>
      </c>
      <c r="C97" s="6" t="n">
        <v>41538</v>
      </c>
      <c r="D97" s="3" t="n">
        <v>0</v>
      </c>
      <c r="E97" s="3" t="n">
        <v>0</v>
      </c>
      <c r="F97" s="3" t="n">
        <f aca="false">IFERROR(Tableau5[[#This Row],[Score]]/Tableau5[[#This Row],[Nb]],0)</f>
        <v>0</v>
      </c>
    </row>
    <row r="98" customFormat="false" ht="30" hidden="false" customHeight="true" outlineLevel="0" collapsed="false">
      <c r="A98" s="8" t="s">
        <v>4688</v>
      </c>
      <c r="B98" s="9" t="s">
        <v>4689</v>
      </c>
      <c r="C98" s="6" t="n">
        <v>41538</v>
      </c>
      <c r="D98" s="3" t="n">
        <v>0</v>
      </c>
      <c r="E98" s="3" t="n">
        <v>0</v>
      </c>
      <c r="F98" s="3" t="n">
        <f aca="false">IFERROR(Tableau5[[#This Row],[Score]]/Tableau5[[#This Row],[Nb]],0)</f>
        <v>0</v>
      </c>
    </row>
    <row r="99" customFormat="false" ht="30" hidden="false" customHeight="true" outlineLevel="0" collapsed="false">
      <c r="A99" s="8" t="s">
        <v>4690</v>
      </c>
      <c r="B99" s="9" t="s">
        <v>4691</v>
      </c>
      <c r="C99" s="6" t="n">
        <v>41538</v>
      </c>
      <c r="D99" s="3" t="n">
        <v>0</v>
      </c>
      <c r="E99" s="3" t="n">
        <v>0</v>
      </c>
      <c r="F99" s="3" t="n">
        <f aca="false">IFERROR(Tableau5[[#This Row],[Score]]/Tableau5[[#This Row],[Nb]],0)</f>
        <v>0</v>
      </c>
    </row>
    <row r="100" customFormat="false" ht="30" hidden="false" customHeight="true" outlineLevel="0" collapsed="false">
      <c r="A100" s="8" t="s">
        <v>4692</v>
      </c>
      <c r="B100" s="9" t="s">
        <v>4693</v>
      </c>
      <c r="C100" s="6" t="n">
        <v>41538</v>
      </c>
      <c r="D100" s="3" t="n">
        <v>0</v>
      </c>
      <c r="E100" s="3" t="n">
        <v>0</v>
      </c>
      <c r="F100" s="3" t="n">
        <f aca="false">IFERROR(Tableau5[[#This Row],[Score]]/Tableau5[[#This Row],[Nb]],0)</f>
        <v>0</v>
      </c>
    </row>
    <row r="101" customFormat="false" ht="30" hidden="false" customHeight="true" outlineLevel="0" collapsed="false">
      <c r="A101" s="8" t="s">
        <v>4694</v>
      </c>
      <c r="B101" s="9" t="s">
        <v>4695</v>
      </c>
      <c r="C101" s="6" t="n">
        <v>41495</v>
      </c>
      <c r="D101" s="3" t="n">
        <v>0</v>
      </c>
      <c r="E101" s="3" t="n">
        <v>0</v>
      </c>
      <c r="F101" s="3" t="n">
        <f aca="false">IFERROR(Tableau5[[#This Row],[Score]]/Tableau5[[#This Row],[Nb]],0)</f>
        <v>0</v>
      </c>
    </row>
    <row r="102" customFormat="false" ht="30" hidden="false" customHeight="true" outlineLevel="0" collapsed="false">
      <c r="A102" s="8" t="s">
        <v>4696</v>
      </c>
      <c r="B102" s="9" t="s">
        <v>4697</v>
      </c>
      <c r="C102" s="6" t="n">
        <v>41495</v>
      </c>
      <c r="D102" s="3" t="n">
        <v>0</v>
      </c>
      <c r="E102" s="3" t="n">
        <v>0</v>
      </c>
      <c r="F102" s="3" t="n">
        <f aca="false">IFERROR(Tableau5[[#This Row],[Score]]/Tableau5[[#This Row],[Nb]],0)</f>
        <v>0</v>
      </c>
    </row>
    <row r="103" customFormat="false" ht="30" hidden="false" customHeight="true" outlineLevel="0" collapsed="false">
      <c r="A103" s="8" t="s">
        <v>4698</v>
      </c>
      <c r="B103" s="9" t="s">
        <v>4699</v>
      </c>
      <c r="C103" s="6" t="n">
        <v>41495</v>
      </c>
      <c r="D103" s="3" t="n">
        <v>0</v>
      </c>
      <c r="E103" s="3" t="n">
        <v>0</v>
      </c>
      <c r="F103" s="3" t="n">
        <f aca="false">IFERROR(Tableau5[[#This Row],[Score]]/Tableau5[[#This Row],[Nb]],0)</f>
        <v>0</v>
      </c>
    </row>
    <row r="104" customFormat="false" ht="30" hidden="false" customHeight="true" outlineLevel="0" collapsed="false">
      <c r="A104" s="8" t="s">
        <v>4700</v>
      </c>
      <c r="B104" s="9" t="s">
        <v>4701</v>
      </c>
      <c r="C104" s="6" t="n">
        <v>41459</v>
      </c>
      <c r="D104" s="3" t="n">
        <v>0</v>
      </c>
      <c r="E104" s="3" t="n">
        <v>0</v>
      </c>
      <c r="F104" s="3" t="n">
        <f aca="false">IFERROR(Tableau5[[#This Row],[Score]]/Tableau5[[#This Row],[Nb]],0)</f>
        <v>0</v>
      </c>
    </row>
    <row r="105" customFormat="false" ht="30" hidden="false" customHeight="true" outlineLevel="0" collapsed="false">
      <c r="A105" s="8" t="s">
        <v>4702</v>
      </c>
      <c r="B105" s="9" t="s">
        <v>4703</v>
      </c>
      <c r="C105" s="6" t="n">
        <v>41459</v>
      </c>
      <c r="D105" s="3" t="n">
        <v>0</v>
      </c>
      <c r="E105" s="3" t="n">
        <v>0</v>
      </c>
      <c r="F105" s="3" t="n">
        <f aca="false">IFERROR(Tableau5[[#This Row],[Score]]/Tableau5[[#This Row],[Nb]],0)</f>
        <v>0</v>
      </c>
    </row>
    <row r="106" customFormat="false" ht="30" hidden="false" customHeight="true" outlineLevel="0" collapsed="false">
      <c r="A106" s="8" t="s">
        <v>4704</v>
      </c>
      <c r="B106" s="9" t="s">
        <v>4705</v>
      </c>
      <c r="C106" s="6" t="n">
        <v>41442</v>
      </c>
      <c r="D106" s="3" t="n">
        <v>0</v>
      </c>
      <c r="E106" s="3" t="n">
        <v>0</v>
      </c>
      <c r="F106" s="3" t="n">
        <f aca="false">IFERROR(Tableau5[[#This Row],[Score]]/Tableau5[[#This Row],[Nb]],0)</f>
        <v>0</v>
      </c>
    </row>
    <row r="107" customFormat="false" ht="30" hidden="false" customHeight="true" outlineLevel="0" collapsed="false">
      <c r="A107" s="8" t="s">
        <v>4706</v>
      </c>
      <c r="B107" s="9" t="s">
        <v>4707</v>
      </c>
      <c r="C107" s="6" t="n">
        <v>41442</v>
      </c>
      <c r="D107" s="3" t="n">
        <v>0</v>
      </c>
      <c r="E107" s="3" t="n">
        <v>0</v>
      </c>
      <c r="F107" s="3" t="n">
        <f aca="false">IFERROR(Tableau5[[#This Row],[Score]]/Tableau5[[#This Row],[Nb]],0)</f>
        <v>0</v>
      </c>
    </row>
    <row r="108" customFormat="false" ht="30" hidden="false" customHeight="true" outlineLevel="0" collapsed="false">
      <c r="A108" s="8" t="s">
        <v>4708</v>
      </c>
      <c r="B108" s="9" t="s">
        <v>4709</v>
      </c>
      <c r="C108" s="6" t="n">
        <v>41433</v>
      </c>
      <c r="D108" s="3" t="n">
        <v>0</v>
      </c>
      <c r="E108" s="3" t="n">
        <v>0</v>
      </c>
      <c r="F108" s="3" t="n">
        <f aca="false">IFERROR(Tableau5[[#This Row],[Score]]/Tableau5[[#This Row],[Nb]],0)</f>
        <v>0</v>
      </c>
    </row>
    <row r="109" customFormat="false" ht="30" hidden="false" customHeight="true" outlineLevel="0" collapsed="false">
      <c r="A109" s="8" t="s">
        <v>4710</v>
      </c>
      <c r="B109" s="9" t="s">
        <v>4711</v>
      </c>
      <c r="C109" s="6" t="n">
        <v>41433</v>
      </c>
      <c r="D109" s="3" t="n">
        <v>0</v>
      </c>
      <c r="E109" s="3" t="n">
        <v>0</v>
      </c>
      <c r="F109" s="3" t="n">
        <f aca="false">IFERROR(Tableau5[[#This Row],[Score]]/Tableau5[[#This Row],[Nb]],0)</f>
        <v>0</v>
      </c>
    </row>
    <row r="110" customFormat="false" ht="30" hidden="false" customHeight="true" outlineLevel="0" collapsed="false">
      <c r="A110" s="8" t="s">
        <v>4712</v>
      </c>
      <c r="B110" s="9" t="s">
        <v>4713</v>
      </c>
      <c r="C110" s="6" t="n">
        <v>41433</v>
      </c>
      <c r="D110" s="3" t="n">
        <v>0</v>
      </c>
      <c r="E110" s="3" t="n">
        <v>0</v>
      </c>
      <c r="F110" s="3" t="n">
        <f aca="false">IFERROR(Tableau5[[#This Row],[Score]]/Tableau5[[#This Row],[Nb]],0)</f>
        <v>0</v>
      </c>
    </row>
    <row r="111" customFormat="false" ht="30" hidden="false" customHeight="true" outlineLevel="0" collapsed="false">
      <c r="A111" s="8" t="s">
        <v>4714</v>
      </c>
      <c r="B111" s="9" t="s">
        <v>4715</v>
      </c>
      <c r="C111" s="6" t="n">
        <v>41432</v>
      </c>
      <c r="D111" s="3" t="n">
        <v>0</v>
      </c>
      <c r="E111" s="3" t="n">
        <v>0</v>
      </c>
      <c r="F111" s="3" t="n">
        <f aca="false">IFERROR(Tableau5[[#This Row],[Score]]/Tableau5[[#This Row],[Nb]],0)</f>
        <v>0</v>
      </c>
    </row>
    <row r="112" customFormat="false" ht="30" hidden="false" customHeight="true" outlineLevel="0" collapsed="false">
      <c r="A112" s="8" t="s">
        <v>4716</v>
      </c>
      <c r="B112" s="9" t="s">
        <v>4717</v>
      </c>
      <c r="C112" s="6" t="n">
        <v>41426</v>
      </c>
      <c r="D112" s="3" t="n">
        <v>0</v>
      </c>
      <c r="E112" s="3" t="n">
        <v>0</v>
      </c>
      <c r="F112" s="3" t="n">
        <f aca="false">IFERROR(Tableau5[[#This Row],[Score]]/Tableau5[[#This Row],[Nb]],0)</f>
        <v>0</v>
      </c>
    </row>
    <row r="113" customFormat="false" ht="30" hidden="false" customHeight="true" outlineLevel="0" collapsed="false">
      <c r="A113" s="8" t="s">
        <v>4718</v>
      </c>
      <c r="B113" s="9" t="s">
        <v>4719</v>
      </c>
      <c r="C113" s="6" t="n">
        <v>41426</v>
      </c>
      <c r="D113" s="3" t="n">
        <v>0</v>
      </c>
      <c r="E113" s="3" t="n">
        <v>0</v>
      </c>
      <c r="F113" s="3" t="n">
        <f aca="false">IFERROR(Tableau5[[#This Row],[Score]]/Tableau5[[#This Row],[Nb]],0)</f>
        <v>0</v>
      </c>
    </row>
    <row r="114" customFormat="false" ht="30" hidden="false" customHeight="true" outlineLevel="0" collapsed="false">
      <c r="A114" s="8" t="s">
        <v>4720</v>
      </c>
      <c r="B114" s="9" t="s">
        <v>2456</v>
      </c>
      <c r="C114" s="6" t="n">
        <v>41426</v>
      </c>
      <c r="D114" s="3" t="n">
        <v>0</v>
      </c>
      <c r="E114" s="3" t="n">
        <v>0</v>
      </c>
      <c r="F114" s="3" t="n">
        <f aca="false">IFERROR(Tableau5[[#This Row],[Score]]/Tableau5[[#This Row],[Nb]],0)</f>
        <v>0</v>
      </c>
    </row>
    <row r="115" customFormat="false" ht="30" hidden="false" customHeight="true" outlineLevel="0" collapsed="false">
      <c r="A115" s="8" t="s">
        <v>4721</v>
      </c>
      <c r="B115" s="9" t="s">
        <v>4722</v>
      </c>
      <c r="C115" s="6" t="n">
        <v>41424</v>
      </c>
      <c r="D115" s="3" t="n">
        <v>0</v>
      </c>
      <c r="E115" s="3" t="n">
        <v>0</v>
      </c>
      <c r="F115" s="3" t="n">
        <f aca="false">IFERROR(Tableau5[[#This Row],[Score]]/Tableau5[[#This Row],[Nb]],0)</f>
        <v>0</v>
      </c>
    </row>
    <row r="116" customFormat="false" ht="30" hidden="false" customHeight="true" outlineLevel="0" collapsed="false">
      <c r="A116" s="8" t="s">
        <v>4723</v>
      </c>
      <c r="B116" s="9" t="s">
        <v>4724</v>
      </c>
      <c r="C116" s="6" t="n">
        <v>41422</v>
      </c>
      <c r="D116" s="3" t="n">
        <v>0</v>
      </c>
      <c r="E116" s="3" t="n">
        <v>0</v>
      </c>
      <c r="F116" s="3" t="n">
        <f aca="false">IFERROR(Tableau5[[#This Row],[Score]]/Tableau5[[#This Row],[Nb]],0)</f>
        <v>0</v>
      </c>
    </row>
    <row r="117" customFormat="false" ht="30" hidden="false" customHeight="true" outlineLevel="0" collapsed="false">
      <c r="A117" s="8" t="s">
        <v>4725</v>
      </c>
      <c r="B117" s="9" t="s">
        <v>4726</v>
      </c>
      <c r="C117" s="6" t="n">
        <v>41422</v>
      </c>
      <c r="D117" s="3" t="n">
        <v>0</v>
      </c>
      <c r="E117" s="3" t="n">
        <v>0</v>
      </c>
      <c r="F117" s="3" t="n">
        <f aca="false">IFERROR(Tableau5[[#This Row],[Score]]/Tableau5[[#This Row],[Nb]],0)</f>
        <v>0</v>
      </c>
    </row>
    <row r="118" customFormat="false" ht="30" hidden="false" customHeight="true" outlineLevel="0" collapsed="false">
      <c r="A118" s="8" t="s">
        <v>4727</v>
      </c>
      <c r="B118" s="9" t="s">
        <v>4728</v>
      </c>
      <c r="C118" s="6" t="n">
        <v>41422</v>
      </c>
      <c r="D118" s="3" t="n">
        <v>0</v>
      </c>
      <c r="E118" s="3" t="n">
        <v>0</v>
      </c>
      <c r="F118" s="3" t="n">
        <f aca="false">IFERROR(Tableau5[[#This Row],[Score]]/Tableau5[[#This Row],[Nb]],0)</f>
        <v>0</v>
      </c>
    </row>
    <row r="119" customFormat="false" ht="30" hidden="false" customHeight="true" outlineLevel="0" collapsed="false">
      <c r="A119" s="8" t="s">
        <v>4729</v>
      </c>
      <c r="B119" s="9" t="s">
        <v>4730</v>
      </c>
      <c r="C119" s="6" t="n">
        <v>41422</v>
      </c>
      <c r="D119" s="3" t="n">
        <v>0</v>
      </c>
      <c r="E119" s="3" t="n">
        <v>0</v>
      </c>
      <c r="F119" s="3" t="n">
        <f aca="false">IFERROR(Tableau5[[#This Row],[Score]]/Tableau5[[#This Row],[Nb]],0)</f>
        <v>0</v>
      </c>
    </row>
    <row r="120" customFormat="false" ht="30" hidden="false" customHeight="true" outlineLevel="0" collapsed="false">
      <c r="A120" s="8" t="s">
        <v>4731</v>
      </c>
      <c r="B120" s="9" t="s">
        <v>4732</v>
      </c>
      <c r="C120" s="6" t="n">
        <v>41422</v>
      </c>
      <c r="D120" s="3" t="n">
        <v>0</v>
      </c>
      <c r="E120" s="3" t="n">
        <v>0</v>
      </c>
      <c r="F120" s="3" t="n">
        <f aca="false">IFERROR(Tableau5[[#This Row],[Score]]/Tableau5[[#This Row],[Nb]],0)</f>
        <v>0</v>
      </c>
    </row>
    <row r="121" customFormat="false" ht="30" hidden="false" customHeight="true" outlineLevel="0" collapsed="false">
      <c r="A121" s="8" t="s">
        <v>4733</v>
      </c>
      <c r="B121" s="9" t="s">
        <v>4734</v>
      </c>
      <c r="C121" s="6" t="n">
        <v>41420</v>
      </c>
      <c r="D121" s="3" t="n">
        <v>0</v>
      </c>
      <c r="E121" s="3" t="n">
        <v>0</v>
      </c>
      <c r="F121" s="3" t="n">
        <f aca="false">IFERROR(Tableau5[[#This Row],[Score]]/Tableau5[[#This Row],[Nb]],0)</f>
        <v>0</v>
      </c>
    </row>
    <row r="122" customFormat="false" ht="30" hidden="false" customHeight="true" outlineLevel="0" collapsed="false">
      <c r="A122" s="8" t="s">
        <v>4735</v>
      </c>
      <c r="B122" s="9" t="s">
        <v>4736</v>
      </c>
      <c r="C122" s="6" t="n">
        <v>41325</v>
      </c>
      <c r="D122" s="3" t="n">
        <v>0</v>
      </c>
      <c r="E122" s="3" t="n">
        <v>0</v>
      </c>
      <c r="F122" s="3" t="n">
        <f aca="false">IFERROR(Tableau5[[#This Row],[Score]]/Tableau5[[#This Row],[Nb]],0)</f>
        <v>0</v>
      </c>
    </row>
    <row r="123" customFormat="false" ht="30" hidden="false" customHeight="true" outlineLevel="0" collapsed="false">
      <c r="A123" s="8" t="s">
        <v>4737</v>
      </c>
      <c r="B123" s="9" t="s">
        <v>4738</v>
      </c>
      <c r="C123" s="6" t="n">
        <v>43207</v>
      </c>
      <c r="D123" s="3" t="n">
        <v>0</v>
      </c>
      <c r="E123" s="3" t="n">
        <v>0</v>
      </c>
      <c r="F123" s="3" t="n">
        <f aca="false">IFERROR(Tableau5[[#This Row],[Score]]/Tableau5[[#This Row],[Nb]],0)</f>
        <v>0</v>
      </c>
    </row>
    <row r="124" customFormat="false" ht="30" hidden="false" customHeight="true" outlineLevel="0" collapsed="false">
      <c r="A124" s="8" t="s">
        <v>4739</v>
      </c>
      <c r="B124" s="9" t="s">
        <v>4740</v>
      </c>
      <c r="C124" s="6" t="n">
        <v>43270</v>
      </c>
      <c r="D124" s="3" t="n">
        <v>0</v>
      </c>
      <c r="E124" s="3" t="n">
        <v>0</v>
      </c>
      <c r="F124" s="3" t="n">
        <f aca="false">IFERROR(Tableau5[[#This Row],[Score]]/Tableau5[[#This Row],[Nb]],0)</f>
        <v>0</v>
      </c>
    </row>
    <row r="125" customFormat="false" ht="30" hidden="false" customHeight="true" outlineLevel="0" collapsed="false">
      <c r="A125" s="8" t="s">
        <v>4741</v>
      </c>
      <c r="B125" s="9" t="s">
        <v>4742</v>
      </c>
      <c r="C125" s="6" t="n">
        <v>41433</v>
      </c>
      <c r="D125" s="3" t="n">
        <v>0</v>
      </c>
      <c r="E125" s="3" t="n">
        <v>0</v>
      </c>
      <c r="F125" s="3" t="n">
        <f aca="false">IFERROR(Tableau5[[#This Row],[Score]]/Tableau5[[#This Row],[Nb]],0)</f>
        <v>0</v>
      </c>
    </row>
    <row r="126" customFormat="false" ht="30" hidden="false" customHeight="true" outlineLevel="0" collapsed="false">
      <c r="A126" s="8" t="s">
        <v>4743</v>
      </c>
      <c r="B126" s="9" t="s">
        <v>4744</v>
      </c>
      <c r="C126" s="6" t="n">
        <v>43180</v>
      </c>
      <c r="D126" s="3" t="n">
        <v>0</v>
      </c>
      <c r="E126" s="3" t="n">
        <v>0</v>
      </c>
      <c r="F126" s="3" t="n">
        <f aca="false">IFERROR(Tableau5[[#This Row],[Score]]/Tableau5[[#This Row],[Nb]],0)</f>
        <v>0</v>
      </c>
    </row>
    <row r="127" customFormat="false" ht="30" hidden="false" customHeight="true" outlineLevel="0" collapsed="false">
      <c r="A127" s="8" t="s">
        <v>4745</v>
      </c>
      <c r="B127" s="9" t="s">
        <v>4746</v>
      </c>
      <c r="C127" s="6" t="n">
        <v>43219</v>
      </c>
      <c r="D127" s="3" t="n">
        <v>0</v>
      </c>
      <c r="E127" s="3" t="n">
        <v>0</v>
      </c>
      <c r="F127" s="3" t="n">
        <f aca="false">IFERROR(Tableau5[[#This Row],[Score]]/Tableau5[[#This Row],[Nb]],0)</f>
        <v>0</v>
      </c>
    </row>
    <row r="128" customFormat="false" ht="30" hidden="false" customHeight="true" outlineLevel="0" collapsed="false">
      <c r="A128" s="8" t="s">
        <v>4747</v>
      </c>
      <c r="B128" s="9" t="s">
        <v>4748</v>
      </c>
      <c r="C128" s="6" t="n">
        <v>43129</v>
      </c>
      <c r="D128" s="3" t="n">
        <v>0</v>
      </c>
      <c r="E128" s="3" t="n">
        <v>0</v>
      </c>
      <c r="F128" s="3" t="n">
        <f aca="false">IFERROR(Tableau5[[#This Row],[Score]]/Tableau5[[#This Row],[Nb]],0)</f>
        <v>0</v>
      </c>
    </row>
    <row r="129" customFormat="false" ht="30" hidden="false" customHeight="true" outlineLevel="0" collapsed="false">
      <c r="A129" s="8" t="s">
        <v>4749</v>
      </c>
      <c r="B129" s="9"/>
      <c r="C129" s="6" t="n">
        <v>43251</v>
      </c>
      <c r="D129" s="3" t="n">
        <v>0</v>
      </c>
      <c r="E129" s="3" t="n">
        <v>0</v>
      </c>
      <c r="F129" s="3" t="n">
        <f aca="false">IFERROR(Tableau5[[#This Row],[Score]]/Tableau5[[#This Row],[Nb]],0)</f>
        <v>0</v>
      </c>
    </row>
    <row r="130" customFormat="false" ht="30" hidden="false" customHeight="true" outlineLevel="0" collapsed="false">
      <c r="A130" s="8" t="s">
        <v>4750</v>
      </c>
      <c r="B130" s="9" t="s">
        <v>4751</v>
      </c>
      <c r="C130" s="6" t="n">
        <v>41433</v>
      </c>
      <c r="D130" s="3" t="n">
        <v>0</v>
      </c>
      <c r="E130" s="3" t="n">
        <v>0</v>
      </c>
      <c r="F130" s="3" t="n">
        <f aca="false">IFERROR(Tableau5[[#This Row],[Score]]/Tableau5[[#This Row],[Nb]],0)</f>
        <v>0</v>
      </c>
    </row>
    <row r="131" customFormat="false" ht="30" hidden="false" customHeight="true" outlineLevel="0" collapsed="false">
      <c r="A131" s="8" t="s">
        <v>4752</v>
      </c>
      <c r="B131" s="9" t="s">
        <v>4753</v>
      </c>
      <c r="C131" s="6" t="n">
        <v>41426</v>
      </c>
      <c r="D131" s="3" t="n">
        <v>0</v>
      </c>
      <c r="E131" s="3" t="n">
        <v>0</v>
      </c>
      <c r="F131" s="3" t="n">
        <f aca="false">IFERROR(Tableau5[[#This Row],[Score]]/Tableau5[[#This Row],[Nb]],0)</f>
        <v>0</v>
      </c>
    </row>
    <row r="132" customFormat="false" ht="30" hidden="false" customHeight="true" outlineLevel="0" collapsed="false">
      <c r="A132" s="8" t="s">
        <v>4754</v>
      </c>
      <c r="B132" s="9" t="s">
        <v>4755</v>
      </c>
      <c r="C132" s="6" t="n">
        <v>43245</v>
      </c>
      <c r="D132" s="3" t="n">
        <v>0</v>
      </c>
      <c r="E132" s="3" t="n">
        <v>0</v>
      </c>
      <c r="F132" s="3" t="n">
        <f aca="false">IFERROR(Tableau5[[#This Row],[Score]]/Tableau5[[#This Row],[Nb]],0)</f>
        <v>0</v>
      </c>
    </row>
    <row r="133" customFormat="false" ht="30" hidden="false" customHeight="true" outlineLevel="0" collapsed="false">
      <c r="A133" s="8" t="s">
        <v>4756</v>
      </c>
      <c r="B133" s="9" t="s">
        <v>4757</v>
      </c>
      <c r="C133" s="6" t="n">
        <v>41310</v>
      </c>
      <c r="D133" s="3" t="n">
        <v>0</v>
      </c>
      <c r="E133" s="3" t="n">
        <v>0</v>
      </c>
      <c r="F133" s="3" t="n">
        <f aca="false">IFERROR(Tableau5[[#This Row],[Score]]/Tableau5[[#This Row],[Nb]],0)</f>
        <v>0</v>
      </c>
    </row>
    <row r="134" customFormat="false" ht="30" hidden="false" customHeight="true" outlineLevel="0" collapsed="false">
      <c r="A134" s="8" t="s">
        <v>4758</v>
      </c>
      <c r="B134" s="9" t="s">
        <v>4759</v>
      </c>
      <c r="C134" s="6" t="n">
        <v>41432</v>
      </c>
      <c r="D134" s="3" t="n">
        <v>0</v>
      </c>
      <c r="E134" s="3" t="n">
        <v>0</v>
      </c>
      <c r="F134" s="3" t="n">
        <f aca="false">IFERROR(Tableau5[[#This Row],[Score]]/Tableau5[[#This Row],[Nb]],0)</f>
        <v>0</v>
      </c>
    </row>
    <row r="135" customFormat="false" ht="30" hidden="false" customHeight="true" outlineLevel="0" collapsed="false">
      <c r="A135" s="8" t="s">
        <v>4760</v>
      </c>
      <c r="B135" s="9" t="s">
        <v>4761</v>
      </c>
      <c r="C135" s="6" t="n">
        <v>41420</v>
      </c>
      <c r="D135" s="3" t="n">
        <v>0</v>
      </c>
      <c r="E135" s="3" t="n">
        <v>0</v>
      </c>
      <c r="F135" s="3" t="n">
        <f aca="false">IFERROR(Tableau5[[#This Row],[Score]]/Tableau5[[#This Row],[Nb]],0)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6:B1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6" topLeftCell="A17" activePane="bottomLeft" state="frozen"/>
      <selection pane="topLeft" activeCell="A1" activeCellId="0" sqref="A1"/>
      <selection pane="bottomLeft" activeCell="A19" activeCellId="0" sqref="A19"/>
    </sheetView>
  </sheetViews>
  <sheetFormatPr defaultColWidth="11.5625" defaultRowHeight="19.5" zeroHeight="false" outlineLevelRow="0" outlineLevelCol="0"/>
  <cols>
    <col collapsed="false" customWidth="true" hidden="false" outlineLevel="0" max="1" min="1" style="11" width="12.11"/>
    <col collapsed="false" customWidth="true" hidden="false" outlineLevel="0" max="2" min="2" style="11" width="20.33"/>
    <col collapsed="false" customWidth="false" hidden="false" outlineLevel="0" max="16384" min="3" style="11" width="11.56"/>
  </cols>
  <sheetData>
    <row r="16" customFormat="false" ht="19.5" hidden="false" customHeight="true" outlineLevel="0" collapsed="false">
      <c r="A16" s="11" t="s">
        <v>2</v>
      </c>
      <c r="B16" s="11" t="s">
        <v>4495</v>
      </c>
    </row>
    <row r="17" customFormat="false" ht="19.5" hidden="false" customHeight="true" outlineLevel="0" collapsed="false">
      <c r="A17" s="36" t="n">
        <v>44976</v>
      </c>
      <c r="B17" s="11" t="n">
        <v>0</v>
      </c>
    </row>
    <row r="18" customFormat="false" ht="19.5" hidden="false" customHeight="true" outlineLevel="0" collapsed="false">
      <c r="A18" s="36" t="n">
        <v>44983</v>
      </c>
      <c r="B18" s="11" t="n">
        <v>88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LibreOffice/24.2.1.2$Linux_X86_64 LibreOffice_project/db4def46b0453cc22e2d0305797cf981b68ef5ac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2020-08-04T19:50:48Z</dcterms:created>
  <dc:creator>Benoit Delorme</dc:creator>
  <dc:description/>
  <dc:language>en-US</dc:language>
  <cp:lastModifiedBy/>
  <cp:lastPrinted>2021-02-23T13:55:59Z</cp:lastPrinted>
  <dcterms:modified xsi:type="dcterms:W3CDTF">2024-04-08T23:34:33Z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